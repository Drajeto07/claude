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0" activeTab="0" autoFilterDateGrouping="1"/>
  </bookViews>
  <sheets>
    <sheet xmlns:r="http://schemas.openxmlformats.org/officeDocument/2006/relationships" name="DASHBOARD" sheetId="1" state="visible" r:id="rId1"/>
    <sheet xmlns:r="http://schemas.openxmlformats.org/officeDocument/2006/relationships" name="MASTER" sheetId="2" state="visible" r:id="rId2"/>
    <sheet xmlns:r="http://schemas.openxmlformats.org/officeDocument/2006/relationships" name="CRITICAL_FIXES" sheetId="3" state="visible" r:id="rId3"/>
    <sheet xmlns:r="http://schemas.openxmlformats.org/officeDocument/2006/relationships" name="DOCUMENT_FIDELITY" sheetId="4" state="visible" r:id="rId4"/>
    <sheet xmlns:r="http://schemas.openxmlformats.org/officeDocument/2006/relationships" name="DOCX_OOXML" sheetId="5" state="visible" r:id="rId5"/>
    <sheet xmlns:r="http://schemas.openxmlformats.org/officeDocument/2006/relationships" name="PDF" sheetId="6" state="visible" r:id="rId6"/>
    <sheet xmlns:r="http://schemas.openxmlformats.org/officeDocument/2006/relationships" name="EDITOR" sheetId="7" state="visible" r:id="rId7"/>
    <sheet xmlns:r="http://schemas.openxmlformats.org/officeDocument/2006/relationships" name="FORMATTING" sheetId="8" state="visible" r:id="rId8"/>
    <sheet xmlns:r="http://schemas.openxmlformats.org/officeDocument/2006/relationships" name="AI" sheetId="9" state="visible" r:id="rId9"/>
    <sheet xmlns:r="http://schemas.openxmlformats.org/officeDocument/2006/relationships" name="SECURITY" sheetId="10" state="visible" r:id="rId10"/>
    <sheet xmlns:r="http://schemas.openxmlformats.org/officeDocument/2006/relationships" name="PERFORMANCE" sheetId="11" state="visible" r:id="rId11"/>
    <sheet xmlns:r="http://schemas.openxmlformats.org/officeDocument/2006/relationships" name="TESTING" sheetId="12" state="visible" r:id="rId12"/>
    <sheet xmlns:r="http://schemas.openxmlformats.org/officeDocument/2006/relationships" name="PRODUCT_FEATURES" sheetId="13" state="visible" r:id="rId13"/>
    <sheet xmlns:r="http://schemas.openxmlformats.org/officeDocument/2006/relationships" name="TRANSLATION" sheetId="14" state="visible" r:id="rId14"/>
    <sheet xmlns:r="http://schemas.openxmlformats.org/officeDocument/2006/relationships" name="PDF_TO_EDITABLE" sheetId="15" state="visible" r:id="rId15"/>
    <sheet xmlns:r="http://schemas.openxmlformats.org/officeDocument/2006/relationships" name="BILLING_PLANS" sheetId="16" state="visible" r:id="rId16"/>
    <sheet xmlns:r="http://schemas.openxmlformats.org/officeDocument/2006/relationships" name="INFRA" sheetId="17" state="visible" r:id="rId17"/>
    <sheet xmlns:r="http://schemas.openxmlformats.org/officeDocument/2006/relationships" name="CHANGE_LOG" sheetId="18" state="visible" r:id="rId18"/>
    <sheet xmlns:r="http://schemas.openxmlformats.org/officeDocument/2006/relationships" name="SESSION_STATE" sheetId="19" state="visible" r:id="rId19"/>
    <sheet xmlns:r="http://schemas.openxmlformats.org/officeDocument/2006/relationships" name="RELEASE_GATES" sheetId="20" state="visible" r:id="rId20"/>
  </sheets>
  <definedNames>
    <definedName name="_xlnm._FilterDatabase" localSheetId="1" hidden="1">'MASTER'!$A$1:$S$182</definedName>
    <definedName name="_xlnm._FilterDatabase" localSheetId="2" hidden="1">'CRITICAL_FIXES'!$A$31:$L$116</definedName>
    <definedName name="_xlnm._FilterDatabase" localSheetId="3" hidden="1">'DOCUMENT_FIDELITY'!$A$7:$L$24</definedName>
    <definedName name="_xlnm._FilterDatabase" localSheetId="4" hidden="1">'DOCX_OOXML'!$A$7:$L$40</definedName>
    <definedName name="_xlnm._FilterDatabase" localSheetId="5" hidden="1">'PDF'!$A$7:$L$13</definedName>
    <definedName name="_xlnm._FilterDatabase" localSheetId="6" hidden="1">'EDITOR'!$A$7:$L$21</definedName>
    <definedName name="_xlnm._FilterDatabase" localSheetId="7" hidden="1">'FORMATTING'!$A$7:$L$15</definedName>
    <definedName name="_xlnm._FilterDatabase" localSheetId="8" hidden="1">'AI'!$A$7:$L$16</definedName>
    <definedName name="_xlnm._FilterDatabase" localSheetId="9" hidden="1">'SECURITY'!$A$7:$L$28</definedName>
    <definedName name="_xlnm._FilterDatabase" localSheetId="10" hidden="1">'PERFORMANCE'!$A$24:$L$31</definedName>
    <definedName name="_xlnm._FilterDatabase" localSheetId="11" hidden="1">'TESTING'!$A$134:$L$150</definedName>
    <definedName name="_xlnm._FilterDatabase" localSheetId="12" hidden="1">'PRODUCT_FEATURES'!$A$69:$L$74</definedName>
    <definedName name="_xlnm._FilterDatabase" localSheetId="13" hidden="1">'TRANSLATION'!$A$7:$L$23</definedName>
    <definedName name="_xlnm._FilterDatabase" localSheetId="14" hidden="1">'PDF_TO_EDITABLE'!$A$7:$L$16</definedName>
    <definedName name="_xlnm._FilterDatabase" localSheetId="15" hidden="1">'BILLING_PLANS'!$A$25:$L$30</definedName>
    <definedName name="_xlnm._FilterDatabase" localSheetId="16" hidden="1">'INFRA'!$A$7:$L$22</definedName>
    <definedName name="_xlnm._FilterDatabase" localSheetId="17" hidden="1">'CHANGE_LOG'!$A$1:$I$114</definedName>
  </definedNames>
  <calcPr calcId="191029" fullCalcOnLoad="1"/>
</workbook>
</file>

<file path=xl/styles.xml><?xml version="1.0" encoding="utf-8"?>
<styleSheet xmlns="http://schemas.openxmlformats.org/spreadsheetml/2006/main">
  <numFmts count="4">
    <numFmt numFmtId="164" formatCode="0.0%"/>
    <numFmt numFmtId="165" formatCode="yyyy\-mm\-dd\ hh:mm"/>
    <numFmt numFmtId="166" formatCode="yyyy-mm-dd hh:mm"/>
    <numFmt numFmtId="167" formatCode="yyyy-mm-dd h:mm:ss"/>
  </numFmts>
  <fonts count="18">
    <font>
      <name val="Calibri"/>
      <family val="2"/>
      <color theme="1"/>
      <sz val="11"/>
      <scheme val="minor"/>
    </font>
    <font>
      <name val="Arial"/>
      <b val="1"/>
      <sz val="11"/>
    </font>
    <font>
      <name val="Arial"/>
      <b val="1"/>
      <sz val="10"/>
    </font>
    <font>
      <name val="Arial"/>
      <sz val="10"/>
    </font>
    <font>
      <name val="Arial"/>
      <b val="1"/>
      <color rgb="FF1F3864"/>
      <sz val="16"/>
    </font>
    <font>
      <name val="Arial"/>
      <i val="1"/>
      <color rgb="FF595959"/>
      <sz val="10"/>
    </font>
    <font>
      <name val="Arial"/>
      <b val="1"/>
      <color rgb="FF1F3864"/>
      <sz val="12"/>
    </font>
    <font>
      <name val="Arial"/>
      <b val="1"/>
      <color rgb="FF404040"/>
      <sz val="10"/>
    </font>
    <font>
      <name val="Arial"/>
      <b val="1"/>
      <color rgb="FFFFFFFF"/>
      <sz val="10"/>
    </font>
    <font>
      <name val="Arial"/>
      <color rgb="FF0563C1"/>
      <sz val="10"/>
      <u val="single"/>
    </font>
    <font>
      <name val="Arial"/>
      <color rgb="FF0000FF"/>
      <sz val="10"/>
    </font>
    <font>
      <name val="Arial"/>
      <b val="1"/>
      <color rgb="001F3864"/>
      <sz val="16"/>
    </font>
    <font>
      <name val="Arial"/>
      <i val="1"/>
      <color rgb="00595959"/>
      <sz val="10"/>
    </font>
    <font>
      <name val="Arial"/>
      <b val="1"/>
      <color rgb="001F3864"/>
      <sz val="12"/>
    </font>
    <font>
      <name val="Arial"/>
      <b val="1"/>
      <color rgb="00404040"/>
      <sz val="10"/>
    </font>
    <font>
      <name val="Arial"/>
      <b val="1"/>
      <color rgb="00FFFFFF"/>
      <sz val="10"/>
    </font>
    <font>
      <name val="Arial"/>
      <color rgb="000563C1"/>
      <sz val="10"/>
      <u val="single"/>
    </font>
    <font>
      <name val="Arial"/>
      <color rgb="000000FF"/>
      <sz val="10"/>
    </font>
  </fonts>
  <fills count="8">
    <fill>
      <patternFill/>
    </fill>
    <fill>
      <patternFill patternType="gray125"/>
    </fill>
    <fill>
      <patternFill patternType="solid">
        <fgColor rgb="FFD9E1F2"/>
      </patternFill>
    </fill>
    <fill>
      <patternFill patternType="solid">
        <fgColor rgb="FFF2F2F2"/>
      </patternFill>
    </fill>
    <fill>
      <patternFill patternType="solid">
        <fgColor rgb="FF1F3864"/>
      </patternFill>
    </fill>
    <fill>
      <patternFill patternType="solid">
        <fgColor rgb="00D9E1F2"/>
      </patternFill>
    </fill>
    <fill>
      <patternFill patternType="solid">
        <fgColor rgb="00F2F2F2"/>
      </patternFill>
    </fill>
    <fill>
      <patternFill patternType="solid">
        <fgColor rgb="001F38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2">
    <xf numFmtId="0" fontId="0" fillId="0" borderId="0" pivotButton="0" quotePrefix="0" xfId="0"/>
    <xf numFmtId="0" fontId="3" fillId="0" borderId="0" applyAlignment="1" pivotButton="0" quotePrefix="0" xfId="0">
      <alignment vertical="top"/>
    </xf>
    <xf numFmtId="0" fontId="2" fillId="0" borderId="0"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vertical="top"/>
    </xf>
    <xf numFmtId="1" fontId="1" fillId="3" borderId="1" applyAlignment="1" pivotButton="0" quotePrefix="0" xfId="0">
      <alignment horizontal="center" vertical="top"/>
    </xf>
    <xf numFmtId="0" fontId="5" fillId="0" borderId="1" applyAlignment="1" pivotButton="0" quotePrefix="0" xfId="0">
      <alignment vertical="top"/>
    </xf>
    <xf numFmtId="164" fontId="1" fillId="3" borderId="1" applyAlignment="1" pivotButton="0" quotePrefix="0" xfId="0">
      <alignment horizontal="center" vertical="top"/>
    </xf>
    <xf numFmtId="0" fontId="8" fillId="4" borderId="1" applyAlignment="1" pivotButton="0" quotePrefix="0" xfId="0">
      <alignment vertical="center" wrapText="1"/>
    </xf>
    <xf numFmtId="0" fontId="2" fillId="0" borderId="1" applyAlignment="1" pivotButton="0" quotePrefix="0" xfId="0">
      <alignment horizontal="center" vertical="top"/>
    </xf>
    <xf numFmtId="0" fontId="3" fillId="0" borderId="1" applyAlignment="1" pivotButton="0" quotePrefix="0" xfId="0">
      <alignment vertical="top"/>
    </xf>
    <xf numFmtId="1" fontId="3" fillId="0" borderId="1" applyAlignment="1" pivotButton="0" quotePrefix="0" xfId="0">
      <alignment horizontal="center" vertical="top"/>
    </xf>
    <xf numFmtId="164" fontId="3" fillId="0" borderId="1" applyAlignment="1" pivotButton="0" quotePrefix="0" xfId="0">
      <alignment horizontal="center" vertical="top"/>
    </xf>
    <xf numFmtId="0" fontId="2" fillId="0" borderId="1" applyAlignment="1" pivotButton="0" quotePrefix="0" xfId="0">
      <alignment vertical="top"/>
    </xf>
    <xf numFmtId="0" fontId="3" fillId="0" borderId="1" applyAlignment="1" pivotButton="0" quotePrefix="0" xfId="0">
      <alignment horizontal="center" vertical="top"/>
    </xf>
    <xf numFmtId="0" fontId="9" fillId="0" borderId="1" applyAlignment="1" pivotButton="0" quotePrefix="0" xfId="0">
      <alignment vertical="top"/>
    </xf>
    <xf numFmtId="0" fontId="3" fillId="0" borderId="1" applyAlignment="1" pivotButton="0" quotePrefix="0" xfId="0">
      <alignment vertical="top" wrapText="1"/>
    </xf>
    <xf numFmtId="165" fontId="3" fillId="0" borderId="1" applyAlignment="1" pivotButton="0" quotePrefix="0" xfId="0">
      <alignment vertical="top"/>
    </xf>
    <xf numFmtId="3" fontId="10" fillId="0" borderId="1" applyAlignment="1" pivotButton="0" quotePrefix="0" xfId="0">
      <alignment horizontal="center" vertical="top"/>
    </xf>
    <xf numFmtId="0" fontId="10" fillId="0" borderId="1" applyAlignment="1" pivotButton="0" quotePrefix="0" xfId="0">
      <alignment horizontal="center" vertical="top"/>
    </xf>
    <xf numFmtId="0" fontId="11" fillId="0" borderId="0" pivotButton="0" quotePrefix="0" xfId="0"/>
    <xf numFmtId="0" fontId="12" fillId="0" borderId="0" pivotButton="0" quotePrefix="0" xfId="0"/>
    <xf numFmtId="0" fontId="13" fillId="0" borderId="0" pivotButton="0" quotePrefix="0" xfId="0"/>
    <xf numFmtId="0" fontId="14" fillId="5" borderId="2" applyAlignment="1" pivotButton="0" quotePrefix="0" xfId="0">
      <alignment vertical="top"/>
    </xf>
    <xf numFmtId="1" fontId="1" fillId="6" borderId="2" applyAlignment="1" pivotButton="0" quotePrefix="0" xfId="0">
      <alignment horizontal="center" vertical="top"/>
    </xf>
    <xf numFmtId="0" fontId="12" fillId="0" borderId="2" applyAlignment="1" pivotButton="0" quotePrefix="0" xfId="0">
      <alignment vertical="top"/>
    </xf>
    <xf numFmtId="164" fontId="1" fillId="6" borderId="2" applyAlignment="1" pivotButton="0" quotePrefix="0" xfId="0">
      <alignment horizontal="center" vertical="top"/>
    </xf>
    <xf numFmtId="0" fontId="15" fillId="7" borderId="2" applyAlignment="1" pivotButton="0" quotePrefix="0" xfId="0">
      <alignment vertical="center" wrapText="1"/>
    </xf>
    <xf numFmtId="0" fontId="2" fillId="0" borderId="2" applyAlignment="1" pivotButton="0" quotePrefix="0" xfId="0">
      <alignment horizontal="center" vertical="top"/>
    </xf>
    <xf numFmtId="0" fontId="3" fillId="0" borderId="2" applyAlignment="1" pivotButton="0" quotePrefix="0" xfId="0">
      <alignment vertical="top"/>
    </xf>
    <xf numFmtId="1" fontId="3" fillId="0" borderId="2" applyAlignment="1" pivotButton="0" quotePrefix="0" xfId="0">
      <alignment horizontal="center" vertical="top"/>
    </xf>
    <xf numFmtId="164" fontId="3" fillId="0" borderId="2" applyAlignment="1" pivotButton="0" quotePrefix="0" xfId="0">
      <alignment horizontal="center" vertical="top"/>
    </xf>
    <xf numFmtId="0" fontId="2" fillId="0" borderId="2" applyAlignment="1" pivotButton="0" quotePrefix="0" xfId="0">
      <alignment vertical="top"/>
    </xf>
    <xf numFmtId="0" fontId="3" fillId="0" borderId="2" applyAlignment="1" pivotButton="0" quotePrefix="0" xfId="0">
      <alignment horizontal="center" vertical="top"/>
    </xf>
    <xf numFmtId="0" fontId="16" fillId="0" borderId="2" applyAlignment="1" pivotButton="0" quotePrefix="0" xfId="0">
      <alignment vertical="top"/>
    </xf>
    <xf numFmtId="0" fontId="3" fillId="0" borderId="2" applyAlignment="1" pivotButton="0" quotePrefix="0" xfId="0">
      <alignment vertical="top" wrapText="1"/>
    </xf>
    <xf numFmtId="166" fontId="3" fillId="0" borderId="2" applyAlignment="1" pivotButton="0" quotePrefix="0" xfId="0">
      <alignment vertical="top"/>
    </xf>
    <xf numFmtId="3" fontId="17" fillId="0" borderId="2" applyAlignment="1" pivotButton="0" quotePrefix="0" xfId="0">
      <alignment horizontal="center" vertical="top"/>
    </xf>
    <xf numFmtId="0" fontId="17" fillId="0" borderId="2" applyAlignment="1" pivotButton="0" quotePrefix="0" xfId="0">
      <alignment horizontal="center" vertical="top"/>
    </xf>
    <xf numFmtId="166" fontId="3" fillId="0" borderId="2" applyAlignment="1" pivotButton="0" quotePrefix="0" xfId="0">
      <alignment vertical="top"/>
    </xf>
  </cellXfs>
  <cellStyles count="1">
    <cellStyle name="Normal" xfId="0" builtinId="0"/>
  </cellStyles>
  <dxfs count="354">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color rgb="FF1F4E78"/>
      </font>
      <fill>
        <patternFill patternType="solid">
          <fgColor rgb="FFDDEBF7"/>
          <bgColor rgb="FFDDEBF7"/>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b val="1"/>
        <i val="1"/>
        <color rgb="FF9C0006"/>
      </font>
      <fill>
        <patternFill patternType="solid">
          <fgColor rgb="FFFFC7CE"/>
          <bgColor rgb="FFFFC7CE"/>
        </patternFill>
      </fill>
    </dxf>
    <dxf>
      <font>
        <b val="1"/>
        <color rgb="FF1F4E78"/>
      </font>
      <fill>
        <patternFill patternType="solid">
          <fgColor rgb="FFDDEBF7"/>
          <bgColor rgb="FFDDEBF7"/>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833C0B"/>
      </font>
      <fill>
        <patternFill patternType="solid">
          <fgColor rgb="FFFCE4D6"/>
          <bgColor rgb="FFFCE4D6"/>
        </patternFill>
      </fill>
    </dxf>
    <dxf>
      <font>
        <b val="1"/>
        <color rgb="FF006100"/>
      </font>
      <fill>
        <patternFill patternType="solid">
          <fgColor rgb="FFC6EFCE"/>
          <bgColor rgb="FFC6EF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833C0B"/>
      </font>
      <fill>
        <patternFill patternType="solid">
          <fgColor rgb="FFF8CBAD"/>
          <bgColor rgb="FFF8CBAD"/>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9C5700"/>
      </font>
      <fill>
        <patternFill patternType="solid">
          <fgColor rgb="FFFFEB9C"/>
          <bgColor rgb="FFFFEB9C"/>
        </patternFill>
      </fill>
    </dxf>
    <dxf>
      <font>
        <color rgb="FF375623"/>
      </font>
      <fill>
        <patternFill patternType="solid">
          <fgColor rgb="FFE2EFDA"/>
          <bgColor rgb="FFE2EFDA"/>
        </patternFill>
      </fill>
    </dxf>
    <dxf>
      <font>
        <b val="1"/>
        <color rgb="FF006100"/>
      </font>
      <fill>
        <patternFill patternType="solid">
          <fgColor rgb="FFC6EFCE"/>
          <bgColor rgb="FFC6EFCE"/>
        </patternFill>
      </fill>
    </dxf>
    <dxf>
      <font>
        <b val="1"/>
        <color rgb="FFC65911"/>
      </font>
    </dxf>
    <dxf>
      <font>
        <b val="1"/>
        <color rgb="FF9C0006"/>
      </font>
      <fill>
        <patternFill patternType="solid">
          <fgColor rgb="FFFFC7CE"/>
          <bgColor rgb="FFFFC7CE"/>
        </patternFill>
      </fill>
    </dxf>
    <dxf>
      <font>
        <color rgb="FF833C0B"/>
      </font>
      <fill>
        <patternFill patternType="solid">
          <fgColor rgb="FFFCE4D6"/>
          <bgColor rgb="FFFCE4D6"/>
        </patternFill>
      </fill>
    </dxf>
    <dxf>
      <font>
        <b val="1"/>
        <color rgb="FF833C0B"/>
      </font>
      <fill>
        <patternFill patternType="solid">
          <fgColor rgb="FFF8CBAD"/>
          <bgColor rgb="FFF8CBA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375623"/>
      </font>
      <fill>
        <patternFill patternType="solid">
          <fgColor rgb="FFE2EFDA"/>
          <bgColor rgb="FFE2EFDA"/>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833C0B"/>
      </font>
      <fill>
        <patternFill patternType="solid">
          <fgColor rgb="FFF8CBAD"/>
          <bgColor rgb="FFF8CBAD"/>
        </patternFill>
      </fill>
    </dxf>
    <dxf>
      <font>
        <b val="1"/>
        <color rgb="FF9C5700"/>
      </font>
      <fill>
        <patternFill patternType="solid">
          <fgColor rgb="FFFFEB9C"/>
          <bgColor rgb="FFFFEB9C"/>
        </patternFill>
      </fill>
    </dxf>
    <dxf>
      <font>
        <b val="1"/>
        <color rgb="FFC65911"/>
      </font>
    </dxf>
    <dxf>
      <font>
        <b val="1"/>
        <color rgb="FF9C0006"/>
      </font>
      <fill>
        <patternFill patternType="solid">
          <fgColor rgb="FFFFC7CE"/>
          <bgColor rgb="FFFFC7CE"/>
        </patternFill>
      </fill>
    </dxf>
    <dxf>
      <font>
        <b val="1"/>
        <color rgb="FF9C5700"/>
      </font>
      <fill>
        <patternFill patternType="solid">
          <fgColor rgb="FFFFEB9C"/>
          <bgColor rgb="FFFFEB9C"/>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fill>
        <patternFill patternType="solid">
          <fgColor rgb="FFFFC7CE"/>
          <bgColor rgb="FFFFC7CE"/>
        </patternFill>
      </fill>
    </dxf>
    <dxf>
      <font>
        <b val="1"/>
        <color rgb="FF9C0006"/>
      </font>
      <fill>
        <patternFill patternType="solid">
          <fgColor rgb="FFFFC7CE"/>
          <bgColor rgb="FFFFC7CE"/>
        </patternFill>
      </fill>
    </dxf>
    <dxf>
      <font>
        <b val="1"/>
        <color rgb="FF9C0006"/>
      </font>
      <fill>
        <patternFill patternType="solid">
          <fgColor rgb="FFFFC7CE"/>
          <bgColor rgb="FFFFC7CE"/>
        </patternFill>
      </fill>
    </dxf>
    <dxf>
      <font>
        <color rgb="FF5B2C6F"/>
      </font>
      <fill>
        <patternFill patternType="solid">
          <fgColor rgb="FFE4DFEC"/>
          <bgColor rgb="FFE4DFEC"/>
        </patternFill>
      </fill>
    </dxf>
    <dxf>
      <font>
        <i val="1"/>
        <color rgb="FF808080"/>
      </font>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color rgb="FF375623"/>
      </font>
      <fill>
        <patternFill patternType="solid">
          <fgColor rgb="FFE2EFDA"/>
          <bgColor rgb="FFE2EFDA"/>
        </patternFill>
      </fill>
    </dxf>
    <dxf>
      <font>
        <i val="1"/>
        <color rgb="FF1F4E78"/>
      </font>
      <fill>
        <patternFill patternType="solid">
          <fgColor rgb="FFDDEBF7"/>
          <bgColor rgb="FFDDEBF7"/>
        </patternFill>
      </fill>
    </dxf>
    <dxf>
      <font>
        <color rgb="FF1F4E78"/>
      </font>
      <fill>
        <patternFill patternType="solid">
          <fgColor rgb="FFDDEBF7"/>
          <bgColor rgb="FFDDEBF7"/>
        </patternFill>
      </fill>
    </dxf>
    <dxf>
      <font>
        <b val="1"/>
        <color rgb="FF833C0B"/>
      </font>
      <fill>
        <patternFill patternType="solid">
          <fgColor rgb="FFF8CBAD"/>
          <bgColor rgb="FFF8CBAD"/>
        </patternFill>
      </fill>
    </dxf>
    <dxf>
      <font>
        <b val="1"/>
        <color rgb="FF9C5700"/>
      </font>
      <fill>
        <patternFill patternType="solid">
          <fgColor rgb="FFFFEB9C"/>
          <bgColor rgb="FFFFEB9C"/>
        </patternFill>
      </fill>
    </dxf>
    <dxf>
      <font>
        <b val="1"/>
        <color rgb="009C0006"/>
      </font>
      <fill>
        <patternFill patternType="solid">
          <fgColor rgb="00FFC7CE"/>
          <bgColor rgb="00FFC7CE"/>
        </patternFill>
      </fill>
    </dxf>
    <dxf>
      <font>
        <b val="1"/>
        <color rgb="009C5700"/>
      </font>
      <fill>
        <patternFill patternType="solid">
          <fgColor rgb="00FFEB9C"/>
          <bgColor rgb="00FFEB9C"/>
        </patternFill>
      </fill>
    </dxf>
    <dxf>
      <font>
        <b val="1"/>
        <color rgb="00833C0B"/>
      </font>
      <fill>
        <patternFill patternType="solid">
          <fgColor rgb="00F8CBAD"/>
          <bgColor rgb="00F8CBAD"/>
        </patternFill>
      </fill>
    </dxf>
    <dxf>
      <font>
        <color rgb="001F4E78"/>
      </font>
      <fill>
        <patternFill patternType="solid">
          <fgColor rgb="00DDEBF7"/>
          <bgColor rgb="00DDEBF7"/>
        </patternFill>
      </fill>
    </dxf>
    <dxf>
      <font>
        <i val="1"/>
        <color rgb="001F4E78"/>
      </font>
      <fill>
        <patternFill patternType="solid">
          <fgColor rgb="00DDEBF7"/>
          <bgColor rgb="00DDEBF7"/>
        </patternFill>
      </fill>
    </dxf>
    <dxf>
      <font>
        <color rgb="00375623"/>
      </font>
      <fill>
        <patternFill patternType="solid">
          <fgColor rgb="00E2EFDA"/>
          <bgColor rgb="00E2EFDA"/>
        </patternFill>
      </fill>
    </dxf>
    <dxf>
      <font>
        <b val="1"/>
        <color rgb="00006100"/>
      </font>
      <fill>
        <patternFill patternType="solid">
          <fgColor rgb="00C6EFCE"/>
          <bgColor rgb="00C6EFCE"/>
        </patternFill>
      </fill>
    </dxf>
    <dxf>
      <font>
        <i val="1"/>
        <color rgb="00808080"/>
      </font>
    </dxf>
    <dxf>
      <font>
        <color rgb="005B2C6F"/>
      </font>
      <fill>
        <patternFill patternType="solid">
          <fgColor rgb="00E4DFEC"/>
          <bgColor rgb="00E4DFEC"/>
        </patternFill>
      </fill>
    </dxf>
    <dxf>
      <font>
        <b val="1"/>
        <color rgb="00C65911"/>
      </font>
    </dxf>
    <dxf>
      <font>
        <color rgb="00833C0B"/>
      </font>
      <fill>
        <patternFill patternType="solid">
          <fgColor rgb="00FCE4D6"/>
          <bgColor rgb="00FCE4D6"/>
        </patternFill>
      </fill>
    </dxf>
    <dxf>
      <font>
        <b val="1"/>
        <color rgb="001F4E78"/>
      </font>
      <fill>
        <patternFill patternType="solid">
          <fgColor rgb="00DDEBF7"/>
          <bgColor rgb="00DDEBF7"/>
        </patternFill>
      </fill>
    </dxf>
    <dxf>
      <font>
        <b val="1"/>
        <i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fitToPage="1"/>
  </sheetPr>
  <dimension ref="A1:N72"/>
  <sheetViews>
    <sheetView workbookViewId="0">
      <pane ySplit="3" topLeftCell="A4" activePane="bottomLeft" state="frozen"/>
      <selection pane="bottomLeft" activeCell="A1" sqref="A1"/>
    </sheetView>
  </sheetViews>
  <sheetFormatPr baseColWidth="8" defaultRowHeight="15"/>
  <cols>
    <col width="34" customWidth="1" min="1" max="1"/>
    <col width="13" customWidth="1" min="2" max="2"/>
    <col width="50" customWidth="1" min="3" max="3"/>
    <col width="3" customWidth="1" min="4" max="4"/>
    <col width="16" customWidth="1" min="5" max="5"/>
    <col width="36" customWidth="1" min="6" max="6"/>
    <col width="9" customWidth="1" min="7" max="7"/>
    <col width="9" customWidth="1" min="8" max="8"/>
    <col width="10" customWidth="1" min="9" max="9"/>
    <col width="11" customWidth="1" min="10" max="10"/>
    <col width="9" customWidth="1" min="11" max="11"/>
    <col width="9" customWidth="1" min="12" max="12"/>
    <col width="10" customWidth="1" min="13" max="13"/>
    <col width="11" customWidth="1" min="14" max="14"/>
  </cols>
  <sheetData>
    <row r="1">
      <c r="A1" s="22" t="inlineStr">
        <is>
          <t>SmartDoc — Master Implementation Tracker</t>
        </is>
      </c>
    </row>
    <row r="2">
      <c r="A2" s="23" t="inlineStr">
        <is>
          <t>Production-hardening brief. MASTER holds the task data; every number here is a formula. Updated with tools/tracker/tracker.py. Last written 2026-09-30 08:15 (local time).</t>
        </is>
      </c>
    </row>
    <row r="4">
      <c r="A4" s="24" t="inlineStr">
        <is>
          <t>Overall</t>
        </is>
      </c>
      <c r="E4" s="24" t="inlineStr">
        <is>
          <t>Next action (SESSION_STATE)</t>
        </is>
      </c>
    </row>
    <row r="5">
      <c r="A5" s="25" t="inlineStr">
        <is>
          <t>Total tasks</t>
        </is>
      </c>
      <c r="B5" s="26">
        <f>COUNTIF(MASTER!$A$2:$A$2000,"?*")</f>
        <v/>
      </c>
      <c r="C5" s="27" t="inlineStr">
        <is>
          <t>Rows in MASTER</t>
        </is>
      </c>
      <c r="E5" s="25" t="inlineStr">
        <is>
          <t>Current Phase</t>
        </is>
      </c>
      <c r="F5" s="1">
        <f>IF(SESSION_STATE!$B$5="","",SESSION_STATE!$B$5)</f>
        <v/>
      </c>
    </row>
    <row r="6">
      <c r="A6" s="25" t="inlineStr">
        <is>
          <t>Completed (DONE)</t>
        </is>
      </c>
      <c r="B6" s="26">
        <f>COUNTIF(MASTER!$G$2:$G$2000,"DONE")</f>
        <v/>
      </c>
      <c r="C6" s="27" t="inlineStr">
        <is>
          <t>Implemented + tested + verified, commit recorded</t>
        </is>
      </c>
      <c r="E6" s="25" t="inlineStr">
        <is>
          <t>Current Task</t>
        </is>
      </c>
      <c r="F6" s="1">
        <f>IF(SESSION_STATE!$B$6="","",SESSION_STATE!$B$6)</f>
        <v/>
      </c>
    </row>
    <row r="7">
      <c r="A7" s="25" t="inlineStr">
        <is>
          <t>Verified (VERIFIED + DONE)</t>
        </is>
      </c>
      <c r="B7" s="26">
        <f>COUNTIF(MASTER!$G$2:$G$2000,"VERIFIED")+B6</f>
        <v/>
      </c>
      <c r="C7" s="27" t="inlineStr">
        <is>
          <t>Tests pass and evidence is recorded</t>
        </is>
      </c>
      <c r="E7" s="25" t="inlineStr">
        <is>
          <t>Last Completed</t>
        </is>
      </c>
      <c r="F7" s="1">
        <f>IF(SESSION_STATE!$B$7="","",SESSION_STATE!$B$7)</f>
        <v/>
      </c>
    </row>
    <row r="8">
      <c r="A8" s="25" t="inlineStr">
        <is>
          <t>In progress</t>
        </is>
      </c>
      <c r="B8" s="26">
        <f>COUNTIF(MASTER!$G$2:$G$2000,"IN_PROGRESS")+COUNTIF(MASTER!$G$2:$G$2000,"IMPLEMENTED")+COUNTIF(MASTER!$G$2:$G$2000,"TESTING")</f>
        <v/>
      </c>
      <c r="C8" s="27" t="inlineStr">
        <is>
          <t>IN_PROGRESS + IMPLEMENTED + TESTING</t>
        </is>
      </c>
      <c r="E8" s="25" t="inlineStr">
        <is>
          <t>Last Verified</t>
        </is>
      </c>
      <c r="F8" s="1">
        <f>IF(SESSION_STATE!$B$8="","",SESSION_STATE!$B$8)</f>
        <v/>
      </c>
    </row>
    <row r="9">
      <c r="A9" s="25" t="inlineStr">
        <is>
          <t>Blocked</t>
        </is>
      </c>
      <c r="B9" s="26">
        <f>COUNTIF(MASTER!$G$2:$G$2000,"BLOCKED")</f>
        <v/>
      </c>
      <c r="C9" s="27" t="inlineStr">
        <is>
          <t>Reason in MASTER Notes</t>
        </is>
      </c>
      <c r="E9" s="25" t="inlineStr">
        <is>
          <t>Next Task</t>
        </is>
      </c>
      <c r="F9" s="1">
        <f>IF(SESSION_STATE!$B$14="","",SESSION_STATE!$B$14)</f>
        <v/>
      </c>
    </row>
    <row r="10">
      <c r="A10" s="25" t="inlineStr">
        <is>
          <t>Failed</t>
        </is>
      </c>
      <c r="B10" s="26">
        <f>COUNTIF(MASTER!$G$2:$G$2000,"FAILED")</f>
        <v/>
      </c>
      <c r="C10" s="27" t="inlineStr">
        <is>
          <t>See Notes and CHANGE_LOG</t>
        </is>
      </c>
      <c r="E10" s="25" t="inlineStr">
        <is>
          <t>Next Command</t>
        </is>
      </c>
      <c r="F10" s="1">
        <f>IF(SESSION_STATE!$B$15="","",SESSION_STATE!$B$15)</f>
        <v/>
      </c>
    </row>
    <row r="11">
      <c r="A11" s="25" t="inlineStr">
        <is>
          <t>Deferred</t>
        </is>
      </c>
      <c r="B11" s="26">
        <f>COUNTIF(MASTER!$G$2:$G$2000,"DEFERRED")</f>
        <v/>
      </c>
      <c r="C11" s="27" t="inlineStr">
        <is>
          <t>Postponed on purpose; still counted as remaining</t>
        </is>
      </c>
      <c r="E11" s="25" t="inlineStr">
        <is>
          <t>Next Test</t>
        </is>
      </c>
      <c r="F11" s="1">
        <f>IF(SESSION_STATE!$B$16="","",SESSION_STATE!$B$16)</f>
        <v/>
      </c>
    </row>
    <row r="12">
      <c r="A12" s="25" t="inlineStr">
        <is>
          <t>Not started</t>
        </is>
      </c>
      <c r="B12" s="26">
        <f>COUNTIF(MASTER!$G$2:$G$2000,"NOT_STARTED")</f>
        <v/>
      </c>
      <c r="C12" s="27" t="n"/>
      <c r="E12" s="25" t="inlineStr">
        <is>
          <t>Tests Passed</t>
        </is>
      </c>
      <c r="F12" s="1">
        <f>IF(SESSION_STATE!$B$11="","",SESSION_STATE!$B$11)</f>
        <v/>
      </c>
    </row>
    <row r="13">
      <c r="A13" s="25" t="inlineStr">
        <is>
          <t>Remaining (not DONE)</t>
        </is>
      </c>
      <c r="B13" s="26">
        <f>B5-B6</f>
        <v/>
      </c>
      <c r="C13" s="27" t="inlineStr">
        <is>
          <t>Everything that is not DONE</t>
        </is>
      </c>
      <c r="E13" s="25" t="inlineStr">
        <is>
          <t>Tests Failed</t>
        </is>
      </c>
      <c r="F13" s="1">
        <f>IF(SESSION_STATE!$B$12="","",SESSION_STATE!$B$12)</f>
        <v/>
      </c>
    </row>
    <row r="14">
      <c r="A14" s="25" t="inlineStr">
        <is>
          <t>Completion %</t>
        </is>
      </c>
      <c r="B14" s="28">
        <f>IF(B5=0,0,B6/B5)</f>
        <v/>
      </c>
      <c r="C14" s="27" t="inlineStr">
        <is>
          <t>DONE / total</t>
        </is>
      </c>
      <c r="E14" s="25" t="inlineStr">
        <is>
          <t>Open Blockers</t>
        </is>
      </c>
      <c r="F14" s="1">
        <f>IF(SESSION_STATE!$B$13="","",SESSION_STATE!$B$13)</f>
        <v/>
      </c>
    </row>
    <row r="15">
      <c r="A15" s="25" t="inlineStr">
        <is>
          <t>Verified %</t>
        </is>
      </c>
      <c r="B15" s="28">
        <f>IF(B5=0,0,B7/B5)</f>
        <v/>
      </c>
      <c r="C15" s="27" t="inlineStr">
        <is>
          <t>(VERIFIED + DONE) / total</t>
        </is>
      </c>
      <c r="E15" s="25" t="inlineStr">
        <is>
          <t>Checkpoint Time</t>
        </is>
      </c>
      <c r="F15" s="1">
        <f>IF(SESSION_STATE!$B$17="","",SESSION_STATE!$B$17)</f>
        <v/>
      </c>
    </row>
    <row r="16">
      <c r="A16" s="25" t="inlineStr">
        <is>
          <t>P0 remaining</t>
        </is>
      </c>
      <c r="B16" s="26">
        <f>COUNTIFS(MASTER!$F$2:$F$2000,"P0",MASTER!$G$2:$G$2000,"&lt;&gt;DONE")</f>
        <v/>
      </c>
      <c r="C16" s="27" t="inlineStr">
        <is>
          <t>P0 tasks not DONE</t>
        </is>
      </c>
    </row>
    <row r="17">
      <c r="A17" s="25" t="inlineStr">
        <is>
          <t>P1 remaining</t>
        </is>
      </c>
      <c r="B17" s="26">
        <f>COUNTIFS(MASTER!$F$2:$F$2000,"P1",MASTER!$G$2:$G$2000,"&lt;&gt;DONE")</f>
        <v/>
      </c>
      <c r="C17" s="27" t="inlineStr">
        <is>
          <t>P1 tasks not DONE</t>
        </is>
      </c>
      <c r="E17" s="24" t="inlineStr">
        <is>
          <t>Progress by phase</t>
        </is>
      </c>
    </row>
    <row r="18">
      <c r="A18" s="25" t="inlineStr">
        <is>
          <t>Audit findings resolved</t>
        </is>
      </c>
      <c r="B18" s="26">
        <f>CRITICAL_FIXES!B4</f>
        <v/>
      </c>
      <c r="C18" s="27" t="inlineStr">
        <is>
          <t>Of 20; see CRITICAL_FIXES</t>
        </is>
      </c>
      <c r="E18" s="29" t="inlineStr">
        <is>
          <t>Phase</t>
        </is>
      </c>
      <c r="F18" s="29" t="inlineStr">
        <is>
          <t>Name</t>
        </is>
      </c>
      <c r="G18" s="29" t="inlineStr">
        <is>
          <t>Tasks</t>
        </is>
      </c>
      <c r="H18" s="29" t="inlineStr">
        <is>
          <t>Done</t>
        </is>
      </c>
      <c r="I18" s="29" t="inlineStr">
        <is>
          <t>Verified</t>
        </is>
      </c>
      <c r="J18" s="29" t="inlineStr">
        <is>
          <t>In progress</t>
        </is>
      </c>
      <c r="K18" s="29" t="inlineStr">
        <is>
          <t>Blocked</t>
        </is>
      </c>
      <c r="L18" s="29" t="inlineStr">
        <is>
          <t>Failed</t>
        </is>
      </c>
      <c r="M18" s="29" t="inlineStr">
        <is>
          <t>Done %</t>
        </is>
      </c>
      <c r="N18" s="29" t="inlineStr">
        <is>
          <t>Verified %</t>
        </is>
      </c>
    </row>
    <row r="19">
      <c r="A19" s="25" t="inlineStr">
        <is>
          <t>Release gates passed</t>
        </is>
      </c>
      <c r="B19" s="26">
        <f>RELEASE_GATES!B4</f>
        <v/>
      </c>
      <c r="C19" s="27" t="inlineStr">
        <is>
          <t>Of 15; see RELEASE_GATES</t>
        </is>
      </c>
      <c r="E19" s="30" t="n">
        <v>0</v>
      </c>
      <c r="F19" s="31" t="inlineStr">
        <is>
          <t>Baseline, tracker, checkpoints</t>
        </is>
      </c>
      <c r="G19" s="32">
        <f>COUNTIF(MASTER!$B$2:$B$2000,$E19)</f>
        <v/>
      </c>
      <c r="H19" s="32">
        <f>COUNTIFS(MASTER!$B$2:$B$2000,$E19,MASTER!$G$2:$G$2000,"DONE")</f>
        <v/>
      </c>
      <c r="I19" s="32">
        <f>COUNTIFS(MASTER!$B$2:$B$2000,$E19,MASTER!$G$2:$G$2000,"VERIFIED")+H19</f>
        <v/>
      </c>
      <c r="J19" s="32">
        <f>COUNTIFS(MASTER!$B$2:$B$2000,$E19,MASTER!$G$2:$G$2000,"IN_PROGRESS")+COUNTIFS(MASTER!$B$2:$B$2000,$E19,MASTER!$G$2:$G$2000,"IMPLEMENTED")+COUNTIFS(MASTER!$B$2:$B$2000,$E19,MASTER!$G$2:$G$2000,"TESTING")</f>
        <v/>
      </c>
      <c r="K19" s="32">
        <f>COUNTIFS(MASTER!$B$2:$B$2000,$E19,MASTER!$G$2:$G$2000,"BLOCKED")</f>
        <v/>
      </c>
      <c r="L19" s="32">
        <f>COUNTIFS(MASTER!$B$2:$B$2000,$E19,MASTER!$G$2:$G$2000,"FAILED")</f>
        <v/>
      </c>
      <c r="M19" s="33">
        <f>IF(G19=0,0,H19/G19)</f>
        <v/>
      </c>
      <c r="N19" s="33">
        <f>IF(G19=0,0,I19/G19)</f>
        <v/>
      </c>
    </row>
    <row r="20">
      <c r="A20" s="25" t="inlineStr">
        <is>
          <t>Release gates failed</t>
        </is>
      </c>
      <c r="B20" s="26">
        <f>RELEASE_GATES!C4</f>
        <v/>
      </c>
      <c r="C20" s="27" t="n"/>
      <c r="E20" s="30" t="n">
        <v>1</v>
      </c>
      <c r="F20" s="31" t="inlineStr">
        <is>
          <t>Editor integrity + content preservation</t>
        </is>
      </c>
      <c r="G20" s="32">
        <f>COUNTIF(MASTER!$B$2:$B$2000,$E20)</f>
        <v/>
      </c>
      <c r="H20" s="32">
        <f>COUNTIFS(MASTER!$B$2:$B$2000,$E20,MASTER!$G$2:$G$2000,"DONE")</f>
        <v/>
      </c>
      <c r="I20" s="32">
        <f>COUNTIFS(MASTER!$B$2:$B$2000,$E20,MASTER!$G$2:$G$2000,"VERIFIED")+H20</f>
        <v/>
      </c>
      <c r="J20" s="32">
        <f>COUNTIFS(MASTER!$B$2:$B$2000,$E20,MASTER!$G$2:$G$2000,"IN_PROGRESS")+COUNTIFS(MASTER!$B$2:$B$2000,$E20,MASTER!$G$2:$G$2000,"IMPLEMENTED")+COUNTIFS(MASTER!$B$2:$B$2000,$E20,MASTER!$G$2:$G$2000,"TESTING")</f>
        <v/>
      </c>
      <c r="K20" s="32">
        <f>COUNTIFS(MASTER!$B$2:$B$2000,$E20,MASTER!$G$2:$G$2000,"BLOCKED")</f>
        <v/>
      </c>
      <c r="L20" s="32">
        <f>COUNTIFS(MASTER!$B$2:$B$2000,$E20,MASTER!$G$2:$G$2000,"FAILED")</f>
        <v/>
      </c>
      <c r="M20" s="33">
        <f>IF(G20=0,0,H20/G20)</f>
        <v/>
      </c>
      <c r="N20" s="33">
        <f>IF(G20=0,0,I20/G20)</f>
        <v/>
      </c>
    </row>
    <row r="21">
      <c r="E21" s="30" t="n">
        <v>2</v>
      </c>
      <c r="F21" s="31" t="inlineStr">
        <is>
          <t>AI fidelity + destructive-operation review</t>
        </is>
      </c>
      <c r="G21" s="32">
        <f>COUNTIF(MASTER!$B$2:$B$2000,$E21)</f>
        <v/>
      </c>
      <c r="H21" s="32">
        <f>COUNTIFS(MASTER!$B$2:$B$2000,$E21,MASTER!$G$2:$G$2000,"DONE")</f>
        <v/>
      </c>
      <c r="I21" s="32">
        <f>COUNTIFS(MASTER!$B$2:$B$2000,$E21,MASTER!$G$2:$G$2000,"VERIFIED")+H21</f>
        <v/>
      </c>
      <c r="J21" s="32">
        <f>COUNTIFS(MASTER!$B$2:$B$2000,$E21,MASTER!$G$2:$G$2000,"IN_PROGRESS")+COUNTIFS(MASTER!$B$2:$B$2000,$E21,MASTER!$G$2:$G$2000,"IMPLEMENTED")+COUNTIFS(MASTER!$B$2:$B$2000,$E21,MASTER!$G$2:$G$2000,"TESTING")</f>
        <v/>
      </c>
      <c r="K21" s="32">
        <f>COUNTIFS(MASTER!$B$2:$B$2000,$E21,MASTER!$G$2:$G$2000,"BLOCKED")</f>
        <v/>
      </c>
      <c r="L21" s="32">
        <f>COUNTIFS(MASTER!$B$2:$B$2000,$E21,MASTER!$G$2:$G$2000,"FAILED")</f>
        <v/>
      </c>
      <c r="M21" s="33">
        <f>IF(G21=0,0,H21/G21)</f>
        <v/>
      </c>
      <c r="N21" s="33">
        <f>IF(G21=0,0,I21/G21)</f>
        <v/>
      </c>
    </row>
    <row r="22">
      <c r="A22" s="24" t="inlineStr">
        <is>
          <t>Tasks by status</t>
        </is>
      </c>
      <c r="E22" s="30" t="n">
        <v>3</v>
      </c>
      <c r="F22" s="31" t="inlineStr">
        <is>
          <t>DOCX / OOXML preservation</t>
        </is>
      </c>
      <c r="G22" s="32">
        <f>COUNTIF(MASTER!$B$2:$B$2000,$E22)</f>
        <v/>
      </c>
      <c r="H22" s="32">
        <f>COUNTIFS(MASTER!$B$2:$B$2000,$E22,MASTER!$G$2:$G$2000,"DONE")</f>
        <v/>
      </c>
      <c r="I22" s="32">
        <f>COUNTIFS(MASTER!$B$2:$B$2000,$E22,MASTER!$G$2:$G$2000,"VERIFIED")+H22</f>
        <v/>
      </c>
      <c r="J22" s="32">
        <f>COUNTIFS(MASTER!$B$2:$B$2000,$E22,MASTER!$G$2:$G$2000,"IN_PROGRESS")+COUNTIFS(MASTER!$B$2:$B$2000,$E22,MASTER!$G$2:$G$2000,"IMPLEMENTED")+COUNTIFS(MASTER!$B$2:$B$2000,$E22,MASTER!$G$2:$G$2000,"TESTING")</f>
        <v/>
      </c>
      <c r="K22" s="32">
        <f>COUNTIFS(MASTER!$B$2:$B$2000,$E22,MASTER!$G$2:$G$2000,"BLOCKED")</f>
        <v/>
      </c>
      <c r="L22" s="32">
        <f>COUNTIFS(MASTER!$B$2:$B$2000,$E22,MASTER!$G$2:$G$2000,"FAILED")</f>
        <v/>
      </c>
      <c r="M22" s="33">
        <f>IF(G22=0,0,H22/G22)</f>
        <v/>
      </c>
      <c r="N22" s="33">
        <f>IF(G22=0,0,I22/G22)</f>
        <v/>
      </c>
    </row>
    <row r="23">
      <c r="A23" s="29" t="inlineStr">
        <is>
          <t>Status</t>
        </is>
      </c>
      <c r="B23" s="29" t="inlineStr">
        <is>
          <t>Tasks</t>
        </is>
      </c>
      <c r="C23" s="29" t="inlineStr">
        <is>
          <t>Meaning</t>
        </is>
      </c>
      <c r="E23" s="30" t="n">
        <v>4</v>
      </c>
      <c r="F23" s="31" t="inlineStr">
        <is>
          <t>Security + resource limits</t>
        </is>
      </c>
      <c r="G23" s="32">
        <f>COUNTIF(MASTER!$B$2:$B$2000,$E23)</f>
        <v/>
      </c>
      <c r="H23" s="32">
        <f>COUNTIFS(MASTER!$B$2:$B$2000,$E23,MASTER!$G$2:$G$2000,"DONE")</f>
        <v/>
      </c>
      <c r="I23" s="32">
        <f>COUNTIFS(MASTER!$B$2:$B$2000,$E23,MASTER!$G$2:$G$2000,"VERIFIED")+H23</f>
        <v/>
      </c>
      <c r="J23" s="32">
        <f>COUNTIFS(MASTER!$B$2:$B$2000,$E23,MASTER!$G$2:$G$2000,"IN_PROGRESS")+COUNTIFS(MASTER!$B$2:$B$2000,$E23,MASTER!$G$2:$G$2000,"IMPLEMENTED")+COUNTIFS(MASTER!$B$2:$B$2000,$E23,MASTER!$G$2:$G$2000,"TESTING")</f>
        <v/>
      </c>
      <c r="K23" s="32">
        <f>COUNTIFS(MASTER!$B$2:$B$2000,$E23,MASTER!$G$2:$G$2000,"BLOCKED")</f>
        <v/>
      </c>
      <c r="L23" s="32">
        <f>COUNTIFS(MASTER!$B$2:$B$2000,$E23,MASTER!$G$2:$G$2000,"FAILED")</f>
        <v/>
      </c>
      <c r="M23" s="33">
        <f>IF(G23=0,0,H23/G23)</f>
        <v/>
      </c>
      <c r="N23" s="33">
        <f>IF(G23=0,0,I23/G23)</f>
        <v/>
      </c>
    </row>
    <row r="24">
      <c r="A24" s="34" t="inlineStr">
        <is>
          <t>NOT_STARTED</t>
        </is>
      </c>
      <c r="B24" s="32">
        <f>COUNTIF(MASTER!$G$2:$G$2000,A24)</f>
        <v/>
      </c>
      <c r="C24" s="31" t="inlineStr">
        <is>
          <t>No work yet.</t>
        </is>
      </c>
      <c r="E24" s="30" t="n">
        <v>5</v>
      </c>
      <c r="F24" s="31" t="inlineStr">
        <is>
          <t>Performance + autosave + history</t>
        </is>
      </c>
      <c r="G24" s="32">
        <f>COUNTIF(MASTER!$B$2:$B$2000,$E24)</f>
        <v/>
      </c>
      <c r="H24" s="32">
        <f>COUNTIFS(MASTER!$B$2:$B$2000,$E24,MASTER!$G$2:$G$2000,"DONE")</f>
        <v/>
      </c>
      <c r="I24" s="32">
        <f>COUNTIFS(MASTER!$B$2:$B$2000,$E24,MASTER!$G$2:$G$2000,"VERIFIED")+H24</f>
        <v/>
      </c>
      <c r="J24" s="32">
        <f>COUNTIFS(MASTER!$B$2:$B$2000,$E24,MASTER!$G$2:$G$2000,"IN_PROGRESS")+COUNTIFS(MASTER!$B$2:$B$2000,$E24,MASTER!$G$2:$G$2000,"IMPLEMENTED")+COUNTIFS(MASTER!$B$2:$B$2000,$E24,MASTER!$G$2:$G$2000,"TESTING")</f>
        <v/>
      </c>
      <c r="K24" s="32">
        <f>COUNTIFS(MASTER!$B$2:$B$2000,$E24,MASTER!$G$2:$G$2000,"BLOCKED")</f>
        <v/>
      </c>
      <c r="L24" s="32">
        <f>COUNTIFS(MASTER!$B$2:$B$2000,$E24,MASTER!$G$2:$G$2000,"FAILED")</f>
        <v/>
      </c>
      <c r="M24" s="33">
        <f>IF(G24=0,0,H24/G24)</f>
        <v/>
      </c>
      <c r="N24" s="33">
        <f>IF(G24=0,0,I24/G24)</f>
        <v/>
      </c>
    </row>
    <row r="25">
      <c r="A25" s="34" t="inlineStr">
        <is>
          <t>IN_PROGRESS</t>
        </is>
      </c>
      <c r="B25" s="32">
        <f>COUNTIF(MASTER!$G$2:$G$2000,A25)</f>
        <v/>
      </c>
      <c r="C25" s="31" t="inlineStr">
        <is>
          <t>Being implemented.</t>
        </is>
      </c>
      <c r="E25" s="30" t="n">
        <v>6</v>
      </c>
      <c r="F25" s="31" t="inlineStr">
        <is>
          <t>Accounts + billing + entitlements</t>
        </is>
      </c>
      <c r="G25" s="32">
        <f>COUNTIF(MASTER!$B$2:$B$2000,$E25)</f>
        <v/>
      </c>
      <c r="H25" s="32">
        <f>COUNTIFS(MASTER!$B$2:$B$2000,$E25,MASTER!$G$2:$G$2000,"DONE")</f>
        <v/>
      </c>
      <c r="I25" s="32">
        <f>COUNTIFS(MASTER!$B$2:$B$2000,$E25,MASTER!$G$2:$G$2000,"VERIFIED")+H25</f>
        <v/>
      </c>
      <c r="J25" s="32">
        <f>COUNTIFS(MASTER!$B$2:$B$2000,$E25,MASTER!$G$2:$G$2000,"IN_PROGRESS")+COUNTIFS(MASTER!$B$2:$B$2000,$E25,MASTER!$G$2:$G$2000,"IMPLEMENTED")+COUNTIFS(MASTER!$B$2:$B$2000,$E25,MASTER!$G$2:$G$2000,"TESTING")</f>
        <v/>
      </c>
      <c r="K25" s="32">
        <f>COUNTIFS(MASTER!$B$2:$B$2000,$E25,MASTER!$G$2:$G$2000,"BLOCKED")</f>
        <v/>
      </c>
      <c r="L25" s="32">
        <f>COUNTIFS(MASTER!$B$2:$B$2000,$E25,MASTER!$G$2:$G$2000,"FAILED")</f>
        <v/>
      </c>
      <c r="M25" s="33">
        <f>IF(G25=0,0,H25/G25)</f>
        <v/>
      </c>
      <c r="N25" s="33">
        <f>IF(G25=0,0,I25/G25)</f>
        <v/>
      </c>
    </row>
    <row r="26">
      <c r="A26" s="34" t="inlineStr">
        <is>
          <t>BLOCKED</t>
        </is>
      </c>
      <c r="B26" s="32">
        <f>COUNTIF(MASTER!$G$2:$G$2000,A26)</f>
        <v/>
      </c>
      <c r="C26" s="31" t="inlineStr">
        <is>
          <t>Cannot proceed; the reason is in Notes.</t>
        </is>
      </c>
      <c r="E26" s="30" t="n">
        <v>7</v>
      </c>
      <c r="F26" s="31" t="inlineStr">
        <is>
          <t>PDF fidelity foundation</t>
        </is>
      </c>
      <c r="G26" s="32">
        <f>COUNTIF(MASTER!$B$2:$B$2000,$E26)</f>
        <v/>
      </c>
      <c r="H26" s="32">
        <f>COUNTIFS(MASTER!$B$2:$B$2000,$E26,MASTER!$G$2:$G$2000,"DONE")</f>
        <v/>
      </c>
      <c r="I26" s="32">
        <f>COUNTIFS(MASTER!$B$2:$B$2000,$E26,MASTER!$G$2:$G$2000,"VERIFIED")+H26</f>
        <v/>
      </c>
      <c r="J26" s="32">
        <f>COUNTIFS(MASTER!$B$2:$B$2000,$E26,MASTER!$G$2:$G$2000,"IN_PROGRESS")+COUNTIFS(MASTER!$B$2:$B$2000,$E26,MASTER!$G$2:$G$2000,"IMPLEMENTED")+COUNTIFS(MASTER!$B$2:$B$2000,$E26,MASTER!$G$2:$G$2000,"TESTING")</f>
        <v/>
      </c>
      <c r="K26" s="32">
        <f>COUNTIFS(MASTER!$B$2:$B$2000,$E26,MASTER!$G$2:$G$2000,"BLOCKED")</f>
        <v/>
      </c>
      <c r="L26" s="32">
        <f>COUNTIFS(MASTER!$B$2:$B$2000,$E26,MASTER!$G$2:$G$2000,"FAILED")</f>
        <v/>
      </c>
      <c r="M26" s="33">
        <f>IF(G26=0,0,H26/G26)</f>
        <v/>
      </c>
      <c r="N26" s="33">
        <f>IF(G26=0,0,I26/G26)</f>
        <v/>
      </c>
    </row>
    <row r="27">
      <c r="A27" s="34" t="inlineStr">
        <is>
          <t>IMPLEMENTED</t>
        </is>
      </c>
      <c r="B27" s="32">
        <f>COUNTIF(MASTER!$G$2:$G$2000,A27)</f>
        <v/>
      </c>
      <c r="C27" s="31" t="inlineStr">
        <is>
          <t>Code written; not yet fully tested.</t>
        </is>
      </c>
      <c r="E27" s="30" t="n">
        <v>8</v>
      </c>
      <c r="F27" s="31" t="inlineStr">
        <is>
          <t>PDF -&gt; editable MVP</t>
        </is>
      </c>
      <c r="G27" s="32">
        <f>COUNTIF(MASTER!$B$2:$B$2000,$E27)</f>
        <v/>
      </c>
      <c r="H27" s="32">
        <f>COUNTIFS(MASTER!$B$2:$B$2000,$E27,MASTER!$G$2:$G$2000,"DONE")</f>
        <v/>
      </c>
      <c r="I27" s="32">
        <f>COUNTIFS(MASTER!$B$2:$B$2000,$E27,MASTER!$G$2:$G$2000,"VERIFIED")+H27</f>
        <v/>
      </c>
      <c r="J27" s="32">
        <f>COUNTIFS(MASTER!$B$2:$B$2000,$E27,MASTER!$G$2:$G$2000,"IN_PROGRESS")+COUNTIFS(MASTER!$B$2:$B$2000,$E27,MASTER!$G$2:$G$2000,"IMPLEMENTED")+COUNTIFS(MASTER!$B$2:$B$2000,$E27,MASTER!$G$2:$G$2000,"TESTING")</f>
        <v/>
      </c>
      <c r="K27" s="32">
        <f>COUNTIFS(MASTER!$B$2:$B$2000,$E27,MASTER!$G$2:$G$2000,"BLOCKED")</f>
        <v/>
      </c>
      <c r="L27" s="32">
        <f>COUNTIFS(MASTER!$B$2:$B$2000,$E27,MASTER!$G$2:$G$2000,"FAILED")</f>
        <v/>
      </c>
      <c r="M27" s="33">
        <f>IF(G27=0,0,H27/G27)</f>
        <v/>
      </c>
      <c r="N27" s="33">
        <f>IF(G27=0,0,I27/G27)</f>
        <v/>
      </c>
    </row>
    <row r="28">
      <c r="A28" s="34" t="inlineStr">
        <is>
          <t>TESTING</t>
        </is>
      </c>
      <c r="B28" s="32">
        <f>COUNTIF(MASTER!$G$2:$G$2000,A28)</f>
        <v/>
      </c>
      <c r="C28" s="31" t="inlineStr">
        <is>
          <t>Tests being written or run.</t>
        </is>
      </c>
      <c r="E28" s="30" t="n">
        <v>9</v>
      </c>
      <c r="F28" s="31" t="inlineStr">
        <is>
          <t>PDF layout-preserving architecture</t>
        </is>
      </c>
      <c r="G28" s="32">
        <f>COUNTIF(MASTER!$B$2:$B$2000,$E28)</f>
        <v/>
      </c>
      <c r="H28" s="32">
        <f>COUNTIFS(MASTER!$B$2:$B$2000,$E28,MASTER!$G$2:$G$2000,"DONE")</f>
        <v/>
      </c>
      <c r="I28" s="32">
        <f>COUNTIFS(MASTER!$B$2:$B$2000,$E28,MASTER!$G$2:$G$2000,"VERIFIED")+H28</f>
        <v/>
      </c>
      <c r="J28" s="32">
        <f>COUNTIFS(MASTER!$B$2:$B$2000,$E28,MASTER!$G$2:$G$2000,"IN_PROGRESS")+COUNTIFS(MASTER!$B$2:$B$2000,$E28,MASTER!$G$2:$G$2000,"IMPLEMENTED")+COUNTIFS(MASTER!$B$2:$B$2000,$E28,MASTER!$G$2:$G$2000,"TESTING")</f>
        <v/>
      </c>
      <c r="K28" s="32">
        <f>COUNTIFS(MASTER!$B$2:$B$2000,$E28,MASTER!$G$2:$G$2000,"BLOCKED")</f>
        <v/>
      </c>
      <c r="L28" s="32">
        <f>COUNTIFS(MASTER!$B$2:$B$2000,$E28,MASTER!$G$2:$G$2000,"FAILED")</f>
        <v/>
      </c>
      <c r="M28" s="33">
        <f>IF(G28=0,0,H28/G28)</f>
        <v/>
      </c>
      <c r="N28" s="33">
        <f>IF(G28=0,0,I28/G28)</f>
        <v/>
      </c>
    </row>
    <row r="29">
      <c r="A29" s="34" t="inlineStr">
        <is>
          <t>VERIFIED</t>
        </is>
      </c>
      <c r="B29" s="32">
        <f>COUNTIF(MASTER!$G$2:$G$2000,A29)</f>
        <v/>
      </c>
      <c r="C29" s="31" t="inlineStr">
        <is>
          <t>Tests pass and evidence recorded; commit pending.</t>
        </is>
      </c>
      <c r="E29" s="30" t="n">
        <v>10</v>
      </c>
      <c r="F29" s="31" t="inlineStr">
        <is>
          <t>Translation MVP</t>
        </is>
      </c>
      <c r="G29" s="32">
        <f>COUNTIF(MASTER!$B$2:$B$2000,$E29)</f>
        <v/>
      </c>
      <c r="H29" s="32">
        <f>COUNTIFS(MASTER!$B$2:$B$2000,$E29,MASTER!$G$2:$G$2000,"DONE")</f>
        <v/>
      </c>
      <c r="I29" s="32">
        <f>COUNTIFS(MASTER!$B$2:$B$2000,$E29,MASTER!$G$2:$G$2000,"VERIFIED")+H29</f>
        <v/>
      </c>
      <c r="J29" s="32">
        <f>COUNTIFS(MASTER!$B$2:$B$2000,$E29,MASTER!$G$2:$G$2000,"IN_PROGRESS")+COUNTIFS(MASTER!$B$2:$B$2000,$E29,MASTER!$G$2:$G$2000,"IMPLEMENTED")+COUNTIFS(MASTER!$B$2:$B$2000,$E29,MASTER!$G$2:$G$2000,"TESTING")</f>
        <v/>
      </c>
      <c r="K29" s="32">
        <f>COUNTIFS(MASTER!$B$2:$B$2000,$E29,MASTER!$G$2:$G$2000,"BLOCKED")</f>
        <v/>
      </c>
      <c r="L29" s="32">
        <f>COUNTIFS(MASTER!$B$2:$B$2000,$E29,MASTER!$G$2:$G$2000,"FAILED")</f>
        <v/>
      </c>
      <c r="M29" s="33">
        <f>IF(G29=0,0,H29/G29)</f>
        <v/>
      </c>
      <c r="N29" s="33">
        <f>IF(G29=0,0,I29/G29)</f>
        <v/>
      </c>
    </row>
    <row r="30">
      <c r="A30" s="34" t="inlineStr">
        <is>
          <t>DONE</t>
        </is>
      </c>
      <c r="B30" s="32">
        <f>COUNTIF(MASTER!$G$2:$G$2000,A30)</f>
        <v/>
      </c>
      <c r="C30" s="31" t="inlineStr">
        <is>
          <t>Implemented + tested + verified; commit recorded.</t>
        </is>
      </c>
      <c r="E30" s="30" t="n">
        <v>11</v>
      </c>
      <c r="F30" s="31" t="inlineStr">
        <is>
          <t>FontResolver + multilingual rendering</t>
        </is>
      </c>
      <c r="G30" s="32">
        <f>COUNTIF(MASTER!$B$2:$B$2000,$E30)</f>
        <v/>
      </c>
      <c r="H30" s="32">
        <f>COUNTIFS(MASTER!$B$2:$B$2000,$E30,MASTER!$G$2:$G$2000,"DONE")</f>
        <v/>
      </c>
      <c r="I30" s="32">
        <f>COUNTIFS(MASTER!$B$2:$B$2000,$E30,MASTER!$G$2:$G$2000,"VERIFIED")+H30</f>
        <v/>
      </c>
      <c r="J30" s="32">
        <f>COUNTIFS(MASTER!$B$2:$B$2000,$E30,MASTER!$G$2:$G$2000,"IN_PROGRESS")+COUNTIFS(MASTER!$B$2:$B$2000,$E30,MASTER!$G$2:$G$2000,"IMPLEMENTED")+COUNTIFS(MASTER!$B$2:$B$2000,$E30,MASTER!$G$2:$G$2000,"TESTING")</f>
        <v/>
      </c>
      <c r="K30" s="32">
        <f>COUNTIFS(MASTER!$B$2:$B$2000,$E30,MASTER!$G$2:$G$2000,"BLOCKED")</f>
        <v/>
      </c>
      <c r="L30" s="32">
        <f>COUNTIFS(MASTER!$B$2:$B$2000,$E30,MASTER!$G$2:$G$2000,"FAILED")</f>
        <v/>
      </c>
      <c r="M30" s="33">
        <f>IF(G30=0,0,H30/G30)</f>
        <v/>
      </c>
      <c r="N30" s="33">
        <f>IF(G30=0,0,I30/G30)</f>
        <v/>
      </c>
    </row>
    <row r="31">
      <c r="A31" s="34" t="inlineStr">
        <is>
          <t>FAILED</t>
        </is>
      </c>
      <c r="B31" s="32">
        <f>COUNTIF(MASTER!$G$2:$G$2000,A31)</f>
        <v/>
      </c>
      <c r="C31" s="31" t="inlineStr">
        <is>
          <t>Tests or verification failed; see Notes.</t>
        </is>
      </c>
      <c r="E31" s="30" t="n">
        <v>12</v>
      </c>
      <c r="F31" s="31" t="inlineStr">
        <is>
          <t>Format by Example hardening</t>
        </is>
      </c>
      <c r="G31" s="32">
        <f>COUNTIF(MASTER!$B$2:$B$2000,$E31)</f>
        <v/>
      </c>
      <c r="H31" s="32">
        <f>COUNTIFS(MASTER!$B$2:$B$2000,$E31,MASTER!$G$2:$G$2000,"DONE")</f>
        <v/>
      </c>
      <c r="I31" s="32">
        <f>COUNTIFS(MASTER!$B$2:$B$2000,$E31,MASTER!$G$2:$G$2000,"VERIFIED")+H31</f>
        <v/>
      </c>
      <c r="J31" s="32">
        <f>COUNTIFS(MASTER!$B$2:$B$2000,$E31,MASTER!$G$2:$G$2000,"IN_PROGRESS")+COUNTIFS(MASTER!$B$2:$B$2000,$E31,MASTER!$G$2:$G$2000,"IMPLEMENTED")+COUNTIFS(MASTER!$B$2:$B$2000,$E31,MASTER!$G$2:$G$2000,"TESTING")</f>
        <v/>
      </c>
      <c r="K31" s="32">
        <f>COUNTIFS(MASTER!$B$2:$B$2000,$E31,MASTER!$G$2:$G$2000,"BLOCKED")</f>
        <v/>
      </c>
      <c r="L31" s="32">
        <f>COUNTIFS(MASTER!$B$2:$B$2000,$E31,MASTER!$G$2:$G$2000,"FAILED")</f>
        <v/>
      </c>
      <c r="M31" s="33">
        <f>IF(G31=0,0,H31/G31)</f>
        <v/>
      </c>
      <c r="N31" s="33">
        <f>IF(G31=0,0,I31/G31)</f>
        <v/>
      </c>
    </row>
    <row r="32">
      <c r="A32" s="34" t="inlineStr">
        <is>
          <t>DEFERRED</t>
        </is>
      </c>
      <c r="B32" s="32">
        <f>COUNTIF(MASTER!$G$2:$G$2000,A32)</f>
        <v/>
      </c>
      <c r="C32" s="31" t="inlineStr">
        <is>
          <t>Consciously postponed; the reason is in Notes.</t>
        </is>
      </c>
      <c r="E32" s="30" t="n">
        <v>13</v>
      </c>
      <c r="F32" s="31" t="inlineStr">
        <is>
          <t>Document Health 2.0</t>
        </is>
      </c>
      <c r="G32" s="32">
        <f>COUNTIF(MASTER!$B$2:$B$2000,$E32)</f>
        <v/>
      </c>
      <c r="H32" s="32">
        <f>COUNTIFS(MASTER!$B$2:$B$2000,$E32,MASTER!$G$2:$G$2000,"DONE")</f>
        <v/>
      </c>
      <c r="I32" s="32">
        <f>COUNTIFS(MASTER!$B$2:$B$2000,$E32,MASTER!$G$2:$G$2000,"VERIFIED")+H32</f>
        <v/>
      </c>
      <c r="J32" s="32">
        <f>COUNTIFS(MASTER!$B$2:$B$2000,$E32,MASTER!$G$2:$G$2000,"IN_PROGRESS")+COUNTIFS(MASTER!$B$2:$B$2000,$E32,MASTER!$G$2:$G$2000,"IMPLEMENTED")+COUNTIFS(MASTER!$B$2:$B$2000,$E32,MASTER!$G$2:$G$2000,"TESTING")</f>
        <v/>
      </c>
      <c r="K32" s="32">
        <f>COUNTIFS(MASTER!$B$2:$B$2000,$E32,MASTER!$G$2:$G$2000,"BLOCKED")</f>
        <v/>
      </c>
      <c r="L32" s="32">
        <f>COUNTIFS(MASTER!$B$2:$B$2000,$E32,MASTER!$G$2:$G$2000,"FAILED")</f>
        <v/>
      </c>
      <c r="M32" s="33">
        <f>IF(G32=0,0,H32/G32)</f>
        <v/>
      </c>
      <c r="N32" s="33">
        <f>IF(G32=0,0,I32/G32)</f>
        <v/>
      </c>
    </row>
    <row r="33">
      <c r="A33" s="34" t="inlineStr">
        <is>
          <t>UNKNOWN</t>
        </is>
      </c>
      <c r="B33" s="32">
        <f>COUNTIF(MASTER!$G$2:$G$2000,A33)</f>
        <v/>
      </c>
      <c r="C33" s="31" t="inlineStr">
        <is>
          <t>State not established yet.</t>
        </is>
      </c>
      <c r="E33" s="30" t="n">
        <v>14</v>
      </c>
      <c r="F33" s="31" t="inlineStr">
        <is>
          <t>Review Changes / Repair</t>
        </is>
      </c>
      <c r="G33" s="32">
        <f>COUNTIF(MASTER!$B$2:$B$2000,$E33)</f>
        <v/>
      </c>
      <c r="H33" s="32">
        <f>COUNTIFS(MASTER!$B$2:$B$2000,$E33,MASTER!$G$2:$G$2000,"DONE")</f>
        <v/>
      </c>
      <c r="I33" s="32">
        <f>COUNTIFS(MASTER!$B$2:$B$2000,$E33,MASTER!$G$2:$G$2000,"VERIFIED")+H33</f>
        <v/>
      </c>
      <c r="J33" s="32">
        <f>COUNTIFS(MASTER!$B$2:$B$2000,$E33,MASTER!$G$2:$G$2000,"IN_PROGRESS")+COUNTIFS(MASTER!$B$2:$B$2000,$E33,MASTER!$G$2:$G$2000,"IMPLEMENTED")+COUNTIFS(MASTER!$B$2:$B$2000,$E33,MASTER!$G$2:$G$2000,"TESTING")</f>
        <v/>
      </c>
      <c r="K33" s="32">
        <f>COUNTIFS(MASTER!$B$2:$B$2000,$E33,MASTER!$G$2:$G$2000,"BLOCKED")</f>
        <v/>
      </c>
      <c r="L33" s="32">
        <f>COUNTIFS(MASTER!$B$2:$B$2000,$E33,MASTER!$G$2:$G$2000,"FAILED")</f>
        <v/>
      </c>
      <c r="M33" s="33">
        <f>IF(G33=0,0,H33/G33)</f>
        <v/>
      </c>
      <c r="N33" s="33">
        <f>IF(G33=0,0,I33/G33)</f>
        <v/>
      </c>
    </row>
    <row r="34">
      <c r="E34" s="30" t="n">
        <v>15</v>
      </c>
      <c r="F34" s="31" t="inlineStr">
        <is>
          <t>Batch operations</t>
        </is>
      </c>
      <c r="G34" s="32">
        <f>COUNTIF(MASTER!$B$2:$B$2000,$E34)</f>
        <v/>
      </c>
      <c r="H34" s="32">
        <f>COUNTIFS(MASTER!$B$2:$B$2000,$E34,MASTER!$G$2:$G$2000,"DONE")</f>
        <v/>
      </c>
      <c r="I34" s="32">
        <f>COUNTIFS(MASTER!$B$2:$B$2000,$E34,MASTER!$G$2:$G$2000,"VERIFIED")+H34</f>
        <v/>
      </c>
      <c r="J34" s="32">
        <f>COUNTIFS(MASTER!$B$2:$B$2000,$E34,MASTER!$G$2:$G$2000,"IN_PROGRESS")+COUNTIFS(MASTER!$B$2:$B$2000,$E34,MASTER!$G$2:$G$2000,"IMPLEMENTED")+COUNTIFS(MASTER!$B$2:$B$2000,$E34,MASTER!$G$2:$G$2000,"TESTING")</f>
        <v/>
      </c>
      <c r="K34" s="32">
        <f>COUNTIFS(MASTER!$B$2:$B$2000,$E34,MASTER!$G$2:$G$2000,"BLOCKED")</f>
        <v/>
      </c>
      <c r="L34" s="32">
        <f>COUNTIFS(MASTER!$B$2:$B$2000,$E34,MASTER!$G$2:$G$2000,"FAILED")</f>
        <v/>
      </c>
      <c r="M34" s="33">
        <f>IF(G34=0,0,H34/G34)</f>
        <v/>
      </c>
      <c r="N34" s="33">
        <f>IF(G34=0,0,I34/G34)</f>
        <v/>
      </c>
    </row>
    <row r="35">
      <c r="A35" s="24" t="inlineStr">
        <is>
          <t>Latest test runs (TESTING)</t>
        </is>
      </c>
      <c r="E35" s="30" t="n">
        <v>16</v>
      </c>
      <c r="F35" s="31" t="inlineStr">
        <is>
          <t>Accessibility + advanced document features</t>
        </is>
      </c>
      <c r="G35" s="32">
        <f>COUNTIF(MASTER!$B$2:$B$2000,$E35)</f>
        <v/>
      </c>
      <c r="H35" s="32">
        <f>COUNTIFS(MASTER!$B$2:$B$2000,$E35,MASTER!$G$2:$G$2000,"DONE")</f>
        <v/>
      </c>
      <c r="I35" s="32">
        <f>COUNTIFS(MASTER!$B$2:$B$2000,$E35,MASTER!$G$2:$G$2000,"VERIFIED")+H35</f>
        <v/>
      </c>
      <c r="J35" s="32">
        <f>COUNTIFS(MASTER!$B$2:$B$2000,$E35,MASTER!$G$2:$G$2000,"IN_PROGRESS")+COUNTIFS(MASTER!$B$2:$B$2000,$E35,MASTER!$G$2:$G$2000,"IMPLEMENTED")+COUNTIFS(MASTER!$B$2:$B$2000,$E35,MASTER!$G$2:$G$2000,"TESTING")</f>
        <v/>
      </c>
      <c r="K35" s="32">
        <f>COUNTIFS(MASTER!$B$2:$B$2000,$E35,MASTER!$G$2:$G$2000,"BLOCKED")</f>
        <v/>
      </c>
      <c r="L35" s="32">
        <f>COUNTIFS(MASTER!$B$2:$B$2000,$E35,MASTER!$G$2:$G$2000,"FAILED")</f>
        <v/>
      </c>
      <c r="M35" s="33">
        <f>IF(G35=0,0,H35/G35)</f>
        <v/>
      </c>
      <c r="N35" s="33">
        <f>IF(G35=0,0,I35/G35)</f>
        <v/>
      </c>
    </row>
    <row r="36">
      <c r="A36" s="29" t="inlineStr">
        <is>
          <t>Suite</t>
        </is>
      </c>
      <c r="B36" s="29" t="inlineStr">
        <is>
          <t>Result</t>
        </is>
      </c>
      <c r="C36" s="29" t="inlineStr">
        <is>
          <t>Passed · failed · skipped</t>
        </is>
      </c>
      <c r="E36" s="30" t="n">
        <v>17</v>
      </c>
      <c r="F36" s="31" t="inlineStr">
        <is>
          <t>Final testing</t>
        </is>
      </c>
      <c r="G36" s="32">
        <f>COUNTIF(MASTER!$B$2:$B$2000,$E36)</f>
        <v/>
      </c>
      <c r="H36" s="32">
        <f>COUNTIFS(MASTER!$B$2:$B$2000,$E36,MASTER!$G$2:$G$2000,"DONE")</f>
        <v/>
      </c>
      <c r="I36" s="32">
        <f>COUNTIFS(MASTER!$B$2:$B$2000,$E36,MASTER!$G$2:$G$2000,"VERIFIED")+H36</f>
        <v/>
      </c>
      <c r="J36" s="32">
        <f>COUNTIFS(MASTER!$B$2:$B$2000,$E36,MASTER!$G$2:$G$2000,"IN_PROGRESS")+COUNTIFS(MASTER!$B$2:$B$2000,$E36,MASTER!$G$2:$G$2000,"IMPLEMENTED")+COUNTIFS(MASTER!$B$2:$B$2000,$E36,MASTER!$G$2:$G$2000,"TESTING")</f>
        <v/>
      </c>
      <c r="K36" s="32">
        <f>COUNTIFS(MASTER!$B$2:$B$2000,$E36,MASTER!$G$2:$G$2000,"BLOCKED")</f>
        <v/>
      </c>
      <c r="L36" s="32">
        <f>COUNTIFS(MASTER!$B$2:$B$2000,$E36,MASTER!$G$2:$G$2000,"FAILED")</f>
        <v/>
      </c>
      <c r="M36" s="33">
        <f>IF(G36=0,0,H36/G36)</f>
        <v/>
      </c>
      <c r="N36" s="33">
        <f>IF(G36=0,0,I36/G36)</f>
        <v/>
      </c>
    </row>
    <row r="37">
      <c r="A37" s="34">
        <f>TESTING!B130&amp;" — "&amp;TESTING!A130</f>
        <v/>
      </c>
      <c r="B37" s="35">
        <f>TESTING!C130&amp;""</f>
        <v/>
      </c>
      <c r="C37" s="31">
        <f>TESTING!E130&amp;" passed · "&amp;TESTING!F130&amp;" failed · "&amp;TESTING!H130&amp;" skipped"</f>
        <v/>
      </c>
      <c r="E37" s="30" t="n">
        <v>18</v>
      </c>
      <c r="F37" s="31" t="inlineStr">
        <is>
          <t>Production release audit</t>
        </is>
      </c>
      <c r="G37" s="32">
        <f>COUNTIF(MASTER!$B$2:$B$2000,$E37)</f>
        <v/>
      </c>
      <c r="H37" s="32">
        <f>COUNTIFS(MASTER!$B$2:$B$2000,$E37,MASTER!$G$2:$G$2000,"DONE")</f>
        <v/>
      </c>
      <c r="I37" s="32">
        <f>COUNTIFS(MASTER!$B$2:$B$2000,$E37,MASTER!$G$2:$G$2000,"VERIFIED")+H37</f>
        <v/>
      </c>
      <c r="J37" s="32">
        <f>COUNTIFS(MASTER!$B$2:$B$2000,$E37,MASTER!$G$2:$G$2000,"IN_PROGRESS")+COUNTIFS(MASTER!$B$2:$B$2000,$E37,MASTER!$G$2:$G$2000,"IMPLEMENTED")+COUNTIFS(MASTER!$B$2:$B$2000,$E37,MASTER!$G$2:$G$2000,"TESTING")</f>
        <v/>
      </c>
      <c r="K37" s="32">
        <f>COUNTIFS(MASTER!$B$2:$B$2000,$E37,MASTER!$G$2:$G$2000,"BLOCKED")</f>
        <v/>
      </c>
      <c r="L37" s="32">
        <f>COUNTIFS(MASTER!$B$2:$B$2000,$E37,MASTER!$G$2:$G$2000,"FAILED")</f>
        <v/>
      </c>
      <c r="M37" s="33">
        <f>IF(G37=0,0,H37/G37)</f>
        <v/>
      </c>
      <c r="N37" s="33">
        <f>IF(G37=0,0,I37/G37)</f>
        <v/>
      </c>
    </row>
    <row r="38">
      <c r="A38" s="34">
        <f>TESTING!B129&amp;" — "&amp;TESTING!A129</f>
        <v/>
      </c>
      <c r="B38" s="35">
        <f>TESTING!C129&amp;""</f>
        <v/>
      </c>
      <c r="C38" s="31">
        <f>TESTING!E129&amp;" passed · "&amp;TESTING!F129&amp;" failed · "&amp;TESTING!H129&amp;" skipped"</f>
        <v/>
      </c>
    </row>
    <row r="39">
      <c r="A39" s="34">
        <f>TESTING!B128&amp;" — "&amp;TESTING!A128</f>
        <v/>
      </c>
      <c r="B39" s="35">
        <f>TESTING!C128&amp;""</f>
        <v/>
      </c>
      <c r="C39" s="31">
        <f>TESTING!E128&amp;" passed · "&amp;TESTING!F128&amp;" failed · "&amp;TESTING!H128&amp;" skipped"</f>
        <v/>
      </c>
      <c r="E39" s="24" t="inlineStr">
        <is>
          <t>Progress by category</t>
        </is>
      </c>
    </row>
    <row r="40">
      <c r="A40" s="34">
        <f>TESTING!B127&amp;" — "&amp;TESTING!A127</f>
        <v/>
      </c>
      <c r="B40" s="35">
        <f>TESTING!C127&amp;""</f>
        <v/>
      </c>
      <c r="C40" s="31">
        <f>TESTING!E127&amp;" passed · "&amp;TESTING!F127&amp;" failed · "&amp;TESTING!H127&amp;" skipped"</f>
        <v/>
      </c>
      <c r="E40" s="29" t="inlineStr">
        <is>
          <t>Category</t>
        </is>
      </c>
      <c r="F40" s="29" t="inlineStr">
        <is>
          <t>Sheet</t>
        </is>
      </c>
      <c r="G40" s="29" t="inlineStr">
        <is>
          <t>Tasks</t>
        </is>
      </c>
      <c r="H40" s="29" t="inlineStr">
        <is>
          <t>Done</t>
        </is>
      </c>
      <c r="I40" s="29" t="inlineStr">
        <is>
          <t>Verified</t>
        </is>
      </c>
      <c r="J40" s="29" t="inlineStr">
        <is>
          <t>In progress</t>
        </is>
      </c>
      <c r="K40" s="29" t="inlineStr">
        <is>
          <t>Blocked</t>
        </is>
      </c>
      <c r="L40" s="29" t="inlineStr">
        <is>
          <t>Failed</t>
        </is>
      </c>
      <c r="M40" s="29" t="inlineStr">
        <is>
          <t>Done %</t>
        </is>
      </c>
      <c r="N40" s="29" t="inlineStr">
        <is>
          <t>Verified %</t>
        </is>
      </c>
    </row>
    <row r="41">
      <c r="A41" s="34">
        <f>TESTING!B126&amp;" — "&amp;TESTING!A126</f>
        <v/>
      </c>
      <c r="B41" s="35">
        <f>TESTING!C126&amp;""</f>
        <v/>
      </c>
      <c r="C41" s="31">
        <f>TESTING!E126&amp;" passed · "&amp;TESTING!F126&amp;" failed · "&amp;TESTING!H126&amp;" skipped"</f>
        <v/>
      </c>
      <c r="E41" s="34" t="inlineStr">
        <is>
          <t>CORE</t>
        </is>
      </c>
      <c r="F41" s="36" t="inlineStr">
        <is>
          <t>DOCUMENT_FIDELITY</t>
        </is>
      </c>
      <c r="G41" s="32">
        <f>COUNTIF(MASTER!$C$2:$C$2000,$E41)</f>
        <v/>
      </c>
      <c r="H41" s="32">
        <f>COUNTIFS(MASTER!$C$2:$C$2000,$E41,MASTER!$G$2:$G$2000,"DONE")</f>
        <v/>
      </c>
      <c r="I41" s="32">
        <f>COUNTIFS(MASTER!$C$2:$C$2000,$E41,MASTER!$G$2:$G$2000,"VERIFIED")+H41</f>
        <v/>
      </c>
      <c r="J41" s="32">
        <f>COUNTIFS(MASTER!$C$2:$C$2000,$E41,MASTER!$G$2:$G$2000,"IN_PROGRESS")+COUNTIFS(MASTER!$C$2:$C$2000,$E41,MASTER!$G$2:$G$2000,"IMPLEMENTED")+COUNTIFS(MASTER!$C$2:$C$2000,$E41,MASTER!$G$2:$G$2000,"TESTING")</f>
        <v/>
      </c>
      <c r="K41" s="32">
        <f>COUNTIFS(MASTER!$C$2:$C$2000,$E41,MASTER!$G$2:$G$2000,"BLOCKED")</f>
        <v/>
      </c>
      <c r="L41" s="32">
        <f>COUNTIFS(MASTER!$C$2:$C$2000,$E41,MASTER!$G$2:$G$2000,"FAILED")</f>
        <v/>
      </c>
      <c r="M41" s="33">
        <f>IF(G41=0,0,H41/G41)</f>
        <v/>
      </c>
      <c r="N41" s="33">
        <f>IF(G41=0,0,I41/G41)</f>
        <v/>
      </c>
    </row>
    <row r="42">
      <c r="A42" s="34">
        <f>TESTING!B125&amp;" — "&amp;TESTING!A125</f>
        <v/>
      </c>
      <c r="B42" s="35">
        <f>TESTING!C125&amp;""</f>
        <v/>
      </c>
      <c r="C42" s="31">
        <f>TESTING!E125&amp;" passed · "&amp;TESTING!F125&amp;" failed · "&amp;TESTING!H125&amp;" skipped"</f>
        <v/>
      </c>
      <c r="E42" s="34" t="inlineStr">
        <is>
          <t>FIDELITY</t>
        </is>
      </c>
      <c r="F42" s="36" t="inlineStr">
        <is>
          <t>DOCUMENT_FIDELITY</t>
        </is>
      </c>
      <c r="G42" s="32">
        <f>COUNTIF(MASTER!$C$2:$C$2000,$E42)</f>
        <v/>
      </c>
      <c r="H42" s="32">
        <f>COUNTIFS(MASTER!$C$2:$C$2000,$E42,MASTER!$G$2:$G$2000,"DONE")</f>
        <v/>
      </c>
      <c r="I42" s="32">
        <f>COUNTIFS(MASTER!$C$2:$C$2000,$E42,MASTER!$G$2:$G$2000,"VERIFIED")+H42</f>
        <v/>
      </c>
      <c r="J42" s="32">
        <f>COUNTIFS(MASTER!$C$2:$C$2000,$E42,MASTER!$G$2:$G$2000,"IN_PROGRESS")+COUNTIFS(MASTER!$C$2:$C$2000,$E42,MASTER!$G$2:$G$2000,"IMPLEMENTED")+COUNTIFS(MASTER!$C$2:$C$2000,$E42,MASTER!$G$2:$G$2000,"TESTING")</f>
        <v/>
      </c>
      <c r="K42" s="32">
        <f>COUNTIFS(MASTER!$C$2:$C$2000,$E42,MASTER!$G$2:$G$2000,"BLOCKED")</f>
        <v/>
      </c>
      <c r="L42" s="32">
        <f>COUNTIFS(MASTER!$C$2:$C$2000,$E42,MASTER!$G$2:$G$2000,"FAILED")</f>
        <v/>
      </c>
      <c r="M42" s="33">
        <f>IF(G42=0,0,H42/G42)</f>
        <v/>
      </c>
      <c r="N42" s="33">
        <f>IF(G42=0,0,I42/G42)</f>
        <v/>
      </c>
    </row>
    <row r="43">
      <c r="E43" s="34" t="inlineStr">
        <is>
          <t>REVIEW</t>
        </is>
      </c>
      <c r="F43" s="36" t="inlineStr">
        <is>
          <t>DOCUMENT_FIDELITY</t>
        </is>
      </c>
      <c r="G43" s="32">
        <f>COUNTIF(MASTER!$C$2:$C$2000,$E43)</f>
        <v/>
      </c>
      <c r="H43" s="32">
        <f>COUNTIFS(MASTER!$C$2:$C$2000,$E43,MASTER!$G$2:$G$2000,"DONE")</f>
        <v/>
      </c>
      <c r="I43" s="32">
        <f>COUNTIFS(MASTER!$C$2:$C$2000,$E43,MASTER!$G$2:$G$2000,"VERIFIED")+H43</f>
        <v/>
      </c>
      <c r="J43" s="32">
        <f>COUNTIFS(MASTER!$C$2:$C$2000,$E43,MASTER!$G$2:$G$2000,"IN_PROGRESS")+COUNTIFS(MASTER!$C$2:$C$2000,$E43,MASTER!$G$2:$G$2000,"IMPLEMENTED")+COUNTIFS(MASTER!$C$2:$C$2000,$E43,MASTER!$G$2:$G$2000,"TESTING")</f>
        <v/>
      </c>
      <c r="K43" s="32">
        <f>COUNTIFS(MASTER!$C$2:$C$2000,$E43,MASTER!$G$2:$G$2000,"BLOCKED")</f>
        <v/>
      </c>
      <c r="L43" s="32">
        <f>COUNTIFS(MASTER!$C$2:$C$2000,$E43,MASTER!$G$2:$G$2000,"FAILED")</f>
        <v/>
      </c>
      <c r="M43" s="33">
        <f>IF(G43=0,0,H43/G43)</f>
        <v/>
      </c>
      <c r="N43" s="33">
        <f>IF(G43=0,0,I43/G43)</f>
        <v/>
      </c>
    </row>
    <row r="44">
      <c r="A44" s="24" t="inlineStr">
        <is>
          <t>Sheets</t>
        </is>
      </c>
      <c r="E44" s="34" t="inlineStr">
        <is>
          <t>DOCX</t>
        </is>
      </c>
      <c r="F44" s="36" t="inlineStr">
        <is>
          <t>DOCX_OOXML</t>
        </is>
      </c>
      <c r="G44" s="32">
        <f>COUNTIF(MASTER!$C$2:$C$2000,$E44)</f>
        <v/>
      </c>
      <c r="H44" s="32">
        <f>COUNTIFS(MASTER!$C$2:$C$2000,$E44,MASTER!$G$2:$G$2000,"DONE")</f>
        <v/>
      </c>
      <c r="I44" s="32">
        <f>COUNTIFS(MASTER!$C$2:$C$2000,$E44,MASTER!$G$2:$G$2000,"VERIFIED")+H44</f>
        <v/>
      </c>
      <c r="J44" s="32">
        <f>COUNTIFS(MASTER!$C$2:$C$2000,$E44,MASTER!$G$2:$G$2000,"IN_PROGRESS")+COUNTIFS(MASTER!$C$2:$C$2000,$E44,MASTER!$G$2:$G$2000,"IMPLEMENTED")+COUNTIFS(MASTER!$C$2:$C$2000,$E44,MASTER!$G$2:$G$2000,"TESTING")</f>
        <v/>
      </c>
      <c r="K44" s="32">
        <f>COUNTIFS(MASTER!$C$2:$C$2000,$E44,MASTER!$G$2:$G$2000,"BLOCKED")</f>
        <v/>
      </c>
      <c r="L44" s="32">
        <f>COUNTIFS(MASTER!$C$2:$C$2000,$E44,MASTER!$G$2:$G$2000,"FAILED")</f>
        <v/>
      </c>
      <c r="M44" s="33">
        <f>IF(G44=0,0,H44/G44)</f>
        <v/>
      </c>
      <c r="N44" s="33">
        <f>IF(G44=0,0,I44/G44)</f>
        <v/>
      </c>
    </row>
    <row r="45">
      <c r="A45" s="36" t="inlineStr">
        <is>
          <t>DASHBOARD</t>
        </is>
      </c>
      <c r="B45" s="1" t="inlineStr">
        <is>
          <t>Totals, progress by phase and category, latest test runs, next action.</t>
        </is>
      </c>
      <c r="E45" s="34" t="inlineStr">
        <is>
          <t>PDF</t>
        </is>
      </c>
      <c r="F45" s="36" t="inlineStr">
        <is>
          <t>PDF</t>
        </is>
      </c>
      <c r="G45" s="32">
        <f>COUNTIF(MASTER!$C$2:$C$2000,$E45)</f>
        <v/>
      </c>
      <c r="H45" s="32">
        <f>COUNTIFS(MASTER!$C$2:$C$2000,$E45,MASTER!$G$2:$G$2000,"DONE")</f>
        <v/>
      </c>
      <c r="I45" s="32">
        <f>COUNTIFS(MASTER!$C$2:$C$2000,$E45,MASTER!$G$2:$G$2000,"VERIFIED")+H45</f>
        <v/>
      </c>
      <c r="J45" s="32">
        <f>COUNTIFS(MASTER!$C$2:$C$2000,$E45,MASTER!$G$2:$G$2000,"IN_PROGRESS")+COUNTIFS(MASTER!$C$2:$C$2000,$E45,MASTER!$G$2:$G$2000,"IMPLEMENTED")+COUNTIFS(MASTER!$C$2:$C$2000,$E45,MASTER!$G$2:$G$2000,"TESTING")</f>
        <v/>
      </c>
      <c r="K45" s="32">
        <f>COUNTIFS(MASTER!$C$2:$C$2000,$E45,MASTER!$G$2:$G$2000,"BLOCKED")</f>
        <v/>
      </c>
      <c r="L45" s="32">
        <f>COUNTIFS(MASTER!$C$2:$C$2000,$E45,MASTER!$G$2:$G$2000,"FAILED")</f>
        <v/>
      </c>
      <c r="M45" s="33">
        <f>IF(G45=0,0,H45/G45)</f>
        <v/>
      </c>
      <c r="N45" s="33">
        <f>IF(G45=0,0,I45/G45)</f>
        <v/>
      </c>
    </row>
    <row r="46">
      <c r="A46" s="36" t="inlineStr">
        <is>
          <t>MASTER</t>
        </is>
      </c>
      <c r="B46" s="1" t="inlineStr">
        <is>
          <t>Status, evidence, tests and commit per task. The one place task data is edited.</t>
        </is>
      </c>
      <c r="E46" s="34" t="inlineStr">
        <is>
          <t>EDITOR</t>
        </is>
      </c>
      <c r="F46" s="36" t="inlineStr">
        <is>
          <t>EDITOR</t>
        </is>
      </c>
      <c r="G46" s="32">
        <f>COUNTIF(MASTER!$C$2:$C$2000,$E46)</f>
        <v/>
      </c>
      <c r="H46" s="32">
        <f>COUNTIFS(MASTER!$C$2:$C$2000,$E46,MASTER!$G$2:$G$2000,"DONE")</f>
        <v/>
      </c>
      <c r="I46" s="32">
        <f>COUNTIFS(MASTER!$C$2:$C$2000,$E46,MASTER!$G$2:$G$2000,"VERIFIED")+H46</f>
        <v/>
      </c>
      <c r="J46" s="32">
        <f>COUNTIFS(MASTER!$C$2:$C$2000,$E46,MASTER!$G$2:$G$2000,"IN_PROGRESS")+COUNTIFS(MASTER!$C$2:$C$2000,$E46,MASTER!$G$2:$G$2000,"IMPLEMENTED")+COUNTIFS(MASTER!$C$2:$C$2000,$E46,MASTER!$G$2:$G$2000,"TESTING")</f>
        <v/>
      </c>
      <c r="K46" s="32">
        <f>COUNTIFS(MASTER!$C$2:$C$2000,$E46,MASTER!$G$2:$G$2000,"BLOCKED")</f>
        <v/>
      </c>
      <c r="L46" s="32">
        <f>COUNTIFS(MASTER!$C$2:$C$2000,$E46,MASTER!$G$2:$G$2000,"FAILED")</f>
        <v/>
      </c>
      <c r="M46" s="33">
        <f>IF(G46=0,0,H46/G46)</f>
        <v/>
      </c>
      <c r="N46" s="33">
        <f>IF(G46=0,0,I46/G46)</f>
        <v/>
      </c>
    </row>
    <row r="47">
      <c r="A47" s="36" t="inlineStr">
        <is>
          <t>CRITICAL_FIXES</t>
        </is>
      </c>
      <c r="B47" s="1" t="inlineStr">
        <is>
          <t>The 20 findings of the 2026-09-26 audit (current known risks) with fix progress, then every P0 task.</t>
        </is>
      </c>
      <c r="E47" s="34" t="inlineStr">
        <is>
          <t>FORMATTING</t>
        </is>
      </c>
      <c r="F47" s="36" t="inlineStr">
        <is>
          <t>FORMATTING</t>
        </is>
      </c>
      <c r="G47" s="32">
        <f>COUNTIF(MASTER!$C$2:$C$2000,$E47)</f>
        <v/>
      </c>
      <c r="H47" s="32">
        <f>COUNTIFS(MASTER!$C$2:$C$2000,$E47,MASTER!$G$2:$G$2000,"DONE")</f>
        <v/>
      </c>
      <c r="I47" s="32">
        <f>COUNTIFS(MASTER!$C$2:$C$2000,$E47,MASTER!$G$2:$G$2000,"VERIFIED")+H47</f>
        <v/>
      </c>
      <c r="J47" s="32">
        <f>COUNTIFS(MASTER!$C$2:$C$2000,$E47,MASTER!$G$2:$G$2000,"IN_PROGRESS")+COUNTIFS(MASTER!$C$2:$C$2000,$E47,MASTER!$G$2:$G$2000,"IMPLEMENTED")+COUNTIFS(MASTER!$C$2:$C$2000,$E47,MASTER!$G$2:$G$2000,"TESTING")</f>
        <v/>
      </c>
      <c r="K47" s="32">
        <f>COUNTIFS(MASTER!$C$2:$C$2000,$E47,MASTER!$G$2:$G$2000,"BLOCKED")</f>
        <v/>
      </c>
      <c r="L47" s="32">
        <f>COUNTIFS(MASTER!$C$2:$C$2000,$E47,MASTER!$G$2:$G$2000,"FAILED")</f>
        <v/>
      </c>
      <c r="M47" s="33">
        <f>IF(G47=0,0,H47/G47)</f>
        <v/>
      </c>
      <c r="N47" s="33">
        <f>IF(G47=0,0,I47/G47)</f>
        <v/>
      </c>
    </row>
    <row r="48">
      <c r="A48" s="36" t="inlineStr">
        <is>
          <t>DOCUMENT_FIDELITY</t>
        </is>
      </c>
      <c r="B48" s="1" t="inlineStr">
        <is>
          <t>Canonical model, fidelity reports, capability matrix, change/review model.</t>
        </is>
      </c>
      <c r="E48" s="34" t="inlineStr">
        <is>
          <t>HEALTH</t>
        </is>
      </c>
      <c r="F48" s="36" t="inlineStr">
        <is>
          <t>FORMATTING</t>
        </is>
      </c>
      <c r="G48" s="32">
        <f>COUNTIF(MASTER!$C$2:$C$2000,$E48)</f>
        <v/>
      </c>
      <c r="H48" s="32">
        <f>COUNTIFS(MASTER!$C$2:$C$2000,$E48,MASTER!$G$2:$G$2000,"DONE")</f>
        <v/>
      </c>
      <c r="I48" s="32">
        <f>COUNTIFS(MASTER!$C$2:$C$2000,$E48,MASTER!$G$2:$G$2000,"VERIFIED")+H48</f>
        <v/>
      </c>
      <c r="J48" s="32">
        <f>COUNTIFS(MASTER!$C$2:$C$2000,$E48,MASTER!$G$2:$G$2000,"IN_PROGRESS")+COUNTIFS(MASTER!$C$2:$C$2000,$E48,MASTER!$G$2:$G$2000,"IMPLEMENTED")+COUNTIFS(MASTER!$C$2:$C$2000,$E48,MASTER!$G$2:$G$2000,"TESTING")</f>
        <v/>
      </c>
      <c r="K48" s="32">
        <f>COUNTIFS(MASTER!$C$2:$C$2000,$E48,MASTER!$G$2:$G$2000,"BLOCKED")</f>
        <v/>
      </c>
      <c r="L48" s="32">
        <f>COUNTIFS(MASTER!$C$2:$C$2000,$E48,MASTER!$G$2:$G$2000,"FAILED")</f>
        <v/>
      </c>
      <c r="M48" s="33">
        <f>IF(G48=0,0,H48/G48)</f>
        <v/>
      </c>
      <c r="N48" s="33">
        <f>IF(G48=0,0,I48/G48)</f>
        <v/>
      </c>
    </row>
    <row r="49">
      <c r="A49" s="36" t="inlineStr">
        <is>
          <t>DOCX_OOXML</t>
        </is>
      </c>
      <c r="B49" s="1" t="inlineStr">
        <is>
          <t>Import and export fidelity for Word documents.</t>
        </is>
      </c>
      <c r="E49" s="34" t="inlineStr">
        <is>
          <t>AI</t>
        </is>
      </c>
      <c r="F49" s="36" t="inlineStr">
        <is>
          <t>AI</t>
        </is>
      </c>
      <c r="G49" s="32">
        <f>COUNTIF(MASTER!$C$2:$C$2000,$E49)</f>
        <v/>
      </c>
      <c r="H49" s="32">
        <f>COUNTIFS(MASTER!$C$2:$C$2000,$E49,MASTER!$G$2:$G$2000,"DONE")</f>
        <v/>
      </c>
      <c r="I49" s="32">
        <f>COUNTIFS(MASTER!$C$2:$C$2000,$E49,MASTER!$G$2:$G$2000,"VERIFIED")+H49</f>
        <v/>
      </c>
      <c r="J49" s="32">
        <f>COUNTIFS(MASTER!$C$2:$C$2000,$E49,MASTER!$G$2:$G$2000,"IN_PROGRESS")+COUNTIFS(MASTER!$C$2:$C$2000,$E49,MASTER!$G$2:$G$2000,"IMPLEMENTED")+COUNTIFS(MASTER!$C$2:$C$2000,$E49,MASTER!$G$2:$G$2000,"TESTING")</f>
        <v/>
      </c>
      <c r="K49" s="32">
        <f>COUNTIFS(MASTER!$C$2:$C$2000,$E49,MASTER!$G$2:$G$2000,"BLOCKED")</f>
        <v/>
      </c>
      <c r="L49" s="32">
        <f>COUNTIFS(MASTER!$C$2:$C$2000,$E49,MASTER!$G$2:$G$2000,"FAILED")</f>
        <v/>
      </c>
      <c r="M49" s="33">
        <f>IF(G49=0,0,H49/G49)</f>
        <v/>
      </c>
      <c r="N49" s="33">
        <f>IF(G49=0,0,I49/G49)</f>
        <v/>
      </c>
    </row>
    <row r="50">
      <c r="A50" s="36" t="inlineStr">
        <is>
          <t>PDF</t>
        </is>
      </c>
      <c r="B50" s="1" t="inlineStr">
        <is>
          <t>PDF export and PDF parsing.</t>
        </is>
      </c>
      <c r="E50" s="34" t="inlineStr">
        <is>
          <t>SECURITY</t>
        </is>
      </c>
      <c r="F50" s="36" t="inlineStr">
        <is>
          <t>SECURITY</t>
        </is>
      </c>
      <c r="G50" s="32">
        <f>COUNTIF(MASTER!$C$2:$C$2000,$E50)</f>
        <v/>
      </c>
      <c r="H50" s="32">
        <f>COUNTIFS(MASTER!$C$2:$C$2000,$E50,MASTER!$G$2:$G$2000,"DONE")</f>
        <v/>
      </c>
      <c r="I50" s="32">
        <f>COUNTIFS(MASTER!$C$2:$C$2000,$E50,MASTER!$G$2:$G$2000,"VERIFIED")+H50</f>
        <v/>
      </c>
      <c r="J50" s="32">
        <f>COUNTIFS(MASTER!$C$2:$C$2000,$E50,MASTER!$G$2:$G$2000,"IN_PROGRESS")+COUNTIFS(MASTER!$C$2:$C$2000,$E50,MASTER!$G$2:$G$2000,"IMPLEMENTED")+COUNTIFS(MASTER!$C$2:$C$2000,$E50,MASTER!$G$2:$G$2000,"TESTING")</f>
        <v/>
      </c>
      <c r="K50" s="32">
        <f>COUNTIFS(MASTER!$C$2:$C$2000,$E50,MASTER!$G$2:$G$2000,"BLOCKED")</f>
        <v/>
      </c>
      <c r="L50" s="32">
        <f>COUNTIFS(MASTER!$C$2:$C$2000,$E50,MASTER!$G$2:$G$2000,"FAILED")</f>
        <v/>
      </c>
      <c r="M50" s="33">
        <f>IF(G50=0,0,H50/G50)</f>
        <v/>
      </c>
      <c r="N50" s="33">
        <f>IF(G50=0,0,I50/G50)</f>
        <v/>
      </c>
    </row>
    <row r="51">
      <c r="A51" s="36" t="inlineStr">
        <is>
          <t>EDITOR</t>
        </is>
      </c>
      <c r="B51" s="1" t="inlineStr">
        <is>
          <t>Tiptap mapping and save integrity.</t>
        </is>
      </c>
      <c r="E51" s="34" t="inlineStr">
        <is>
          <t>ACCOUNT</t>
        </is>
      </c>
      <c r="F51" s="36" t="inlineStr">
        <is>
          <t>SECURITY</t>
        </is>
      </c>
      <c r="G51" s="32">
        <f>COUNTIF(MASTER!$C$2:$C$2000,$E51)</f>
        <v/>
      </c>
      <c r="H51" s="32">
        <f>COUNTIFS(MASTER!$C$2:$C$2000,$E51,MASTER!$G$2:$G$2000,"DONE")</f>
        <v/>
      </c>
      <c r="I51" s="32">
        <f>COUNTIFS(MASTER!$C$2:$C$2000,$E51,MASTER!$G$2:$G$2000,"VERIFIED")+H51</f>
        <v/>
      </c>
      <c r="J51" s="32">
        <f>COUNTIFS(MASTER!$C$2:$C$2000,$E51,MASTER!$G$2:$G$2000,"IN_PROGRESS")+COUNTIFS(MASTER!$C$2:$C$2000,$E51,MASTER!$G$2:$G$2000,"IMPLEMENTED")+COUNTIFS(MASTER!$C$2:$C$2000,$E51,MASTER!$G$2:$G$2000,"TESTING")</f>
        <v/>
      </c>
      <c r="K51" s="32">
        <f>COUNTIFS(MASTER!$C$2:$C$2000,$E51,MASTER!$G$2:$G$2000,"BLOCKED")</f>
        <v/>
      </c>
      <c r="L51" s="32">
        <f>COUNTIFS(MASTER!$C$2:$C$2000,$E51,MASTER!$G$2:$G$2000,"FAILED")</f>
        <v/>
      </c>
      <c r="M51" s="33">
        <f>IF(G51=0,0,H51/G51)</f>
        <v/>
      </c>
      <c r="N51" s="33">
        <f>IF(G51=0,0,I51/G51)</f>
        <v/>
      </c>
    </row>
    <row r="52">
      <c r="A52" s="36" t="inlineStr">
        <is>
          <t>FORMATTING</t>
        </is>
      </c>
      <c r="B52" s="1" t="inlineStr">
        <is>
          <t>Formatting engine, Format by Example, Document Health.</t>
        </is>
      </c>
      <c r="E52" s="34" t="inlineStr">
        <is>
          <t>PERFORMANCE</t>
        </is>
      </c>
      <c r="F52" s="36" t="inlineStr">
        <is>
          <t>PERFORMANCE</t>
        </is>
      </c>
      <c r="G52" s="32">
        <f>COUNTIF(MASTER!$C$2:$C$2000,$E52)</f>
        <v/>
      </c>
      <c r="H52" s="32">
        <f>COUNTIFS(MASTER!$C$2:$C$2000,$E52,MASTER!$G$2:$G$2000,"DONE")</f>
        <v/>
      </c>
      <c r="I52" s="32">
        <f>COUNTIFS(MASTER!$C$2:$C$2000,$E52,MASTER!$G$2:$G$2000,"VERIFIED")+H52</f>
        <v/>
      </c>
      <c r="J52" s="32">
        <f>COUNTIFS(MASTER!$C$2:$C$2000,$E52,MASTER!$G$2:$G$2000,"IN_PROGRESS")+COUNTIFS(MASTER!$C$2:$C$2000,$E52,MASTER!$G$2:$G$2000,"IMPLEMENTED")+COUNTIFS(MASTER!$C$2:$C$2000,$E52,MASTER!$G$2:$G$2000,"TESTING")</f>
        <v/>
      </c>
      <c r="K52" s="32">
        <f>COUNTIFS(MASTER!$C$2:$C$2000,$E52,MASTER!$G$2:$G$2000,"BLOCKED")</f>
        <v/>
      </c>
      <c r="L52" s="32">
        <f>COUNTIFS(MASTER!$C$2:$C$2000,$E52,MASTER!$G$2:$G$2000,"FAILED")</f>
        <v/>
      </c>
      <c r="M52" s="33">
        <f>IF(G52=0,0,H52/G52)</f>
        <v/>
      </c>
      <c r="N52" s="33">
        <f>IF(G52=0,0,I52/G52)</f>
        <v/>
      </c>
    </row>
    <row r="53">
      <c r="A53" s="36" t="inlineStr">
        <is>
          <t>AI</t>
        </is>
      </c>
      <c r="B53" s="1" t="inlineStr">
        <is>
          <t>Fidelity checks, proposals and review, budgets.</t>
        </is>
      </c>
      <c r="E53" s="34" t="inlineStr">
        <is>
          <t>TESTING</t>
        </is>
      </c>
      <c r="F53" s="36" t="inlineStr">
        <is>
          <t>TESTING</t>
        </is>
      </c>
      <c r="G53" s="32">
        <f>COUNTIF(MASTER!$C$2:$C$2000,$E53)</f>
        <v/>
      </c>
      <c r="H53" s="32">
        <f>COUNTIFS(MASTER!$C$2:$C$2000,$E53,MASTER!$G$2:$G$2000,"DONE")</f>
        <v/>
      </c>
      <c r="I53" s="32">
        <f>COUNTIFS(MASTER!$C$2:$C$2000,$E53,MASTER!$G$2:$G$2000,"VERIFIED")+H53</f>
        <v/>
      </c>
      <c r="J53" s="32">
        <f>COUNTIFS(MASTER!$C$2:$C$2000,$E53,MASTER!$G$2:$G$2000,"IN_PROGRESS")+COUNTIFS(MASTER!$C$2:$C$2000,$E53,MASTER!$G$2:$G$2000,"IMPLEMENTED")+COUNTIFS(MASTER!$C$2:$C$2000,$E53,MASTER!$G$2:$G$2000,"TESTING")</f>
        <v/>
      </c>
      <c r="K53" s="32">
        <f>COUNTIFS(MASTER!$C$2:$C$2000,$E53,MASTER!$G$2:$G$2000,"BLOCKED")</f>
        <v/>
      </c>
      <c r="L53" s="32">
        <f>COUNTIFS(MASTER!$C$2:$C$2000,$E53,MASTER!$G$2:$G$2000,"FAILED")</f>
        <v/>
      </c>
      <c r="M53" s="33">
        <f>IF(G53=0,0,H53/G53)</f>
        <v/>
      </c>
      <c r="N53" s="33">
        <f>IF(G53=0,0,I53/G53)</f>
        <v/>
      </c>
    </row>
    <row r="54">
      <c r="A54" s="36" t="inlineStr">
        <is>
          <t>SECURITY</t>
        </is>
      </c>
      <c r="B54" s="1" t="inlineStr">
        <is>
          <t>Security hardening and account essentials.</t>
        </is>
      </c>
      <c r="E54" s="34" t="inlineStr">
        <is>
          <t>PRODUCT</t>
        </is>
      </c>
      <c r="F54" s="36" t="inlineStr">
        <is>
          <t>PRODUCT_FEATURES</t>
        </is>
      </c>
      <c r="G54" s="32">
        <f>COUNTIF(MASTER!$C$2:$C$2000,$E54)</f>
        <v/>
      </c>
      <c r="H54" s="32">
        <f>COUNTIFS(MASTER!$C$2:$C$2000,$E54,MASTER!$G$2:$G$2000,"DONE")</f>
        <v/>
      </c>
      <c r="I54" s="32">
        <f>COUNTIFS(MASTER!$C$2:$C$2000,$E54,MASTER!$G$2:$G$2000,"VERIFIED")+H54</f>
        <v/>
      </c>
      <c r="J54" s="32">
        <f>COUNTIFS(MASTER!$C$2:$C$2000,$E54,MASTER!$G$2:$G$2000,"IN_PROGRESS")+COUNTIFS(MASTER!$C$2:$C$2000,$E54,MASTER!$G$2:$G$2000,"IMPLEMENTED")+COUNTIFS(MASTER!$C$2:$C$2000,$E54,MASTER!$G$2:$G$2000,"TESTING")</f>
        <v/>
      </c>
      <c r="K54" s="32">
        <f>COUNTIFS(MASTER!$C$2:$C$2000,$E54,MASTER!$G$2:$G$2000,"BLOCKED")</f>
        <v/>
      </c>
      <c r="L54" s="32">
        <f>COUNTIFS(MASTER!$C$2:$C$2000,$E54,MASTER!$G$2:$G$2000,"FAILED")</f>
        <v/>
      </c>
      <c r="M54" s="33">
        <f>IF(G54=0,0,H54/G54)</f>
        <v/>
      </c>
      <c r="N54" s="33">
        <f>IF(G54=0,0,I54/G54)</f>
        <v/>
      </c>
    </row>
    <row r="55">
      <c r="A55" s="36" t="inlineStr">
        <is>
          <t>PERFORMANCE</t>
        </is>
      </c>
      <c r="B55" s="1" t="inlineStr">
        <is>
          <t>Measured benchmarks (baseline vs current) and performance tasks.</t>
        </is>
      </c>
      <c r="E55" s="34" t="inlineStr">
        <is>
          <t>TRANSLATION</t>
        </is>
      </c>
      <c r="F55" s="36" t="inlineStr">
        <is>
          <t>TRANSLATION</t>
        </is>
      </c>
      <c r="G55" s="32">
        <f>COUNTIF(MASTER!$C$2:$C$2000,$E55)</f>
        <v/>
      </c>
      <c r="H55" s="32">
        <f>COUNTIFS(MASTER!$C$2:$C$2000,$E55,MASTER!$G$2:$G$2000,"DONE")</f>
        <v/>
      </c>
      <c r="I55" s="32">
        <f>COUNTIFS(MASTER!$C$2:$C$2000,$E55,MASTER!$G$2:$G$2000,"VERIFIED")+H55</f>
        <v/>
      </c>
      <c r="J55" s="32">
        <f>COUNTIFS(MASTER!$C$2:$C$2000,$E55,MASTER!$G$2:$G$2000,"IN_PROGRESS")+COUNTIFS(MASTER!$C$2:$C$2000,$E55,MASTER!$G$2:$G$2000,"IMPLEMENTED")+COUNTIFS(MASTER!$C$2:$C$2000,$E55,MASTER!$G$2:$G$2000,"TESTING")</f>
        <v/>
      </c>
      <c r="K55" s="32">
        <f>COUNTIFS(MASTER!$C$2:$C$2000,$E55,MASTER!$G$2:$G$2000,"BLOCKED")</f>
        <v/>
      </c>
      <c r="L55" s="32">
        <f>COUNTIFS(MASTER!$C$2:$C$2000,$E55,MASTER!$G$2:$G$2000,"FAILED")</f>
        <v/>
      </c>
      <c r="M55" s="33">
        <f>IF(G55=0,0,H55/G55)</f>
        <v/>
      </c>
      <c r="N55" s="33">
        <f>IF(G55=0,0,I55/G55)</f>
        <v/>
      </c>
    </row>
    <row r="56">
      <c r="A56" s="36" t="inlineStr">
        <is>
          <t>TESTING</t>
        </is>
      </c>
      <c r="B56" s="1" t="inlineStr">
        <is>
          <t>Test runs and testing tasks.</t>
        </is>
      </c>
      <c r="E56" s="34" t="inlineStr">
        <is>
          <t>FONT</t>
        </is>
      </c>
      <c r="F56" s="36" t="inlineStr">
        <is>
          <t>TRANSLATION</t>
        </is>
      </c>
      <c r="G56" s="32">
        <f>COUNTIF(MASTER!$C$2:$C$2000,$E56)</f>
        <v/>
      </c>
      <c r="H56" s="32">
        <f>COUNTIFS(MASTER!$C$2:$C$2000,$E56,MASTER!$G$2:$G$2000,"DONE")</f>
        <v/>
      </c>
      <c r="I56" s="32">
        <f>COUNTIFS(MASTER!$C$2:$C$2000,$E56,MASTER!$G$2:$G$2000,"VERIFIED")+H56</f>
        <v/>
      </c>
      <c r="J56" s="32">
        <f>COUNTIFS(MASTER!$C$2:$C$2000,$E56,MASTER!$G$2:$G$2000,"IN_PROGRESS")+COUNTIFS(MASTER!$C$2:$C$2000,$E56,MASTER!$G$2:$G$2000,"IMPLEMENTED")+COUNTIFS(MASTER!$C$2:$C$2000,$E56,MASTER!$G$2:$G$2000,"TESTING")</f>
        <v/>
      </c>
      <c r="K56" s="32">
        <f>COUNTIFS(MASTER!$C$2:$C$2000,$E56,MASTER!$G$2:$G$2000,"BLOCKED")</f>
        <v/>
      </c>
      <c r="L56" s="32">
        <f>COUNTIFS(MASTER!$C$2:$C$2000,$E56,MASTER!$G$2:$G$2000,"FAILED")</f>
        <v/>
      </c>
      <c r="M56" s="33">
        <f>IF(G56=0,0,H56/G56)</f>
        <v/>
      </c>
      <c r="N56" s="33">
        <f>IF(G56=0,0,I56/G56)</f>
        <v/>
      </c>
    </row>
    <row r="57">
      <c r="A57" s="36" t="inlineStr">
        <is>
          <t>PRODUCT_FEATURES</t>
        </is>
      </c>
      <c r="B57" s="1" t="inlineStr">
        <is>
          <t>Feature backlog (NOW / NEXT / LATER / ARCHITECTURE_ONLY) and product tasks.</t>
        </is>
      </c>
      <c r="E57" s="34" t="inlineStr">
        <is>
          <t>P2E</t>
        </is>
      </c>
      <c r="F57" s="36" t="inlineStr">
        <is>
          <t>PDF_TO_EDITABLE</t>
        </is>
      </c>
      <c r="G57" s="32">
        <f>COUNTIF(MASTER!$C$2:$C$2000,$E57)</f>
        <v/>
      </c>
      <c r="H57" s="32">
        <f>COUNTIFS(MASTER!$C$2:$C$2000,$E57,MASTER!$G$2:$G$2000,"DONE")</f>
        <v/>
      </c>
      <c r="I57" s="32">
        <f>COUNTIFS(MASTER!$C$2:$C$2000,$E57,MASTER!$G$2:$G$2000,"VERIFIED")+H57</f>
        <v/>
      </c>
      <c r="J57" s="32">
        <f>COUNTIFS(MASTER!$C$2:$C$2000,$E57,MASTER!$G$2:$G$2000,"IN_PROGRESS")+COUNTIFS(MASTER!$C$2:$C$2000,$E57,MASTER!$G$2:$G$2000,"IMPLEMENTED")+COUNTIFS(MASTER!$C$2:$C$2000,$E57,MASTER!$G$2:$G$2000,"TESTING")</f>
        <v/>
      </c>
      <c r="K57" s="32">
        <f>COUNTIFS(MASTER!$C$2:$C$2000,$E57,MASTER!$G$2:$G$2000,"BLOCKED")</f>
        <v/>
      </c>
      <c r="L57" s="32">
        <f>COUNTIFS(MASTER!$C$2:$C$2000,$E57,MASTER!$G$2:$G$2000,"FAILED")</f>
        <v/>
      </c>
      <c r="M57" s="33">
        <f>IF(G57=0,0,H57/G57)</f>
        <v/>
      </c>
      <c r="N57" s="33">
        <f>IF(G57=0,0,I57/G57)</f>
        <v/>
      </c>
    </row>
    <row r="58">
      <c r="A58" s="36" t="inlineStr">
        <is>
          <t>TRANSLATION</t>
        </is>
      </c>
      <c r="B58" s="1" t="inlineStr">
        <is>
          <t>Translation MVP and FontResolver.</t>
        </is>
      </c>
      <c r="E58" s="34" t="inlineStr">
        <is>
          <t>BILLING</t>
        </is>
      </c>
      <c r="F58" s="36" t="inlineStr">
        <is>
          <t>BILLING_PLANS</t>
        </is>
      </c>
      <c r="G58" s="32">
        <f>COUNTIF(MASTER!$C$2:$C$2000,$E58)</f>
        <v/>
      </c>
      <c r="H58" s="32">
        <f>COUNTIFS(MASTER!$C$2:$C$2000,$E58,MASTER!$G$2:$G$2000,"DONE")</f>
        <v/>
      </c>
      <c r="I58" s="32">
        <f>COUNTIFS(MASTER!$C$2:$C$2000,$E58,MASTER!$G$2:$G$2000,"VERIFIED")+H58</f>
        <v/>
      </c>
      <c r="J58" s="32">
        <f>COUNTIFS(MASTER!$C$2:$C$2000,$E58,MASTER!$G$2:$G$2000,"IN_PROGRESS")+COUNTIFS(MASTER!$C$2:$C$2000,$E58,MASTER!$G$2:$G$2000,"IMPLEMENTED")+COUNTIFS(MASTER!$C$2:$C$2000,$E58,MASTER!$G$2:$G$2000,"TESTING")</f>
        <v/>
      </c>
      <c r="K58" s="32">
        <f>COUNTIFS(MASTER!$C$2:$C$2000,$E58,MASTER!$G$2:$G$2000,"BLOCKED")</f>
        <v/>
      </c>
      <c r="L58" s="32">
        <f>COUNTIFS(MASTER!$C$2:$C$2000,$E58,MASTER!$G$2:$G$2000,"FAILED")</f>
        <v/>
      </c>
      <c r="M58" s="33">
        <f>IF(G58=0,0,H58/G58)</f>
        <v/>
      </c>
      <c r="N58" s="33">
        <f>IF(G58=0,0,I58/G58)</f>
        <v/>
      </c>
    </row>
    <row r="59">
      <c r="A59" s="36" t="inlineStr">
        <is>
          <t>PDF_TO_EDITABLE</t>
        </is>
      </c>
      <c r="B59" s="1" t="inlineStr">
        <is>
          <t>PDF to editable document conversion.</t>
        </is>
      </c>
      <c r="E59" s="34" t="inlineStr">
        <is>
          <t>INFRA</t>
        </is>
      </c>
      <c r="F59" s="36" t="inlineStr">
        <is>
          <t>INFRA</t>
        </is>
      </c>
      <c r="G59" s="32">
        <f>COUNTIF(MASTER!$C$2:$C$2000,$E59)</f>
        <v/>
      </c>
      <c r="H59" s="32">
        <f>COUNTIFS(MASTER!$C$2:$C$2000,$E59,MASTER!$G$2:$G$2000,"DONE")</f>
        <v/>
      </c>
      <c r="I59" s="32">
        <f>COUNTIFS(MASTER!$C$2:$C$2000,$E59,MASTER!$G$2:$G$2000,"VERIFIED")+H59</f>
        <v/>
      </c>
      <c r="J59" s="32">
        <f>COUNTIFS(MASTER!$C$2:$C$2000,$E59,MASTER!$G$2:$G$2000,"IN_PROGRESS")+COUNTIFS(MASTER!$C$2:$C$2000,$E59,MASTER!$G$2:$G$2000,"IMPLEMENTED")+COUNTIFS(MASTER!$C$2:$C$2000,$E59,MASTER!$G$2:$G$2000,"TESTING")</f>
        <v/>
      </c>
      <c r="K59" s="32">
        <f>COUNTIFS(MASTER!$C$2:$C$2000,$E59,MASTER!$G$2:$G$2000,"BLOCKED")</f>
        <v/>
      </c>
      <c r="L59" s="32">
        <f>COUNTIFS(MASTER!$C$2:$C$2000,$E59,MASTER!$G$2:$G$2000,"FAILED")</f>
        <v/>
      </c>
      <c r="M59" s="33">
        <f>IF(G59=0,0,H59/G59)</f>
        <v/>
      </c>
      <c r="N59" s="33">
        <f>IF(G59=0,0,I59/G59)</f>
        <v/>
      </c>
    </row>
    <row r="60">
      <c r="A60" s="36" t="inlineStr">
        <is>
          <t>BILLING_PLANS</t>
        </is>
      </c>
      <c r="B60" s="1" t="inlineStr">
        <is>
          <t>Plan hypotheses, usage units, entitlements, Stripe.</t>
        </is>
      </c>
      <c r="E60" s="34" t="inlineStr">
        <is>
          <t>JOBS</t>
        </is>
      </c>
      <c r="F60" s="36" t="inlineStr">
        <is>
          <t>INFRA</t>
        </is>
      </c>
      <c r="G60" s="32">
        <f>COUNTIF(MASTER!$C$2:$C$2000,$E60)</f>
        <v/>
      </c>
      <c r="H60" s="32">
        <f>COUNTIFS(MASTER!$C$2:$C$2000,$E60,MASTER!$G$2:$G$2000,"DONE")</f>
        <v/>
      </c>
      <c r="I60" s="32">
        <f>COUNTIFS(MASTER!$C$2:$C$2000,$E60,MASTER!$G$2:$G$2000,"VERIFIED")+H60</f>
        <v/>
      </c>
      <c r="J60" s="32">
        <f>COUNTIFS(MASTER!$C$2:$C$2000,$E60,MASTER!$G$2:$G$2000,"IN_PROGRESS")+COUNTIFS(MASTER!$C$2:$C$2000,$E60,MASTER!$G$2:$G$2000,"IMPLEMENTED")+COUNTIFS(MASTER!$C$2:$C$2000,$E60,MASTER!$G$2:$G$2000,"TESTING")</f>
        <v/>
      </c>
      <c r="K60" s="32">
        <f>COUNTIFS(MASTER!$C$2:$C$2000,$E60,MASTER!$G$2:$G$2000,"BLOCKED")</f>
        <v/>
      </c>
      <c r="L60" s="32">
        <f>COUNTIFS(MASTER!$C$2:$C$2000,$E60,MASTER!$G$2:$G$2000,"FAILED")</f>
        <v/>
      </c>
      <c r="M60" s="33">
        <f>IF(G60=0,0,H60/G60)</f>
        <v/>
      </c>
      <c r="N60" s="33">
        <f>IF(G60=0,0,I60/G60)</f>
        <v/>
      </c>
    </row>
    <row r="61">
      <c r="A61" s="36" t="inlineStr">
        <is>
          <t>INFRA</t>
        </is>
      </c>
      <c r="B61" s="1" t="inlineStr">
        <is>
          <t>Tracker, jobs, storage, observability, deployment, documentation.</t>
        </is>
      </c>
      <c r="E61" s="34" t="inlineStr">
        <is>
          <t>STORAGE</t>
        </is>
      </c>
      <c r="F61" s="36" t="inlineStr">
        <is>
          <t>INFRA</t>
        </is>
      </c>
      <c r="G61" s="32">
        <f>COUNTIF(MASTER!$C$2:$C$2000,$E61)</f>
        <v/>
      </c>
      <c r="H61" s="32">
        <f>COUNTIFS(MASTER!$C$2:$C$2000,$E61,MASTER!$G$2:$G$2000,"DONE")</f>
        <v/>
      </c>
      <c r="I61" s="32">
        <f>COUNTIFS(MASTER!$C$2:$C$2000,$E61,MASTER!$G$2:$G$2000,"VERIFIED")+H61</f>
        <v/>
      </c>
      <c r="J61" s="32">
        <f>COUNTIFS(MASTER!$C$2:$C$2000,$E61,MASTER!$G$2:$G$2000,"IN_PROGRESS")+COUNTIFS(MASTER!$C$2:$C$2000,$E61,MASTER!$G$2:$G$2000,"IMPLEMENTED")+COUNTIFS(MASTER!$C$2:$C$2000,$E61,MASTER!$G$2:$G$2000,"TESTING")</f>
        <v/>
      </c>
      <c r="K61" s="32">
        <f>COUNTIFS(MASTER!$C$2:$C$2000,$E61,MASTER!$G$2:$G$2000,"BLOCKED")</f>
        <v/>
      </c>
      <c r="L61" s="32">
        <f>COUNTIFS(MASTER!$C$2:$C$2000,$E61,MASTER!$G$2:$G$2000,"FAILED")</f>
        <v/>
      </c>
      <c r="M61" s="33">
        <f>IF(G61=0,0,H61/G61)</f>
        <v/>
      </c>
      <c r="N61" s="33">
        <f>IF(G61=0,0,I61/G61)</f>
        <v/>
      </c>
    </row>
    <row r="62">
      <c r="A62" s="36" t="inlineStr">
        <is>
          <t>CHANGE_LOG</t>
        </is>
      </c>
      <c r="B62" s="1" t="inlineStr">
        <is>
          <t>Every recorded change with files, tests, result and commit.</t>
        </is>
      </c>
      <c r="E62" s="34" t="inlineStr">
        <is>
          <t>OBSERVABILITY</t>
        </is>
      </c>
      <c r="F62" s="36" t="inlineStr">
        <is>
          <t>INFRA</t>
        </is>
      </c>
      <c r="G62" s="32">
        <f>COUNTIF(MASTER!$C$2:$C$2000,$E62)</f>
        <v/>
      </c>
      <c r="H62" s="32">
        <f>COUNTIFS(MASTER!$C$2:$C$2000,$E62,MASTER!$G$2:$G$2000,"DONE")</f>
        <v/>
      </c>
      <c r="I62" s="32">
        <f>COUNTIFS(MASTER!$C$2:$C$2000,$E62,MASTER!$G$2:$G$2000,"VERIFIED")+H62</f>
        <v/>
      </c>
      <c r="J62" s="32">
        <f>COUNTIFS(MASTER!$C$2:$C$2000,$E62,MASTER!$G$2:$G$2000,"IN_PROGRESS")+COUNTIFS(MASTER!$C$2:$C$2000,$E62,MASTER!$G$2:$G$2000,"IMPLEMENTED")+COUNTIFS(MASTER!$C$2:$C$2000,$E62,MASTER!$G$2:$G$2000,"TESTING")</f>
        <v/>
      </c>
      <c r="K62" s="32">
        <f>COUNTIFS(MASTER!$C$2:$C$2000,$E62,MASTER!$G$2:$G$2000,"BLOCKED")</f>
        <v/>
      </c>
      <c r="L62" s="32">
        <f>COUNTIFS(MASTER!$C$2:$C$2000,$E62,MASTER!$G$2:$G$2000,"FAILED")</f>
        <v/>
      </c>
      <c r="M62" s="33">
        <f>IF(G62=0,0,H62/G62)</f>
        <v/>
      </c>
      <c r="N62" s="33">
        <f>IF(G62=0,0,I62/G62)</f>
        <v/>
      </c>
    </row>
    <row r="63">
      <c r="A63" s="36" t="inlineStr">
        <is>
          <t>SESSION_STATE</t>
        </is>
      </c>
      <c r="B63" s="1" t="inlineStr">
        <is>
          <t>Current phase and task, last verification, next action. Mirrors docs/session-state.json.</t>
        </is>
      </c>
      <c r="E63" s="34" t="inlineStr">
        <is>
          <t>DOCS</t>
        </is>
      </c>
      <c r="F63" s="36" t="inlineStr">
        <is>
          <t>INFRA</t>
        </is>
      </c>
      <c r="G63" s="32">
        <f>COUNTIF(MASTER!$C$2:$C$2000,$E63)</f>
        <v/>
      </c>
      <c r="H63" s="32">
        <f>COUNTIFS(MASTER!$C$2:$C$2000,$E63,MASTER!$G$2:$G$2000,"DONE")</f>
        <v/>
      </c>
      <c r="I63" s="32">
        <f>COUNTIFS(MASTER!$C$2:$C$2000,$E63,MASTER!$G$2:$G$2000,"VERIFIED")+H63</f>
        <v/>
      </c>
      <c r="J63" s="32">
        <f>COUNTIFS(MASTER!$C$2:$C$2000,$E63,MASTER!$G$2:$G$2000,"IN_PROGRESS")+COUNTIFS(MASTER!$C$2:$C$2000,$E63,MASTER!$G$2:$G$2000,"IMPLEMENTED")+COUNTIFS(MASTER!$C$2:$C$2000,$E63,MASTER!$G$2:$G$2000,"TESTING")</f>
        <v/>
      </c>
      <c r="K63" s="32">
        <f>COUNTIFS(MASTER!$C$2:$C$2000,$E63,MASTER!$G$2:$G$2000,"BLOCKED")</f>
        <v/>
      </c>
      <c r="L63" s="32">
        <f>COUNTIFS(MASTER!$C$2:$C$2000,$E63,MASTER!$G$2:$G$2000,"FAILED")</f>
        <v/>
      </c>
      <c r="M63" s="33">
        <f>IF(G63=0,0,H63/G63)</f>
        <v/>
      </c>
      <c r="N63" s="33">
        <f>IF(G63=0,0,I63/G63)</f>
        <v/>
      </c>
    </row>
    <row r="64">
      <c r="A64" s="36" t="inlineStr">
        <is>
          <t>RELEASE_GATES</t>
        </is>
      </c>
      <c r="B64" s="1" t="inlineStr">
        <is>
          <t>GATE-001..015. A gate is set to PASS only with evidence from its verification run.</t>
        </is>
      </c>
    </row>
    <row r="66">
      <c r="A66" s="24" t="inlineStr">
        <is>
          <t>How to read and update</t>
        </is>
      </c>
    </row>
    <row r="67">
      <c r="A67" s="1" t="inlineStr">
        <is>
          <t>Status is always text; colours only highlight it. Completed = DONE. Verified = VERIFIED + DONE.</t>
        </is>
      </c>
    </row>
    <row r="68">
      <c r="A68" s="1" t="inlineStr">
        <is>
          <t>In progress = IN_PROGRESS + IMPLEMENTED + TESTING. Remaining = every task that is not DONE (DEFERRED included).</t>
        </is>
      </c>
    </row>
    <row r="69">
      <c r="A69" s="1" t="inlineStr">
        <is>
          <t>DONE needs evidence, tests and a commit; VERIFIED needs evidence and tests (never fake progress).</t>
        </is>
      </c>
    </row>
    <row r="70">
      <c r="A70" s="1" t="inlineStr">
        <is>
          <t>Change task data in MASTER, or run: python tools/tracker/tracker.py set &lt;ID&gt; --status &lt;STATUS&gt; ... (tools/tracker/README.md).</t>
        </is>
      </c>
    </row>
    <row r="71">
      <c r="A71" s="1" t="inlineStr">
        <is>
          <t>Other sheets are rebuilt by the tool on every write. Input tables that are kept: CRITICAL_FIXES fix tasks and notes, RELEASE_GATES, PERFORMANCE measurements, TESTING runs, BILLING_PLANS values, PRODUCT_FEATURES backlog, CHANGE_LOG, SESSION_STATE values.</t>
        </is>
      </c>
    </row>
    <row r="72">
      <c r="A72" s="1" t="inlineStr">
        <is>
          <t>Resume a session with: Прочети docs/AI-CONTINUATION.md и продължи от next task.</t>
        </is>
      </c>
    </row>
  </sheetData>
  <conditionalFormatting sqref="B9">
    <cfRule type="cellIs" priority="1" operator="greaterThan" dxfId="341">
      <formula>0</formula>
    </cfRule>
  </conditionalFormatting>
  <conditionalFormatting sqref="B10">
    <cfRule type="cellIs" priority="2" operator="greaterThan" dxfId="341">
      <formula>0</formula>
    </cfRule>
  </conditionalFormatting>
  <conditionalFormatting sqref="B16">
    <cfRule type="cellIs" priority="3" operator="greaterThan" dxfId="341">
      <formula>0</formula>
    </cfRule>
  </conditionalFormatting>
  <conditionalFormatting sqref="B20">
    <cfRule type="cellIs" priority="4" operator="greaterThan" dxfId="341">
      <formula>0</formula>
    </cfRule>
  </conditionalFormatting>
  <conditionalFormatting sqref="A24:A33">
    <cfRule type="cellIs" priority="5" operator="equal" dxfId="342">
      <formula>"IN_PROGRESS"</formula>
    </cfRule>
    <cfRule type="cellIs" priority="6" operator="equal" dxfId="343">
      <formula>"BLOCKED"</formula>
    </cfRule>
    <cfRule type="cellIs" priority="7" operator="equal" dxfId="344">
      <formula>"IMPLEMENTED"</formula>
    </cfRule>
    <cfRule type="cellIs" priority="8" operator="equal" dxfId="345">
      <formula>"TESTING"</formula>
    </cfRule>
    <cfRule type="cellIs" priority="9" operator="equal" dxfId="346">
      <formula>"VERIFIED"</formula>
    </cfRule>
    <cfRule type="cellIs" priority="10" operator="equal" dxfId="347">
      <formula>"DONE"</formula>
    </cfRule>
    <cfRule type="cellIs" priority="11" operator="equal" dxfId="341">
      <formula>"FAILED"</formula>
    </cfRule>
    <cfRule type="cellIs" priority="12" operator="equal" dxfId="348">
      <formula>"DEFERRED"</formula>
    </cfRule>
    <cfRule type="cellIs" priority="13" operator="equal" dxfId="349">
      <formula>"UNKNOWN"</formula>
    </cfRule>
  </conditionalFormatting>
  <conditionalFormatting sqref="B37:B42">
    <cfRule type="cellIs" priority="14" operator="equal" dxfId="347">
      <formula>"PASS"</formula>
    </cfRule>
    <cfRule type="cellIs" priority="15" operator="equal" dxfId="341">
      <formula>"FAIL"</formula>
    </cfRule>
    <cfRule type="cellIs" priority="16" operator="equal" dxfId="342">
      <formula>"PARTIAL"</formula>
    </cfRule>
  </conditionalFormatting>
  <conditionalFormatting sqref="M19:N37">
    <cfRule type="dataBar" priority="17">
      <dataBar>
        <cfvo type="num" val="0"/>
        <cfvo type="num" val="1"/>
        <color rgb="0063BE7B"/>
      </dataBar>
    </cfRule>
  </conditionalFormatting>
  <conditionalFormatting sqref="M41:N63">
    <cfRule type="dataBar" priority="18">
      <dataBar>
        <cfvo type="num" val="0"/>
        <cfvo type="num" val="1"/>
        <color rgb="0063BE7B"/>
      </dataBar>
    </cfRule>
  </conditionalFormatting>
  <hyperlinks>
    <hyperlink ref="F41" location="'DOCUMENT_FIDELITY'!A1" display="DOCUMENT_FIDELITY"/>
    <hyperlink ref="F42" location="'DOCUMENT_FIDELITY'!A1" display="DOCUMENT_FIDELITY"/>
    <hyperlink ref="F43" location="'DOCUMENT_FIDELITY'!A1" display="DOCUMENT_FIDELITY"/>
    <hyperlink ref="F44" location="'DOCX_OOXML'!A1" display="DOCX_OOXML"/>
    <hyperlink ref="A45" location="'DASHBOARD'!A1" display="DASHBOARD"/>
    <hyperlink ref="F45" location="'PDF'!A1" display="PDF"/>
    <hyperlink ref="A46" location="'MASTER'!A1" display="MASTER"/>
    <hyperlink ref="F46" location="'EDITOR'!A1" display="EDITOR"/>
    <hyperlink ref="A47" location="'CRITICAL_FIXES'!A1" display="CRITICAL_FIXES"/>
    <hyperlink ref="F47" location="'FORMATTING'!A1" display="FORMATTING"/>
    <hyperlink ref="A48" location="'DOCUMENT_FIDELITY'!A1" display="DOCUMENT_FIDELITY"/>
    <hyperlink ref="F48" location="'FORMATTING'!A1" display="FORMATTING"/>
    <hyperlink ref="A49" location="'DOCX_OOXML'!A1" display="DOCX_OOXML"/>
    <hyperlink ref="F49" location="'AI'!A1" display="AI"/>
    <hyperlink ref="A50" location="'PDF'!A1" display="PDF"/>
    <hyperlink ref="F50" location="'SECURITY'!A1" display="SECURITY"/>
    <hyperlink ref="A51" location="'EDITOR'!A1" display="EDITOR"/>
    <hyperlink ref="F51" location="'SECURITY'!A1" display="SECURITY"/>
    <hyperlink ref="A52" location="'FORMATTING'!A1" display="FORMATTING"/>
    <hyperlink ref="F52" location="'PERFORMANCE'!A1" display="PERFORMANCE"/>
    <hyperlink ref="A53" location="'AI'!A1" display="AI"/>
    <hyperlink ref="F53" location="'TESTING'!A1" display="TESTING"/>
    <hyperlink ref="A54" location="'SECURITY'!A1" display="SECURITY"/>
    <hyperlink ref="F54" location="'PRODUCT_FEATURES'!A1" display="PRODUCT_FEATURES"/>
    <hyperlink ref="A55" location="'PERFORMANCE'!A1" display="PERFORMANCE"/>
    <hyperlink ref="F55" location="'TRANSLATION'!A1" display="TRANSLATION"/>
    <hyperlink ref="A56" location="'TESTING'!A1" display="TESTING"/>
    <hyperlink ref="F56" location="'TRANSLATION'!A1" display="TRANSLATION"/>
    <hyperlink ref="A57" location="'PRODUCT_FEATURES'!A1" display="PRODUCT_FEATURES"/>
    <hyperlink ref="F57" location="'PDF_TO_EDITABLE'!A1" display="PDF_TO_EDITABLE"/>
    <hyperlink ref="A58" location="'TRANSLATION'!A1" display="TRANSLATION"/>
    <hyperlink ref="F58" location="'BILLING_PLANS'!A1" display="BILLING_PLANS"/>
    <hyperlink ref="A59" location="'PDF_TO_EDITABLE'!A1" display="PDF_TO_EDITABLE"/>
    <hyperlink ref="F59" location="'INFRA'!A1" display="INFRA"/>
    <hyperlink ref="A60" location="'BILLING_PLANS'!A1" display="BILLING_PLANS"/>
    <hyperlink ref="F60" location="'INFRA'!A1" display="INFRA"/>
    <hyperlink ref="A61" location="'INFRA'!A1" display="INFRA"/>
    <hyperlink ref="F61" location="'INFRA'!A1" display="INFRA"/>
    <hyperlink ref="A62" location="'CHANGE_LOG'!A1" display="CHANGE_LOG"/>
    <hyperlink ref="F62" location="'INFRA'!A1" display="INFRA"/>
    <hyperlink ref="A63" location="'SESSION_STATE'!A1" display="SESSION_STATE"/>
    <hyperlink ref="F63" location="'INFRA'!A1" display="INFRA"/>
    <hyperlink ref="A64" location="'RELEASE_GATES'!A1" display="RELEASE_GATES"/>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S1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14" customWidth="1" min="3" max="3"/>
    <col width="42" customWidth="1" min="4" max="4"/>
    <col width="60" customWidth="1" min="5" max="5"/>
    <col width="9" customWidth="1" min="6" max="6"/>
    <col width="14" customWidth="1" min="7" max="7"/>
    <col width="45" customWidth="1" min="8" max="8"/>
    <col width="40" customWidth="1" min="9" max="9"/>
    <col width="24" customWidth="1" min="10" max="10"/>
    <col width="22" customWidth="1" min="11" max="11"/>
    <col width="9" customWidth="1" min="12" max="12"/>
    <col width="17" customWidth="1" min="13" max="13"/>
    <col width="17" customWidth="1" min="14" max="14"/>
    <col width="17" customWidth="1" min="15" max="15"/>
    <col width="10" customWidth="1" min="16" max="16"/>
    <col width="45" customWidth="1" min="17" max="17"/>
    <col width="11" customWidth="1" min="18" max="18"/>
    <col width="16" customWidth="1" min="19" max="19"/>
  </cols>
  <sheetData>
    <row r="1">
      <c r="A1" s="29" t="inlineStr">
        <is>
          <t>ID</t>
        </is>
      </c>
      <c r="B1" s="29" t="inlineStr">
        <is>
          <t>Phase</t>
        </is>
      </c>
      <c r="C1" s="29" t="inlineStr">
        <is>
          <t>Category</t>
        </is>
      </c>
      <c r="D1" s="29" t="inlineStr">
        <is>
          <t>Feature/Task</t>
        </is>
      </c>
      <c r="E1" s="29" t="inlineStr">
        <is>
          <t>Description</t>
        </is>
      </c>
      <c r="F1" s="29" t="inlineStr">
        <is>
          <t>Priority</t>
        </is>
      </c>
      <c r="G1" s="29" t="inlineStr">
        <is>
          <t>Status</t>
        </is>
      </c>
      <c r="H1" s="29" t="inlineStr">
        <is>
          <t>Evidence</t>
        </is>
      </c>
      <c r="I1" s="29" t="inlineStr">
        <is>
          <t>Tests</t>
        </is>
      </c>
      <c r="J1" s="29" t="inlineStr">
        <is>
          <t>Owner/System</t>
        </is>
      </c>
      <c r="K1" s="29" t="inlineStr">
        <is>
          <t>Dependencies</t>
        </is>
      </c>
      <c r="L1" s="29" t="inlineStr">
        <is>
          <t>Risk</t>
        </is>
      </c>
      <c r="M1" s="29" t="inlineStr">
        <is>
          <t>Started</t>
        </is>
      </c>
      <c r="N1" s="29" t="inlineStr">
        <is>
          <t>Completed</t>
        </is>
      </c>
      <c r="O1" s="29" t="inlineStr">
        <is>
          <t>Last Verified</t>
        </is>
      </c>
      <c r="P1" s="29" t="inlineStr">
        <is>
          <t>Commit</t>
        </is>
      </c>
      <c r="Q1" s="29" t="inlineStr">
        <is>
          <t>Notes</t>
        </is>
      </c>
      <c r="R1" s="29" t="inlineStr">
        <is>
          <t>Parent ID</t>
        </is>
      </c>
      <c r="S1" s="29" t="inlineStr">
        <is>
          <t>Audit Ref</t>
        </is>
      </c>
    </row>
    <row r="2">
      <c r="A2" s="34" t="inlineStr">
        <is>
          <t>INFRA-001</t>
        </is>
      </c>
      <c r="B2" s="35" t="n">
        <v>0</v>
      </c>
      <c r="C2" s="31" t="inlineStr">
        <is>
          <t>INFRA</t>
        </is>
      </c>
      <c r="D2" s="37" t="inlineStr">
        <is>
          <t>Excel control centre</t>
        </is>
      </c>
      <c r="E2" s="37" t="inlineStr">
        <is>
          <t>SmartDoc_Master_Implementation_Tracker.xlsx with MASTER, dashboard formulas, category views, conditional formatting, validation; tools/tracker CLI to update it.</t>
        </is>
      </c>
      <c r="F2" s="31" t="inlineStr">
        <is>
          <t>P0</t>
        </is>
      </c>
      <c r="G2" s="31" t="inlineStr">
        <is>
          <t>DONE</t>
        </is>
      </c>
      <c r="H2" s="37" t="inlineStr">
        <is>
          <t>SmartDoc_Master_Implementation_Tracker.xlsx: 20 sheets (19 required + DASHBOARD), 3,340 formulas, status/priority/risk/category/phase validation, conditional formatting; tools/tracker/tracker.py, seed.py, excel_recalc.py, selftest.py, README.md</t>
        </is>
      </c>
      <c r="I2" s="37" t="inlineStr">
        <is>
          <t>python tools/tracker/selftest.py -&gt; PASS; tools/tracker/excel_recalc.py -&gt; 0 formula errors, 0 value mismatches (also on a scratch copy covering every status)</t>
        </is>
      </c>
      <c r="J2" s="37" t="inlineStr">
        <is>
          <t>tools/tracker</t>
        </is>
      </c>
      <c r="K2" s="37" t="n"/>
      <c r="L2" s="31" t="inlineStr">
        <is>
          <t>Low</t>
        </is>
      </c>
      <c r="M2" s="41" t="n">
        <v>46292.16099537037</v>
      </c>
      <c r="N2" s="41" t="n">
        <v>46292.17140046296</v>
      </c>
      <c r="O2" s="41" t="n">
        <v>46292.17140046296</v>
      </c>
      <c r="P2" s="31" t="inlineStr">
        <is>
          <t>4da4ecb</t>
        </is>
      </c>
      <c r="Q2" s="37" t="n"/>
      <c r="R2" s="31" t="n"/>
      <c r="S2" s="31" t="n"/>
    </row>
    <row r="3">
      <c r="A3" s="34" t="inlineStr">
        <is>
          <t>INFRA-002</t>
        </is>
      </c>
      <c r="B3" s="35" t="n">
        <v>0</v>
      </c>
      <c r="C3" s="31" t="inlineStr">
        <is>
          <t>INFRA</t>
        </is>
      </c>
      <c r="D3" s="37" t="inlineStr">
        <is>
          <t>Continuation system</t>
        </is>
      </c>
      <c r="E3" s="37" t="inlineStr">
        <is>
          <t>docs/AI-CONTINUATION.md + docs/session-state.json kept current at every checkpoint.</t>
        </is>
      </c>
      <c r="F3" s="31" t="inlineStr">
        <is>
          <t>P0</t>
        </is>
      </c>
      <c r="G3" s="31" t="inlineStr">
        <is>
          <t>DONE</t>
        </is>
      </c>
      <c r="H3" s="37" t="inlineStr">
        <is>
          <t>docs/AI-CONTINUATION.md (8 required sections), docs/session-state.json (all 19 fields of brief §11), SESSION_STATE sheet (14 fields of brief §110 + Excel Status), docs/implementation-brief.md</t>
        </is>
      </c>
      <c r="I3" s="37" t="inlineStr">
        <is>
          <t>tracker.py state --touch synced JSON -&gt; SESSION_STATE and wrote current_excel_status back; selftest covers the state command</t>
        </is>
      </c>
      <c r="J3" s="37" t="inlineStr">
        <is>
          <t>docs</t>
        </is>
      </c>
      <c r="K3" s="37" t="inlineStr">
        <is>
          <t>INFRA-001</t>
        </is>
      </c>
      <c r="L3" s="31" t="inlineStr">
        <is>
          <t>Low</t>
        </is>
      </c>
      <c r="M3" s="41" t="n">
        <v>46292.161875</v>
      </c>
      <c r="N3" s="41" t="n">
        <v>46292.17143518518</v>
      </c>
      <c r="O3" s="41" t="n">
        <v>46292.17143518518</v>
      </c>
      <c r="P3" s="31" t="inlineStr">
        <is>
          <t>4da4ecb</t>
        </is>
      </c>
      <c r="Q3" s="37" t="n"/>
      <c r="R3" s="31" t="n"/>
      <c r="S3" s="31" t="n"/>
    </row>
    <row r="4">
      <c r="A4" s="34" t="inlineStr">
        <is>
          <t>INFRA-003</t>
        </is>
      </c>
      <c r="B4" s="35" t="n">
        <v>0</v>
      </c>
      <c r="C4" s="31" t="inlineStr">
        <is>
          <t>INFRA</t>
        </is>
      </c>
      <c r="D4" s="37" t="inlineStr">
        <is>
          <t>Resume reminder</t>
        </is>
      </c>
      <c r="E4" s="37" t="inlineStr">
        <is>
          <t>Session scheduler job that resumes from docs/AI-CONTINUATION.md while idle.</t>
        </is>
      </c>
      <c r="F4" s="31" t="inlineStr">
        <is>
          <t>P1</t>
        </is>
      </c>
      <c r="G4" s="31" t="inlineStr">
        <is>
          <t>DONE</t>
        </is>
      </c>
      <c r="H4" s="37" t="inlineStr">
        <is>
          <t>Session cron job 2a28a683 (hourly at :23, session-only, auto-expires after 7 days) with the resume prompt</t>
        </is>
      </c>
      <c r="I4" s="37" t="inlineStr">
        <is>
          <t>Fired on 2026-09-27 and resumed this session from the continuation prompt</t>
        </is>
      </c>
      <c r="J4" s="37" t="inlineStr">
        <is>
          <t>session</t>
        </is>
      </c>
      <c r="K4" s="37" t="n"/>
      <c r="L4" s="31" t="inlineStr">
        <is>
          <t>Low</t>
        </is>
      </c>
      <c r="M4" s="41" t="n">
        <v>46292.16103009259</v>
      </c>
      <c r="N4" s="41" t="n">
        <v>46292.17146990741</v>
      </c>
      <c r="O4" s="41" t="n">
        <v>46292.17146990741</v>
      </c>
      <c r="P4" s="31" t="inlineStr">
        <is>
          <t>4da4ecb</t>
        </is>
      </c>
      <c r="Q4" s="37" t="n"/>
      <c r="R4" s="31" t="n"/>
      <c r="S4" s="31" t="n"/>
    </row>
    <row r="5">
      <c r="A5" s="34" t="inlineStr">
        <is>
          <t>TEST-001</t>
        </is>
      </c>
      <c r="B5" s="35" t="n">
        <v>0</v>
      </c>
      <c r="C5" s="31" t="inlineStr">
        <is>
          <t>TESTING</t>
        </is>
      </c>
      <c r="D5" s="37" t="inlineStr">
        <is>
          <t>Baseline: backend tests</t>
        </is>
      </c>
      <c r="E5" s="37" t="inlineStr">
        <is>
          <t>Full pytest run recorded (count, failures, duration, coverage).</t>
        </is>
      </c>
      <c r="F5" s="31" t="inlineStr">
        <is>
          <t>P0</t>
        </is>
      </c>
      <c r="G5" s="31" t="inlineStr">
        <is>
          <t>DONE</t>
        </is>
      </c>
      <c r="H5" s="37" t="inlineStr">
        <is>
          <t>docs/architecture/current-baseline.md; TESTING RUN-0001</t>
        </is>
      </c>
      <c r="I5" s="37" t="inlineStr">
        <is>
          <t>backend pytest: 643 passed, 1 skipped, 0 failed (88 s)</t>
        </is>
      </c>
      <c r="J5" s="37" t="inlineStr">
        <is>
          <t>backend/tests</t>
        </is>
      </c>
      <c r="K5" s="37" t="n"/>
      <c r="L5" s="31" t="inlineStr">
        <is>
          <t>Low</t>
        </is>
      </c>
      <c r="M5" s="41" t="n">
        <v>46292.16734953703</v>
      </c>
      <c r="N5" s="41" t="n">
        <v>46292.17150462963</v>
      </c>
      <c r="O5" s="41" t="n">
        <v>46292.17150462963</v>
      </c>
      <c r="P5" s="31" t="inlineStr">
        <is>
          <t>4da4ecb</t>
        </is>
      </c>
      <c r="Q5" s="37" t="n"/>
      <c r="R5" s="31" t="n"/>
      <c r="S5" s="31" t="n"/>
    </row>
    <row r="6">
      <c r="A6" s="34" t="inlineStr">
        <is>
          <t>TEST-002</t>
        </is>
      </c>
      <c r="B6" s="35" t="n">
        <v>0</v>
      </c>
      <c r="C6" s="31" t="inlineStr">
        <is>
          <t>TESTING</t>
        </is>
      </c>
      <c r="D6" s="37" t="inlineStr">
        <is>
          <t>Baseline: frontend tests, typecheck, lint, build</t>
        </is>
      </c>
      <c r="E6" s="37" t="inlineStr">
        <is>
          <t>Vitest, tsc --noEmit, eslint, next build.</t>
        </is>
      </c>
      <c r="F6" s="31" t="inlineStr">
        <is>
          <t>P0</t>
        </is>
      </c>
      <c r="G6" s="31" t="inlineStr">
        <is>
          <t>DONE</t>
        </is>
      </c>
      <c r="H6" s="37" t="inlineStr">
        <is>
          <t>docs/architecture/current-baseline.md; TESTING RUN-0002..0005</t>
        </is>
      </c>
      <c r="I6" s="37" t="inlineStr">
        <is>
          <t>eslint 0 problems; tsc 0 errors; Vitest 46/46; next build OK (11 routes)</t>
        </is>
      </c>
      <c r="J6" s="37" t="inlineStr">
        <is>
          <t>frontend</t>
        </is>
      </c>
      <c r="K6" s="37" t="n"/>
      <c r="L6" s="31" t="inlineStr">
        <is>
          <t>Low</t>
        </is>
      </c>
      <c r="M6" s="41" t="n">
        <v>46292.16739583333</v>
      </c>
      <c r="N6" s="41" t="n">
        <v>46292.17155092592</v>
      </c>
      <c r="O6" s="41" t="n">
        <v>46292.17155092592</v>
      </c>
      <c r="P6" s="31" t="inlineStr">
        <is>
          <t>4da4ecb</t>
        </is>
      </c>
      <c r="Q6" s="37" t="n"/>
      <c r="R6" s="31" t="n"/>
      <c r="S6" s="31" t="n"/>
    </row>
    <row r="7">
      <c r="A7" s="34" t="inlineStr">
        <is>
          <t>TEST-003</t>
        </is>
      </c>
      <c r="B7" s="35" t="n">
        <v>0</v>
      </c>
      <c r="C7" s="31" t="inlineStr">
        <is>
          <t>TESTING</t>
        </is>
      </c>
      <c r="D7" s="37" t="inlineStr">
        <is>
          <t>Baseline: Playwright E2E</t>
        </is>
      </c>
      <c r="E7" s="37" t="inlineStr">
        <is>
          <t>npm run test:e2e against the throwaway stack.</t>
        </is>
      </c>
      <c r="F7" s="31" t="inlineStr">
        <is>
          <t>P0</t>
        </is>
      </c>
      <c r="G7" s="31" t="inlineStr">
        <is>
          <t>DONE</t>
        </is>
      </c>
      <c r="H7" s="37" t="inlineStr">
        <is>
          <t>docs/architecture/current-baseline.md; TESTING RUN-0006</t>
        </is>
      </c>
      <c r="I7" s="37" t="inlineStr">
        <is>
          <t>Playwright (Edge): 16 passed, 0 failed (67 s)</t>
        </is>
      </c>
      <c r="J7" s="37" t="inlineStr">
        <is>
          <t>frontend/e2e</t>
        </is>
      </c>
      <c r="K7" s="37" t="n"/>
      <c r="L7" s="31" t="inlineStr">
        <is>
          <t>Low</t>
        </is>
      </c>
      <c r="M7" s="41" t="n">
        <v>46292.16743055556</v>
      </c>
      <c r="N7" s="41" t="n">
        <v>46292.17158564815</v>
      </c>
      <c r="O7" s="41" t="n">
        <v>46292.17158564815</v>
      </c>
      <c r="P7" s="31" t="inlineStr">
        <is>
          <t>4da4ecb</t>
        </is>
      </c>
      <c r="Q7" s="37" t="n"/>
      <c r="R7" s="31" t="n"/>
      <c r="S7" s="31" t="n"/>
    </row>
    <row r="8">
      <c r="A8" s="34" t="inlineStr">
        <is>
          <t>TEST-004</t>
        </is>
      </c>
      <c r="B8" s="35" t="n">
        <v>0</v>
      </c>
      <c r="C8" s="31" t="inlineStr">
        <is>
          <t>TESTING</t>
        </is>
      </c>
      <c r="D8" s="37" t="inlineStr">
        <is>
          <t>Baseline: migrations and database</t>
        </is>
      </c>
      <c r="E8" s="37" t="inlineStr">
        <is>
          <t>alembic upgrade/check/downgrade/upgrade on scratch DB; offline Postgres SQL; Supabase migrations + advisors.</t>
        </is>
      </c>
      <c r="F8" s="31" t="inlineStr">
        <is>
          <t>P0</t>
        </is>
      </c>
      <c r="G8" s="31" t="inlineStr">
        <is>
          <t>DONE</t>
        </is>
      </c>
      <c r="H8" s="37" t="inlineStr">
        <is>
          <t>docs/architecture/current-baseline.md; TESTING RUN-0007, RUN-0008</t>
        </is>
      </c>
      <c r="I8" s="37" t="inlineStr">
        <is>
          <t>alembic upgrade/check/downgrade/upgrade on scratch SQLite; offline PostgreSQL SQL; Supabase list_migrations 8/8 + advisors</t>
        </is>
      </c>
      <c r="J8" s="37" t="inlineStr">
        <is>
          <t>backend/alembic</t>
        </is>
      </c>
      <c r="K8" s="37" t="n"/>
      <c r="L8" s="31" t="inlineStr">
        <is>
          <t>Low</t>
        </is>
      </c>
      <c r="M8" s="41" t="n">
        <v>46292.16746527778</v>
      </c>
      <c r="N8" s="41" t="n">
        <v>46292.17162037037</v>
      </c>
      <c r="O8" s="41" t="n">
        <v>46292.17162037037</v>
      </c>
      <c r="P8" s="31" t="inlineStr">
        <is>
          <t>4da4ecb</t>
        </is>
      </c>
      <c r="Q8" s="37" t="n"/>
      <c r="R8" s="31" t="n"/>
      <c r="S8" s="31" t="n"/>
    </row>
    <row r="9">
      <c r="A9" s="34" t="inlineStr">
        <is>
          <t>SEC-001</t>
        </is>
      </c>
      <c r="B9" s="35" t="n">
        <v>0</v>
      </c>
      <c r="C9" s="31" t="inlineStr">
        <is>
          <t>SECURITY</t>
        </is>
      </c>
      <c r="D9" s="37" t="inlineStr">
        <is>
          <t>Baseline: dependency audit</t>
        </is>
      </c>
      <c r="E9" s="37" t="inlineStr">
        <is>
          <t>pip-audit on both locks; npm audit.</t>
        </is>
      </c>
      <c r="F9" s="31" t="inlineStr">
        <is>
          <t>P1</t>
        </is>
      </c>
      <c r="G9" s="31" t="inlineStr">
        <is>
          <t>DONE</t>
        </is>
      </c>
      <c r="H9" s="37" t="inlineStr">
        <is>
          <t>docs/architecture/current-baseline.md; TESTING RUN-0009, RUN-0010</t>
        </is>
      </c>
      <c r="I9" s="37" t="inlineStr">
        <is>
          <t>pip-audit (both locks): no known vulnerabilities; npm audit: 0 of 633 dependencies</t>
        </is>
      </c>
      <c r="J9" s="37" t="inlineStr">
        <is>
          <t>backend, frontend</t>
        </is>
      </c>
      <c r="K9" s="37" t="n"/>
      <c r="L9" s="31" t="inlineStr">
        <is>
          <t>Low</t>
        </is>
      </c>
      <c r="M9" s="41" t="n">
        <v>46292.1675</v>
      </c>
      <c r="N9" s="41" t="n">
        <v>46292.17168981482</v>
      </c>
      <c r="O9" s="41" t="n">
        <v>46292.17168981482</v>
      </c>
      <c r="P9" s="31" t="inlineStr">
        <is>
          <t>4da4ecb</t>
        </is>
      </c>
      <c r="Q9" s="37" t="n"/>
      <c r="R9" s="31" t="n"/>
      <c r="S9" s="31" t="n"/>
    </row>
    <row r="10">
      <c r="A10" s="34" t="inlineStr">
        <is>
          <t>INFRA-004</t>
        </is>
      </c>
      <c r="B10" s="35" t="n">
        <v>0</v>
      </c>
      <c r="C10" s="31" t="inlineStr">
        <is>
          <t>INFRA</t>
        </is>
      </c>
      <c r="D10" s="37" t="inlineStr">
        <is>
          <t>Baseline: Docker, worker, storage</t>
        </is>
      </c>
      <c r="E10" s="37" t="inlineStr">
        <is>
          <t>docker compose config; Dockerfiles; arq worker; storage providers inspected.</t>
        </is>
      </c>
      <c r="F10" s="31" t="inlineStr">
        <is>
          <t>P1</t>
        </is>
      </c>
      <c r="G10" s="31" t="inlineStr">
        <is>
          <t>DONE</t>
        </is>
      </c>
      <c r="H10" s="37" t="inlineStr">
        <is>
          <t>docs/architecture/current-baseline.md; TESTING RUN-0011</t>
        </is>
      </c>
      <c r="I10" s="37" t="inlineStr">
        <is>
          <t>docker compose config --quiet (valid, 8 services); worker (arq app.worker.WorkerSettings) and storage (local / S3 providers) inspected</t>
        </is>
      </c>
      <c r="J10" s="37" t="inlineStr">
        <is>
          <t>docker, jobs, storage</t>
        </is>
      </c>
      <c r="K10" s="37" t="n"/>
      <c r="L10" s="31" t="inlineStr">
        <is>
          <t>Low</t>
        </is>
      </c>
      <c r="M10" s="41" t="n">
        <v>46292.16753472222</v>
      </c>
      <c r="N10" s="41" t="n">
        <v>46292.17173611111</v>
      </c>
      <c r="O10" s="41" t="n">
        <v>46292.17173611111</v>
      </c>
      <c r="P10" s="31" t="inlineStr">
        <is>
          <t>4da4ecb</t>
        </is>
      </c>
      <c r="Q10" s="37" t="inlineStr">
        <is>
          <t>Images not built: Docker daemon not running here; image build + start is INFRA-010 (phase 17).</t>
        </is>
      </c>
      <c r="R10" s="31" t="n"/>
      <c r="S10" s="31" t="n"/>
    </row>
    <row r="11">
      <c r="A11" s="34" t="inlineStr">
        <is>
          <t>TEST-005</t>
        </is>
      </c>
      <c r="B11" s="35" t="n">
        <v>0</v>
      </c>
      <c r="C11" s="31" t="inlineStr">
        <is>
          <t>TESTING</t>
        </is>
      </c>
      <c r="D11" s="37" t="inlineStr">
        <is>
          <t>Baseline: fixture inventory</t>
        </is>
      </c>
      <c r="E11" s="37" t="inlineStr">
        <is>
          <t>Golden fixtures + the audit's Word-authored fixtures inventoried.</t>
        </is>
      </c>
      <c r="F11" s="31" t="inlineStr">
        <is>
          <t>P1</t>
        </is>
      </c>
      <c r="G11" s="31" t="inlineStr">
        <is>
          <t>DONE</t>
        </is>
      </c>
      <c r="H11" s="37" t="inlineStr">
        <is>
          <t>docs/architecture/current-baseline.md (fixture inventory)</t>
        </is>
      </c>
      <c r="I11" s="37" t="inlineStr">
        <is>
          <t>backend/tests/fixtures: 12 generated DOCX + sample.pdf; 17 Word-authored audit fixtures (a01-a12, r01-r05) outside the repo</t>
        </is>
      </c>
      <c r="J11" s="37" t="inlineStr">
        <is>
          <t>backend/tests/fixtures</t>
        </is>
      </c>
      <c r="K11" s="37" t="n"/>
      <c r="L11" s="31" t="inlineStr">
        <is>
          <t>Low</t>
        </is>
      </c>
      <c r="M11" s="41" t="n">
        <v>46292.16756944444</v>
      </c>
      <c r="N11" s="41" t="n">
        <v>46292.17165509259</v>
      </c>
      <c r="O11" s="41" t="n">
        <v>46292.17165509259</v>
      </c>
      <c r="P11" s="31" t="inlineStr">
        <is>
          <t>4da4ecb</t>
        </is>
      </c>
      <c r="Q11" s="37" t="n"/>
      <c r="R11" s="31" t="n"/>
      <c r="S11" s="31" t="n"/>
    </row>
    <row r="12">
      <c r="A12" s="34" t="inlineStr">
        <is>
          <t>DOCS-001</t>
        </is>
      </c>
      <c r="B12" s="35" t="n">
        <v>0</v>
      </c>
      <c r="C12" s="31" t="inlineStr">
        <is>
          <t>DOCS</t>
        </is>
      </c>
      <c r="D12" s="37" t="inlineStr">
        <is>
          <t>current-baseline.md</t>
        </is>
      </c>
      <c r="E12" s="37" t="inlineStr">
        <is>
          <t>docs/architecture/current-baseline.md with measured baseline.</t>
        </is>
      </c>
      <c r="F12" s="31" t="inlineStr">
        <is>
          <t>P0</t>
        </is>
      </c>
      <c r="G12" s="31" t="inlineStr">
        <is>
          <t>DONE</t>
        </is>
      </c>
      <c r="H12" s="37" t="inlineStr">
        <is>
          <t>docs/architecture/current-baseline.md</t>
        </is>
      </c>
      <c r="I12" s="37" t="inlineStr">
        <is>
          <t>Every figure taken from RUN-0001..RUN-0011 logs, Supabase MCP output and the audit's perf logs</t>
        </is>
      </c>
      <c r="J12" s="37" t="inlineStr">
        <is>
          <t>docs</t>
        </is>
      </c>
      <c r="K12" s="37" t="inlineStr">
        <is>
          <t>TEST-001,TEST-002,TEST-003,TEST-004</t>
        </is>
      </c>
      <c r="L12" s="31" t="inlineStr">
        <is>
          <t>Low</t>
        </is>
      </c>
      <c r="M12" s="41" t="n">
        <v>46292.16815972222</v>
      </c>
      <c r="N12" s="41" t="n">
        <v>46292.17177083333</v>
      </c>
      <c r="O12" s="41" t="n">
        <v>46292.17177083333</v>
      </c>
      <c r="P12" s="31" t="inlineStr">
        <is>
          <t>4da4ecb</t>
        </is>
      </c>
      <c r="Q12" s="37" t="n"/>
      <c r="R12" s="31" t="n"/>
      <c r="S12" s="31" t="n"/>
    </row>
    <row r="13">
      <c r="A13" s="34" t="inlineStr">
        <is>
          <t>CORE-001</t>
        </is>
      </c>
      <c r="B13" s="35" t="n">
        <v>1</v>
      </c>
      <c r="C13" s="31" t="inlineStr">
        <is>
          <t>CORE</t>
        </is>
      </c>
      <c r="D13" s="37" t="inlineStr">
        <is>
          <t>Nested block containers in the model</t>
        </is>
      </c>
      <c r="E13" s="37" t="inlineStr">
        <is>
          <t>TableCell.blocks, ListItem.blocks and Element.children (quotes) hold lists, code, images, quotes, nested tables; recursive, validated, backwards compatible.</t>
        </is>
      </c>
      <c r="F13" s="31" t="inlineStr">
        <is>
          <t>P0</t>
        </is>
      </c>
      <c r="G13" s="31" t="inlineStr">
        <is>
          <t>DONE</t>
        </is>
      </c>
      <c r="H13" s="37" t="inlineStr">
        <is>
          <t>backend/app/models/document.py: TableCell.blocks, ListItem.blocks, Element.children, Element.numbering (ListNumbering start/format), MAX_BLOCK_DEPTH=8 validator, child_blocks/walk_elements/inline_runs</t>
        </is>
      </c>
      <c r="I13" s="37" t="inlineStr">
        <is>
          <t>tests/test_document_nesting.py (9); full backend 659 passed</t>
        </is>
      </c>
      <c r="J13" s="37" t="inlineStr">
        <is>
          <t>backend/models</t>
        </is>
      </c>
      <c r="K13" s="37" t="n"/>
      <c r="L13" s="31" t="inlineStr">
        <is>
          <t>High</t>
        </is>
      </c>
      <c r="M13" s="41" t="n">
        <v>46292.17592592593</v>
      </c>
      <c r="N13" s="41" t="n">
        <v>46292.19649305556</v>
      </c>
      <c r="O13" s="41" t="n">
        <v>46292.19649305556</v>
      </c>
      <c r="P13" s="31" t="inlineStr">
        <is>
          <t>1fe27a9</t>
        </is>
      </c>
      <c r="Q13" s="37" t="inlineStr">
        <is>
          <t>Design: TableCell.blocks / ListItem.blocks / Element.children hold nested Elements (authoritative when set; inline keeps the plain text); Element.numbering {start, format}; nesting capped at MAX_BLOCK_DEPTH; walk_elements() for every consumer.</t>
        </is>
      </c>
      <c r="R13" s="31" t="n"/>
      <c r="S13" s="31" t="inlineStr">
        <is>
          <t>AUD-01,AUD-19</t>
        </is>
      </c>
    </row>
    <row r="14">
      <c r="A14" s="34" t="inlineStr">
        <is>
          <t>CORE-002</t>
        </is>
      </c>
      <c r="B14" s="35" t="n">
        <v>1</v>
      </c>
      <c r="C14" s="31" t="inlineStr">
        <is>
          <t>CORE</t>
        </is>
      </c>
      <c r="D14" s="37" t="inlineStr">
        <is>
          <t>OpenAPI + generated types for nested blocks</t>
        </is>
      </c>
      <c r="E14" s="37" t="inlineStr">
        <is>
          <t>Regenerate openapi.json and frontend types; contract test green.</t>
        </is>
      </c>
      <c r="F14" s="31" t="inlineStr">
        <is>
          <t>P0</t>
        </is>
      </c>
      <c r="G14" s="31" t="inlineStr">
        <is>
          <t>DONE</t>
        </is>
      </c>
      <c r="H14" s="37" t="inlineStr">
        <is>
          <t>frontend/types/generated/openapi.json + api.ts regenerated; types/document.ts exports ListNumbering/NumberFormat</t>
        </is>
      </c>
      <c r="I14" s="37" t="inlineStr">
        <is>
          <t>tests/test_openapi_contract.py; npx tsc --noEmit clean</t>
        </is>
      </c>
      <c r="J14" s="37" t="inlineStr">
        <is>
          <t>backend/scripts, frontend/types</t>
        </is>
      </c>
      <c r="K14" s="37" t="inlineStr">
        <is>
          <t>CORE-001</t>
        </is>
      </c>
      <c r="L14" s="31" t="inlineStr">
        <is>
          <t>Medium</t>
        </is>
      </c>
      <c r="M14" s="41" t="n">
        <v>46292.18976851852</v>
      </c>
      <c r="N14" s="41" t="n">
        <v>46292.19652777778</v>
      </c>
      <c r="O14" s="41" t="n">
        <v>46292.19652777778</v>
      </c>
      <c r="P14" s="31" t="inlineStr">
        <is>
          <t>1fe27a9</t>
        </is>
      </c>
      <c r="Q14" s="37" t="n"/>
      <c r="R14" s="31" t="inlineStr">
        <is>
          <t>CORE-001</t>
        </is>
      </c>
      <c r="S14" s="31" t="inlineStr">
        <is>
          <t>AUD-01</t>
        </is>
      </c>
    </row>
    <row r="15">
      <c r="A15" s="34" t="inlineStr">
        <is>
          <t>CORE-003</t>
        </is>
      </c>
      <c r="B15" s="35" t="n">
        <v>1</v>
      </c>
      <c r="C15" s="31" t="inlineStr">
        <is>
          <t>CORE</t>
        </is>
      </c>
      <c r="D15" s="37" t="inlineStr">
        <is>
          <t>Nested blocks through the backend</t>
        </is>
      </c>
      <c r="E15" s="37" t="inlineStr">
        <is>
          <t>Engine styles, asset externalisation, health, compare, version descriptions, usage/storage size traverse nested blocks.</t>
        </is>
      </c>
      <c r="F15" s="31" t="inlineStr">
        <is>
          <t>P0</t>
        </is>
      </c>
      <c r="G15" s="31" t="inlineStr">
        <is>
          <t>DONE</t>
        </is>
      </c>
      <c r="H15" s="37" t="inlineStr">
        <is>
          <t>services/image_assets.py (nested data: images validated and stored, junk removed and reported), services/document_service.py export_assets (walk_elements), formatting/health.py links via inline_runs; asset cleanup already scans the whole JSON</t>
        </is>
      </c>
      <c r="I15" s="37" t="inlineStr">
        <is>
          <t>tests/test_nested_blocks_api.py (stored as sent, asset once, junk removed, depth 422); tests/test_health.py nested links</t>
        </is>
      </c>
      <c r="J15" s="37" t="inlineStr">
        <is>
          <t>backend/formatting, services</t>
        </is>
      </c>
      <c r="K15" s="37" t="inlineStr">
        <is>
          <t>CORE-001</t>
        </is>
      </c>
      <c r="L15" s="31" t="inlineStr">
        <is>
          <t>High</t>
        </is>
      </c>
      <c r="M15" s="41" t="n">
        <v>46292.18980324074</v>
      </c>
      <c r="N15" s="41" t="n">
        <v>46292.1965625</v>
      </c>
      <c r="O15" s="41" t="n">
        <v>46292.1965625</v>
      </c>
      <c r="P15" s="31" t="inlineStr">
        <is>
          <t>1fe27a9</t>
        </is>
      </c>
      <c r="Q15" s="37" t="n"/>
      <c r="R15" s="31" t="inlineStr">
        <is>
          <t>CORE-001</t>
        </is>
      </c>
      <c r="S15" s="31" t="inlineStr">
        <is>
          <t>AUD-01</t>
        </is>
      </c>
    </row>
    <row r="16">
      <c r="A16" s="34" t="inlineStr">
        <is>
          <t>EDIT-001</t>
        </is>
      </c>
      <c r="B16" s="35" t="n">
        <v>1</v>
      </c>
      <c r="C16" s="31" t="inlineStr">
        <is>
          <t>EDITOR</t>
        </is>
      </c>
      <c r="D16" s="37" t="inlineStr">
        <is>
          <t>Map nested blocks inside table cells</t>
        </is>
      </c>
      <c r="E16" s="37" t="inlineStr">
        <is>
          <t>tiptapToDocument: lists, code, images, quotes, nested tables in cells saved (no silent discard).</t>
        </is>
      </c>
      <c r="F16" s="31" t="inlineStr">
        <is>
          <t>P0</t>
        </is>
      </c>
      <c r="G16" s="31" t="inlineStr">
        <is>
          <t>DONE</t>
        </is>
      </c>
      <c r="H16" s="37" t="inlineStr">
        <is>
          <t>frontend/editor/tiptapToDocument.ts, documentToTiptap.ts</t>
        </is>
      </c>
      <c r="I16" s="37" t="inlineStr">
        <is>
          <t>frontend/editor/nestedBlocks.test.ts (28; 26 fail against the pre-fix mapping); e2e/nested.spec.ts (Edge: paste, autosave, reload)</t>
        </is>
      </c>
      <c r="J16" s="37" t="inlineStr">
        <is>
          <t>frontend/editor</t>
        </is>
      </c>
      <c r="K16" s="37" t="inlineStr">
        <is>
          <t>CORE-002</t>
        </is>
      </c>
      <c r="L16" s="31" t="inlineStr">
        <is>
          <t>High</t>
        </is>
      </c>
      <c r="M16" s="41" t="n">
        <v>46292.18990740741</v>
      </c>
      <c r="N16" s="41" t="n">
        <v>46292.19659722222</v>
      </c>
      <c r="O16" s="41" t="n">
        <v>46292.19659722222</v>
      </c>
      <c r="P16" s="31" t="inlineStr">
        <is>
          <t>1fe27a9</t>
        </is>
      </c>
      <c r="Q16" s="37" t="n"/>
      <c r="R16" s="31" t="n"/>
      <c r="S16" s="31" t="inlineStr">
        <is>
          <t>AUD-01</t>
        </is>
      </c>
    </row>
    <row r="17">
      <c r="A17" s="34" t="inlineStr">
        <is>
          <t>EDIT-002</t>
        </is>
      </c>
      <c r="B17" s="35" t="n">
        <v>1</v>
      </c>
      <c r="C17" s="31" t="inlineStr">
        <is>
          <t>EDITOR</t>
        </is>
      </c>
      <c r="D17" s="37" t="inlineStr">
        <is>
          <t>Map blocks inside list items</t>
        </is>
      </c>
      <c r="E17" s="37" t="inlineStr">
        <is>
          <t>Code blocks, images, extra paragraphs inside list items saved.</t>
        </is>
      </c>
      <c r="F17" s="31" t="inlineStr">
        <is>
          <t>P0</t>
        </is>
      </c>
      <c r="G17" s="31" t="inlineStr">
        <is>
          <t>DONE</t>
        </is>
      </c>
      <c r="H17" s="37" t="inlineStr">
        <is>
          <t>frontend/editor/tiptapToDocument.ts, documentToTiptap.ts</t>
        </is>
      </c>
      <c r="I17" s="37" t="inlineStr">
        <is>
          <t>frontend/editor/nestedBlocks.test.ts (28; 26 fail against the pre-fix mapping); e2e/nested.spec.ts (Edge: paste, autosave, reload)</t>
        </is>
      </c>
      <c r="J17" s="37" t="inlineStr">
        <is>
          <t>frontend/editor</t>
        </is>
      </c>
      <c r="K17" s="37" t="inlineStr">
        <is>
          <t>CORE-002</t>
        </is>
      </c>
      <c r="L17" s="31" t="inlineStr">
        <is>
          <t>High</t>
        </is>
      </c>
      <c r="M17" s="41" t="n">
        <v>46292.19030092593</v>
      </c>
      <c r="N17" s="41" t="n">
        <v>46292.19664351852</v>
      </c>
      <c r="O17" s="41" t="n">
        <v>46292.19664351852</v>
      </c>
      <c r="P17" s="31" t="inlineStr">
        <is>
          <t>1fe27a9</t>
        </is>
      </c>
      <c r="Q17" s="37" t="n"/>
      <c r="R17" s="31" t="n"/>
      <c r="S17" s="31" t="inlineStr">
        <is>
          <t>AUD-01</t>
        </is>
      </c>
    </row>
    <row r="18">
      <c r="A18" s="34" t="inlineStr">
        <is>
          <t>EDIT-003</t>
        </is>
      </c>
      <c r="B18" s="35" t="n">
        <v>1</v>
      </c>
      <c r="C18" s="31" t="inlineStr">
        <is>
          <t>EDITOR</t>
        </is>
      </c>
      <c r="D18" s="37" t="inlineStr">
        <is>
          <t>Map blocks inside quotes</t>
        </is>
      </c>
      <c r="E18" s="37" t="inlineStr">
        <is>
          <t>Lists, code, images inside blockquotes saved.</t>
        </is>
      </c>
      <c r="F18" s="31" t="inlineStr">
        <is>
          <t>P0</t>
        </is>
      </c>
      <c r="G18" s="31" t="inlineStr">
        <is>
          <t>DONE</t>
        </is>
      </c>
      <c r="H18" s="37" t="inlineStr">
        <is>
          <t>frontend/editor/tiptapToDocument.ts, documentToTiptap.ts</t>
        </is>
      </c>
      <c r="I18" s="37" t="inlineStr">
        <is>
          <t>frontend/editor/nestedBlocks.test.ts (28; 26 fail against the pre-fix mapping); e2e/nested.spec.ts (Edge: paste, autosave, reload)</t>
        </is>
      </c>
      <c r="J18" s="37" t="inlineStr">
        <is>
          <t>frontend/editor</t>
        </is>
      </c>
      <c r="K18" s="37" t="inlineStr">
        <is>
          <t>CORE-002</t>
        </is>
      </c>
      <c r="L18" s="31" t="inlineStr">
        <is>
          <t>High</t>
        </is>
      </c>
      <c r="M18" s="41" t="n">
        <v>46292.18998842593</v>
      </c>
      <c r="N18" s="41" t="n">
        <v>46292.19667824074</v>
      </c>
      <c r="O18" s="41" t="n">
        <v>46292.19667824074</v>
      </c>
      <c r="P18" s="31" t="inlineStr">
        <is>
          <t>1fe27a9</t>
        </is>
      </c>
      <c r="Q18" s="37" t="n"/>
      <c r="R18" s="31" t="n"/>
      <c r="S18" s="31" t="inlineStr">
        <is>
          <t>AUD-01</t>
        </is>
      </c>
    </row>
    <row r="19">
      <c r="A19" s="34" t="inlineStr">
        <is>
          <t>EDIT-004</t>
        </is>
      </c>
      <c r="B19" s="35" t="n">
        <v>1</v>
      </c>
      <c r="C19" s="31" t="inlineStr">
        <is>
          <t>EDITOR</t>
        </is>
      </c>
      <c r="D19" s="37" t="inlineStr">
        <is>
          <t>Render nested blocks back into the editor</t>
        </is>
      </c>
      <c r="E19" s="37" t="inlineStr">
        <is>
          <t>documentToTiptap renders every nested block kind.</t>
        </is>
      </c>
      <c r="F19" s="31" t="inlineStr">
        <is>
          <t>P0</t>
        </is>
      </c>
      <c r="G19" s="31" t="inlineStr">
        <is>
          <t>DONE</t>
        </is>
      </c>
      <c r="H19" s="37" t="inlineStr">
        <is>
          <t>frontend/editor/tiptapToDocument.ts, documentToTiptap.ts</t>
        </is>
      </c>
      <c r="I19" s="37" t="inlineStr">
        <is>
          <t>frontend/editor/nestedBlocks.test.ts (28; 26 fail against the pre-fix mapping); e2e/nested.spec.ts (Edge: paste, autosave, reload)</t>
        </is>
      </c>
      <c r="J19" s="37" t="inlineStr">
        <is>
          <t>frontend/editor</t>
        </is>
      </c>
      <c r="K19" s="37" t="inlineStr">
        <is>
          <t>EDIT-001,EDIT-002,EDIT-003</t>
        </is>
      </c>
      <c r="L19" s="31" t="inlineStr">
        <is>
          <t>High</t>
        </is>
      </c>
      <c r="M19" s="41" t="n">
        <v>46292.19002314815</v>
      </c>
      <c r="N19" s="41" t="n">
        <v>46292.19671296296</v>
      </c>
      <c r="O19" s="41" t="n">
        <v>46292.19671296296</v>
      </c>
      <c r="P19" s="31" t="inlineStr">
        <is>
          <t>1fe27a9</t>
        </is>
      </c>
      <c r="Q19" s="37" t="n"/>
      <c r="R19" s="31" t="n"/>
      <c r="S19" s="31" t="inlineStr">
        <is>
          <t>AUD-01</t>
        </is>
      </c>
    </row>
    <row r="20">
      <c r="A20" s="34" t="inlineStr">
        <is>
          <t>EDIT-005</t>
        </is>
      </c>
      <c r="B20" s="35" t="n">
        <v>1</v>
      </c>
      <c r="C20" s="31" t="inlineStr">
        <is>
          <t>EDITOR</t>
        </is>
      </c>
      <c r="D20" s="37" t="inlineStr">
        <is>
          <t>Save guard: never drop a node silently</t>
        </is>
      </c>
      <c r="E20" s="37" t="inlineStr">
        <is>
          <t>Any node the mapping cannot represent blocks the save with an explicit, user-visible error.</t>
        </is>
      </c>
      <c r="F20" s="31" t="inlineStr">
        <is>
          <t>P0</t>
        </is>
      </c>
      <c r="G20" s="31" t="inlineStr">
        <is>
          <t>DONE</t>
        </is>
      </c>
      <c r="H20" s="37" t="inlineStr">
        <is>
          <t>tiptapToDocument.ts UnsupportedContentError (unknown node/inline node/mark anywhere); useAutoSave 'unsupported' status (no request, message, beforeunload warning); EditorStatusBar message</t>
        </is>
      </c>
      <c r="I20" s="37" t="inlineStr">
        <is>
          <t>nestedBlocks.test.ts refusal cases + schema coverage; useAutoSave.test.tsx (no request, 'unsupported' status, message, saves again once fixed)</t>
        </is>
      </c>
      <c r="J20" s="37" t="inlineStr">
        <is>
          <t>frontend/editor</t>
        </is>
      </c>
      <c r="K20" s="37" t="inlineStr">
        <is>
          <t>EDIT-004</t>
        </is>
      </c>
      <c r="L20" s="31" t="inlineStr">
        <is>
          <t>High</t>
        </is>
      </c>
      <c r="M20" s="41" t="n">
        <v>46292.19005787037</v>
      </c>
      <c r="N20" s="41" t="n">
        <v>46292.19674768519</v>
      </c>
      <c r="O20" s="41" t="n">
        <v>46292.19674768519</v>
      </c>
      <c r="P20" s="31" t="inlineStr">
        <is>
          <t>1fe27a9</t>
        </is>
      </c>
      <c r="Q20" s="37" t="n"/>
      <c r="R20" s="31" t="n"/>
      <c r="S20" s="31" t="inlineStr">
        <is>
          <t>AUD-01</t>
        </is>
      </c>
    </row>
    <row r="21">
      <c r="A21" s="34" t="inlineStr">
        <is>
          <t>EDIT-008</t>
        </is>
      </c>
      <c r="B21" s="35" t="n">
        <v>1</v>
      </c>
      <c r="C21" s="31" t="inlineStr">
        <is>
          <t>EDITOR</t>
        </is>
      </c>
      <c r="D21" s="37" t="inlineStr">
        <is>
          <t>Pasted paragraph/heading alignment kept</t>
        </is>
      </c>
      <c r="E21" s="37" t="inlineStr">
        <is>
          <t>textAlign on top-level paragraphs/headings (from pasted HTML) is not stored: the model keeps alignment as formatting rules. Map it to element overrides or report it.</t>
        </is>
      </c>
      <c r="F21" s="31" t="inlineStr">
        <is>
          <t>P1</t>
        </is>
      </c>
      <c r="G21" s="31" t="inlineStr">
        <is>
          <t>DONE</t>
        </is>
      </c>
      <c r="H21" s="37" t="inlineStr">
        <is>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is>
      </c>
      <c r="I21" s="37" t="inlineStr">
        <is>
          <t>frontend/editor/directFormatting.test.ts (9), frontend/editor/useAutoSave.test.tsx (+3), frontend/editor/editorRoundTrip.test.ts (+12: golden documents open with no direct styles/notes), frontend/e2e/direct-formatting.spec.ts, tests/test_editor_direct_styles.py (2); Vitest 109, Playwright 19, backend 749</t>
        </is>
      </c>
      <c r="J21" s="37" t="inlineStr">
        <is>
          <t>frontend/editor</t>
        </is>
      </c>
      <c r="K21" s="37" t="n"/>
      <c r="L21" s="31" t="inlineStr">
        <is>
          <t>Medium</t>
        </is>
      </c>
      <c r="M21" s="41" t="n">
        <v>46292.39758101852</v>
      </c>
      <c r="N21" s="41" t="n">
        <v>46292.39890046296</v>
      </c>
      <c r="O21" s="41" t="n">
        <v>46292.39890046296</v>
      </c>
      <c r="P21" s="31" t="inlineStr">
        <is>
          <t>53c84e4</t>
        </is>
      </c>
      <c r="Q21" s="37" t="n"/>
      <c r="R21" s="31" t="inlineStr">
        <is>
          <t>EDIT-005</t>
        </is>
      </c>
      <c r="S21" s="31" t="inlineStr">
        <is>
          <t>AUD-03</t>
        </is>
      </c>
    </row>
    <row r="22">
      <c r="A22" s="34" t="inlineStr">
        <is>
          <t>EDIT-009</t>
        </is>
      </c>
      <c r="B22" s="35" t="n">
        <v>1</v>
      </c>
      <c r="C22" s="31" t="inlineStr">
        <is>
          <t>EDITOR</t>
        </is>
      </c>
      <c r="D22" s="37" t="inlineStr">
        <is>
          <t>Pasted picture size kept</t>
        </is>
      </c>
      <c r="E22" s="37" t="inlineStr">
        <is>
          <t>Image node width/height (pasted or resized) are not stored; the model sizes pictures through IMAGE_WIDTH rules.</t>
        </is>
      </c>
      <c r="F22" s="31" t="inlineStr">
        <is>
          <t>P1</t>
        </is>
      </c>
      <c r="G22" s="31" t="inlineStr">
        <is>
          <t>DONE</t>
        </is>
      </c>
      <c r="H22" s="37" t="inlineStr">
        <is>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is>
      </c>
      <c r="I22" s="37" t="inlineStr">
        <is>
          <t>frontend/editor/directFormatting.test.ts (picture size), frontend/e2e/direct-formatting.spec.ts, tests/test_editor_direct_styles.py</t>
        </is>
      </c>
      <c r="J22" s="37" t="inlineStr">
        <is>
          <t>frontend/editor</t>
        </is>
      </c>
      <c r="K22" s="37" t="n"/>
      <c r="L22" s="31" t="inlineStr">
        <is>
          <t>Medium</t>
        </is>
      </c>
      <c r="M22" s="41" t="n">
        <v>46292.39762731481</v>
      </c>
      <c r="N22" s="41" t="n">
        <v>46292.39893518519</v>
      </c>
      <c r="O22" s="41" t="n">
        <v>46292.39893518519</v>
      </c>
      <c r="P22" s="31" t="inlineStr">
        <is>
          <t>53c84e4</t>
        </is>
      </c>
      <c r="Q22" s="37" t="n"/>
      <c r="R22" s="31" t="inlineStr">
        <is>
          <t>EDIT-005</t>
        </is>
      </c>
      <c r="S22" s="31" t="inlineStr">
        <is>
          <t>AUD-07</t>
        </is>
      </c>
    </row>
    <row r="23">
      <c r="A23" s="34" t="inlineStr">
        <is>
          <t>EDIT-010</t>
        </is>
      </c>
      <c r="B23" s="35" t="n">
        <v>1</v>
      </c>
      <c r="C23" s="31" t="inlineStr">
        <is>
          <t>EDITOR</t>
        </is>
      </c>
      <c r="D23" s="37" t="inlineStr">
        <is>
          <t>Link title kept</t>
        </is>
      </c>
      <c r="E23" s="37" t="inlineStr">
        <is>
          <t>A link's title (tooltip) is not stored in Mark; target/rel/class are the editor's own defaults.</t>
        </is>
      </c>
      <c r="F23" s="31" t="inlineStr">
        <is>
          <t>P2</t>
        </is>
      </c>
      <c r="G23" s="31" t="inlineStr">
        <is>
          <t>DONE</t>
        </is>
      </c>
      <c r="H23" s="37" t="inlineStr">
        <is>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is>
      </c>
      <c r="I23" s="37" t="inlineStr">
        <is>
          <t>tests/test_link_titles.py (Word import/export round trip incl. field ScreenTip; Markdown), frontend/editor/directFormatting.test.ts (a link's title: 2)</t>
        </is>
      </c>
      <c r="J23" s="37" t="inlineStr">
        <is>
          <t>frontend/editor</t>
        </is>
      </c>
      <c r="K23" s="37" t="n"/>
      <c r="L23" s="31" t="inlineStr">
        <is>
          <t>Low</t>
        </is>
      </c>
      <c r="M23" s="41" t="n">
        <v>46292.40663194445</v>
      </c>
      <c r="N23" s="41" t="n">
        <v>46292.41609953704</v>
      </c>
      <c r="O23" s="41" t="n">
        <v>46292.41609953704</v>
      </c>
      <c r="P23" s="31" t="inlineStr">
        <is>
          <t>66bbdf1</t>
        </is>
      </c>
      <c r="Q23" s="37" t="n"/>
      <c r="R23" s="31" t="inlineStr">
        <is>
          <t>EDIT-005</t>
        </is>
      </c>
      <c r="S23" s="31" t="inlineStr">
        <is>
          <t>AUD-01</t>
        </is>
      </c>
    </row>
    <row r="24">
      <c r="A24" s="34" t="inlineStr">
        <is>
          <t>EDIT-011</t>
        </is>
      </c>
      <c r="B24" s="35" t="n">
        <v>1</v>
      </c>
      <c r="C24" s="31" t="inlineStr">
        <is>
          <t>EDITOR</t>
        </is>
      </c>
      <c r="D24" s="37" t="inlineStr">
        <is>
          <t>Cell alignment and column widths kept</t>
        </is>
      </c>
      <c r="E24" s="37" t="inlineStr">
        <is>
          <t>tableCell align/colwidth attributes, and a cell alignment that differs from its column's, are not stored (TableContent.alignments is per column).</t>
        </is>
      </c>
      <c r="F24" s="31" t="inlineStr">
        <is>
          <t>P2</t>
        </is>
      </c>
      <c r="G24" s="31" t="inlineStr">
        <is>
          <t>DONE</t>
        </is>
      </c>
      <c r="H24" s="37" t="inlineStr">
        <is>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is>
      </c>
      <c r="I24" s="37" t="inlineStr">
        <is>
          <t>frontend/editor/directFormatting.test.ts::tables</t>
        </is>
      </c>
      <c r="J24" s="37" t="inlineStr">
        <is>
          <t>frontend/editor</t>
        </is>
      </c>
      <c r="K24" s="37" t="n"/>
      <c r="L24" s="31" t="inlineStr">
        <is>
          <t>Low</t>
        </is>
      </c>
      <c r="M24" s="41" t="n">
        <v>46292.39769675926</v>
      </c>
      <c r="N24" s="41" t="n">
        <v>46292.41614583333</v>
      </c>
      <c r="O24" s="41" t="n">
        <v>46292.41614583333</v>
      </c>
      <c r="P24" s="31" t="inlineStr">
        <is>
          <t>66bbdf1</t>
        </is>
      </c>
      <c r="Q24" s="37" t="inlineStr">
        <is>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is>
      </c>
      <c r="R24" s="31" t="inlineStr">
        <is>
          <t>EDIT-005</t>
        </is>
      </c>
      <c r="S24" s="31" t="inlineStr">
        <is>
          <t>AUD-08</t>
        </is>
      </c>
    </row>
    <row r="25">
      <c r="A25" s="34" t="inlineStr">
        <is>
          <t>EDIT-012</t>
        </is>
      </c>
      <c r="B25" s="35" t="n">
        <v>1</v>
      </c>
      <c r="C25" s="31" t="inlineStr">
        <is>
          <t>EDITOR</t>
        </is>
      </c>
      <c r="D25" s="37" t="inlineStr">
        <is>
          <t>Colour and font values outside the model reported</t>
        </is>
      </c>
      <c r="E25" s="37" t="inlineStr">
        <is>
          <t>Pasted colours (hsl(), transparent...) and font stacks the model can't hold are normalised or dropped on save without a report.</t>
        </is>
      </c>
      <c r="F25" s="31" t="inlineStr">
        <is>
          <t>P3</t>
        </is>
      </c>
      <c r="G25" s="31" t="inlineStr">
        <is>
          <t>DONE</t>
        </is>
      </c>
      <c r="H25" s="37" t="inlineStr">
        <is>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is>
      </c>
      <c r="I25" s="37" t="inlineStr">
        <is>
          <t>frontend/editor/directFormatting.test.ts, frontend/editor/useAutoSave.test.tsx::names formatting it can't keep, frontend/editor/panels/FidelityPanel.test.tsx::lists what the editor holds, frontend/e2e/direct-formatting.spec.ts</t>
        </is>
      </c>
      <c r="J25" s="37" t="inlineStr">
        <is>
          <t>frontend/editor</t>
        </is>
      </c>
      <c r="K25" s="37" t="n"/>
      <c r="L25" s="31" t="inlineStr">
        <is>
          <t>Low</t>
        </is>
      </c>
      <c r="M25" s="41" t="n">
        <v>46292.39766203704</v>
      </c>
      <c r="N25" s="41" t="n">
        <v>46292.39896990741</v>
      </c>
      <c r="O25" s="41" t="n">
        <v>46292.39896990741</v>
      </c>
      <c r="P25" s="31" t="inlineStr">
        <is>
          <t>53c84e4</t>
        </is>
      </c>
      <c r="Q25" s="37" t="n"/>
      <c r="R25" s="31" t="inlineStr">
        <is>
          <t>EDIT-005</t>
        </is>
      </c>
      <c r="S25" s="31" t="inlineStr">
        <is>
          <t>AUD-01</t>
        </is>
      </c>
    </row>
    <row r="26">
      <c r="A26" s="34" t="inlineStr">
        <is>
          <t>EDIT-006</t>
        </is>
      </c>
      <c r="B26" s="35" t="n">
        <v>1</v>
      </c>
      <c r="C26" s="31" t="inlineStr">
        <is>
          <t>EDITOR</t>
        </is>
      </c>
      <c r="D26" s="37" t="inlineStr">
        <is>
          <t>Pasted rich HTML survives save</t>
        </is>
      </c>
      <c r="E26" s="37" t="inlineStr">
        <is>
          <t>Paste from Word/web (lists in cells, lists in quotes, code in items, images in cells) persists after reload.</t>
        </is>
      </c>
      <c r="F26" s="31" t="inlineStr">
        <is>
          <t>P0</t>
        </is>
      </c>
      <c r="G26" s="31" t="inlineStr">
        <is>
          <t>DONE</t>
        </is>
      </c>
      <c r="H26" s="37" t="inlineStr">
        <is>
          <t>frontend/e2e/nested.spec.ts: real paste event with text/html in Edge</t>
        </is>
      </c>
      <c r="I26" s="37" t="inlineStr">
        <is>
          <t>npx playwright test e2e/nested.spec.ts -&gt; 1 passed</t>
        </is>
      </c>
      <c r="J26" s="37" t="inlineStr">
        <is>
          <t>frontend/editor</t>
        </is>
      </c>
      <c r="K26" s="37" t="inlineStr">
        <is>
          <t>EDIT-005</t>
        </is>
      </c>
      <c r="L26" s="31" t="inlineStr">
        <is>
          <t>High</t>
        </is>
      </c>
      <c r="M26" s="41" t="n">
        <v>46292.19304398148</v>
      </c>
      <c r="N26" s="41" t="n">
        <v>46292.19678240741</v>
      </c>
      <c r="O26" s="41" t="n">
        <v>46292.19678240741</v>
      </c>
      <c r="P26" s="31" t="inlineStr">
        <is>
          <t>1fe27a9</t>
        </is>
      </c>
      <c r="Q26" s="37" t="n"/>
      <c r="R26" s="31" t="n"/>
      <c r="S26" s="31" t="inlineStr">
        <is>
          <t>AUD-01</t>
        </is>
      </c>
    </row>
    <row r="27">
      <c r="A27" s="34" t="inlineStr">
        <is>
          <t>EDIT-007</t>
        </is>
      </c>
      <c r="B27" s="35" t="n">
        <v>1</v>
      </c>
      <c r="C27" s="31" t="inlineStr">
        <is>
          <t>EDITOR</t>
        </is>
      </c>
      <c r="D27" s="37" t="inlineStr">
        <is>
          <t>Canonical mark order</t>
        </is>
      </c>
      <c r="E27" s="37" t="inlineStr">
        <is>
          <t>No spurious save on open when backend and editor order marks differently.</t>
        </is>
      </c>
      <c r="F27" s="31" t="inlineStr">
        <is>
          <t>P2</t>
        </is>
      </c>
      <c r="G27" s="31" t="inlineStr">
        <is>
          <t>DONE</t>
        </is>
      </c>
      <c r="H27" s="37" t="inlineStr">
        <is>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is>
      </c>
      <c r="I27" s="37" t="inlineStr">
        <is>
          <t>frontend/editor/directFormatting.test.ts (the order of a run's marks: 2; fails without the fix), tests/test_document_nesting.py::test_a_runs_marks_are_kept_in_one_order_whoever_wrote_them</t>
        </is>
      </c>
      <c r="J27" s="37" t="inlineStr">
        <is>
          <t>frontend/editor</t>
        </is>
      </c>
      <c r="K27" s="37" t="n"/>
      <c r="L27" s="31" t="inlineStr">
        <is>
          <t>Low</t>
        </is>
      </c>
      <c r="M27" s="41" t="n">
        <v>46292.40877314815</v>
      </c>
      <c r="N27" s="41" t="n">
        <v>46292.41606481482</v>
      </c>
      <c r="O27" s="41" t="n">
        <v>46292.41606481482</v>
      </c>
      <c r="P27" s="31" t="inlineStr">
        <is>
          <t>66bbdf1</t>
        </is>
      </c>
      <c r="Q27" s="37" t="n"/>
      <c r="R27" s="31" t="n"/>
      <c r="S27" s="31" t="inlineStr">
        <is>
          <t>AUD-16</t>
        </is>
      </c>
    </row>
    <row r="28">
      <c r="A28" s="34" t="inlineStr">
        <is>
          <t>DOCX-001</t>
        </is>
      </c>
      <c r="B28" s="35" t="n">
        <v>1</v>
      </c>
      <c r="C28" s="31" t="inlineStr">
        <is>
          <t>DOCX</t>
        </is>
      </c>
      <c r="D28" s="37" t="inlineStr">
        <is>
          <t>DOCX export of nested blocks</t>
        </is>
      </c>
      <c r="E28" s="37" t="inlineStr">
        <is>
          <t>Lists, images, code, nested tables in cells; blocks in list items; quote children.</t>
        </is>
      </c>
      <c r="F28" s="31" t="inlineStr">
        <is>
          <t>P0</t>
        </is>
      </c>
      <c r="G28" s="31" t="inlineStr">
        <is>
          <t>DONE</t>
        </is>
      </c>
      <c r="H28" s="37" t="inlineStr">
        <is>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is>
      </c>
      <c r="I28" s="37" t="inlineStr">
        <is>
          <t>tests/test_nested_blocks_api.py::test_the_word_export_keeps_every_nested_block, ::test_the_word_export_numbers_a_list_from_its_start_in_its_format; existing DOCX suites green</t>
        </is>
      </c>
      <c r="J28" s="37" t="inlineStr">
        <is>
          <t>backend/export</t>
        </is>
      </c>
      <c r="K28" s="37" t="inlineStr">
        <is>
          <t>CORE-003</t>
        </is>
      </c>
      <c r="L28" s="31" t="inlineStr">
        <is>
          <t>High</t>
        </is>
      </c>
      <c r="M28" s="41" t="n">
        <v>46292.18983796296</v>
      </c>
      <c r="N28" s="41" t="n">
        <v>46292.1968287037</v>
      </c>
      <c r="O28" s="41" t="n">
        <v>46292.1968287037</v>
      </c>
      <c r="P28" s="31" t="inlineStr">
        <is>
          <t>1fe27a9</t>
        </is>
      </c>
      <c r="Q28" s="37" t="n"/>
      <c r="R28" s="31" t="n"/>
      <c r="S28" s="31" t="inlineStr">
        <is>
          <t>AUD-01</t>
        </is>
      </c>
    </row>
    <row r="29">
      <c r="A29" s="34" t="inlineStr">
        <is>
          <t>PDF-001</t>
        </is>
      </c>
      <c r="B29" s="35" t="n">
        <v>1</v>
      </c>
      <c r="C29" s="31" t="inlineStr">
        <is>
          <t>PDF</t>
        </is>
      </c>
      <c r="D29" s="37" t="inlineStr">
        <is>
          <t>PDF export of nested blocks</t>
        </is>
      </c>
      <c r="E29" s="37" t="inlineStr">
        <is>
          <t>Same content in the PDF exporter.</t>
        </is>
      </c>
      <c r="F29" s="31" t="inlineStr">
        <is>
          <t>P0</t>
        </is>
      </c>
      <c r="G29" s="31" t="inlineStr">
        <is>
          <t>DONE</t>
        </is>
      </c>
      <c r="H29" s="37" t="inlineStr">
        <is>
          <t>export/pdf_export.py: cells with blocks become flowable lists sized to the cell; list item/quote blocks indented; numbering start/format with the same level sequence as the Word export (decimal, a, i)</t>
        </is>
      </c>
      <c r="I29" s="37" t="inlineStr">
        <is>
          <t>tests/test_nested_blocks_api.py::test_the_pdf_export_keeps_every_nested_block ('v. fifth', 'vi. sixth'); existing PDF suites green</t>
        </is>
      </c>
      <c r="J29" s="37" t="inlineStr">
        <is>
          <t>backend/export</t>
        </is>
      </c>
      <c r="K29" s="37" t="inlineStr">
        <is>
          <t>CORE-003</t>
        </is>
      </c>
      <c r="L29" s="31" t="inlineStr">
        <is>
          <t>Medium</t>
        </is>
      </c>
      <c r="M29" s="41" t="n">
        <v>46292.18987268519</v>
      </c>
      <c r="N29" s="41" t="n">
        <v>46292.19686342592</v>
      </c>
      <c r="O29" s="41" t="n">
        <v>46292.19686342592</v>
      </c>
      <c r="P29" s="31" t="inlineStr">
        <is>
          <t>1fe27a9</t>
        </is>
      </c>
      <c r="Q29" s="37" t="n"/>
      <c r="R29" s="31" t="n"/>
      <c r="S29" s="31" t="inlineStr">
        <is>
          <t>AUD-01</t>
        </is>
      </c>
    </row>
    <row r="30">
      <c r="A30" s="34" t="inlineStr">
        <is>
          <t>FID-001</t>
        </is>
      </c>
      <c r="B30" s="35" t="n">
        <v>1</v>
      </c>
      <c r="C30" s="31" t="inlineStr">
        <is>
          <t>FIDELITY</t>
        </is>
      </c>
      <c r="D30" s="37" t="inlineStr">
        <is>
          <t>Structured Document Fidelity Report</t>
        </is>
      </c>
      <c r="E30" s="37" t="inlineStr">
        <is>
          <t>fidelityReport items: element, feature, source state, new state, confidence, reason, class (policy classes).</t>
        </is>
      </c>
      <c r="F30" s="31" t="inlineStr">
        <is>
          <t>P0</t>
        </is>
      </c>
      <c r="G30" s="31" t="inlineStr">
        <is>
          <t>DONE</t>
        </is>
      </c>
      <c r="H30" s="37" t="inlineStr">
        <is>
          <t>backend/app/fidelity/{report,content,docx_source,text_sources,imports}.py; Document.importReport; ingestion_service attaches it for DOCX, PDF, .txt and paste</t>
        </is>
      </c>
      <c r="I30" s="37" t="inlineStr">
        <is>
          <t>tests/test_fidelity_report.py (29); calibration: 29 Word/golden fixtures verified except the genuine a03 heading-number change</t>
        </is>
      </c>
      <c r="J30" s="37" t="inlineStr">
        <is>
          <t>backend/models</t>
        </is>
      </c>
      <c r="K30" s="37" t="n"/>
      <c r="L30" s="31" t="inlineStr">
        <is>
          <t>Medium</t>
        </is>
      </c>
      <c r="M30" s="41" t="n">
        <v>46292.21790509259</v>
      </c>
      <c r="N30" s="41" t="n">
        <v>46292.21928240741</v>
      </c>
      <c r="O30" s="41" t="n">
        <v>46292.21928240741</v>
      </c>
      <c r="P30" s="31" t="inlineStr">
        <is>
          <t>8a330be</t>
        </is>
      </c>
      <c r="Q30" s="37" t="n"/>
      <c r="R30" s="31" t="n"/>
      <c r="S30" s="31" t="inlineStr">
        <is>
          <t>AUD-03</t>
        </is>
      </c>
    </row>
    <row r="31">
      <c r="A31" s="34" t="inlineStr">
        <is>
          <t>FID-002</t>
        </is>
      </c>
      <c r="B31" s="35" t="n">
        <v>1</v>
      </c>
      <c r="C31" s="31" t="inlineStr">
        <is>
          <t>FIDELITY</t>
        </is>
      </c>
      <c r="D31" s="37" t="inlineStr">
        <is>
          <t>Importer reports every detected change</t>
        </is>
      </c>
      <c r="E31" s="37" t="inlineStr">
        <is>
          <t>Hidden text, caps, underline variants, numbering formats/continuation, sections, header variants, content controls, custom properties, links dropped, crop/rotation, table geometry, bullets in cells, empty paragraphs, autolinks, SmartArt/charts.</t>
        </is>
      </c>
      <c r="F31" s="31" t="inlineStr">
        <is>
          <t>P0</t>
        </is>
      </c>
      <c r="G31" s="31" t="inlineStr">
        <is>
          <t>DONE</t>
        </is>
      </c>
      <c r="H31" s="37" t="inlineStr">
        <is>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is>
      </c>
      <c r="I31" s="37" t="inlineStr">
        <is>
          <t>tests/test_docx_detect.py (9 tests), tests/test_docx_numbering.py (5), tests/test_capabilities.py (6), tests/test_fidelity_report.py; full backend 713 passed/1 skipped; Vitest 84 passed; tsc + eslint clean</t>
        </is>
      </c>
      <c r="J31" s="37" t="inlineStr">
        <is>
          <t>backend/parsers</t>
        </is>
      </c>
      <c r="K31" s="37" t="inlineStr">
        <is>
          <t>FID-001</t>
        </is>
      </c>
      <c r="L31" s="31" t="inlineStr">
        <is>
          <t>High</t>
        </is>
      </c>
      <c r="M31" s="41" t="n">
        <v>46292.21802083333</v>
      </c>
      <c r="N31" s="41" t="n">
        <v>46292.37637731482</v>
      </c>
      <c r="O31" s="41" t="n">
        <v>46292.37637731482</v>
      </c>
      <c r="P31" s="31" t="inlineStr">
        <is>
          <t>622d9c1</t>
        </is>
      </c>
      <c r="Q31" s="37" t="inlineStr">
        <is>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is>
      </c>
      <c r="R31" s="31" t="inlineStr">
        <is>
          <t>FID-001</t>
        </is>
      </c>
      <c r="S31" s="31" t="inlineStr">
        <is>
          <t>AUD-03,AUD-04,AUD-06,AUD-07,AUD-08</t>
        </is>
      </c>
    </row>
    <row r="32">
      <c r="A32" s="34" t="inlineStr">
        <is>
          <t>FID-003</t>
        </is>
      </c>
      <c r="B32" s="35" t="n">
        <v>1</v>
      </c>
      <c r="C32" s="31" t="inlineStr">
        <is>
          <t>FIDELITY</t>
        </is>
      </c>
      <c r="D32" s="37" t="inlineStr">
        <is>
          <t>Export fidelity report</t>
        </is>
      </c>
      <c r="E32" s="37" t="inlineStr">
        <is>
          <t>What an export changes or drops is reported the same way.</t>
        </is>
      </c>
      <c r="F32" s="31" t="inlineStr">
        <is>
          <t>P0</t>
        </is>
      </c>
      <c r="G32" s="31" t="inlineStr">
        <is>
          <t>DONE</t>
        </is>
      </c>
      <c r="H32" s="37" t="inlineStr">
        <is>
          <t>backend/app/fidelity/exports.py (collecting/note, pdf_document_notes, export_report); docx_export/pdf_export record what they approximate or drop; export job result carries 'fidelity'; frontend ExportMenu ExportResult; PDF alt-text note</t>
        </is>
      </c>
      <c r="I32" s="37" t="inlineStr">
        <is>
          <t>tests/test_export_fidelity.py (6), tests/test_jobs.py; editor/ExportResult.test.tsx (4); e2e documents.spec.ts export test checks the message; calibration: DOCX export re-reads identically on 29 fixtures, PDF on all but a11-multilingual (genuine)</t>
        </is>
      </c>
      <c r="J32" s="37" t="inlineStr">
        <is>
          <t>backend/export</t>
        </is>
      </c>
      <c r="K32" s="37" t="inlineStr">
        <is>
          <t>FID-001</t>
        </is>
      </c>
      <c r="L32" s="31" t="inlineStr">
        <is>
          <t>Medium</t>
        </is>
      </c>
      <c r="M32" s="41" t="n">
        <v>46292.34991898148</v>
      </c>
      <c r="N32" s="41" t="n">
        <v>46292.35113425926</v>
      </c>
      <c r="O32" s="41" t="n">
        <v>46292.35113425926</v>
      </c>
      <c r="P32" s="31" t="inlineStr">
        <is>
          <t>e55412f</t>
        </is>
      </c>
      <c r="Q32" s="37" t="n"/>
      <c r="R32" s="31" t="inlineStr">
        <is>
          <t>FID-001</t>
        </is>
      </c>
      <c r="S32" s="31" t="inlineStr">
        <is>
          <t>AUD-03,AUD-18</t>
        </is>
      </c>
    </row>
    <row r="33">
      <c r="A33" s="34" t="inlineStr">
        <is>
          <t>FID-004</t>
        </is>
      </c>
      <c r="B33" s="35" t="n">
        <v>1</v>
      </c>
      <c r="C33" s="31" t="inlineStr">
        <is>
          <t>FIDELITY</t>
        </is>
      </c>
      <c r="D33" s="37" t="inlineStr">
        <is>
          <t>Content protection UI</t>
        </is>
      </c>
      <c r="E33" s="37" t="inlineStr">
        <is>
          <t>Report panel + badge: 'No content changes' only when proven; otherwise 'N items require review'.</t>
        </is>
      </c>
      <c r="F33" s="31" t="inlineStr">
        <is>
          <t>P0</t>
        </is>
      </c>
      <c r="G33" s="31" t="inlineStr">
        <is>
          <t>DONE</t>
        </is>
      </c>
      <c r="H33" s="37" t="inlineStr">
        <is>
          <t>frontend/editor/panels/FidelityPanel.tsx (Проверка rail panel), EditorStatusBar import badge; 'No content changes' only when the words matched and no item lost content</t>
        </is>
      </c>
      <c r="I33" s="37" t="inlineStr">
        <is>
          <t>editor/panels/FidelityPanel.test.tsx (3); e2e/fidelity.spec.ts; checked in a throwaway stack with the audit's a03/a05 fixtures</t>
        </is>
      </c>
      <c r="J33" s="37" t="inlineStr">
        <is>
          <t>frontend/editor</t>
        </is>
      </c>
      <c r="K33" s="37" t="inlineStr">
        <is>
          <t>FID-002</t>
        </is>
      </c>
      <c r="L33" s="31" t="inlineStr">
        <is>
          <t>Medium</t>
        </is>
      </c>
      <c r="M33" s="41" t="n">
        <v>46292.21798611111</v>
      </c>
      <c r="N33" s="41" t="n">
        <v>46292.21931712963</v>
      </c>
      <c r="O33" s="41" t="n">
        <v>46292.21931712963</v>
      </c>
      <c r="P33" s="31" t="inlineStr">
        <is>
          <t>8a330be</t>
        </is>
      </c>
      <c r="Q33" s="37" t="n"/>
      <c r="R33" s="31" t="inlineStr">
        <is>
          <t>FID-001</t>
        </is>
      </c>
      <c r="S33" s="31" t="inlineStr">
        <is>
          <t>AUD-03</t>
        </is>
      </c>
    </row>
    <row r="34">
      <c r="A34" s="34" t="inlineStr">
        <is>
          <t>FID-005</t>
        </is>
      </c>
      <c r="B34" s="35" t="n">
        <v>1</v>
      </c>
      <c r="C34" s="31" t="inlineStr">
        <is>
          <t>FIDELITY</t>
        </is>
      </c>
      <c r="D34" s="37" t="inlineStr">
        <is>
          <t>Unsupported-feature policy classes</t>
        </is>
      </c>
      <c r="E34" s="37" t="inlineStr">
        <is>
          <t>NOT_DETECTED, DETECTED_PRESERVED, DETECTED_NOT_EDITABLE, LOSSY, UNSUPPORTED, BLOCKED on every report item.</t>
        </is>
      </c>
      <c r="F34" s="31" t="inlineStr">
        <is>
          <t>P0</t>
        </is>
      </c>
      <c r="G34" s="31" t="inlineStr">
        <is>
          <t>DONE</t>
        </is>
      </c>
      <c r="H34" s="37" t="inlineStr">
        <is>
          <t>app/fidelity/report.py FidelityPolicy (not_detected, detected_preserved, detected_not_editable, lossy, unsupported, blocked); every DOCX importer note classified (docx_inline.Notes, docx.py)</t>
        </is>
      </c>
      <c r="I34" s="37" t="inlineStr">
        <is>
          <t>tests/test_fidelity_report.py</t>
        </is>
      </c>
      <c r="J34" s="37" t="inlineStr">
        <is>
          <t>backend/models</t>
        </is>
      </c>
      <c r="K34" s="37" t="inlineStr">
        <is>
          <t>FID-001</t>
        </is>
      </c>
      <c r="L34" s="31" t="inlineStr">
        <is>
          <t>Low</t>
        </is>
      </c>
      <c r="M34" s="41" t="n">
        <v>46292.21793981481</v>
      </c>
      <c r="N34" s="41" t="n">
        <v>46292.21935185185</v>
      </c>
      <c r="O34" s="41" t="n">
        <v>46292.21935185185</v>
      </c>
      <c r="P34" s="31" t="inlineStr">
        <is>
          <t>8a330be</t>
        </is>
      </c>
      <c r="Q34" s="37" t="n"/>
      <c r="R34" s="31" t="inlineStr">
        <is>
          <t>FID-001</t>
        </is>
      </c>
      <c r="S34" s="31" t="inlineStr">
        <is>
          <t>AUD-03</t>
        </is>
      </c>
    </row>
    <row r="35">
      <c r="A35" s="34" t="inlineStr">
        <is>
          <t>CORE-004</t>
        </is>
      </c>
      <c r="B35" s="35" t="n">
        <v>1</v>
      </c>
      <c r="C35" s="31" t="inlineStr">
        <is>
          <t>CORE</t>
        </is>
      </c>
      <c r="D35" s="37" t="inlineStr">
        <is>
          <t>Machine-readable capability matrix</t>
        </is>
      </c>
      <c r="E35" s="37" t="inlineStr">
        <is>
          <t>DOCX/PDF/editor capabilities (import/edit/export/round_trip) as data; served by the API; drives badges, warnings, tests.</t>
        </is>
      </c>
      <c r="F35" s="31" t="inlineStr">
        <is>
          <t>P1</t>
        </is>
      </c>
      <c r="G35" s="31" t="inlineStr">
        <is>
          <t>DONE</t>
        </is>
      </c>
      <c r="H35" s="37" t="inlineStr">
        <is>
          <t>backend/app/capabilities.py (67 features across Word, PDF, editor, text: import/edit/export/roundTrip + policy + report keys + tests + notes naming the task for every unreported gap); GET /api/v1/capabilities (public)</t>
        </is>
      </c>
      <c r="I35" s="37" t="inlineStr">
        <is>
          <t>tests/test_capabilities.py (6): every reported key described and every described key reported, cited tests exist, no round trip 'yes' without a test, gaps name their task, API</t>
        </is>
      </c>
      <c r="J35" s="37" t="inlineStr">
        <is>
          <t>backend/capabilities</t>
        </is>
      </c>
      <c r="K35" s="37" t="inlineStr">
        <is>
          <t>FID-005</t>
        </is>
      </c>
      <c r="L35" s="31" t="inlineStr">
        <is>
          <t>Low</t>
        </is>
      </c>
      <c r="M35" s="41" t="n">
        <v>46292.35657407407</v>
      </c>
      <c r="N35" s="41" t="n">
        <v>46292.3578587963</v>
      </c>
      <c r="O35" s="41" t="n">
        <v>46292.3578587963</v>
      </c>
      <c r="P35" s="31" t="inlineStr">
        <is>
          <t>fcf30d7</t>
        </is>
      </c>
      <c r="Q35" s="37" t="inlineStr">
        <is>
          <t>UI use (badges, pre-export warnings) comes with REV-002/FID-004 follow-ups.</t>
        </is>
      </c>
      <c r="R35" s="31" t="n"/>
      <c r="S35" s="31" t="inlineStr">
        <is>
          <t>AUD-20</t>
        </is>
      </c>
    </row>
    <row r="36">
      <c r="A36" s="34" t="inlineStr">
        <is>
          <t>TEST-010</t>
        </is>
      </c>
      <c r="B36" s="35" t="n">
        <v>1</v>
      </c>
      <c r="C36" s="31" t="inlineStr">
        <is>
          <t>TESTING</t>
        </is>
      </c>
      <c r="D36" s="37" t="inlineStr">
        <is>
          <t>Regression tests for nested structures</t>
        </is>
      </c>
      <c r="E36" s="37" t="inlineStr">
        <is>
          <t>Backend unit/API, Vitest mapping, Playwright paste + reload.</t>
        </is>
      </c>
      <c r="F36" s="31" t="inlineStr">
        <is>
          <t>P0</t>
        </is>
      </c>
      <c r="G36" s="31" t="inlineStr">
        <is>
          <t>DONE</t>
        </is>
      </c>
      <c r="H36" s="37" t="inlineStr">
        <is>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is>
      </c>
      <c r="I36" s="37" t="inlineStr">
        <is>
          <t>backend 753 passed; Vitest 113; Playwright 19</t>
        </is>
      </c>
      <c r="J36" s="37" t="inlineStr">
        <is>
          <t>tests</t>
        </is>
      </c>
      <c r="K36" s="37" t="inlineStr">
        <is>
          <t>EDIT-006,DOCX-001</t>
        </is>
      </c>
      <c r="L36" s="31" t="inlineStr">
        <is>
          <t>Medium</t>
        </is>
      </c>
      <c r="M36" s="41" t="n">
        <v>46292.19307870371</v>
      </c>
      <c r="N36" s="41" t="n">
        <v>46292.41621527778</v>
      </c>
      <c r="O36" s="41" t="n">
        <v>46292.41621527778</v>
      </c>
      <c r="P36" s="31" t="inlineStr">
        <is>
          <t>66bbdf1</t>
        </is>
      </c>
      <c r="Q36" s="37" t="n"/>
      <c r="R36" s="31" t="n"/>
      <c r="S36" s="31" t="inlineStr">
        <is>
          <t>AUD-01</t>
        </is>
      </c>
    </row>
    <row r="37">
      <c r="A37" s="34" t="inlineStr">
        <is>
          <t>INFRA-005</t>
        </is>
      </c>
      <c r="B37" s="35" t="n">
        <v>1</v>
      </c>
      <c r="C37" s="31" t="inlineStr">
        <is>
          <t>INFRA</t>
        </is>
      </c>
      <c r="D37" s="37" t="inlineStr">
        <is>
          <t>Throwaway preview stack for browser checks</t>
        </is>
      </c>
      <c r="E37" s="37" t="inlineStr">
        <is>
          <t>tools/dev/throwaway-backend.ps1 (fresh SQLite, never the real DB) and throwaway-frontend.ps1 (:3100 against :8100); launch configs.</t>
        </is>
      </c>
      <c r="F37" s="31" t="inlineStr">
        <is>
          <t>P2</t>
        </is>
      </c>
      <c r="G37" s="31" t="inlineStr">
        <is>
          <t>DONE</t>
        </is>
      </c>
      <c r="H37" s="37" t="inlineStr">
        <is>
          <t>tools/dev/throwaway-*.ps1, .claude/launch.json backend-throwaway/frontend-throwaway, frontend/.gitignore + eslint/vitest ignore .next-preview</t>
        </is>
      </c>
      <c r="I37" s="37" t="inlineStr">
        <is>
          <t>Used for the FID-004 browser check (a03/a05 uploads)</t>
        </is>
      </c>
      <c r="J37" s="37" t="inlineStr">
        <is>
          <t>tools/dev</t>
        </is>
      </c>
      <c r="K37" s="37" t="n"/>
      <c r="L37" s="31" t="inlineStr">
        <is>
          <t>Low</t>
        </is>
      </c>
      <c r="M37" s="41" t="n">
        <v>46292.21813657408</v>
      </c>
      <c r="N37" s="41" t="n">
        <v>46292.21938657408</v>
      </c>
      <c r="O37" s="41" t="n">
        <v>46292.21938657408</v>
      </c>
      <c r="P37" s="31" t="inlineStr">
        <is>
          <t>8a330be</t>
        </is>
      </c>
      <c r="Q37" s="37" t="n"/>
      <c r="R37" s="31" t="n"/>
      <c r="S37" s="31" t="n"/>
    </row>
    <row r="38">
      <c r="A38" s="34" t="inlineStr">
        <is>
          <t>FID-006</t>
        </is>
      </c>
      <c r="B38" s="35" t="n">
        <v>1</v>
      </c>
      <c r="C38" s="31" t="inlineStr">
        <is>
          <t>FIDELITY</t>
        </is>
      </c>
      <c r="D38" s="37" t="inlineStr">
        <is>
          <t>Text imports name what Markdown can't bring in</t>
        </is>
      </c>
      <c r="E38" s="37" t="inlineStr">
        <is>
          <t>Pasted/.txt Markdown dropped pictures (and their descriptions) and thematic breaks without a word, while the content check said verified (alt text isn't body text).</t>
        </is>
      </c>
      <c r="F38" s="31" t="inlineStr">
        <is>
          <t>P1</t>
        </is>
      </c>
      <c r="G38" s="31" t="inlineStr">
        <is>
          <t>DONE</t>
        </is>
      </c>
      <c r="H38" s="37" t="inlineStr">
        <is>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is>
      </c>
      <c r="I38" s="37" t="inlineStr">
        <is>
          <t>tests/test_markdown_parser.py::test_a_thematic_break_is_a_horizontal_rule, tests/test_markdown_parser.py::test_pictures_are_named_as_left_out_not_dropped_silently, tests/test_capabilities.py</t>
        </is>
      </c>
      <c r="J38" s="37" t="inlineStr">
        <is>
          <t>backend/parsers</t>
        </is>
      </c>
      <c r="K38" s="37" t="inlineStr">
        <is>
          <t>FID-001</t>
        </is>
      </c>
      <c r="L38" s="31" t="inlineStr">
        <is>
          <t>Medium</t>
        </is>
      </c>
      <c r="M38" s="41" t="n">
        <v>46292.40670138889</v>
      </c>
      <c r="N38" s="41" t="n">
        <v>46292.41618055556</v>
      </c>
      <c r="O38" s="41" t="n">
        <v>46292.41618055556</v>
      </c>
      <c r="P38" s="31" t="inlineStr">
        <is>
          <t>66bbdf1</t>
        </is>
      </c>
      <c r="Q38" s="37" t="inlineStr">
        <is>
          <t>Found 2026-09-27 during EDIT-010 (probe: '![chart](url)' -&gt; 'See  below.', status verified, no items).</t>
        </is>
      </c>
      <c r="R38" s="31" t="n"/>
      <c r="S38" s="31" t="n"/>
    </row>
    <row r="39">
      <c r="A39" s="34" t="inlineStr">
        <is>
          <t>AI-001</t>
        </is>
      </c>
      <c r="B39" s="35" t="n">
        <v>2</v>
      </c>
      <c r="C39" s="31" t="inlineStr">
        <is>
          <t>AI</t>
        </is>
      </c>
      <c r="D39" s="37" t="inlineStr">
        <is>
          <t>Content fidelity comparator</t>
        </is>
      </c>
      <c r="E39" s="37" t="inlineStr">
        <is>
          <t>Order-, count-, token-, numeric-, punctuation- and structure-aware diff of source vs AI output.</t>
        </is>
      </c>
      <c r="F39" s="31" t="inlineStr">
        <is>
          <t>P0</t>
        </is>
      </c>
      <c r="G39" s="31" t="inlineStr">
        <is>
          <t>DONE</t>
        </is>
      </c>
      <c r="H39" s="37" t="inlineStr">
        <is>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is>
      </c>
      <c r="I39" s="37" t="inlineStr">
        <is>
          <t>tests/test_ai_fidelity.py (36)</t>
        </is>
      </c>
      <c r="J39" s="37" t="inlineStr">
        <is>
          <t>backend/ai</t>
        </is>
      </c>
      <c r="K39" s="37" t="n"/>
      <c r="L39" s="31" t="inlineStr">
        <is>
          <t>High</t>
        </is>
      </c>
      <c r="M39" s="41" t="n">
        <v>46292.21805555555</v>
      </c>
      <c r="N39" s="41" t="n">
        <v>46292.6059375</v>
      </c>
      <c r="O39" s="41" t="n">
        <v>46292.6059375</v>
      </c>
      <c r="P39" s="31" t="inlineStr">
        <is>
          <t>78f5c8f</t>
        </is>
      </c>
      <c r="Q39" s="37" t="inlineStr">
        <is>
          <t>compare_words (app/fidelity/content.py): order/count/token-aware, numbers and negation caught, moved passages told apart; used by the import report. Phase 2: punctuation/structure awareness, use inside structure analysis.</t>
        </is>
      </c>
      <c r="R39" s="31" t="n"/>
      <c r="S39" s="31" t="inlineStr">
        <is>
          <t>AUD-02</t>
        </is>
      </c>
    </row>
    <row r="40">
      <c r="A40" s="34" t="inlineStr">
        <is>
          <t>AI-002</t>
        </is>
      </c>
      <c r="B40" s="35" t="n">
        <v>2</v>
      </c>
      <c r="C40" s="31" t="inlineStr">
        <is>
          <t>AI</t>
        </is>
      </c>
      <c r="D40" s="37" t="inlineStr">
        <is>
          <t>Protected facts: numbers, units, percentages, dates, identifiers</t>
        </is>
      </c>
      <c r="E40" s="37" t="inlineStr">
        <is>
          <t>5 mg never becomes 50 mg without explicit user action.</t>
        </is>
      </c>
      <c r="F40" s="31" t="inlineStr">
        <is>
          <t>P0</t>
        </is>
      </c>
      <c r="G40" s="31" t="inlineStr">
        <is>
          <t>DONE</t>
        </is>
      </c>
      <c r="H40" s="37" t="inlineStr">
        <is>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is>
      </c>
      <c r="I40" s="37" t="inlineStr">
        <is>
          <t>tests/test_ai_fidelity.py (alteration cases with protected flags; test_numbers_are_facts_even_where_the_words_may_change)</t>
        </is>
      </c>
      <c r="J40" s="37" t="inlineStr">
        <is>
          <t>backend/ai</t>
        </is>
      </c>
      <c r="K40" s="37" t="inlineStr">
        <is>
          <t>AI-001</t>
        </is>
      </c>
      <c r="L40" s="31" t="inlineStr">
        <is>
          <t>High</t>
        </is>
      </c>
      <c r="M40" s="41" t="n">
        <v>46292.60570601852</v>
      </c>
      <c r="N40" s="41" t="n">
        <v>46292.60597222222</v>
      </c>
      <c r="O40" s="41" t="n">
        <v>46292.60597222222</v>
      </c>
      <c r="P40" s="31" t="inlineStr">
        <is>
          <t>78f5c8f</t>
        </is>
      </c>
      <c r="Q40" s="37" t="inlineStr">
        <is>
          <t>Translation (TRAN-*) and AI proposals (AI-006) use changed_numbers / protected.</t>
        </is>
      </c>
      <c r="R40" s="31" t="inlineStr">
        <is>
          <t>AI-001</t>
        </is>
      </c>
      <c r="S40" s="31" t="inlineStr">
        <is>
          <t>AUD-02</t>
        </is>
      </c>
    </row>
    <row r="41">
      <c r="A41" s="34" t="inlineStr">
        <is>
          <t>AI-003</t>
        </is>
      </c>
      <c r="B41" s="35" t="n">
        <v>2</v>
      </c>
      <c r="C41" s="31" t="inlineStr">
        <is>
          <t>AI</t>
        </is>
      </c>
      <c r="D41" s="37" t="inlineStr">
        <is>
          <t>Structure analysis uses the comparator</t>
        </is>
      </c>
      <c r="E41" s="37" t="inlineStr">
        <is>
          <t>A piece that fails falls back alone; reasons logged without content.</t>
        </is>
      </c>
      <c r="F41" s="31" t="inlineStr">
        <is>
          <t>P0</t>
        </is>
      </c>
      <c r="G41" s="31" t="inlineStr">
        <is>
          <t>DONE</t>
        </is>
      </c>
      <c r="H41" s="37" t="inlineStr">
        <is>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is>
      </c>
      <c r="I41" s="37" t="inlineStr">
        <is>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is>
      </c>
      <c r="J41" s="37" t="inlineStr">
        <is>
          <t>backend/ai</t>
        </is>
      </c>
      <c r="K41" s="37" t="inlineStr">
        <is>
          <t>AI-001</t>
        </is>
      </c>
      <c r="L41" s="31" t="inlineStr">
        <is>
          <t>Medium</t>
        </is>
      </c>
      <c r="M41" s="41" t="n">
        <v>46292.60574074074</v>
      </c>
      <c r="N41" s="41" t="n">
        <v>46292.60601851852</v>
      </c>
      <c r="O41" s="41" t="n">
        <v>46292.60601851852</v>
      </c>
      <c r="P41" s="31" t="inlineStr">
        <is>
          <t>78f5c8f</t>
        </is>
      </c>
      <c r="Q41" s="37" t="n"/>
      <c r="R41" s="31" t="inlineStr">
        <is>
          <t>AI-001</t>
        </is>
      </c>
      <c r="S41" s="31" t="inlineStr">
        <is>
          <t>AUD-02</t>
        </is>
      </c>
    </row>
    <row r="42">
      <c r="A42" s="34" t="inlineStr">
        <is>
          <t>AI-004</t>
        </is>
      </c>
      <c r="B42" s="35" t="n">
        <v>2</v>
      </c>
      <c r="C42" s="31" t="inlineStr">
        <is>
          <t>AI</t>
        </is>
      </c>
      <c r="D42" s="37" t="inlineStr">
        <is>
          <t>Adversarial fidelity tests</t>
        </is>
      </c>
      <c r="E42" s="37" t="inlineStr">
        <is>
          <t>Sentence/word deletion, 'not' removal, number/unit/percent/date change, added/reordered/duplicated sentence, punctuation, heading changes.</t>
        </is>
      </c>
      <c r="F42" s="31" t="inlineStr">
        <is>
          <t>P0</t>
        </is>
      </c>
      <c r="G42" s="31" t="inlineStr">
        <is>
          <t>DONE</t>
        </is>
      </c>
      <c r="H42" s="37" t="inlineStr">
        <is>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is>
      </c>
      <c r="I42" s="37" t="inlineStr">
        <is>
          <t>tests/test_ai_fidelity.py (36 passed); backend suite 789 passed</t>
        </is>
      </c>
      <c r="J42" s="37" t="inlineStr">
        <is>
          <t>backend/tests</t>
        </is>
      </c>
      <c r="K42" s="37" t="inlineStr">
        <is>
          <t>AI-003</t>
        </is>
      </c>
      <c r="L42" s="31" t="inlineStr">
        <is>
          <t>Low</t>
        </is>
      </c>
      <c r="M42" s="41" t="n">
        <v>46292.60578703704</v>
      </c>
      <c r="N42" s="41" t="n">
        <v>46292.60605324074</v>
      </c>
      <c r="O42" s="41" t="n">
        <v>46292.60605324074</v>
      </c>
      <c r="P42" s="31" t="inlineStr">
        <is>
          <t>78f5c8f</t>
        </is>
      </c>
      <c r="Q42" s="37" t="n"/>
      <c r="R42" s="31" t="inlineStr">
        <is>
          <t>AI-001</t>
        </is>
      </c>
      <c r="S42" s="31" t="inlineStr">
        <is>
          <t>AUD-02</t>
        </is>
      </c>
    </row>
    <row r="43">
      <c r="A43" s="34" t="inlineStr">
        <is>
          <t>AI-005</t>
        </is>
      </c>
      <c r="B43" s="35" t="n">
        <v>2</v>
      </c>
      <c r="C43" s="31" t="inlineStr">
        <is>
          <t>AI</t>
        </is>
      </c>
      <c r="D43" s="37" t="inlineStr">
        <is>
          <t>Classify AI operations</t>
        </is>
      </c>
      <c r="E43" s="37" t="inlineStr">
        <is>
          <t>Formatting-only vs content-changing (insert/delete/move/replace).</t>
        </is>
      </c>
      <c r="F43" s="31" t="inlineStr">
        <is>
          <t>P0</t>
        </is>
      </c>
      <c r="G43" s="31" t="inlineStr">
        <is>
          <t>DONE</t>
        </is>
      </c>
      <c r="H43" s="37" t="inlineStr">
        <is>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is>
      </c>
      <c r="I43" s="37" t="inlineStr">
        <is>
          <t>tests/test_ai_proposals.py::test_operations_are_sorted_by_what_they_touch, ::test_a_style_an_instruction_sets_on_one_element_is_kept</t>
        </is>
      </c>
      <c r="J43" s="37" t="inlineStr">
        <is>
          <t>backend/ai</t>
        </is>
      </c>
      <c r="K43" s="37" t="n"/>
      <c r="L43" s="31" t="inlineStr">
        <is>
          <t>Medium</t>
        </is>
      </c>
      <c r="M43" s="41" t="n">
        <v>46292.60613425926</v>
      </c>
      <c r="N43" s="41" t="n">
        <v>46292.60650462963</v>
      </c>
      <c r="O43" s="41" t="n">
        <v>46292.60650462963</v>
      </c>
      <c r="P43" s="31" t="inlineStr">
        <is>
          <t>5f67f5a</t>
        </is>
      </c>
      <c r="Q43" s="37" t="n"/>
      <c r="R43" s="31" t="n"/>
      <c r="S43" s="31" t="inlineStr">
        <is>
          <t>AUD-05</t>
        </is>
      </c>
    </row>
    <row r="44">
      <c r="A44" s="34" t="inlineStr">
        <is>
          <t>AI-006</t>
        </is>
      </c>
      <c r="B44" s="35" t="n">
        <v>2</v>
      </c>
      <c r="C44" s="31" t="inlineStr">
        <is>
          <t>AI</t>
        </is>
      </c>
      <c r="D44" s="37" t="inlineStr">
        <is>
          <t>PLAN -&gt; VALIDATE -&gt; PREVIEW -&gt; ACCEPT -&gt; APPLY</t>
        </is>
      </c>
      <c r="E44" s="37" t="inlineStr">
        <is>
          <t>Content-changing operations are stored as proposals and never applied without acceptance.</t>
        </is>
      </c>
      <c r="F44" s="31" t="inlineStr">
        <is>
          <t>P0</t>
        </is>
      </c>
      <c r="G44" s="31" t="inlineStr">
        <is>
          <t>DONE</t>
        </is>
      </c>
      <c r="H44" s="37" t="inlineStr">
        <is>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is>
      </c>
      <c r="I44" s="37" t="inlineStr">
        <is>
          <t>tests/test_ai_proposals.py (8), frontend/e2e/proposals.spec.ts</t>
        </is>
      </c>
      <c r="J44" s="37" t="inlineStr">
        <is>
          <t>backend/services</t>
        </is>
      </c>
      <c r="K44" s="37" t="inlineStr">
        <is>
          <t>AI-005,REV-001</t>
        </is>
      </c>
      <c r="L44" s="31" t="inlineStr">
        <is>
          <t>High</t>
        </is>
      </c>
      <c r="M44" s="41" t="n">
        <v>46292.60621527778</v>
      </c>
      <c r="N44" s="41" t="n">
        <v>46292.60658564815</v>
      </c>
      <c r="O44" s="41" t="n">
        <v>46292.60658564815</v>
      </c>
      <c r="P44" s="31" t="inlineStr">
        <is>
          <t>5f67f5a</t>
        </is>
      </c>
      <c r="Q44" s="37" t="n"/>
      <c r="R44" s="31" t="inlineStr">
        <is>
          <t>AI-005</t>
        </is>
      </c>
      <c r="S44" s="31" t="inlineStr">
        <is>
          <t>AUD-05</t>
        </is>
      </c>
    </row>
    <row r="45">
      <c r="A45" s="34" t="inlineStr">
        <is>
          <t>AI-007</t>
        </is>
      </c>
      <c r="B45" s="35" t="n">
        <v>2</v>
      </c>
      <c r="C45" s="31" t="inlineStr">
        <is>
          <t>AI</t>
        </is>
      </c>
      <c r="D45" s="37" t="inlineStr">
        <is>
          <t>Proposal review UI</t>
        </is>
      </c>
      <c r="E45" s="37" t="inlineStr">
        <is>
          <t>Preview, accept, reject AI proposals in the editor.</t>
        </is>
      </c>
      <c r="F45" s="31" t="inlineStr">
        <is>
          <t>P0</t>
        </is>
      </c>
      <c r="G45" s="31" t="inlineStr">
        <is>
          <t>DONE</t>
        </is>
      </c>
      <c r="H45" s="37" t="inlineStr">
        <is>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is>
      </c>
      <c r="I45" s="37" t="inlineStr">
        <is>
          <t>frontend/editor/panels/ProposalsList.test.tsx (4), frontend/e2e/proposals.spec.ts; Vitest 117, Playwright 20</t>
        </is>
      </c>
      <c r="J45" s="37" t="inlineStr">
        <is>
          <t>frontend/editor</t>
        </is>
      </c>
      <c r="K45" s="37" t="inlineStr">
        <is>
          <t>AI-006</t>
        </is>
      </c>
      <c r="L45" s="31" t="inlineStr">
        <is>
          <t>Medium</t>
        </is>
      </c>
      <c r="M45" s="41" t="n">
        <v>46292.60626157407</v>
      </c>
      <c r="N45" s="41" t="n">
        <v>46292.60662037037</v>
      </c>
      <c r="O45" s="41" t="n">
        <v>46292.60662037037</v>
      </c>
      <c r="P45" s="31" t="inlineStr">
        <is>
          <t>5f67f5a</t>
        </is>
      </c>
      <c r="Q45" s="37" t="n"/>
      <c r="R45" s="31" t="inlineStr">
        <is>
          <t>AI-006</t>
        </is>
      </c>
      <c r="S45" s="31" t="inlineStr">
        <is>
          <t>AUD-05</t>
        </is>
      </c>
    </row>
    <row r="46">
      <c r="A46" s="34" t="inlineStr">
        <is>
          <t>AI-008</t>
        </is>
      </c>
      <c r="B46" s="35" t="n">
        <v>2</v>
      </c>
      <c r="C46" s="31" t="inlineStr">
        <is>
          <t>AI</t>
        </is>
      </c>
      <c r="D46" s="37" t="inlineStr">
        <is>
          <t>Per-document AI budget and deadline</t>
        </is>
      </c>
      <c r="E46" s="37" t="inlineStr">
        <is>
          <t>Token/time budget per document and job; no unbounded retries.</t>
        </is>
      </c>
      <c r="F46" s="31" t="inlineStr">
        <is>
          <t>P1</t>
        </is>
      </c>
      <c r="G46" s="31" t="inlineStr">
        <is>
          <t>DONE</t>
        </is>
      </c>
      <c r="H46" s="37" t="inlineStr">
        <is>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is>
      </c>
      <c r="I46" s="37" t="inlineStr">
        <is>
          <t>tests/test_ai_budget.py (6); backend suite 805 passed</t>
        </is>
      </c>
      <c r="J46" s="37" t="inlineStr">
        <is>
          <t>backend/ai</t>
        </is>
      </c>
      <c r="K46" s="37" t="n"/>
      <c r="L46" s="31" t="inlineStr">
        <is>
          <t>Medium</t>
        </is>
      </c>
      <c r="M46" s="41" t="n">
        <v>46292.60670138889</v>
      </c>
      <c r="N46" s="41" t="n">
        <v>46292.60678240741</v>
      </c>
      <c r="O46" s="41" t="n">
        <v>46292.60678240741</v>
      </c>
      <c r="P46" s="31" t="inlineStr">
        <is>
          <t>03f6a44</t>
        </is>
      </c>
      <c r="Q46" s="37" t="n"/>
      <c r="R46" s="31" t="n"/>
      <c r="S46" s="31" t="inlineStr">
        <is>
          <t>AUD-02</t>
        </is>
      </c>
    </row>
    <row r="47">
      <c r="A47" s="34" t="inlineStr">
        <is>
          <t>AI-009</t>
        </is>
      </c>
      <c r="B47" s="35" t="n">
        <v>2</v>
      </c>
      <c r="C47" s="31" t="inlineStr">
        <is>
          <t>AI</t>
        </is>
      </c>
      <c r="D47" s="37" t="inlineStr">
        <is>
          <t>Prompt-injection hardening review</t>
        </is>
      </c>
      <c r="E47" s="37" t="inlineStr">
        <is>
          <t>Document content never becomes instructions; output abuse checks.</t>
        </is>
      </c>
      <c r="F47" s="31" t="inlineStr">
        <is>
          <t>P1</t>
        </is>
      </c>
      <c r="G47" s="31" t="inlineStr">
        <is>
          <t>DONE</t>
        </is>
      </c>
      <c r="H47" s="37" t="inlineStr">
        <is>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is>
      </c>
      <c r="I47" s="37" t="inlineStr">
        <is>
          <t>tests/test_prompt_injection.py (12); backend suite 817 passed</t>
        </is>
      </c>
      <c r="J47" s="37" t="inlineStr">
        <is>
          <t>backend/ai</t>
        </is>
      </c>
      <c r="K47" s="37" t="n"/>
      <c r="L47" s="31" t="inlineStr">
        <is>
          <t>Medium</t>
        </is>
      </c>
      <c r="M47" s="41" t="n">
        <v>46292.60686342593</v>
      </c>
      <c r="N47" s="41" t="n">
        <v>46292.60697916667</v>
      </c>
      <c r="O47" s="41" t="n">
        <v>46292.60697916667</v>
      </c>
      <c r="P47" s="31" t="inlineStr">
        <is>
          <t>8253a6a</t>
        </is>
      </c>
      <c r="Q47" s="37" t="n"/>
      <c r="R47" s="31" t="n"/>
      <c r="S47" s="31" t="n"/>
    </row>
    <row r="48">
      <c r="A48" s="34" t="inlineStr">
        <is>
          <t>REV-001</t>
        </is>
      </c>
      <c r="B48" s="35" t="n">
        <v>2</v>
      </c>
      <c r="C48" s="31" t="inlineStr">
        <is>
          <t>REVIEW</t>
        </is>
      </c>
      <c r="D48" s="37" t="inlineStr">
        <is>
          <t>Change model</t>
        </is>
      </c>
      <c r="E48" s="37" t="inlineStr">
        <is>
          <t>{type, elementId, property, before, after, reason, source, confidence} with categories FORMAT/STRUCTURE/CONTENT/METADATA/PRESERVATION/TRANSLATION.</t>
        </is>
      </c>
      <c r="F48" s="31" t="inlineStr">
        <is>
          <t>P0</t>
        </is>
      </c>
      <c r="G48" s="31" t="inlineStr">
        <is>
          <t>DONE</t>
        </is>
      </c>
      <c r="H48" s="37" t="inlineStr">
        <is>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is>
      </c>
      <c r="I48" s="37" t="inlineStr">
        <is>
          <t>tests/test_ai_proposals.py</t>
        </is>
      </c>
      <c r="J48" s="37" t="inlineStr">
        <is>
          <t>backend/models</t>
        </is>
      </c>
      <c r="K48" s="37" t="n"/>
      <c r="L48" s="31" t="inlineStr">
        <is>
          <t>Medium</t>
        </is>
      </c>
      <c r="M48" s="41" t="n">
        <v>46292.60618055556</v>
      </c>
      <c r="N48" s="41" t="n">
        <v>46292.60653935185</v>
      </c>
      <c r="O48" s="41" t="n">
        <v>46292.60653935185</v>
      </c>
      <c r="P48" s="31" t="inlineStr">
        <is>
          <t>5f67f5a</t>
        </is>
      </c>
      <c r="Q48" s="37" t="n"/>
      <c r="R48" s="31" t="n"/>
      <c r="S48" s="31" t="inlineStr">
        <is>
          <t>AUD-05</t>
        </is>
      </c>
    </row>
    <row r="49">
      <c r="A49" s="34" t="inlineStr">
        <is>
          <t>CORE-005</t>
        </is>
      </c>
      <c r="B49" s="35" t="n">
        <v>2</v>
      </c>
      <c r="C49" s="31" t="inlineStr">
        <is>
          <t>CORE</t>
        </is>
      </c>
      <c r="D49" s="37" t="inlineStr">
        <is>
          <t>Document command model</t>
        </is>
      </c>
      <c r="E49" s="37" t="inlineStr">
        <is>
          <t>Commands with validate/preview/apply/undo for AI, translation, repair, batch.</t>
        </is>
      </c>
      <c r="F49" s="31" t="inlineStr">
        <is>
          <t>P1</t>
        </is>
      </c>
      <c r="G49" s="31" t="inlineStr">
        <is>
          <t>DEFERRED</t>
        </is>
      </c>
      <c r="H49" s="37" t="n"/>
      <c r="I49" s="37" t="n"/>
      <c r="J49" s="37" t="inlineStr">
        <is>
          <t>backend/services</t>
        </is>
      </c>
      <c r="K49" s="37" t="inlineStr">
        <is>
          <t>REV-001</t>
        </is>
      </c>
      <c r="L49" s="31" t="inlineStr">
        <is>
          <t>Medium</t>
        </is>
      </c>
      <c r="M49" s="41" t="n">
        <v>46292.6062962963</v>
      </c>
      <c r="N49" s="41" t="n"/>
      <c r="O49" s="41" t="n"/>
      <c r="P49" s="31" t="n"/>
      <c r="Q49" s="37" t="inlineStr">
        <is>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is>
      </c>
      <c r="R49" s="31" t="n"/>
      <c r="S49" s="31" t="inlineStr">
        <is>
          <t>AUD-05</t>
        </is>
      </c>
    </row>
    <row r="50">
      <c r="A50" s="34" t="inlineStr">
        <is>
          <t>DOCX-010</t>
        </is>
      </c>
      <c r="B50" s="35" t="n">
        <v>3</v>
      </c>
      <c r="C50" s="31" t="inlineStr">
        <is>
          <t>DOCX</t>
        </is>
      </c>
      <c r="D50" s="37" t="inlineStr">
        <is>
          <t>Original package store</t>
        </is>
      </c>
      <c r="E50" s="37" t="inlineStr">
        <is>
          <t>Uploaded DOCX kept as an immutable source artifact (storage + DB reference, retention, deletion).</t>
        </is>
      </c>
      <c r="F50" s="31" t="inlineStr">
        <is>
          <t>P0</t>
        </is>
      </c>
      <c r="G50" s="31" t="inlineStr">
        <is>
          <t>DONE</t>
        </is>
      </c>
      <c r="H50" s="37" t="inlineStr">
        <is>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is>
      </c>
      <c r="I50" s="37" t="inlineStr">
        <is>
          <t>tests/test_source_package.py::test_the_imported_word_file_is_kept_as_it_was, ::test_a_stored_file_that_isnt_the_one_kept_is_not_used_and_the_export_says_so; tests/test_entitlements.py (storage counts the kept file)</t>
        </is>
      </c>
      <c r="J50" s="37" t="inlineStr">
        <is>
          <t>backend/storage</t>
        </is>
      </c>
      <c r="K50" s="37" t="n"/>
      <c r="L50" s="31" t="inlineStr">
        <is>
          <t>Medium</t>
        </is>
      </c>
      <c r="M50" s="41" t="n">
        <v>46292.60722222222</v>
      </c>
      <c r="N50" s="41" t="n">
        <v>46292.6075462963</v>
      </c>
      <c r="O50" s="41" t="n">
        <v>46292.6075462963</v>
      </c>
      <c r="P50" s="31" t="inlineStr">
        <is>
          <t>de23961</t>
        </is>
      </c>
      <c r="Q50" s="37" t="inlineStr">
        <is>
          <t>Kept originals count toward plan storage (a Word file with a 1.2 MB picture uses ~2.4 MB: the picture asset + the file). Whether plans should exclude originals is Boril's pricing decision.</t>
        </is>
      </c>
      <c r="R50" s="31" t="n"/>
      <c r="S50" s="31" t="inlineStr">
        <is>
          <t>AUD-03,AUD-06,AUD-18</t>
        </is>
      </c>
    </row>
    <row r="51">
      <c r="A51" s="34" t="inlineStr">
        <is>
          <t>DOCX-011</t>
        </is>
      </c>
      <c r="B51" s="35" t="n">
        <v>3</v>
      </c>
      <c r="C51" s="31" t="inlineStr">
        <is>
          <t>DOCX</t>
        </is>
      </c>
      <c r="D51" s="37" t="inlineStr">
        <is>
          <t>Patch-writer export for imported documents</t>
        </is>
      </c>
      <c r="E51" s="37" t="inlineStr">
        <is>
          <t>Untouched OOXML parts preserved: styles, numbering, settings, theme, fontTable, webSettings, custom XML, glossary, docProps, commentsExtended, embeddings.</t>
        </is>
      </c>
      <c r="F51" s="31" t="inlineStr">
        <is>
          <t>P0</t>
        </is>
      </c>
      <c r="G51" s="31" t="inlineStr">
        <is>
          <t>DONE</t>
        </is>
      </c>
      <c r="H51" s="37" t="inlineStr">
        <is>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is>
      </c>
      <c r="I51" s="37" t="inlineStr">
        <is>
          <t>tests/test_source_package.py (10), tests/test_package_check.py (13); backend suite</t>
        </is>
      </c>
      <c r="J51" s="37" t="inlineStr">
        <is>
          <t>backend/export</t>
        </is>
      </c>
      <c r="K51" s="37" t="inlineStr">
        <is>
          <t>DOCX-010</t>
        </is>
      </c>
      <c r="L51" s="31" t="inlineStr">
        <is>
          <t>High</t>
        </is>
      </c>
      <c r="M51" s="41" t="n">
        <v>46292.60726851852</v>
      </c>
      <c r="N51" s="41" t="n">
        <v>46292.60758101852</v>
      </c>
      <c r="O51" s="41" t="n">
        <v>46292.60758101852</v>
      </c>
      <c r="P51" s="31" t="inlineStr">
        <is>
          <t>de23961</t>
        </is>
      </c>
      <c r="Q51" s="37" t="inlineStr">
        <is>
          <t>Package-level patch writer. Block-level preservation (unchanged blocks keep their original XML: fields, content controls, run-level features) is DOCX-028.</t>
        </is>
      </c>
      <c r="R51" s="31" t="inlineStr">
        <is>
          <t>DOCX-010</t>
        </is>
      </c>
      <c r="S51" s="31" t="inlineStr">
        <is>
          <t>AUD-03,AUD-06,AUD-18</t>
        </is>
      </c>
    </row>
    <row r="52">
      <c r="A52" s="34" t="inlineStr">
        <is>
          <t>DOCX-012</t>
        </is>
      </c>
      <c r="B52" s="35" t="n">
        <v>3</v>
      </c>
      <c r="C52" s="31" t="inlineStr">
        <is>
          <t>DOCX</t>
        </is>
      </c>
      <c r="D52" s="37" t="inlineStr">
        <is>
          <t>Metadata preserved and correct</t>
        </is>
      </c>
      <c r="E52" s="37" t="inlineStr">
        <is>
          <t>Core/app/custom properties kept; never 'python-docx'; created/modified correct; sensitivity properties kept where possible.</t>
        </is>
      </c>
      <c r="F52" s="31" t="inlineStr">
        <is>
          <t>P0</t>
        </is>
      </c>
      <c r="G52" s="31" t="inlineStr">
        <is>
          <t>DONE</t>
        </is>
      </c>
      <c r="H52" s="37" t="inlineStr">
        <is>
          <t>Core properties kept (sourceProperties, 622d9c1); custom properties, app properties and sensitivity labels now kept in Word exports via the original package (DOCX-011); never 'python-docx'; created from the source; reported without values.</t>
        </is>
      </c>
      <c r="I52" s="37" t="inlineStr">
        <is>
          <t>tests/test_docx_detect.py::test_the_files_own_properties_go_back_into_word_not_the_templates, tests/test_source_package.py::test_a_word_export_keeps_what_the_document_model_doesnt_hold</t>
        </is>
      </c>
      <c r="J52" s="37" t="inlineStr">
        <is>
          <t>backend/export</t>
        </is>
      </c>
      <c r="K52" s="37" t="inlineStr">
        <is>
          <t>DOCX-010</t>
        </is>
      </c>
      <c r="L52" s="31" t="inlineStr">
        <is>
          <t>Medium</t>
        </is>
      </c>
      <c r="M52" s="41" t="n">
        <v>46292.37401620371</v>
      </c>
      <c r="N52" s="41" t="n">
        <v>46292.60762731481</v>
      </c>
      <c r="O52" s="41" t="n">
        <v>46292.60762731481</v>
      </c>
      <c r="P52" s="31" t="inlineStr">
        <is>
          <t>de23961</t>
        </is>
      </c>
      <c r="Q52" s="37" t="inlineStr">
        <is>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is>
      </c>
      <c r="R52" s="31" t="n"/>
      <c r="S52" s="31" t="inlineStr">
        <is>
          <t>AUD-06,AUD-18</t>
        </is>
      </c>
    </row>
    <row r="53">
      <c r="A53" s="34" t="inlineStr">
        <is>
          <t>DOCX-013</t>
        </is>
      </c>
      <c r="B53" s="35" t="n">
        <v>3</v>
      </c>
      <c r="C53" s="31" t="inlineStr">
        <is>
          <t>DOCX</t>
        </is>
      </c>
      <c r="D53" s="37" t="inlineStr">
        <is>
          <t>Character formatting</t>
        </is>
      </c>
      <c r="E53" s="37" t="inlineStr">
        <is>
          <t>Double underline and variants, double strike, caps, small caps, spacing, scale, position, language, RTL, theme font/colour, hidden text.</t>
        </is>
      </c>
      <c r="F53" s="31" t="inlineStr">
        <is>
          <t>P0</t>
        </is>
      </c>
      <c r="G53" s="31" t="inlineStr">
        <is>
          <t>DONE</t>
        </is>
      </c>
      <c r="H53" s="37" t="inlineStr">
        <is>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is>
      </c>
      <c r="I53" s="37" t="inlineStr">
        <is>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is>
      </c>
      <c r="J53" s="37" t="inlineStr">
        <is>
          <t>backend/parsers, export, models</t>
        </is>
      </c>
      <c r="K53" s="37" t="inlineStr">
        <is>
          <t>DOCX-011</t>
        </is>
      </c>
      <c r="L53" s="31" t="inlineStr">
        <is>
          <t>High</t>
        </is>
      </c>
      <c r="M53" s="41" t="n">
        <v>46292.8071875</v>
      </c>
      <c r="N53" s="41" t="n">
        <v>46292.81806712963</v>
      </c>
      <c r="O53" s="41" t="n">
        <v>46292.81806712963</v>
      </c>
      <c r="P53" s="31" t="inlineStr">
        <is>
          <t>d32c6a6</t>
        </is>
      </c>
      <c r="Q53" s="37" t="inlineStr">
        <is>
          <t>Hidden text (listed here too) is done under DOCX-025.; Part 2 remaining: character scale, kerning, language/noProof, theme font/colour links, effects, emphasis marks - detect, 'kept while unchanged' with the source kept, and export.docx.rewritten_formatting for rewritten blocks.</t>
        </is>
      </c>
      <c r="R53" s="31" t="n"/>
      <c r="S53" s="31" t="inlineStr">
        <is>
          <t>AUD-03</t>
        </is>
      </c>
    </row>
    <row r="54">
      <c r="A54" s="34" t="inlineStr">
        <is>
          <t>DOCX-014</t>
        </is>
      </c>
      <c r="B54" s="35" t="n">
        <v>3</v>
      </c>
      <c r="C54" s="31" t="inlineStr">
        <is>
          <t>DOCX</t>
        </is>
      </c>
      <c r="D54" s="37" t="inlineStr">
        <is>
          <t>Paragraph formatting</t>
        </is>
      </c>
      <c r="E54" s="37" t="inlineStr">
        <is>
          <t>Right indent, keep-with-next, keep-lines, page-break-before, widow/orphan, outline level, tabs, borders, shading, direction, contextual spacing.</t>
        </is>
      </c>
      <c r="F54" s="31" t="inlineStr">
        <is>
          <t>P1</t>
        </is>
      </c>
      <c r="G54" s="31" t="inlineStr">
        <is>
          <t>DONE</t>
        </is>
      </c>
      <c r="H54" s="37" t="inlineStr">
        <is>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is>
      </c>
      <c r="I54" s="37" t="inlineStr">
        <is>
          <t>backend 903 passed/1 skipped (tests/test_paragraph_formatting.py 9); Vitest 129; Playwright 22; tsc + eslint clean; tests/test_paragraph_formatting.py (19 in all); backend 913 passed/1 skipped; Vitest 129; Playwright 22</t>
        </is>
      </c>
      <c r="J54" s="37" t="inlineStr">
        <is>
          <t>backend/parsers, export, models</t>
        </is>
      </c>
      <c r="K54" s="37" t="inlineStr">
        <is>
          <t>DOCX-011</t>
        </is>
      </c>
      <c r="L54" s="31" t="inlineStr">
        <is>
          <t>Medium</t>
        </is>
      </c>
      <c r="M54" s="41" t="n">
        <v>46292.82690972222</v>
      </c>
      <c r="N54" s="41" t="n">
        <v>46292.83453703704</v>
      </c>
      <c r="O54" s="41" t="n">
        <v>46292.83453703704</v>
      </c>
      <c r="P54" s="31" t="inlineStr">
        <is>
          <t>c158722</t>
        </is>
      </c>
      <c r="Q54" s="37" t="inlineStr">
        <is>
          <t>Part 2 remaining: paragraph borders (model + exports) and tab stops (detect, keep while unchanged, name when lost).</t>
        </is>
      </c>
      <c r="R54" s="31" t="n"/>
      <c r="S54" s="31" t="inlineStr">
        <is>
          <t>AUD-03</t>
        </is>
      </c>
    </row>
    <row r="55">
      <c r="A55" s="34" t="inlineStr">
        <is>
          <t>DOCX-015</t>
        </is>
      </c>
      <c r="B55" s="35" t="n">
        <v>3</v>
      </c>
      <c r="C55" s="31" t="inlineStr">
        <is>
          <t>DOCX</t>
        </is>
      </c>
      <c r="D55" s="37" t="inlineStr">
        <is>
          <t>Sections as a first-class concept</t>
        </is>
      </c>
      <c r="E55" s="37" t="inlineStr">
        <is>
          <t>Breaks (next/continuous/even/odd), orientation, size, margins, columns, header/footer distance, first/even/odd headers, linked-to-previous, page-number restart.</t>
        </is>
      </c>
      <c r="F55" s="31" t="inlineStr">
        <is>
          <t>P0</t>
        </is>
      </c>
      <c r="G55" s="31" t="inlineStr">
        <is>
          <t>DONE</t>
        </is>
      </c>
      <c r="H55" s="37" t="inlineStr">
        <is>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is>
      </c>
      <c r="I55" s="37" t="inlineStr">
        <is>
          <t>frontend/editor/sectionPages.test.ts (5); frontend/e2e/section-headers.spec.ts (2: headers per page; a landscape section's wide page and text column); tests/test_sections.py (16); backend 937 passed/1 skipped; Vitest 144; Playwright 24</t>
        </is>
      </c>
      <c r="J55" s="37" t="inlineStr">
        <is>
          <t>backend/models, parsers, export</t>
        </is>
      </c>
      <c r="K55" s="37" t="inlineStr">
        <is>
          <t>DOCX-011</t>
        </is>
      </c>
      <c r="L55" s="31" t="inlineStr">
        <is>
          <t>High</t>
        </is>
      </c>
      <c r="M55" s="41" t="n">
        <v>46292.37393518518</v>
      </c>
      <c r="N55" s="41" t="n">
        <v>46294.65284722222</v>
      </c>
      <c r="O55" s="41" t="n">
        <v>46294.65284722222</v>
      </c>
      <c r="P55" s="31" t="inlineStr">
        <is>
          <t>633c1d6</t>
        </is>
      </c>
      <c r="Q55" s="37" t="inlineStr">
        <is>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is>
      </c>
      <c r="R55" s="31" t="n"/>
      <c r="S55" s="31" t="inlineStr">
        <is>
          <t>AUD-03</t>
        </is>
      </c>
    </row>
    <row r="56">
      <c r="A56" s="34" t="inlineStr">
        <is>
          <t>DOCX-015A</t>
        </is>
      </c>
      <c r="B56" s="35" t="n">
        <v>3</v>
      </c>
      <c r="C56" s="31" t="inlineStr">
        <is>
          <t>DOCX</t>
        </is>
      </c>
      <c r="D56" s="37" t="inlineStr">
        <is>
          <t>Custom page size of the last section</t>
        </is>
      </c>
      <c r="E56" s="37" t="inlineStr">
        <is>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is>
      </c>
      <c r="F56" s="31" t="inlineStr">
        <is>
          <t>P2</t>
        </is>
      </c>
      <c r="G56" s="31" t="inlineStr">
        <is>
          <t>NOT_STARTED</t>
        </is>
      </c>
      <c r="H56" s="37" t="n"/>
      <c r="I56" s="37" t="n"/>
      <c r="J56" s="37" t="inlineStr">
        <is>
          <t>backend/models, parsers, export</t>
        </is>
      </c>
      <c r="K56" s="37" t="n"/>
      <c r="L56" s="31" t="inlineStr">
        <is>
          <t>Low</t>
        </is>
      </c>
      <c r="M56" s="41" t="n"/>
      <c r="N56" s="41" t="n"/>
      <c r="O56" s="41" t="n"/>
      <c r="P56" s="31" t="n"/>
      <c r="Q56" s="37" t="n"/>
      <c r="R56" s="31" t="inlineStr">
        <is>
          <t>DOCX-015</t>
        </is>
      </c>
      <c r="S56" s="31" t="inlineStr">
        <is>
          <t>AUD-03</t>
        </is>
      </c>
    </row>
    <row r="57">
      <c r="A57" s="34" t="inlineStr">
        <is>
          <t>DOCX-015B</t>
        </is>
      </c>
      <c r="B57" s="35" t="n">
        <v>3</v>
      </c>
      <c r="C57" s="31" t="inlineStr">
        <is>
          <t>EDITOR</t>
        </is>
      </c>
      <c r="D57" s="37" t="inlineStr">
        <is>
          <t>Show a section's columns in the editor</t>
        </is>
      </c>
      <c r="E57" s="37" t="inlineStr">
        <is>
          <t>Sections laid out in columns are kept, and written in columns by a Word export and a PDF; the editor's pages show them in one column and the import report says so. Show them as columns on the page (a paginated multi-column flow).</t>
        </is>
      </c>
      <c r="F57" s="31" t="inlineStr">
        <is>
          <t>P2</t>
        </is>
      </c>
      <c r="G57" s="31" t="inlineStr">
        <is>
          <t>NOT_STARTED</t>
        </is>
      </c>
      <c r="H57" s="37" t="n"/>
      <c r="I57" s="37" t="n"/>
      <c r="J57" s="37" t="inlineStr">
        <is>
          <t>backend/models, parsers, export</t>
        </is>
      </c>
      <c r="K57" s="37" t="n"/>
      <c r="L57" s="31" t="inlineStr">
        <is>
          <t>Medium</t>
        </is>
      </c>
      <c r="M57" s="41" t="n"/>
      <c r="N57" s="41" t="n"/>
      <c r="O57" s="41" t="n"/>
      <c r="P57" s="31" t="n"/>
      <c r="Q57" s="37" t="n"/>
      <c r="R57" s="31" t="inlineStr">
        <is>
          <t>DOCX-015</t>
        </is>
      </c>
      <c r="S57" s="31" t="inlineStr">
        <is>
          <t>AUD-03</t>
        </is>
      </c>
    </row>
    <row r="58">
      <c r="A58" s="34" t="inlineStr">
        <is>
          <t>DOCX-015C</t>
        </is>
      </c>
      <c r="B58" s="35" t="n">
        <v>3</v>
      </c>
      <c r="C58" s="31" t="inlineStr">
        <is>
          <t>EDITOR</t>
        </is>
      </c>
      <c r="D58" s="37" t="inlineStr">
        <is>
          <t>Edit a section's own headers and footers</t>
        </is>
      </c>
      <c r="E58" s="37" t="inlineStr">
        <is>
          <t>Page settings edit the last section's main header and footer; other sections' (and first-page and even-page ones) are kept, shown on their pages and exported, but can't be changed here. Let a page's header or footer be edited as its section's.</t>
        </is>
      </c>
      <c r="F58" s="31" t="inlineStr">
        <is>
          <t>P2</t>
        </is>
      </c>
      <c r="G58" s="31" t="inlineStr">
        <is>
          <t>NOT_STARTED</t>
        </is>
      </c>
      <c r="H58" s="37" t="n"/>
      <c r="I58" s="37" t="n"/>
      <c r="J58" s="37" t="inlineStr">
        <is>
          <t>backend/models, parsers, export</t>
        </is>
      </c>
      <c r="K58" s="37" t="n"/>
      <c r="L58" s="31" t="inlineStr">
        <is>
          <t>Low</t>
        </is>
      </c>
      <c r="M58" s="41" t="n"/>
      <c r="N58" s="41" t="n"/>
      <c r="O58" s="41" t="n"/>
      <c r="P58" s="31" t="n"/>
      <c r="Q58" s="37" t="n"/>
      <c r="R58" s="31" t="inlineStr">
        <is>
          <t>DOCX-015</t>
        </is>
      </c>
      <c r="S58" s="31" t="inlineStr">
        <is>
          <t>AUD-03</t>
        </is>
      </c>
    </row>
    <row r="59">
      <c r="A59" s="34" t="inlineStr">
        <is>
          <t>DOCX-016</t>
        </is>
      </c>
      <c r="B59" s="35" t="n">
        <v>3</v>
      </c>
      <c r="C59" s="31" t="inlineStr">
        <is>
          <t>DOCX</t>
        </is>
      </c>
      <c r="D59" s="37" t="inlineStr">
        <is>
          <t>Numbering engine</t>
        </is>
      </c>
      <c r="E59" s="37" t="inlineStr">
        <is>
          <t>Decimal/roman/alpha/bullets, custom prefixes/suffixes, start, restart, continuation, multilevel, numId/abstractNum/ilvl, indentation.</t>
        </is>
      </c>
      <c r="F59" s="31" t="inlineStr">
        <is>
          <t>P0</t>
        </is>
      </c>
      <c r="G59" s="31" t="inlineStr">
        <is>
          <t>DONE</t>
        </is>
      </c>
      <c r="H59" s="37" t="inlineStr">
        <is>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is>
      </c>
      <c r="I59" s="37" t="inlineStr">
        <is>
          <t>frontend/editor/listLabels.test.ts (4); frontend/e2e/list-labels.spec.ts; tests/test_docx_numbering.py (15); tests/test_golden_documents.py::test_15_numbering; backend 953 passed/1 skipped; Vitest 152; Playwright 25 (visual baseline updated: nested lists close up)</t>
        </is>
      </c>
      <c r="J59" s="37" t="inlineStr">
        <is>
          <t>backend/models, parsers, export</t>
        </is>
      </c>
      <c r="K59" s="37" t="inlineStr">
        <is>
          <t>DOCX-011</t>
        </is>
      </c>
      <c r="L59" s="31" t="inlineStr">
        <is>
          <t>High</t>
        </is>
      </c>
      <c r="M59" s="41" t="n">
        <v>46292.37398148148</v>
      </c>
      <c r="N59" s="41" t="n">
        <v>46294.69605324074</v>
      </c>
      <c r="O59" s="41" t="n">
        <v>46294.69605324074</v>
      </c>
      <c r="P59" s="31" t="inlineStr">
        <is>
          <t>bcdc9af</t>
        </is>
      </c>
      <c r="Q59" s="37" t="inlineStr">
        <is>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is>
      </c>
      <c r="R59" s="31" t="n"/>
      <c r="S59" s="31" t="inlineStr">
        <is>
          <t>AUD-04</t>
        </is>
      </c>
    </row>
    <row r="60">
      <c r="A60" s="34" t="inlineStr">
        <is>
          <t>DOCX-016A</t>
        </is>
      </c>
      <c r="B60" s="35" t="n">
        <v>3</v>
      </c>
      <c r="C60" s="31" t="inlineStr">
        <is>
          <t>DOCX</t>
        </is>
      </c>
      <c r="D60" s="37" t="inlineStr">
        <is>
          <t>Numbered headings keep live numbering</t>
        </is>
      </c>
      <c r="E60" s="37" t="inlineStr">
        <is>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is>
      </c>
      <c r="F60" s="31" t="inlineStr">
        <is>
          <t>P1</t>
        </is>
      </c>
      <c r="G60" s="31" t="inlineStr">
        <is>
          <t>NOT_STARTED</t>
        </is>
      </c>
      <c r="H60" s="37" t="n"/>
      <c r="I60" s="37" t="n"/>
      <c r="J60" s="37" t="inlineStr">
        <is>
          <t>backend/models, parsers, export</t>
        </is>
      </c>
      <c r="K60" s="37" t="n"/>
      <c r="L60" s="31" t="inlineStr">
        <is>
          <t>Medium</t>
        </is>
      </c>
      <c r="M60" s="41" t="n"/>
      <c r="N60" s="41" t="n"/>
      <c r="O60" s="41" t="n"/>
      <c r="P60" s="31" t="n"/>
      <c r="Q60" s="37" t="n"/>
      <c r="R60" s="31" t="inlineStr">
        <is>
          <t>DOCX-016</t>
        </is>
      </c>
      <c r="S60" s="31" t="inlineStr">
        <is>
          <t>AUD-04</t>
        </is>
      </c>
    </row>
    <row r="61">
      <c r="A61" s="34" t="inlineStr">
        <is>
          <t>DOCX-016B</t>
        </is>
      </c>
      <c r="B61" s="35" t="n">
        <v>3</v>
      </c>
      <c r="C61" s="31" t="inlineStr">
        <is>
          <t>DOCX</t>
        </is>
      </c>
      <c r="D61" s="37" t="inlineStr">
        <is>
          <t>More of Word's number styles</t>
        </is>
      </c>
      <c r="E61" s="37" t="inlineStr">
        <is>
          <t>Number styles the app doesn't have (ordinal 1st, cardinal and ordinal text, Chinese/Japanese counting, Hebrew, Arabic letters...) are numbered 1, 2, 3 and reported (docx.list_numbering.format). Add those in use, in list_numbering.py and editor/listLabels.ts.</t>
        </is>
      </c>
      <c r="F61" s="31" t="inlineStr">
        <is>
          <t>P3</t>
        </is>
      </c>
      <c r="G61" s="31" t="inlineStr">
        <is>
          <t>NOT_STARTED</t>
        </is>
      </c>
      <c r="H61" s="37" t="n"/>
      <c r="I61" s="37" t="n"/>
      <c r="J61" s="37" t="inlineStr">
        <is>
          <t>backend/models, parsers, export</t>
        </is>
      </c>
      <c r="K61" s="37" t="n"/>
      <c r="L61" s="31" t="inlineStr">
        <is>
          <t>Low</t>
        </is>
      </c>
      <c r="M61" s="41" t="n"/>
      <c r="N61" s="41" t="n"/>
      <c r="O61" s="41" t="n"/>
      <c r="P61" s="31" t="n"/>
      <c r="Q61" s="37" t="n"/>
      <c r="R61" s="31" t="inlineStr">
        <is>
          <t>DOCX-016</t>
        </is>
      </c>
      <c r="S61" s="31" t="inlineStr">
        <is>
          <t>AUD-04</t>
        </is>
      </c>
    </row>
    <row r="62">
      <c r="A62" s="34" t="inlineStr">
        <is>
          <t>DOCX-017</t>
        </is>
      </c>
      <c r="B62" s="35" t="n">
        <v>3</v>
      </c>
      <c r="C62" s="31" t="inlineStr">
        <is>
          <t>DOCX</t>
        </is>
      </c>
      <c r="D62" s="37" t="inlineStr">
        <is>
          <t>Table engine</t>
        </is>
      </c>
      <c r="E62" s="37" t="inlineStr">
        <is>
          <t>No forced header or Table Grid; widths, heights, margins, borders, shading, v-align, nested tables, repeated header rows, table styles.</t>
        </is>
      </c>
      <c r="F62" s="31" t="inlineStr">
        <is>
          <t>P0</t>
        </is>
      </c>
      <c r="G62" s="31" t="inlineStr">
        <is>
          <t>DONE</t>
        </is>
      </c>
      <c r="H62" s="37" t="inlineStr">
        <is>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is>
      </c>
      <c r="I62" s="37" t="inlineStr">
        <is>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is>
      </c>
      <c r="J62" s="37" t="inlineStr">
        <is>
          <t>backend/models, parsers, export</t>
        </is>
      </c>
      <c r="K62" s="37" t="inlineStr">
        <is>
          <t>DOCX-011</t>
        </is>
      </c>
      <c r="L62" s="31" t="inlineStr">
        <is>
          <t>High</t>
        </is>
      </c>
      <c r="M62" s="41" t="n">
        <v>46294.90642361111</v>
      </c>
      <c r="N62" s="41" t="n">
        <v>46294.92384259259</v>
      </c>
      <c r="O62" s="41" t="n">
        <v>46294.92384259259</v>
      </c>
      <c r="P62" s="31" t="inlineStr">
        <is>
          <t>62e7957</t>
        </is>
      </c>
      <c r="Q62" s="37" t="inlineStr">
        <is>
          <t>From EDIT-011 (2026-09-27): add per-cell alignment and column widths to the model (the editor's cell align/colwidth, Word tcW/tblGrid, PDF colWidths); until then the editor names them as not kept.</t>
        </is>
      </c>
      <c r="R62" s="31" t="n"/>
      <c r="S62" s="31" t="inlineStr">
        <is>
          <t>AUD-08</t>
        </is>
      </c>
    </row>
    <row r="63">
      <c r="A63" s="34" t="inlineStr">
        <is>
          <t>DOCX-017A</t>
        </is>
      </c>
      <c r="B63" s="35" t="n">
        <v>3</v>
      </c>
      <c r="C63" s="31" t="inlineStr">
        <is>
          <t>DOCX</t>
        </is>
      </c>
      <c r="D63" s="37" t="inlineStr">
        <is>
          <t>Draw a table style's banded rows and first/last columns</t>
        </is>
      </c>
      <c r="E63" s="37" t="inlineStr">
        <is>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is>
      </c>
      <c r="F63" s="31" t="inlineStr">
        <is>
          <t>P2</t>
        </is>
      </c>
      <c r="G63" s="31" t="inlineStr">
        <is>
          <t>NOT_STARTED</t>
        </is>
      </c>
      <c r="H63" s="37" t="n"/>
      <c r="I63" s="37" t="n"/>
      <c r="J63" s="37" t="inlineStr">
        <is>
          <t>backend/models, parsers, export</t>
        </is>
      </c>
      <c r="K63" s="37" t="n"/>
      <c r="L63" s="31" t="inlineStr">
        <is>
          <t>Medium</t>
        </is>
      </c>
      <c r="M63" s="41" t="n"/>
      <c r="N63" s="41" t="n"/>
      <c r="O63" s="41" t="n"/>
      <c r="P63" s="31" t="n"/>
      <c r="Q63" s="37" t="n"/>
      <c r="R63" s="31" t="inlineStr">
        <is>
          <t>DOCX-017</t>
        </is>
      </c>
      <c r="S63" s="31" t="inlineStr">
        <is>
          <t>AUD-08</t>
        </is>
      </c>
    </row>
    <row r="64">
      <c r="A64" s="34" t="inlineStr">
        <is>
          <t>DOCX-017B</t>
        </is>
      </c>
      <c r="B64" s="35" t="n">
        <v>3</v>
      </c>
      <c r="C64" s="31" t="inlineStr">
        <is>
          <t>DOCX</t>
        </is>
      </c>
      <c r="D64" s="37" t="inlineStr">
        <is>
          <t>Float tables with text around them here and in a PDF</t>
        </is>
      </c>
      <c r="E64" s="37" t="inlineStr">
        <is>
          <t>A floating table (tblpPr) keeps where it floats for a Word export but is shown in line with the text here and in a PDF (docx.table.floating). Place it and wrap text around it in the editor's pages and the PDF.</t>
        </is>
      </c>
      <c r="F64" s="31" t="inlineStr">
        <is>
          <t>P3</t>
        </is>
      </c>
      <c r="G64" s="31" t="inlineStr">
        <is>
          <t>NOT_STARTED</t>
        </is>
      </c>
      <c r="H64" s="37" t="n"/>
      <c r="I64" s="37" t="n"/>
      <c r="J64" s="37" t="inlineStr">
        <is>
          <t>backend/models, parsers, export</t>
        </is>
      </c>
      <c r="K64" s="37" t="n"/>
      <c r="L64" s="31" t="inlineStr">
        <is>
          <t>Medium</t>
        </is>
      </c>
      <c r="M64" s="41" t="n"/>
      <c r="N64" s="41" t="n"/>
      <c r="O64" s="41" t="n"/>
      <c r="P64" s="31" t="n"/>
      <c r="Q64" s="37" t="n"/>
      <c r="R64" s="31" t="inlineStr">
        <is>
          <t>DOCX-017</t>
        </is>
      </c>
      <c r="S64" s="31" t="inlineStr">
        <is>
          <t>AUD-08</t>
        </is>
      </c>
    </row>
    <row r="65">
      <c r="A65" s="34" t="inlineStr">
        <is>
          <t>DOCX-018</t>
        </is>
      </c>
      <c r="B65" s="35" t="n">
        <v>3</v>
      </c>
      <c r="C65" s="31" t="inlineStr">
        <is>
          <t>DOCX</t>
        </is>
      </c>
      <c r="D65" s="37" t="inlineStr">
        <is>
          <t>Images</t>
        </is>
      </c>
      <c r="E65" s="37" t="inlineStr">
        <is>
          <t>Alt text exported; crop, rotation, anchor, wrap, position preserved; WEBP converted on export.</t>
        </is>
      </c>
      <c r="F65" s="31" t="inlineStr">
        <is>
          <t>P0</t>
        </is>
      </c>
      <c r="G65" s="31" t="inlineStr">
        <is>
          <t>DONE</t>
        </is>
      </c>
      <c r="H65" s="37" t="inlineStr">
        <is>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is>
      </c>
      <c r="I65" s="37" t="inlineStr">
        <is>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is>
      </c>
      <c r="J65" s="37" t="inlineStr">
        <is>
          <t>backend/models, parsers, export</t>
        </is>
      </c>
      <c r="K65" s="37" t="inlineStr">
        <is>
          <t>DOCX-011</t>
        </is>
      </c>
      <c r="L65" s="31" t="inlineStr">
        <is>
          <t>Medium</t>
        </is>
      </c>
      <c r="M65" s="41" t="n">
        <v>46292.19009259259</v>
      </c>
      <c r="N65" s="41" t="n">
        <v>46294.95752314815</v>
      </c>
      <c r="O65" s="41" t="n">
        <v>46294.95752314815</v>
      </c>
      <c r="P65" s="31" t="inlineStr">
        <is>
          <t>17dfd4d</t>
        </is>
      </c>
      <c r="Q65" s="37" t="inlineStr">
        <is>
          <t>Alt text + title now exported (docPr descr/title) with DOCX-001; crop, rotation, WEBP still open.</t>
        </is>
      </c>
      <c r="R65" s="31" t="n"/>
      <c r="S65" s="31" t="inlineStr">
        <is>
          <t>AUD-07</t>
        </is>
      </c>
    </row>
    <row r="66">
      <c r="A66" s="34" t="inlineStr">
        <is>
          <t>DOCX-018A</t>
        </is>
      </c>
      <c r="B66" s="35" t="n">
        <v>3</v>
      </c>
      <c r="C66" s="31" t="inlineStr">
        <is>
          <t>DOCX</t>
        </is>
      </c>
      <c r="D66" s="37" t="inlineStr">
        <is>
          <t>Float pictures and wrap text around them here and in a PDF</t>
        </is>
      </c>
      <c r="E66" s="37" t="inlineStr">
        <is>
          <t>A floating picture keeps where it floats and how text wraps around it only in a Word export (ImagePlacement); the editor and a PDF show it in line with the text (reported, docx.image.floating). Place it from its anchor and wrap the text around it on the pages here and in a PDF.</t>
        </is>
      </c>
      <c r="F66" s="31" t="inlineStr">
        <is>
          <t>P2</t>
        </is>
      </c>
      <c r="G66" s="31" t="inlineStr">
        <is>
          <t>NOT_STARTED</t>
        </is>
      </c>
      <c r="H66" s="37" t="n"/>
      <c r="I66" s="37" t="n"/>
      <c r="J66" s="37" t="inlineStr">
        <is>
          <t>backend/models, parsers, export</t>
        </is>
      </c>
      <c r="K66" s="37" t="n"/>
      <c r="L66" s="31" t="inlineStr">
        <is>
          <t>Medium</t>
        </is>
      </c>
      <c r="M66" s="41" t="n"/>
      <c r="N66" s="41" t="n"/>
      <c r="O66" s="41" t="n"/>
      <c r="P66" s="31" t="n"/>
      <c r="Q66" s="37" t="n"/>
      <c r="R66" s="31" t="inlineStr">
        <is>
          <t>DOCX-018</t>
        </is>
      </c>
      <c r="S66" s="31" t="inlineStr">
        <is>
          <t>AUD-07</t>
        </is>
      </c>
    </row>
    <row r="67">
      <c r="A67" s="34" t="inlineStr">
        <is>
          <t>DOCX-018B</t>
        </is>
      </c>
      <c r="B67" s="35" t="n">
        <v>3</v>
      </c>
      <c r="C67" s="31" t="inlineStr">
        <is>
          <t>DOCX</t>
        </is>
      </c>
      <c r="D67" s="37" t="inlineStr">
        <is>
          <t>Crop and turn pictures in the editor</t>
        </is>
      </c>
      <c r="E67" s="37" t="inlineStr">
        <is>
          <t>A picture's crop, rotation and flips are kept and drawn but can't be changed in the editor; add controls that edit ImageContent.crop/rotation/flips (and are saved), with the exports following.</t>
        </is>
      </c>
      <c r="F67" s="31" t="inlineStr">
        <is>
          <t>P3</t>
        </is>
      </c>
      <c r="G67" s="31" t="inlineStr">
        <is>
          <t>NOT_STARTED</t>
        </is>
      </c>
      <c r="H67" s="37" t="n"/>
      <c r="I67" s="37" t="n"/>
      <c r="J67" s="37" t="inlineStr">
        <is>
          <t>backend/models, parsers, export</t>
        </is>
      </c>
      <c r="K67" s="37" t="n"/>
      <c r="L67" s="31" t="inlineStr">
        <is>
          <t>Low</t>
        </is>
      </c>
      <c r="M67" s="41" t="n"/>
      <c r="N67" s="41" t="n"/>
      <c r="O67" s="41" t="n"/>
      <c r="P67" s="31" t="n"/>
      <c r="Q67" s="37" t="n"/>
      <c r="R67" s="31" t="inlineStr">
        <is>
          <t>DOCX-018</t>
        </is>
      </c>
      <c r="S67" s="31" t="inlineStr">
        <is>
          <t>AUD-07</t>
        </is>
      </c>
    </row>
    <row r="68">
      <c r="A68" s="34" t="inlineStr">
        <is>
          <t>DOCX-019</t>
        </is>
      </c>
      <c r="B68" s="35" t="n">
        <v>3</v>
      </c>
      <c r="C68" s="31" t="inlineStr">
        <is>
          <t>DOCX</t>
        </is>
      </c>
      <c r="D68" s="37" t="inlineStr">
        <is>
          <t>Drawings and text boxes preserved</t>
        </is>
      </c>
      <c r="E68" s="37" t="inlineStr">
        <is>
          <t>Anchored drawings, text boxes, shapes kept even when not editable.</t>
        </is>
      </c>
      <c r="F68" s="31" t="inlineStr">
        <is>
          <t>P1</t>
        </is>
      </c>
      <c r="G68" s="31" t="inlineStr">
        <is>
          <t>DONE</t>
        </is>
      </c>
      <c r="H68" s="37" t="inlineStr">
        <is>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is>
      </c>
      <c r="I68" s="37" t="inlineStr">
        <is>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is>
      </c>
      <c r="J68" s="37" t="inlineStr">
        <is>
          <t>backend/export</t>
        </is>
      </c>
      <c r="K68" s="37" t="inlineStr">
        <is>
          <t>DOCX-011</t>
        </is>
      </c>
      <c r="L68" s="31" t="inlineStr">
        <is>
          <t>Medium</t>
        </is>
      </c>
      <c r="M68" s="41" t="n">
        <v>46295.1374537037</v>
      </c>
      <c r="N68" s="41" t="n">
        <v>46295.14953703704</v>
      </c>
      <c r="O68" s="41" t="n">
        <v>46295.14953703704</v>
      </c>
      <c r="P68" s="31" t="inlineStr">
        <is>
          <t>9b2249d</t>
        </is>
      </c>
      <c r="Q68" s="37" t="inlineStr">
        <is>
          <t>DOCX-028: text boxes and drawings in unchanged paragraphs are copied as they are (grouped with their anchor paragraph).</t>
        </is>
      </c>
      <c r="R68" s="31" t="n"/>
      <c r="S68" s="31" t="inlineStr">
        <is>
          <t>AUD-03</t>
        </is>
      </c>
    </row>
    <row r="69">
      <c r="A69" s="34" t="inlineStr">
        <is>
          <t>DOCX-019A</t>
        </is>
      </c>
      <c r="B69" s="35" t="n">
        <v>3</v>
      </c>
      <c r="C69" s="31" t="inlineStr">
        <is>
          <t>DOCX</t>
        </is>
      </c>
      <c r="D69" s="37" t="inlineStr">
        <is>
          <t>Text boxes as boxes</t>
        </is>
      </c>
      <c r="E69" s="37" t="inlineStr">
        <is>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is>
      </c>
      <c r="F69" s="31" t="inlineStr">
        <is>
          <t>P2</t>
        </is>
      </c>
      <c r="G69" s="31" t="inlineStr">
        <is>
          <t>NOT_STARTED</t>
        </is>
      </c>
      <c r="H69" s="37" t="n"/>
      <c r="I69" s="37" t="n"/>
      <c r="J69" s="37" t="inlineStr">
        <is>
          <t>backend/export</t>
        </is>
      </c>
      <c r="K69" s="37" t="n"/>
      <c r="L69" s="31" t="inlineStr">
        <is>
          <t>Medium</t>
        </is>
      </c>
      <c r="M69" s="41" t="n"/>
      <c r="N69" s="41" t="n"/>
      <c r="O69" s="41" t="n"/>
      <c r="P69" s="31" t="n"/>
      <c r="Q69" s="37" t="n"/>
      <c r="R69" s="31" t="inlineStr">
        <is>
          <t>DOCX-019</t>
        </is>
      </c>
      <c r="S69" s="31" t="inlineStr">
        <is>
          <t>AUD-03</t>
        </is>
      </c>
    </row>
    <row r="70">
      <c r="A70" s="34" t="inlineStr">
        <is>
          <t>DOCX-020</t>
        </is>
      </c>
      <c r="B70" s="35" t="n">
        <v>3</v>
      </c>
      <c r="C70" s="31" t="inlineStr">
        <is>
          <t>DOCX</t>
        </is>
      </c>
      <c r="D70" s="37" t="inlineStr">
        <is>
          <t>Fields</t>
        </is>
      </c>
      <c r="E70" s="37" t="inlineStr">
        <is>
          <t>Code/result/relationship; header STYLEREF/DATE live; TOC kept; CITATION/BIBLIOGRAPHY sources preserved; no 'Invalid source specified.'</t>
        </is>
      </c>
      <c r="F70" s="31" t="inlineStr">
        <is>
          <t>P1</t>
        </is>
      </c>
      <c r="G70" s="31" t="inlineStr">
        <is>
          <t>DONE</t>
        </is>
      </c>
      <c r="H70" s="37" t="inlineStr">
        <is>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is>
      </c>
      <c r="I70" s="37" t="inlineStr">
        <is>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is>
      </c>
      <c r="J70" s="37" t="inlineStr">
        <is>
          <t>backend/parsers, export</t>
        </is>
      </c>
      <c r="K70" s="37" t="inlineStr">
        <is>
          <t>DOCX-011</t>
        </is>
      </c>
      <c r="L70" s="31" t="inlineStr">
        <is>
          <t>Medium</t>
        </is>
      </c>
      <c r="M70" s="41" t="n">
        <v>46295.14958333333</v>
      </c>
      <c r="N70" s="41" t="n">
        <v>46295.31539351852</v>
      </c>
      <c r="O70" s="41" t="n">
        <v>46295.31539351852</v>
      </c>
      <c r="P70" s="31" t="inlineStr">
        <is>
          <t>2d8ad45</t>
        </is>
      </c>
      <c r="Q70" s="37" t="inlineStr">
        <is>
          <t>DOCX-028: field codes in unchanged blocks are copied as they are; a field spanning paragraphs is never copied half (self-contained check).</t>
        </is>
      </c>
      <c r="R70" s="31" t="n"/>
      <c r="S70" s="31" t="inlineStr">
        <is>
          <t>AUD-18</t>
        </is>
      </c>
    </row>
    <row r="71">
      <c r="A71" s="34" t="inlineStr">
        <is>
          <t>DOCX-020A</t>
        </is>
      </c>
      <c r="B71" s="35" t="n">
        <v>3</v>
      </c>
      <c r="C71" s="31" t="inlineStr">
        <is>
          <t>DOCX</t>
        </is>
      </c>
      <c r="D71" s="37" t="inlineStr">
        <is>
          <t>Header fields beyond page numbers survive a header edited here</t>
        </is>
      </c>
      <c r="E71" s="37" t="inlineStr">
        <is>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is>
      </c>
      <c r="F71" s="31" t="inlineStr">
        <is>
          <t>P2</t>
        </is>
      </c>
      <c r="G71" s="31" t="inlineStr">
        <is>
          <t>NOT_STARTED</t>
        </is>
      </c>
      <c r="H71" s="37" t="n"/>
      <c r="I71" s="37" t="n"/>
      <c r="J71" s="37" t="inlineStr">
        <is>
          <t>backend/parsers, export</t>
        </is>
      </c>
      <c r="K71" s="37" t="n"/>
      <c r="L71" s="31" t="inlineStr">
        <is>
          <t>Medium</t>
        </is>
      </c>
      <c r="M71" s="41" t="n"/>
      <c r="N71" s="41" t="n"/>
      <c r="O71" s="41" t="n"/>
      <c r="P71" s="31" t="n"/>
      <c r="Q71" s="37" t="n"/>
      <c r="R71" s="31" t="inlineStr">
        <is>
          <t>DOCX-020</t>
        </is>
      </c>
      <c r="S71" s="31" t="inlineStr">
        <is>
          <t>AUD-18</t>
        </is>
      </c>
    </row>
    <row r="72">
      <c r="A72" s="34" t="inlineStr">
        <is>
          <t>DOCX-021</t>
        </is>
      </c>
      <c r="B72" s="35" t="n">
        <v>3</v>
      </c>
      <c r="C72" s="31" t="inlineStr">
        <is>
          <t>DOCX</t>
        </is>
      </c>
      <c r="D72" s="37" t="inlineStr">
        <is>
          <t>Comment threads</t>
        </is>
      </c>
      <c r="E72" s="37" t="inlineStr">
        <is>
          <t>Replies, resolved state, authors, ranges preserved (commentsExtended, people).</t>
        </is>
      </c>
      <c r="F72" s="31" t="inlineStr">
        <is>
          <t>P1</t>
        </is>
      </c>
      <c r="G72" s="31" t="inlineStr">
        <is>
          <t>VERIFIED</t>
        </is>
      </c>
      <c r="H72" s="37" t="inlineStr">
        <is>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is>
      </c>
      <c r="I72" s="37" t="inlineStr">
        <is>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is>
      </c>
      <c r="J72" s="37" t="inlineStr">
        <is>
          <t>backend/export</t>
        </is>
      </c>
      <c r="K72" s="37" t="inlineStr">
        <is>
          <t>DOCX-011</t>
        </is>
      </c>
      <c r="L72" s="31" t="inlineStr">
        <is>
          <t>Low</t>
        </is>
      </c>
      <c r="M72" s="41" t="n">
        <v>46295.31543981482</v>
      </c>
      <c r="N72" s="41" t="n"/>
      <c r="O72" s="41" t="n">
        <v>46295.34408564815</v>
      </c>
      <c r="P72" s="31" t="n"/>
      <c r="Q72" s="37" t="inlineStr">
        <is>
          <t>Found on the way (P0, pre-existing since DOCX-028): a block deleted in the editor comes back in a Word export into the original - tracked as DOCX-028B.</t>
        </is>
      </c>
      <c r="R72" s="31" t="n"/>
      <c r="S72" s="31" t="inlineStr">
        <is>
          <t>AUD-06</t>
        </is>
      </c>
    </row>
    <row r="73">
      <c r="A73" s="34" t="inlineStr">
        <is>
          <t>DOCX-022</t>
        </is>
      </c>
      <c r="B73" s="35" t="n">
        <v>3</v>
      </c>
      <c r="C73" s="31" t="inlineStr">
        <is>
          <t>DOCX</t>
        </is>
      </c>
      <c r="D73" s="37" t="inlineStr">
        <is>
          <t>Tracked changes preserved</t>
        </is>
      </c>
      <c r="E73" s="37" t="inlineStr">
        <is>
          <t>Not silently accepted; explicit choice.</t>
        </is>
      </c>
      <c r="F73" s="31" t="inlineStr">
        <is>
          <t>P1</t>
        </is>
      </c>
      <c r="G73" s="31" t="inlineStr">
        <is>
          <t>NOT_STARTED</t>
        </is>
      </c>
      <c r="H73" s="37" t="n"/>
      <c r="I73" s="37" t="n"/>
      <c r="J73" s="37" t="inlineStr">
        <is>
          <t>backend/parsers, export</t>
        </is>
      </c>
      <c r="K73" s="37" t="inlineStr">
        <is>
          <t>DOCX-011</t>
        </is>
      </c>
      <c r="L73" s="31" t="inlineStr">
        <is>
          <t>Medium</t>
        </is>
      </c>
      <c r="M73" s="41" t="n"/>
      <c r="N73" s="41" t="n"/>
      <c r="O73" s="41" t="n"/>
      <c r="P73" s="31" t="n"/>
      <c r="Q73" s="37" t="inlineStr">
        <is>
          <t>DOCX-028: blocks holding tracked changes are never copied (always written anew, accepted), so this task's explicit choice is still needed.</t>
        </is>
      </c>
      <c r="R73" s="31" t="n"/>
      <c r="S73" s="31" t="inlineStr">
        <is>
          <t>AUD-03</t>
        </is>
      </c>
    </row>
    <row r="74">
      <c r="A74" s="34" t="inlineStr">
        <is>
          <t>DOCX-023</t>
        </is>
      </c>
      <c r="B74" s="35" t="n">
        <v>3</v>
      </c>
      <c r="C74" s="31" t="inlineStr">
        <is>
          <t>DOCX</t>
        </is>
      </c>
      <c r="D74" s="37" t="inlineStr">
        <is>
          <t>Content controls preserved</t>
        </is>
      </c>
      <c r="E74" s="37" t="inlineStr">
        <is>
          <t>w:sdt of every kind kept with its properties.</t>
        </is>
      </c>
      <c r="F74" s="31" t="inlineStr">
        <is>
          <t>P1</t>
        </is>
      </c>
      <c r="G74" s="31" t="inlineStr">
        <is>
          <t>NOT_STARTED</t>
        </is>
      </c>
      <c r="H74" s="37" t="n"/>
      <c r="I74" s="37" t="n"/>
      <c r="J74" s="37" t="inlineStr">
        <is>
          <t>backend/parsers, export</t>
        </is>
      </c>
      <c r="K74" s="37" t="inlineStr">
        <is>
          <t>DOCX-011</t>
        </is>
      </c>
      <c r="L74" s="31" t="inlineStr">
        <is>
          <t>Medium</t>
        </is>
      </c>
      <c r="M74" s="41" t="n"/>
      <c r="N74" s="41" t="n"/>
      <c r="O74" s="41" t="n"/>
      <c r="P74" s="31" t="n"/>
      <c r="Q74" s="37" t="inlineStr">
        <is>
          <t>DOCX-028: content controls in unchanged blocks are copied with their properties (E2E proves it through the editor); written anew they are unwrapped (reported lossy at import).</t>
        </is>
      </c>
      <c r="R74" s="31" t="n"/>
      <c r="S74" s="31" t="inlineStr">
        <is>
          <t>AUD-06</t>
        </is>
      </c>
    </row>
    <row r="75">
      <c r="A75" s="34" t="inlineStr">
        <is>
          <t>DOCX-024</t>
        </is>
      </c>
      <c r="B75" s="35" t="n">
        <v>3</v>
      </c>
      <c r="C75" s="31" t="inlineStr">
        <is>
          <t>DOCX</t>
        </is>
      </c>
      <c r="D75" s="37" t="inlineStr">
        <is>
          <t>Real footnotes and endnotes</t>
        </is>
      </c>
      <c r="E75" s="37" t="inlineStr">
        <is>
          <t>Notes stay notes on export.</t>
        </is>
      </c>
      <c r="F75" s="31" t="inlineStr">
        <is>
          <t>P1</t>
        </is>
      </c>
      <c r="G75" s="31" t="inlineStr">
        <is>
          <t>NOT_STARTED</t>
        </is>
      </c>
      <c r="H75" s="37" t="n"/>
      <c r="I75" s="37" t="n"/>
      <c r="J75" s="37" t="inlineStr">
        <is>
          <t>backend/export</t>
        </is>
      </c>
      <c r="K75" s="37" t="inlineStr">
        <is>
          <t>DOCX-011</t>
        </is>
      </c>
      <c r="L75" s="31" t="inlineStr">
        <is>
          <t>Medium</t>
        </is>
      </c>
      <c r="M75" s="41" t="n"/>
      <c r="N75" s="41" t="n"/>
      <c r="O75" s="41" t="n"/>
      <c r="P75" s="31" t="n"/>
      <c r="Q75" s="37" t="n"/>
      <c r="R75" s="31" t="n"/>
      <c r="S75" s="31" t="inlineStr">
        <is>
          <t>AUD-03</t>
        </is>
      </c>
    </row>
    <row r="76">
      <c r="A76" s="34" t="inlineStr">
        <is>
          <t>DOCX-025</t>
        </is>
      </c>
      <c r="B76" s="35" t="n">
        <v>3</v>
      </c>
      <c r="C76" s="31" t="inlineStr">
        <is>
          <t>DOCX</t>
        </is>
      </c>
      <c r="D76" s="37" t="inlineStr">
        <is>
          <t>Hidden text stays hidden</t>
        </is>
      </c>
      <c r="E76" s="37" t="inlineStr">
        <is>
          <t>Imported hidden text is kept hidden, shown only on request.</t>
        </is>
      </c>
      <c r="F76" s="31" t="inlineStr">
        <is>
          <t>P0</t>
        </is>
      </c>
      <c r="G76" s="31" t="inlineStr">
        <is>
          <t>DONE</t>
        </is>
      </c>
      <c r="H76" s="37" t="inlineStr">
        <is>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is>
      </c>
      <c r="I76" s="37" t="inlineStr">
        <is>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is>
      </c>
      <c r="J76" s="37" t="inlineStr">
        <is>
          <t>backend/parsers, frontend</t>
        </is>
      </c>
      <c r="K76" s="37" t="inlineStr">
        <is>
          <t>DOCX-013</t>
        </is>
      </c>
      <c r="L76" s="31" t="inlineStr">
        <is>
          <t>Medium</t>
        </is>
      </c>
      <c r="M76" s="41" t="n">
        <v>46292.79240740741</v>
      </c>
      <c r="N76" s="41" t="n">
        <v>46292.79311342593</v>
      </c>
      <c r="O76" s="41" t="n">
        <v>46292.79311342593</v>
      </c>
      <c r="P76" s="31" t="inlineStr">
        <is>
          <t>7d1af86</t>
        </is>
      </c>
      <c r="Q76" s="37" t="inlineStr">
        <is>
          <t>DOCX-028: vanish survives in unchanged blocks only; the model still shows hidden text as ordinary text - next task.</t>
        </is>
      </c>
      <c r="R76" s="31" t="n"/>
      <c r="S76" s="31" t="inlineStr">
        <is>
          <t>AUD-03</t>
        </is>
      </c>
    </row>
    <row r="77">
      <c r="A77" s="34" t="inlineStr">
        <is>
          <t>DOCX-026</t>
        </is>
      </c>
      <c r="B77" s="35" t="n">
        <v>3</v>
      </c>
      <c r="C77" s="31" t="inlineStr">
        <is>
          <t>DOCX</t>
        </is>
      </c>
      <c r="D77" s="37" t="inlineStr">
        <is>
          <t>Hyperlink policy and no silent autolink</t>
        </is>
      </c>
      <c r="E77" s="37" t="inlineStr">
        <is>
          <t>Plain-text addresses not turned into links by default; file:/UNC reported.</t>
        </is>
      </c>
      <c r="F77" s="31" t="inlineStr">
        <is>
          <t>P0</t>
        </is>
      </c>
      <c r="G77" s="31" t="inlineStr">
        <is>
          <t>DONE</t>
        </is>
      </c>
      <c r="H77" s="37" t="inlineStr">
        <is>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is>
      </c>
      <c r="I77" s="37" t="inlineStr">
        <is>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is>
      </c>
      <c r="J77" s="37" t="inlineStr">
        <is>
          <t>backend/parsers</t>
        </is>
      </c>
      <c r="K77" s="37" t="n"/>
      <c r="L77" s="31" t="inlineStr">
        <is>
          <t>Low</t>
        </is>
      </c>
      <c r="M77" s="41" t="n">
        <v>46292.37405092592</v>
      </c>
      <c r="N77" s="41" t="n">
        <v>46295.1153125</v>
      </c>
      <c r="O77" s="41" t="n">
        <v>46295.1153125</v>
      </c>
      <c r="P77" s="31" t="inlineStr">
        <is>
          <t>914476f</t>
        </is>
      </c>
      <c r="Q77" s="37" t="inlineStr">
        <is>
          <t>Done: links to unsafe addresses (javascript:, file:, UNC...) are kept as plain text and reported (docx.link.unsafe); plain-text addresses turned into links are reported (docx.autolink). Remaining: stop autolinking by default (a setting), per the task.</t>
        </is>
      </c>
      <c r="R77" s="31" t="n"/>
      <c r="S77" s="31" t="inlineStr">
        <is>
          <t>AUD-03,AUD-13</t>
        </is>
      </c>
    </row>
    <row r="78">
      <c r="A78" s="34" t="inlineStr">
        <is>
          <t>FMT-004</t>
        </is>
      </c>
      <c r="B78" s="35" t="n">
        <v>3</v>
      </c>
      <c r="C78" s="31" t="inlineStr">
        <is>
          <t>FORMATTING</t>
        </is>
      </c>
      <c r="D78" s="37" t="inlineStr">
        <is>
          <t>Render-spec defaults respect the source</t>
        </is>
      </c>
      <c r="E78" s="37" t="inlineStr">
        <is>
          <t>Imported Word styles are not overridden by defaults (headings not forced bold).</t>
        </is>
      </c>
      <c r="F78" s="31" t="inlineStr">
        <is>
          <t>P0</t>
        </is>
      </c>
      <c r="G78" s="31" t="inlineStr">
        <is>
          <t>DONE</t>
        </is>
      </c>
      <c r="H78" s="37" t="inlineStr">
        <is>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is>
      </c>
      <c r="I78" s="37" t="inlineStr">
        <is>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is>
      </c>
      <c r="J78" s="37" t="inlineStr">
        <is>
          <t>backend/formatting</t>
        </is>
      </c>
      <c r="K78" s="37" t="n"/>
      <c r="L78" s="31" t="inlineStr">
        <is>
          <t>Medium</t>
        </is>
      </c>
      <c r="M78" s="41" t="n">
        <v>46294.96601851852</v>
      </c>
      <c r="N78" s="41" t="n">
        <v>46295.10664351852</v>
      </c>
      <c r="O78" s="41" t="n">
        <v>46295.10664351852</v>
      </c>
      <c r="P78" s="31" t="inlineStr">
        <is>
          <t>54a36e4</t>
        </is>
      </c>
      <c r="Q78" s="37" t="n"/>
      <c r="R78" s="31" t="n"/>
      <c r="S78" s="31" t="inlineStr">
        <is>
          <t>AUD-03</t>
        </is>
      </c>
    </row>
    <row r="79">
      <c r="A79" s="34" t="inlineStr">
        <is>
          <t>TEST-020</t>
        </is>
      </c>
      <c r="B79" s="35" t="n">
        <v>3</v>
      </c>
      <c r="C79" s="31" t="inlineStr">
        <is>
          <t>TESTING</t>
        </is>
      </c>
      <c r="D79" s="37" t="inlineStr">
        <is>
          <t>Word-authored fixtures in the repository</t>
        </is>
      </c>
      <c r="E79" s="37" t="inlineStr">
        <is>
          <t>20 synthetic Word-authored fixtures, scrubbed of identifying metadata.</t>
        </is>
      </c>
      <c r="F79" s="31" t="inlineStr">
        <is>
          <t>P0</t>
        </is>
      </c>
      <c r="G79" s="31" t="inlineStr">
        <is>
          <t>DONE</t>
        </is>
      </c>
      <c r="H79" s="37" t="inlineStr">
        <is>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is>
      </c>
      <c r="I79" s="37" t="inlineStr">
        <is>
          <t>backend 1037 passed/1 skipped (tests/test_word_fixtures.py 41: 20 files listed in the manifest with nothing refused; nothing identifying in any part - labels, presence info, home folders, non-example e-mails, authors, core/app properties; each imports and exports to a sound Word file)</t>
        </is>
      </c>
      <c r="J79" s="37" t="inlineStr">
        <is>
          <t>backend/tests/fixtures/word</t>
        </is>
      </c>
      <c r="K79" s="37" t="n"/>
      <c r="L79" s="31" t="inlineStr">
        <is>
          <t>Low</t>
        </is>
      </c>
      <c r="M79" s="41" t="n">
        <v>46295.11534722222</v>
      </c>
      <c r="N79" s="41" t="n">
        <v>46295.12260416667</v>
      </c>
      <c r="O79" s="41" t="n">
        <v>46295.12260416667</v>
      </c>
      <c r="P79" s="31" t="inlineStr">
        <is>
          <t>505d97f</t>
        </is>
      </c>
      <c r="Q79" s="37" t="n"/>
      <c r="R79" s="31" t="n"/>
      <c r="S79" s="31" t="inlineStr">
        <is>
          <t>AUD-20</t>
        </is>
      </c>
    </row>
    <row r="80">
      <c r="A80" s="34" t="inlineStr">
        <is>
          <t>TEST-021</t>
        </is>
      </c>
      <c r="B80" s="35" t="n">
        <v>3</v>
      </c>
      <c r="C80" s="31" t="inlineStr">
        <is>
          <t>TESTING</t>
        </is>
      </c>
      <c r="D80" s="37" t="inlineStr">
        <is>
          <t>Expected-loss manifests in CI</t>
        </is>
      </c>
      <c r="E80" s="37" t="inlineStr">
        <is>
          <t>expected-loss.json per fixture; CI compares actual vs expected.</t>
        </is>
      </c>
      <c r="F80" s="31" t="inlineStr">
        <is>
          <t>P0</t>
        </is>
      </c>
      <c r="G80" s="31" t="inlineStr">
        <is>
          <t>DONE</t>
        </is>
      </c>
      <c r="H80" s="37" t="inlineStr">
        <is>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is>
      </c>
      <c r="I80" s="37" t="inlineStr">
        <is>
          <t>backend 1075 passed/1 skipped (tests/test_expected_losses.py 38: every fixture has a manifest; each fixture loses what its manifest says - deterministic over two runs; a mutated manifest fails naming the new item and the content change)</t>
        </is>
      </c>
      <c r="J80" s="37" t="inlineStr">
        <is>
          <t>backend/tests</t>
        </is>
      </c>
      <c r="K80" s="37" t="inlineStr">
        <is>
          <t>TEST-020</t>
        </is>
      </c>
      <c r="L80" s="31" t="inlineStr">
        <is>
          <t>Low</t>
        </is>
      </c>
      <c r="M80" s="41" t="n">
        <v>46295.12263888889</v>
      </c>
      <c r="N80" s="41" t="n">
        <v>46295.12729166666</v>
      </c>
      <c r="O80" s="41" t="n">
        <v>46295.12729166666</v>
      </c>
      <c r="P80" s="31" t="inlineStr">
        <is>
          <t>05c6c69</t>
        </is>
      </c>
      <c r="Q80" s="37" t="n"/>
      <c r="R80" s="31" t="inlineStr">
        <is>
          <t>TEST-020</t>
        </is>
      </c>
      <c r="S80" s="31" t="inlineStr">
        <is>
          <t>AUD-20</t>
        </is>
      </c>
    </row>
    <row r="81">
      <c r="A81" s="34" t="inlineStr">
        <is>
          <t>TEST-021A</t>
        </is>
      </c>
      <c r="B81" s="35" t="n">
        <v>3</v>
      </c>
      <c r="C81" s="31" t="inlineStr">
        <is>
          <t>TESTING</t>
        </is>
      </c>
      <c r="D81" s="37" t="inlineStr">
        <is>
          <t>PDF expected losses on the CI platform</t>
        </is>
      </c>
      <c r="E81" s="37" t="inlineStr">
        <is>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is>
      </c>
      <c r="F81" s="31" t="inlineStr">
        <is>
          <t>P2</t>
        </is>
      </c>
      <c r="G81" s="31" t="inlineStr">
        <is>
          <t>NOT_STARTED</t>
        </is>
      </c>
      <c r="H81" s="37" t="n"/>
      <c r="I81" s="37" t="n"/>
      <c r="J81" s="37" t="inlineStr">
        <is>
          <t>backend/tests</t>
        </is>
      </c>
      <c r="K81" s="37" t="n"/>
      <c r="L81" s="31" t="inlineStr">
        <is>
          <t>Low</t>
        </is>
      </c>
      <c r="M81" s="41" t="n"/>
      <c r="N81" s="41" t="n"/>
      <c r="O81" s="41" t="n"/>
      <c r="P81" s="31" t="n"/>
      <c r="Q81" s="37" t="n"/>
      <c r="R81" s="31" t="inlineStr">
        <is>
          <t>TEST-021</t>
        </is>
      </c>
      <c r="S81" s="31" t="inlineStr">
        <is>
          <t>AUD-20</t>
        </is>
      </c>
    </row>
    <row r="82">
      <c r="A82" s="34" t="inlineStr">
        <is>
          <t>TEST-022</t>
        </is>
      </c>
      <c r="B82" s="35" t="n">
        <v>3</v>
      </c>
      <c r="C82" s="31" t="inlineStr">
        <is>
          <t>TESTING</t>
        </is>
      </c>
      <c r="D82" s="37" t="inlineStr">
        <is>
          <t>True fidelity test</t>
        </is>
      </c>
      <c r="E82" s="37" t="inlineStr">
        <is>
          <t>SOURCE -&gt; import -&gt; format -&gt; editor save -&gt; export -&gt; reimport -&gt; compare SOURCE vs RESULT: content, formatting, metadata, structure separately.</t>
        </is>
      </c>
      <c r="F82" s="31" t="inlineStr">
        <is>
          <t>P0</t>
        </is>
      </c>
      <c r="G82" s="31" t="inlineStr">
        <is>
          <t>DONE</t>
        </is>
      </c>
      <c r="H82" s="37" t="inlineStr">
        <is>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is>
      </c>
      <c r="I82" s="37" t="inlineStr">
        <is>
          <t>backend 1224 passed/1 skipped (tests/test_true_fidelity.py 149: 37 fixtures x 4 axes + manifest check; test_docx_detect title case updated incl. a rename); Vitest 166; Playwright 28 (visual baseline regenerated and reviewed); tsc + eslint clean</t>
        </is>
      </c>
      <c r="J82" s="37" t="inlineStr">
        <is>
          <t>backend/tests</t>
        </is>
      </c>
      <c r="K82" s="37" t="inlineStr">
        <is>
          <t>TEST-021</t>
        </is>
      </c>
      <c r="L82" s="31" t="inlineStr">
        <is>
          <t>Medium</t>
        </is>
      </c>
      <c r="M82" s="41" t="n">
        <v>46295.12733796296</v>
      </c>
      <c r="N82" s="41" t="n">
        <v>46295.13741898148</v>
      </c>
      <c r="O82" s="41" t="n">
        <v>46295.13741898148</v>
      </c>
      <c r="P82" s="31" t="inlineStr">
        <is>
          <t>6869d5c</t>
        </is>
      </c>
      <c r="Q82" s="37" t="n"/>
      <c r="R82" s="31" t="inlineStr">
        <is>
          <t>TEST-020</t>
        </is>
      </c>
      <c r="S82" s="31" t="inlineStr">
        <is>
          <t>AUD-20</t>
        </is>
      </c>
    </row>
    <row r="83">
      <c r="A83" s="34" t="inlineStr">
        <is>
          <t>TEST-023</t>
        </is>
      </c>
      <c r="B83" s="35" t="n">
        <v>3</v>
      </c>
      <c r="C83" s="31" t="inlineStr">
        <is>
          <t>TESTING</t>
        </is>
      </c>
      <c r="D83" s="37" t="inlineStr">
        <is>
          <t>Independent validation</t>
        </is>
      </c>
      <c r="E83" s="37" t="inlineStr">
        <is>
          <t>OOXML schema validation, Word when available, docx2python; pdftotext/PyMuPDF for PDF.</t>
        </is>
      </c>
      <c r="F83" s="31" t="inlineStr">
        <is>
          <t>P1</t>
        </is>
      </c>
      <c r="G83" s="31" t="inlineStr">
        <is>
          <t>DONE</t>
        </is>
      </c>
      <c r="H83" s="37" t="inlineStr">
        <is>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is>
      </c>
      <c r="I83" s="37" t="inlineStr">
        <is>
          <t>tests/test_package_check.py (13)</t>
        </is>
      </c>
      <c r="J83" s="37" t="inlineStr">
        <is>
          <t>backend/tests</t>
        </is>
      </c>
      <c r="K83" s="37" t="inlineStr">
        <is>
          <t>TEST-022</t>
        </is>
      </c>
      <c r="L83" s="31" t="inlineStr">
        <is>
          <t>Low</t>
        </is>
      </c>
      <c r="M83" s="41" t="n">
        <v>46292.60730324074</v>
      </c>
      <c r="N83" s="41" t="n">
        <v>46292.60766203704</v>
      </c>
      <c r="O83" s="41" t="n">
        <v>46292.60766203704</v>
      </c>
      <c r="P83" s="31" t="inlineStr">
        <is>
          <t>de23961</t>
        </is>
      </c>
      <c r="Q83" s="37" t="inlineStr">
        <is>
          <t>The docx skill's XSD validator needs defusedxml (not installed; installing needs a download) - schema-level validation remains open.</t>
        </is>
      </c>
      <c r="R83" s="31" t="n"/>
      <c r="S83" s="31" t="inlineStr">
        <is>
          <t>AUD-20</t>
        </is>
      </c>
    </row>
    <row r="84">
      <c r="A84" s="34" t="inlineStr">
        <is>
          <t>DOCX-027</t>
        </is>
      </c>
      <c r="B84" s="35" t="n">
        <v>3</v>
      </c>
      <c r="C84" s="31" t="inlineStr">
        <is>
          <t>DOCX</t>
        </is>
      </c>
      <c r="D84" s="37" t="inlineStr">
        <is>
          <t>Importer builds nested blocks</t>
        </is>
      </c>
      <c r="E84" s="37" t="inlineStr">
        <is>
          <t>Use TableCell.blocks / ListItem.blocks on import: pictures, lists (with bullets) and nested tables inside cells, pictures inside list items - instead of dropping or flattening them.</t>
        </is>
      </c>
      <c r="F84" s="31" t="inlineStr">
        <is>
          <t>P0</t>
        </is>
      </c>
      <c r="G84" s="31" t="inlineStr">
        <is>
          <t>DONE</t>
        </is>
      </c>
      <c r="H84" s="37" t="inlineStr">
        <is>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is>
      </c>
      <c r="I84" s="37" t="inlineStr">
        <is>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is>
      </c>
      <c r="J84" s="37" t="inlineStr">
        <is>
          <t>backend/parsers</t>
        </is>
      </c>
      <c r="K84" s="37" t="inlineStr">
        <is>
          <t>CORE-001</t>
        </is>
      </c>
      <c r="L84" s="31" t="inlineStr">
        <is>
          <t>High</t>
        </is>
      </c>
      <c r="M84" s="41" t="n">
        <v>46294.95787037037</v>
      </c>
      <c r="N84" s="41" t="n">
        <v>46294.96597222222</v>
      </c>
      <c r="O84" s="41" t="n">
        <v>46294.96597222222</v>
      </c>
      <c r="P84" s="31" t="inlineStr">
        <is>
          <t>a6c0b98</t>
        </is>
      </c>
      <c r="Q84" s="37" t="n"/>
      <c r="R84" s="31" t="n"/>
      <c r="S84" s="31" t="inlineStr">
        <is>
          <t>AUD-01,AUD-03,AUD-08</t>
        </is>
      </c>
    </row>
    <row r="85">
      <c r="A85" s="34" t="inlineStr">
        <is>
          <t>DOCX-027A</t>
        </is>
      </c>
      <c r="B85" s="35" t="n">
        <v>3</v>
      </c>
      <c r="C85" s="31" t="inlineStr">
        <is>
          <t>DOCX</t>
        </is>
      </c>
      <c r="D85" s="37" t="inlineStr">
        <is>
          <t>An item that is only a picture shows its number beside it</t>
        </is>
      </c>
      <c r="E85" s="37" t="inlineStr">
        <is>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is>
      </c>
      <c r="F85" s="31" t="inlineStr">
        <is>
          <t>P3</t>
        </is>
      </c>
      <c r="G85" s="31" t="inlineStr">
        <is>
          <t>NOT_STARTED</t>
        </is>
      </c>
      <c r="H85" s="37" t="n"/>
      <c r="I85" s="37" t="n"/>
      <c r="J85" s="37" t="inlineStr">
        <is>
          <t>backend/parsers</t>
        </is>
      </c>
      <c r="K85" s="37" t="n"/>
      <c r="L85" s="31" t="inlineStr">
        <is>
          <t>Low</t>
        </is>
      </c>
      <c r="M85" s="41" t="n"/>
      <c r="N85" s="41" t="n"/>
      <c r="O85" s="41" t="n"/>
      <c r="P85" s="31" t="n"/>
      <c r="Q85" s="37" t="n"/>
      <c r="R85" s="31" t="inlineStr">
        <is>
          <t>DOCX-027</t>
        </is>
      </c>
      <c r="S85" s="31" t="inlineStr">
        <is>
          <t>AUD-01,AUD-03,AUD-08</t>
        </is>
      </c>
    </row>
    <row r="86">
      <c r="A86" s="34" t="inlineStr">
        <is>
          <t>DOCX-028</t>
        </is>
      </c>
      <c r="B86" s="35" t="n">
        <v>3</v>
      </c>
      <c r="C86" s="31" t="inlineStr">
        <is>
          <t>DOCX</t>
        </is>
      </c>
      <c r="D86" s="37" t="inlineStr">
        <is>
          <t>Unchanged blocks keep their original XML in Word exports</t>
        </is>
      </c>
      <c r="E86" s="37" t="inlineStr">
        <is>
          <t>Blocks the user didn't change are written back as their original XML (fields, content controls, run-level formatting the model can't hold, bookmarks), changed ones regenerated; needs block provenance from the importer and fingerprints.</t>
        </is>
      </c>
      <c r="F86" s="31" t="inlineStr">
        <is>
          <t>P1</t>
        </is>
      </c>
      <c r="G86" s="31" t="inlineStr">
        <is>
          <t>DONE</t>
        </is>
      </c>
      <c r="H86" s="37" t="inlineStr">
        <is>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is>
      </c>
      <c r="I86" s="37" t="inlineStr">
        <is>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is>
      </c>
      <c r="J86" s="37" t="inlineStr">
        <is>
          <t>backend/export</t>
        </is>
      </c>
      <c r="K86" s="37" t="inlineStr">
        <is>
          <t>DOCX-011</t>
        </is>
      </c>
      <c r="L86" s="31" t="inlineStr">
        <is>
          <t>High</t>
        </is>
      </c>
      <c r="M86" s="41" t="n">
        <v>46292.77983796296</v>
      </c>
      <c r="N86" s="41" t="n">
        <v>46292.78126157408</v>
      </c>
      <c r="O86" s="41" t="n">
        <v>46292.78126157408</v>
      </c>
      <c r="P86" s="31" t="inlineStr">
        <is>
          <t>c8c2d27</t>
        </is>
      </c>
      <c r="Q86" s="37" t="inlineStr">
        <is>
          <t>Follow-up of DOCX-011 (package-level patch writer).; Known limit: any restyle (template, instruction) changes the body look, so every block but page breaks is written anew; follow-up DOCX-029. Sections survive only with their ending paragraph until DOCX-015 models them.</t>
        </is>
      </c>
      <c r="R86" s="31" t="n"/>
      <c r="S86" s="31" t="n"/>
    </row>
    <row r="87">
      <c r="A87" s="34" t="inlineStr">
        <is>
          <t>DOCX-028A</t>
        </is>
      </c>
      <c r="B87" s="35" t="n">
        <v>3</v>
      </c>
      <c r="C87" s="31" t="inlineStr">
        <is>
          <t>DOCX</t>
        </is>
      </c>
      <c r="D87" s="37" t="inlineStr">
        <is>
          <t>Fingerprints stay stable as the model grows</t>
        </is>
      </c>
      <c r="E87" s="37" t="inlineStr">
        <is>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is>
      </c>
      <c r="F87" s="31" t="inlineStr">
        <is>
          <t>P1</t>
        </is>
      </c>
      <c r="G87" s="31" t="inlineStr">
        <is>
          <t>DONE</t>
        </is>
      </c>
      <c r="H87" s="37" t="inlineStr">
        <is>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is>
      </c>
      <c r="I87" s="37" t="inlineStr">
        <is>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is>
      </c>
      <c r="J87" s="37" t="inlineStr">
        <is>
          <t>backend/export</t>
        </is>
      </c>
      <c r="K87" s="37" t="n"/>
      <c r="L87" s="31" t="inlineStr">
        <is>
          <t>High</t>
        </is>
      </c>
      <c r="M87" s="41" t="n">
        <v>46294.95619212963</v>
      </c>
      <c r="N87" s="41" t="n">
        <v>46294.95755787037</v>
      </c>
      <c r="O87" s="41" t="n">
        <v>46294.95755787037</v>
      </c>
      <c r="P87" s="31" t="inlineStr">
        <is>
          <t>17dfd4d</t>
        </is>
      </c>
      <c r="Q87" s="37" t="n"/>
      <c r="R87" s="31" t="inlineStr">
        <is>
          <t>DOCX-028</t>
        </is>
      </c>
      <c r="S87" s="31" t="n"/>
    </row>
    <row r="88">
      <c r="A88" s="34" t="inlineStr">
        <is>
          <t>DOCX-028B</t>
        </is>
      </c>
      <c r="B88" s="35" t="n">
        <v>3</v>
      </c>
      <c r="C88" s="31" t="inlineStr">
        <is>
          <t>DOCX</t>
        </is>
      </c>
      <c r="D88" s="37" t="inlineStr">
        <is>
          <t>Blocks deleted here never come back in a Word export</t>
        </is>
      </c>
      <c r="E88" s="37" t="inlineStr">
        <is>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is>
      </c>
      <c r="F88" s="31" t="inlineStr">
        <is>
          <t>P0</t>
        </is>
      </c>
      <c r="G88" s="31" t="inlineStr">
        <is>
          <t>IN_PROGRESS</t>
        </is>
      </c>
      <c r="H88" s="37" t="n"/>
      <c r="I88" s="37" t="n"/>
      <c r="J88" s="37" t="inlineStr">
        <is>
          <t>backend/export</t>
        </is>
      </c>
      <c r="K88" s="37" t="inlineStr">
        <is>
          <t>DOCX-028</t>
        </is>
      </c>
      <c r="L88" s="31" t="inlineStr">
        <is>
          <t>High</t>
        </is>
      </c>
      <c r="M88" s="41" t="n">
        <v>46295.34416666667</v>
      </c>
      <c r="N88" s="41" t="n"/>
      <c r="O88" s="41" t="n"/>
      <c r="P88" s="31" t="n"/>
      <c r="Q88" s="37" t="inlineStr">
        <is>
          <t>Found while finishing DOCX-021 (2026-09-30): three paragraphs, the second deleted -&gt; all three in the export.</t>
        </is>
      </c>
      <c r="R88" s="31" t="inlineStr">
        <is>
          <t>DOCX-028</t>
        </is>
      </c>
      <c r="S88" s="31" t="n"/>
    </row>
    <row r="89">
      <c r="A89" s="34" t="inlineStr">
        <is>
          <t>DOCX-029</t>
        </is>
      </c>
      <c r="B89" s="35" t="n">
        <v>3</v>
      </c>
      <c r="C89" s="31" t="inlineStr">
        <is>
          <t>DOCX</t>
        </is>
      </c>
      <c r="D89" s="37" t="inlineStr">
        <is>
          <t>Restyled blocks keep their original XML where nothing conflicts</t>
        </is>
      </c>
      <c r="E89" s="37" t="inlineStr">
        <is>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is>
      </c>
      <c r="F89" s="31" t="inlineStr">
        <is>
          <t>P2</t>
        </is>
      </c>
      <c r="G89" s="31" t="inlineStr">
        <is>
          <t>NOT_STARTED</t>
        </is>
      </c>
      <c r="H89" s="37" t="n"/>
      <c r="I89" s="37" t="n"/>
      <c r="J89" s="37" t="n"/>
      <c r="K89" s="37" t="inlineStr">
        <is>
          <t>DOCX-028</t>
        </is>
      </c>
      <c r="L89" s="31" t="inlineStr">
        <is>
          <t>Medium</t>
        </is>
      </c>
      <c r="M89" s="41" t="n"/>
      <c r="N89" s="41" t="n"/>
      <c r="O89" s="41" t="n"/>
      <c r="P89" s="31" t="n"/>
      <c r="Q89" s="37" t="inlineStr">
        <is>
          <t>Found while finishing DOCX-028: the look is part of the fingerprint so the export never shows a stale look.</t>
        </is>
      </c>
      <c r="R89" s="31" t="n"/>
      <c r="S89" s="31" t="n"/>
    </row>
    <row r="90">
      <c r="A90" s="34" t="inlineStr">
        <is>
          <t>FID-007</t>
        </is>
      </c>
      <c r="B90" s="35" t="n">
        <v>3</v>
      </c>
      <c r="C90" s="31" t="inlineStr">
        <is>
          <t>FIDELITY</t>
        </is>
      </c>
      <c r="D90" s="37" t="inlineStr">
        <is>
          <t>Reports follow the Word copy</t>
        </is>
      </c>
      <c r="E90" s="37" t="inlineStr">
        <is>
          <t>With the original kept, the import report names what lives in blocks as kept in the Word export while the paragraph is unchanged, and an export that writes such a block anew names what it lost; a copy never brings back a link the app doesn't allow.</t>
        </is>
      </c>
      <c r="F90" s="31" t="inlineStr">
        <is>
          <t>P1</t>
        </is>
      </c>
      <c r="G90" s="31" t="inlineStr">
        <is>
          <t>DONE</t>
        </is>
      </c>
      <c r="H90" s="37" t="inlineStr">
        <is>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is>
      </c>
      <c r="I90" s="37" t="inlineStr">
        <is>
          <t>tests/test_copy_reports.py (6): kept while unchanged at import, rewritten losses named (content controls, stretched text), unsafe javascript: link never copied back, PDF word-only; backend 894 passed/1 skipped; Playwright 22</t>
        </is>
      </c>
      <c r="J90" s="37" t="n"/>
      <c r="K90" s="37" t="inlineStr">
        <is>
          <t>DOCX-028</t>
        </is>
      </c>
      <c r="L90" s="31" t="inlineStr">
        <is>
          <t>Medium</t>
        </is>
      </c>
      <c r="M90" s="41" t="n">
        <v>46292.81737268518</v>
      </c>
      <c r="N90" s="41" t="n">
        <v>46292.81810185185</v>
      </c>
      <c r="O90" s="41" t="n">
        <v>46292.81810185185</v>
      </c>
      <c r="P90" s="31" t="inlineStr">
        <is>
          <t>d32c6a6</t>
        </is>
      </c>
      <c r="Q90" s="37" t="inlineStr">
        <is>
          <t>Generalises DOCX-028's section handling (export.docx.section_lost) to everything the model doesn't hold inside blocks.</t>
        </is>
      </c>
      <c r="R90" s="31" t="n"/>
      <c r="S90" s="31" t="n"/>
    </row>
    <row r="91">
      <c r="A91" s="34" t="inlineStr">
        <is>
          <t>PDF-013</t>
        </is>
      </c>
      <c r="B91" s="35" t="n">
        <v>3</v>
      </c>
      <c r="C91" s="31" t="inlineStr">
        <is>
          <t>PDF</t>
        </is>
      </c>
      <c r="D91" s="37" t="inlineStr">
        <is>
          <t>Nested blocks take their container's text look in a PDF</t>
        </is>
      </c>
      <c r="E91" s="37" t="inlineStr">
        <is>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is>
      </c>
      <c r="F91" s="31" t="inlineStr">
        <is>
          <t>P1</t>
        </is>
      </c>
      <c r="G91" s="31" t="inlineStr">
        <is>
          <t>DONE</t>
        </is>
      </c>
      <c r="H91" s="37" t="inlineStr">
        <is>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is>
      </c>
      <c r="I91" s="37" t="inlineStr">
        <is>
          <t>tests/test_docx_pictures.py::test_in_a_pdf_the_text_by_a_picture_in_a_cell_keeps_the_tables_look (fails without the fallback); backend 987 passed/1 skipped</t>
        </is>
      </c>
      <c r="J91" s="37" t="n"/>
      <c r="K91" s="37" t="n"/>
      <c r="L91" s="31" t="inlineStr">
        <is>
          <t>Medium</t>
        </is>
      </c>
      <c r="M91" s="41" t="n">
        <v>46294.95623842593</v>
      </c>
      <c r="N91" s="41" t="n">
        <v>46294.95760416667</v>
      </c>
      <c r="O91" s="41" t="n">
        <v>46294.95760416667</v>
      </c>
      <c r="P91" s="31" t="inlineStr">
        <is>
          <t>17dfd4d</t>
        </is>
      </c>
      <c r="Q91" s="37" t="n"/>
      <c r="R91" s="31" t="n"/>
      <c r="S91" s="31" t="n"/>
    </row>
    <row r="92">
      <c r="A92" s="34" t="inlineStr">
        <is>
          <t>SEC-010</t>
        </is>
      </c>
      <c r="B92" s="35" t="n">
        <v>4</v>
      </c>
      <c r="C92" s="31" t="inlineStr">
        <is>
          <t>SECURITY</t>
        </is>
      </c>
      <c r="D92" s="37" t="inlineStr">
        <is>
          <t>Malformed DOCX -&gt; safe 4xx</t>
        </is>
      </c>
      <c r="E92" s="37" t="inlineStr">
        <is>
          <t>XML/zip/structure errors map to invalid_file; fuzz corpus shows no 500.</t>
        </is>
      </c>
      <c r="F92" s="31" t="inlineStr">
        <is>
          <t>P0</t>
        </is>
      </c>
      <c r="G92" s="31" t="inlineStr">
        <is>
          <t>NOT_STARTED</t>
        </is>
      </c>
      <c r="H92" s="37" t="n"/>
      <c r="I92" s="37" t="n"/>
      <c r="J92" s="37" t="inlineStr">
        <is>
          <t>backend/parsers</t>
        </is>
      </c>
      <c r="K92" s="37" t="n"/>
      <c r="L92" s="31" t="inlineStr">
        <is>
          <t>Medium</t>
        </is>
      </c>
      <c r="M92" s="41" t="n"/>
      <c r="N92" s="41" t="n"/>
      <c r="O92" s="41" t="n"/>
      <c r="P92" s="31" t="n"/>
      <c r="Q92" s="37" t="n"/>
      <c r="R92" s="31" t="n"/>
      <c r="S92" s="31" t="inlineStr">
        <is>
          <t>AUD-12</t>
        </is>
      </c>
    </row>
    <row r="93">
      <c r="A93" s="34" t="inlineStr">
        <is>
          <t>SEC-011</t>
        </is>
      </c>
      <c r="B93" s="35" t="n">
        <v>4</v>
      </c>
      <c r="C93" s="31" t="inlineStr">
        <is>
          <t>SECURITY</t>
        </is>
      </c>
      <c r="D93" s="37" t="inlineStr">
        <is>
          <t>Malformed PDF -&gt; safe 4xx</t>
        </is>
      </c>
      <c r="E93" s="37" t="inlineStr">
        <is>
          <t>Verified with a fuzz corpus.</t>
        </is>
      </c>
      <c r="F93" s="31" t="inlineStr">
        <is>
          <t>P0</t>
        </is>
      </c>
      <c r="G93" s="31" t="inlineStr">
        <is>
          <t>NOT_STARTED</t>
        </is>
      </c>
      <c r="H93" s="37" t="n"/>
      <c r="I93" s="37" t="n"/>
      <c r="J93" s="37" t="inlineStr">
        <is>
          <t>backend/parsers</t>
        </is>
      </c>
      <c r="K93" s="37" t="n"/>
      <c r="L93" s="31" t="inlineStr">
        <is>
          <t>Low</t>
        </is>
      </c>
      <c r="M93" s="41" t="n"/>
      <c r="N93" s="41" t="n"/>
      <c r="O93" s="41" t="n"/>
      <c r="P93" s="31" t="n"/>
      <c r="Q93" s="37" t="n"/>
      <c r="R93" s="31" t="n"/>
      <c r="S93" s="31" t="inlineStr">
        <is>
          <t>AUD-12</t>
        </is>
      </c>
    </row>
    <row r="94">
      <c r="A94" s="34" t="inlineStr">
        <is>
          <t>SEC-012</t>
        </is>
      </c>
      <c r="B94" s="35" t="n">
        <v>4</v>
      </c>
      <c r="C94" s="31" t="inlineStr">
        <is>
          <t>SECURITY</t>
        </is>
      </c>
      <c r="D94" s="37" t="inlineStr">
        <is>
          <t>Image resource limits</t>
        </is>
      </c>
      <c r="E94" s="37" t="inlineStr">
        <is>
          <t>Compressed and decompressed size, pixel count, width, height, images per document, total bytes, format allowlist; rejected before rasterisation.</t>
        </is>
      </c>
      <c r="F94" s="31" t="inlineStr">
        <is>
          <t>P0</t>
        </is>
      </c>
      <c r="G94" s="31" t="inlineStr">
        <is>
          <t>NOT_STARTED</t>
        </is>
      </c>
      <c r="H94" s="37" t="n"/>
      <c r="I94" s="37" t="n"/>
      <c r="J94" s="37" t="inlineStr">
        <is>
          <t>backend/security</t>
        </is>
      </c>
      <c r="K94" s="37" t="n"/>
      <c r="L94" s="31" t="inlineStr">
        <is>
          <t>High</t>
        </is>
      </c>
      <c r="M94" s="41" t="n"/>
      <c r="N94" s="41" t="n"/>
      <c r="O94" s="41" t="n"/>
      <c r="P94" s="31" t="n"/>
      <c r="Q94" s="37" t="n"/>
      <c r="R94" s="31" t="n"/>
      <c r="S94" s="31" t="inlineStr">
        <is>
          <t>AUD-09</t>
        </is>
      </c>
    </row>
    <row r="95">
      <c r="A95" s="34" t="inlineStr">
        <is>
          <t>SEC-013</t>
        </is>
      </c>
      <c r="B95" s="35" t="n">
        <v>4</v>
      </c>
      <c r="C95" s="31" t="inlineStr">
        <is>
          <t>SECURITY</t>
        </is>
      </c>
      <c r="D95" s="37" t="inlineStr">
        <is>
          <t>PDF bombs, huge XML, decompression limits</t>
        </is>
      </c>
      <c r="E95" s="37" t="inlineStr">
        <is>
          <t>Reviewed and tested limits.</t>
        </is>
      </c>
      <c r="F95" s="31" t="inlineStr">
        <is>
          <t>P1</t>
        </is>
      </c>
      <c r="G95" s="31" t="inlineStr">
        <is>
          <t>NOT_STARTED</t>
        </is>
      </c>
      <c r="H95" s="37" t="n"/>
      <c r="I95" s="37" t="n"/>
      <c r="J95" s="37" t="inlineStr">
        <is>
          <t>backend/security</t>
        </is>
      </c>
      <c r="K95" s="37" t="n"/>
      <c r="L95" s="31" t="inlineStr">
        <is>
          <t>Medium</t>
        </is>
      </c>
      <c r="M95" s="41" t="n"/>
      <c r="N95" s="41" t="n"/>
      <c r="O95" s="41" t="n"/>
      <c r="P95" s="31" t="n"/>
      <c r="Q95" s="37" t="n"/>
      <c r="R95" s="31" t="n"/>
      <c r="S95" s="31" t="inlineStr">
        <is>
          <t>AUD-09</t>
        </is>
      </c>
    </row>
    <row r="96">
      <c r="A96" s="34" t="inlineStr">
        <is>
          <t>SEC-014</t>
        </is>
      </c>
      <c r="B96" s="35" t="n">
        <v>4</v>
      </c>
      <c r="C96" s="31" t="inlineStr">
        <is>
          <t>SECURITY</t>
        </is>
      </c>
      <c r="D96" s="37" t="inlineStr">
        <is>
          <t>Href policy</t>
        </is>
      </c>
      <c r="E96" s="37" t="inlineStr">
        <is>
          <t>Server-side scheme allowlist; javascript:/data:/vbscript:/file: never exported as active links.</t>
        </is>
      </c>
      <c r="F96" s="31" t="inlineStr">
        <is>
          <t>P0</t>
        </is>
      </c>
      <c r="G96" s="31" t="inlineStr">
        <is>
          <t>NOT_STARTED</t>
        </is>
      </c>
      <c r="H96" s="37" t="n"/>
      <c r="I96" s="37" t="n"/>
      <c r="J96" s="37" t="inlineStr">
        <is>
          <t>backend/models, export</t>
        </is>
      </c>
      <c r="K96" s="37" t="n"/>
      <c r="L96" s="31" t="inlineStr">
        <is>
          <t>Medium</t>
        </is>
      </c>
      <c r="M96" s="41" t="n"/>
      <c r="N96" s="41" t="n"/>
      <c r="O96" s="41" t="n"/>
      <c r="P96" s="31" t="n"/>
      <c r="Q96" s="37" t="n"/>
      <c r="R96" s="31" t="n"/>
      <c r="S96" s="31" t="inlineStr">
        <is>
          <t>AUD-13</t>
        </is>
      </c>
    </row>
    <row r="97">
      <c r="A97" s="34" t="inlineStr">
        <is>
          <t>SEC-015</t>
        </is>
      </c>
      <c r="B97" s="35" t="n">
        <v>4</v>
      </c>
      <c r="C97" s="31" t="inlineStr">
        <is>
          <t>SECURITY</t>
        </is>
      </c>
      <c r="D97" s="37" t="inlineStr">
        <is>
          <t>Field instruction allowlist</t>
        </is>
      </c>
      <c r="E97" s="37" t="inlineStr">
        <is>
          <t>No DDE/INCLUDETEXT/INCLUDEPICTURE/external fields accepted from clients or exported.</t>
        </is>
      </c>
      <c r="F97" s="31" t="inlineStr">
        <is>
          <t>P0</t>
        </is>
      </c>
      <c r="G97" s="31" t="inlineStr">
        <is>
          <t>NOT_STARTED</t>
        </is>
      </c>
      <c r="H97" s="37" t="n"/>
      <c r="I97" s="37" t="n"/>
      <c r="J97" s="37" t="inlineStr">
        <is>
          <t>backend/export</t>
        </is>
      </c>
      <c r="K97" s="37" t="n"/>
      <c r="L97" s="31" t="inlineStr">
        <is>
          <t>Medium</t>
        </is>
      </c>
      <c r="M97" s="41" t="n"/>
      <c r="N97" s="41" t="n"/>
      <c r="O97" s="41" t="n"/>
      <c r="P97" s="31" t="n"/>
      <c r="Q97" s="37" t="n"/>
      <c r="R97" s="31" t="n"/>
      <c r="S97" s="31" t="inlineStr">
        <is>
          <t>AUD-13</t>
        </is>
      </c>
    </row>
    <row r="98">
      <c r="A98" s="34" t="inlineStr">
        <is>
          <t>SEC-016</t>
        </is>
      </c>
      <c r="B98" s="35" t="n">
        <v>4</v>
      </c>
      <c r="C98" s="31" t="inlineStr">
        <is>
          <t>SECURITY</t>
        </is>
      </c>
      <c r="D98" s="37" t="inlineStr">
        <is>
          <t>External relationships policy</t>
        </is>
      </c>
      <c r="E98" s="37" t="inlineStr">
        <is>
          <t>No arbitrary external targets in exports.</t>
        </is>
      </c>
      <c r="F98" s="31" t="inlineStr">
        <is>
          <t>P1</t>
        </is>
      </c>
      <c r="G98" s="31" t="inlineStr">
        <is>
          <t>NOT_STARTED</t>
        </is>
      </c>
      <c r="H98" s="37" t="n"/>
      <c r="I98" s="37" t="n"/>
      <c r="J98" s="37" t="inlineStr">
        <is>
          <t>backend/export</t>
        </is>
      </c>
      <c r="K98" s="37" t="inlineStr">
        <is>
          <t>SEC-014</t>
        </is>
      </c>
      <c r="L98" s="31" t="inlineStr">
        <is>
          <t>Low</t>
        </is>
      </c>
      <c r="M98" s="41" t="n"/>
      <c r="N98" s="41" t="n"/>
      <c r="O98" s="41" t="n"/>
      <c r="P98" s="31" t="n"/>
      <c r="Q98" s="37" t="n"/>
      <c r="R98" s="31" t="n"/>
      <c r="S98" s="31" t="inlineStr">
        <is>
          <t>AUD-13</t>
        </is>
      </c>
    </row>
    <row r="99">
      <c r="A99" s="34" t="inlineStr">
        <is>
          <t>SEC-017</t>
        </is>
      </c>
      <c r="B99" s="35" t="n">
        <v>4</v>
      </c>
      <c r="C99" s="31" t="inlineStr">
        <is>
          <t>SECURITY</t>
        </is>
      </c>
      <c r="D99" s="37" t="inlineStr">
        <is>
          <t>Malicious SVG</t>
        </is>
      </c>
      <c r="E99" s="37" t="inlineStr">
        <is>
          <t>Verified refused everywhere.</t>
        </is>
      </c>
      <c r="F99" s="31" t="inlineStr">
        <is>
          <t>P1</t>
        </is>
      </c>
      <c r="G99" s="31" t="inlineStr">
        <is>
          <t>NOT_STARTED</t>
        </is>
      </c>
      <c r="H99" s="37" t="n"/>
      <c r="I99" s="37" t="n"/>
      <c r="J99" s="37" t="inlineStr">
        <is>
          <t>backend/security</t>
        </is>
      </c>
      <c r="K99" s="37" t="n"/>
      <c r="L99" s="31" t="inlineStr">
        <is>
          <t>Low</t>
        </is>
      </c>
      <c r="M99" s="41" t="n"/>
      <c r="N99" s="41" t="n"/>
      <c r="O99" s="41" t="n"/>
      <c r="P99" s="31" t="n"/>
      <c r="Q99" s="37" t="n"/>
      <c r="R99" s="31" t="n"/>
      <c r="S99" s="31" t="n"/>
    </row>
    <row r="100">
      <c r="A100" s="34" t="inlineStr">
        <is>
          <t>SEC-018</t>
        </is>
      </c>
      <c r="B100" s="35" t="n">
        <v>4</v>
      </c>
      <c r="C100" s="31" t="inlineStr">
        <is>
          <t>SECURITY</t>
        </is>
      </c>
      <c r="D100" s="37" t="inlineStr">
        <is>
          <t>Prompt injection / AI output abuse</t>
        </is>
      </c>
      <c r="E100" s="37" t="inlineStr">
        <is>
          <t>Tests with hostile documents; outputs validated.</t>
        </is>
      </c>
      <c r="F100" s="31" t="inlineStr">
        <is>
          <t>P1</t>
        </is>
      </c>
      <c r="G100" s="31" t="inlineStr">
        <is>
          <t>DONE</t>
        </is>
      </c>
      <c r="H100" s="37" t="inlineStr">
        <is>
          <t>Hostile-document tests: the document can't close its fence; out-of-bounds answers refused and fall back; an instruction steered by the document deletes nothing (proposals only) and a CSS break-out value is dropped; style-analysis flags on unknown elements dropped (see AI-009).</t>
        </is>
      </c>
      <c r="I100" s="37" t="inlineStr">
        <is>
          <t>tests/test_prompt_injection.py</t>
        </is>
      </c>
      <c r="J100" s="37" t="inlineStr">
        <is>
          <t>backend/ai</t>
        </is>
      </c>
      <c r="K100" s="37" t="inlineStr">
        <is>
          <t>AI-009</t>
        </is>
      </c>
      <c r="L100" s="31" t="inlineStr">
        <is>
          <t>Medium</t>
        </is>
      </c>
      <c r="M100" s="41" t="n">
        <v>46292.60689814815</v>
      </c>
      <c r="N100" s="41" t="n">
        <v>46292.60701388889</v>
      </c>
      <c r="O100" s="41" t="n">
        <v>46292.60701388889</v>
      </c>
      <c r="P100" s="31" t="inlineStr">
        <is>
          <t>8253a6a</t>
        </is>
      </c>
      <c r="Q100" s="37" t="n"/>
      <c r="R100" s="31" t="n"/>
      <c r="S100" s="31" t="n"/>
    </row>
    <row r="101">
      <c r="A101" s="34" t="inlineStr">
        <is>
          <t>SEC-019</t>
        </is>
      </c>
      <c r="B101" s="35" t="n">
        <v>4</v>
      </c>
      <c r="C101" s="31" t="inlineStr">
        <is>
          <t>SECURITY</t>
        </is>
      </c>
      <c r="D101" s="37" t="inlineStr">
        <is>
          <t>Error envelope audit</t>
        </is>
      </c>
      <c r="E101" s="37" t="inlineStr">
        <is>
          <t>Every error {code, message, details, request_id}; no stack traces to users.</t>
        </is>
      </c>
      <c r="F101" s="31" t="inlineStr">
        <is>
          <t>P1</t>
        </is>
      </c>
      <c r="G101" s="31" t="inlineStr">
        <is>
          <t>NOT_STARTED</t>
        </is>
      </c>
      <c r="H101" s="37" t="n"/>
      <c r="I101" s="37" t="n"/>
      <c r="J101" s="37" t="inlineStr">
        <is>
          <t>backend/api</t>
        </is>
      </c>
      <c r="K101" s="37" t="n"/>
      <c r="L101" s="31" t="inlineStr">
        <is>
          <t>Low</t>
        </is>
      </c>
      <c r="M101" s="41" t="n"/>
      <c r="N101" s="41" t="n"/>
      <c r="O101" s="41" t="n"/>
      <c r="P101" s="31" t="n"/>
      <c r="Q101" s="37" t="n"/>
      <c r="R101" s="31" t="n"/>
      <c r="S101" s="31" t="inlineStr">
        <is>
          <t>AUD-12</t>
        </is>
      </c>
    </row>
    <row r="102">
      <c r="A102" s="34" t="inlineStr">
        <is>
          <t>SEC-020</t>
        </is>
      </c>
      <c r="B102" s="35" t="n">
        <v>4</v>
      </c>
      <c r="C102" s="31" t="inlineStr">
        <is>
          <t>SECURITY</t>
        </is>
      </c>
      <c r="D102" s="37" t="inlineStr">
        <is>
          <t>CSP without 'unsafe-inline' scripts</t>
        </is>
      </c>
      <c r="E102" s="37" t="inlineStr">
        <is>
          <t>Nonce-based CSP for the Next.js app.</t>
        </is>
      </c>
      <c r="F102" s="31" t="inlineStr">
        <is>
          <t>P2</t>
        </is>
      </c>
      <c r="G102" s="31" t="inlineStr">
        <is>
          <t>NOT_STARTED</t>
        </is>
      </c>
      <c r="H102" s="37" t="n"/>
      <c r="I102" s="37" t="n"/>
      <c r="J102" s="37" t="inlineStr">
        <is>
          <t>frontend</t>
        </is>
      </c>
      <c r="K102" s="37" t="n"/>
      <c r="L102" s="31" t="inlineStr">
        <is>
          <t>Medium</t>
        </is>
      </c>
      <c r="M102" s="41" t="n"/>
      <c r="N102" s="41" t="n"/>
      <c r="O102" s="41" t="n"/>
      <c r="P102" s="31" t="n"/>
      <c r="Q102" s="37" t="n"/>
      <c r="R102" s="31" t="n"/>
      <c r="S102" s="31" t="n"/>
    </row>
    <row r="103">
      <c r="A103" s="34" t="inlineStr">
        <is>
          <t>TEST-030</t>
        </is>
      </c>
      <c r="B103" s="35" t="n">
        <v>4</v>
      </c>
      <c r="C103" s="31" t="inlineStr">
        <is>
          <t>TESTING</t>
        </is>
      </c>
      <c r="D103" s="37" t="inlineStr">
        <is>
          <t>Security regression suite</t>
        </is>
      </c>
      <c r="E103" s="37" t="inlineStr">
        <is>
          <t>Fuzz corpus, pixel bombs, href/field policy, IDOR, CSRF.</t>
        </is>
      </c>
      <c r="F103" s="31" t="inlineStr">
        <is>
          <t>P0</t>
        </is>
      </c>
      <c r="G103" s="31" t="inlineStr">
        <is>
          <t>NOT_STARTED</t>
        </is>
      </c>
      <c r="H103" s="37" t="n"/>
      <c r="I103" s="37" t="n"/>
      <c r="J103" s="37" t="inlineStr">
        <is>
          <t>backend/tests</t>
        </is>
      </c>
      <c r="K103" s="37" t="inlineStr">
        <is>
          <t>SEC-010,SEC-012,SEC-014,SEC-015</t>
        </is>
      </c>
      <c r="L103" s="31" t="inlineStr">
        <is>
          <t>Low</t>
        </is>
      </c>
      <c r="M103" s="41" t="n"/>
      <c r="N103" s="41" t="n"/>
      <c r="O103" s="41" t="n"/>
      <c r="P103" s="31" t="n"/>
      <c r="Q103" s="37" t="n"/>
      <c r="R103" s="31" t="n"/>
      <c r="S103" s="31" t="inlineStr">
        <is>
          <t>AUD-09,AUD-12,AUD-13</t>
        </is>
      </c>
    </row>
    <row r="104">
      <c r="A104" s="34" t="inlineStr">
        <is>
          <t>SEC-021</t>
        </is>
      </c>
      <c r="B104" s="35" t="n">
        <v>4</v>
      </c>
      <c r="C104" s="31" t="inlineStr">
        <is>
          <t>SECURITY</t>
        </is>
      </c>
      <c r="D104" s="37" t="inlineStr">
        <is>
          <t>Sensitivity-label metadata in the public repository</t>
        </is>
      </c>
      <c r="E104" s="37" t="inlineStr">
        <is>
          <t>корекции.docx (committed in 5f2bf9e, pushed) carries 8 MSIP_Label_* custom properties incl. the organisation's tenant SiteId (label: Microsoft default 'General' family, no content marking). Options: leave; scrub the file in a new commit (HEAD only); purge from history (force-push).</t>
        </is>
      </c>
      <c r="F104" s="31" t="inlineStr">
        <is>
          <t>P2</t>
        </is>
      </c>
      <c r="G104" s="31" t="inlineStr">
        <is>
          <t>BLOCKED</t>
        </is>
      </c>
      <c r="H104" s="37" t="n"/>
      <c r="I104" s="37" t="n"/>
      <c r="J104" s="37" t="inlineStr">
        <is>
          <t>repository history</t>
        </is>
      </c>
      <c r="K104" s="37" t="n"/>
      <c r="L104" s="31" t="inlineStr">
        <is>
          <t>Low</t>
        </is>
      </c>
      <c r="M104" s="41" t="n">
        <v>46292.17086805555</v>
      </c>
      <c r="N104" s="41" t="n"/>
      <c r="O104" s="41" t="n"/>
      <c r="P104" s="31" t="n"/>
      <c r="Q104" s="37" t="inlineStr">
        <is>
          <t>Needs Boril: the choice involves his organisation's label and possibly rewriting pushed history. The tracker tools now strip MSIP labels on every write; the pre-push scan flags them.</t>
        </is>
      </c>
      <c r="R104" s="31" t="n"/>
      <c r="S104" s="31" t="n"/>
    </row>
    <row r="105">
      <c r="A105" s="34" t="inlineStr">
        <is>
          <t>SEC-022</t>
        </is>
      </c>
      <c r="B105" s="35" t="n">
        <v>4</v>
      </c>
      <c r="C105" s="31" t="inlineStr">
        <is>
          <t>SECURITY</t>
        </is>
      </c>
      <c r="D105" s="37" t="inlineStr">
        <is>
          <t>Formatting rule values can't break out of a style</t>
        </is>
      </c>
      <c r="E105" s="37" t="inlineStr">
        <is>
          <t>A rule value reaches the editor's style attribute, Word and PDF styles as text. The element-style and page-setting endpoints accepted any string (e.g. 'center;background-image:url(...)'), the AI instruction path too (FMT-005): CSS injection into every viewer's editor.</t>
        </is>
      </c>
      <c r="F105" s="31" t="inlineStr">
        <is>
          <t>P0</t>
        </is>
      </c>
      <c r="G105" s="31" t="inlineStr">
        <is>
          <t>DONE</t>
        </is>
      </c>
      <c r="H105" s="37" t="inlineStr">
        <is>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is>
      </c>
      <c r="I105" s="37" t="inlineStr">
        <is>
          <t>tests/test_rule_values.py (34 cases incl. API 422, stored-rule skip, instruction drop)</t>
        </is>
      </c>
      <c r="J105" s="37" t="inlineStr">
        <is>
          <t>backend/formatting</t>
        </is>
      </c>
      <c r="K105" s="37" t="n"/>
      <c r="L105" s="31" t="inlineStr">
        <is>
          <t>High</t>
        </is>
      </c>
      <c r="M105" s="41" t="n">
        <v>46292.39731481481</v>
      </c>
      <c r="N105" s="41" t="n">
        <v>46292.39900462963</v>
      </c>
      <c r="O105" s="41" t="n">
        <v>46292.39900462963</v>
      </c>
      <c r="P105" s="31" t="inlineStr">
        <is>
          <t>53c84e4</t>
        </is>
      </c>
      <c r="Q105" s="37" t="inlineStr">
        <is>
          <t>Found 2026-09-27 while mapping editor alignment (EDIT-008); probe confirmed the raw value in resolvedStyles.</t>
        </is>
      </c>
      <c r="R105" s="31" t="n"/>
      <c r="S105" s="31" t="n"/>
    </row>
    <row r="106">
      <c r="A106" s="34" t="inlineStr">
        <is>
          <t>PERF-001</t>
        </is>
      </c>
      <c r="B106" s="35" t="n">
        <v>5</v>
      </c>
      <c r="C106" s="31" t="inlineStr">
        <is>
          <t>PERFORMANCE</t>
        </is>
      </c>
      <c r="D106" s="37" t="inlineStr">
        <is>
          <t>Linear DOCX table export</t>
        </is>
      </c>
      <c r="E106" s="37" t="inlineStr">
        <is>
          <t>500x8 table under a recorded threshold (baseline 321 s).</t>
        </is>
      </c>
      <c r="F106" s="31" t="inlineStr">
        <is>
          <t>P0</t>
        </is>
      </c>
      <c r="G106" s="31" t="inlineStr">
        <is>
          <t>NOT_STARTED</t>
        </is>
      </c>
      <c r="H106" s="37" t="n"/>
      <c r="I106" s="37" t="n"/>
      <c r="J106" s="37" t="inlineStr">
        <is>
          <t>backend/export</t>
        </is>
      </c>
      <c r="K106" s="37" t="n"/>
      <c r="L106" s="31" t="inlineStr">
        <is>
          <t>High</t>
        </is>
      </c>
      <c r="M106" s="41" t="n"/>
      <c r="N106" s="41" t="n"/>
      <c r="O106" s="41" t="n"/>
      <c r="P106" s="31" t="n"/>
      <c r="Q106" s="37" t="n"/>
      <c r="R106" s="31" t="n"/>
      <c r="S106" s="31" t="inlineStr">
        <is>
          <t>AUD-10</t>
        </is>
      </c>
    </row>
    <row r="107">
      <c r="A107" s="34" t="inlineStr">
        <is>
          <t>PERF-002</t>
        </is>
      </c>
      <c r="B107" s="35" t="n">
        <v>5</v>
      </c>
      <c r="C107" s="31" t="inlineStr">
        <is>
          <t>PERFORMANCE</t>
        </is>
      </c>
      <c r="D107" s="37" t="inlineStr">
        <is>
          <t>Benchmarks recorded</t>
        </is>
      </c>
      <c r="E107" s="37" t="inlineStr">
        <is>
          <t>Baseline and current measurements in the PERFORMANCE sheet.</t>
        </is>
      </c>
      <c r="F107" s="31" t="inlineStr">
        <is>
          <t>P1</t>
        </is>
      </c>
      <c r="G107" s="31" t="inlineStr">
        <is>
          <t>NOT_STARTED</t>
        </is>
      </c>
      <c r="H107" s="37" t="n"/>
      <c r="I107" s="37" t="n"/>
      <c r="J107" s="37" t="inlineStr">
        <is>
          <t>tests/perf</t>
        </is>
      </c>
      <c r="K107" s="37" t="n"/>
      <c r="L107" s="31" t="inlineStr">
        <is>
          <t>Low</t>
        </is>
      </c>
      <c r="M107" s="41" t="n"/>
      <c r="N107" s="41" t="n"/>
      <c r="O107" s="41" t="n"/>
      <c r="P107" s="31" t="n"/>
      <c r="Q107" s="37" t="n"/>
      <c r="R107" s="31" t="n"/>
      <c r="S107" s="31" t="inlineStr">
        <is>
          <t>AUD-10</t>
        </is>
      </c>
    </row>
    <row r="108">
      <c r="A108" s="34" t="inlineStr">
        <is>
          <t>PERF-003</t>
        </is>
      </c>
      <c r="B108" s="35" t="n">
        <v>5</v>
      </c>
      <c r="C108" s="31" t="inlineStr">
        <is>
          <t>PERFORMANCE</t>
        </is>
      </c>
      <c r="D108" s="37" t="inlineStr">
        <is>
          <t>Delta autosave</t>
        </is>
      </c>
      <c r="E108" s="37" t="inlineStr">
        <is>
          <t>Change-aware patches with a threshold strategy; whole document only when needed.</t>
        </is>
      </c>
      <c r="F108" s="31" t="inlineStr">
        <is>
          <t>P1</t>
        </is>
      </c>
      <c r="G108" s="31" t="inlineStr">
        <is>
          <t>NOT_STARTED</t>
        </is>
      </c>
      <c r="H108" s="37" t="n"/>
      <c r="I108" s="37" t="n"/>
      <c r="J108" s="37" t="inlineStr">
        <is>
          <t>frontend/editor, backend/api</t>
        </is>
      </c>
      <c r="K108" s="37" t="n"/>
      <c r="L108" s="31" t="inlineStr">
        <is>
          <t>High</t>
        </is>
      </c>
      <c r="M108" s="41" t="n"/>
      <c r="N108" s="41" t="n"/>
      <c r="O108" s="41" t="n"/>
      <c r="P108" s="31" t="n"/>
      <c r="Q108" s="37" t="n"/>
      <c r="R108" s="31" t="n"/>
      <c r="S108" s="31" t="inlineStr">
        <is>
          <t>AUD-16</t>
        </is>
      </c>
    </row>
    <row r="109">
      <c r="A109" s="34" t="inlineStr">
        <is>
          <t>PERF-004</t>
        </is>
      </c>
      <c r="B109" s="35" t="n">
        <v>5</v>
      </c>
      <c r="C109" s="31" t="inlineStr">
        <is>
          <t>PERFORMANCE</t>
        </is>
      </c>
      <c r="D109" s="37" t="inlineStr">
        <is>
          <t>Bounded, compressed version history</t>
        </is>
      </c>
      <c r="E109" s="37" t="inlineStr">
        <is>
          <t>Editor history separate from persisted versions; compression/deltas; asset references.</t>
        </is>
      </c>
      <c r="F109" s="31" t="inlineStr">
        <is>
          <t>P1</t>
        </is>
      </c>
      <c r="G109" s="31" t="inlineStr">
        <is>
          <t>NOT_STARTED</t>
        </is>
      </c>
      <c r="H109" s="37" t="n"/>
      <c r="I109" s="37" t="n"/>
      <c r="J109" s="37" t="inlineStr">
        <is>
          <t>backend/services</t>
        </is>
      </c>
      <c r="K109" s="37" t="n"/>
      <c r="L109" s="31" t="inlineStr">
        <is>
          <t>High</t>
        </is>
      </c>
      <c r="M109" s="41" t="n"/>
      <c r="N109" s="41" t="n"/>
      <c r="O109" s="41" t="n"/>
      <c r="P109" s="31" t="n"/>
      <c r="Q109" s="37" t="n"/>
      <c r="R109" s="31" t="n"/>
      <c r="S109" s="31" t="inlineStr">
        <is>
          <t>AUD-16</t>
        </is>
      </c>
    </row>
    <row r="110">
      <c r="A110" s="34" t="inlineStr">
        <is>
          <t>PERF-005</t>
        </is>
      </c>
      <c r="B110" s="35" t="n">
        <v>5</v>
      </c>
      <c r="C110" s="31" t="inlineStr">
        <is>
          <t>PERFORMANCE</t>
        </is>
      </c>
      <c r="D110" s="37" t="inlineStr">
        <is>
          <t>Editor at 5k-12k blocks</t>
        </is>
      </c>
      <c r="E110" s="37" t="inlineStr">
        <is>
          <t>Typing latency measured and improved.</t>
        </is>
      </c>
      <c r="F110" s="31" t="inlineStr">
        <is>
          <t>P2</t>
        </is>
      </c>
      <c r="G110" s="31" t="inlineStr">
        <is>
          <t>NOT_STARTED</t>
        </is>
      </c>
      <c r="H110" s="37" t="n"/>
      <c r="I110" s="37" t="n"/>
      <c r="J110" s="37" t="inlineStr">
        <is>
          <t>frontend/editor</t>
        </is>
      </c>
      <c r="K110" s="37" t="n"/>
      <c r="L110" s="31" t="inlineStr">
        <is>
          <t>Medium</t>
        </is>
      </c>
      <c r="M110" s="41" t="n"/>
      <c r="N110" s="41" t="n"/>
      <c r="O110" s="41" t="n"/>
      <c r="P110" s="31" t="n"/>
      <c r="Q110" s="37" t="n"/>
      <c r="R110" s="31" t="n"/>
      <c r="S110" s="31" t="inlineStr">
        <is>
          <t>AUD-16</t>
        </is>
      </c>
    </row>
    <row r="111">
      <c r="A111" s="34" t="inlineStr">
        <is>
          <t>PERF-006</t>
        </is>
      </c>
      <c r="B111" s="35" t="n">
        <v>5</v>
      </c>
      <c r="C111" s="31" t="inlineStr">
        <is>
          <t>PERFORMANCE</t>
        </is>
      </c>
      <c r="D111" s="37" t="inlineStr">
        <is>
          <t>JSON without ASCII escaping</t>
        </is>
      </c>
      <c r="E111" s="37" t="inlineStr">
        <is>
          <t>Document JSON stored and sent as UTF-8.</t>
        </is>
      </c>
      <c r="F111" s="31" t="inlineStr">
        <is>
          <t>P2</t>
        </is>
      </c>
      <c r="G111" s="31" t="inlineStr">
        <is>
          <t>NOT_STARTED</t>
        </is>
      </c>
      <c r="H111" s="37" t="n"/>
      <c r="I111" s="37" t="n"/>
      <c r="J111" s="37" t="inlineStr">
        <is>
          <t>backend/db</t>
        </is>
      </c>
      <c r="K111" s="37" t="n"/>
      <c r="L111" s="31" t="inlineStr">
        <is>
          <t>Low</t>
        </is>
      </c>
      <c r="M111" s="41" t="n"/>
      <c r="N111" s="41" t="n"/>
      <c r="O111" s="41" t="n"/>
      <c r="P111" s="31" t="n"/>
      <c r="Q111" s="37" t="n"/>
      <c r="R111" s="31" t="n"/>
      <c r="S111" s="31" t="n"/>
    </row>
    <row r="112">
      <c r="A112" s="34" t="inlineStr">
        <is>
          <t>PERF-007</t>
        </is>
      </c>
      <c r="B112" s="35" t="n">
        <v>5</v>
      </c>
      <c r="C112" s="31" t="inlineStr">
        <is>
          <t>PERFORMANCE</t>
        </is>
      </c>
      <c r="D112" s="37" t="inlineStr">
        <is>
          <t>Safe size limits recorded</t>
        </is>
      </c>
      <c r="E112" s="37" t="inlineStr">
        <is>
          <t>User-facing maximum sizes, job timeouts, resource ceilings documented and enforced.</t>
        </is>
      </c>
      <c r="F112" s="31" t="inlineStr">
        <is>
          <t>P1</t>
        </is>
      </c>
      <c r="G112" s="31" t="inlineStr">
        <is>
          <t>NOT_STARTED</t>
        </is>
      </c>
      <c r="H112" s="37" t="n"/>
      <c r="I112" s="37" t="n"/>
      <c r="J112" s="37" t="inlineStr">
        <is>
          <t>backend/config</t>
        </is>
      </c>
      <c r="K112" s="37" t="n"/>
      <c r="L112" s="31" t="inlineStr">
        <is>
          <t>Low</t>
        </is>
      </c>
      <c r="M112" s="41" t="n"/>
      <c r="N112" s="41" t="n"/>
      <c r="O112" s="41" t="n"/>
      <c r="P112" s="31" t="n"/>
      <c r="Q112" s="37" t="n"/>
      <c r="R112" s="31" t="n"/>
      <c r="S112" s="31" t="inlineStr">
        <is>
          <t>AUD-09,AUD-10</t>
        </is>
      </c>
    </row>
    <row r="113">
      <c r="A113" s="34" t="inlineStr">
        <is>
          <t>ACCT-001</t>
        </is>
      </c>
      <c r="B113" s="35" t="n">
        <v>6</v>
      </c>
      <c r="C113" s="31" t="inlineStr">
        <is>
          <t>ACCOUNT</t>
        </is>
      </c>
      <c r="D113" s="37" t="inlineStr">
        <is>
          <t>E-mail sender abstraction</t>
        </is>
      </c>
      <c r="E113" s="37" t="inlineStr">
        <is>
          <t>SMTP provider + development outbox; no secrets in logs.</t>
        </is>
      </c>
      <c r="F113" s="31" t="inlineStr">
        <is>
          <t>P0</t>
        </is>
      </c>
      <c r="G113" s="31" t="inlineStr">
        <is>
          <t>NOT_STARTED</t>
        </is>
      </c>
      <c r="H113" s="37" t="n"/>
      <c r="I113" s="37" t="n"/>
      <c r="J113" s="37" t="inlineStr">
        <is>
          <t>backend/services</t>
        </is>
      </c>
      <c r="K113" s="37" t="n"/>
      <c r="L113" s="31" t="inlineStr">
        <is>
          <t>Medium</t>
        </is>
      </c>
      <c r="M113" s="41" t="n"/>
      <c r="N113" s="41" t="n"/>
      <c r="O113" s="41" t="n"/>
      <c r="P113" s="31" t="n"/>
      <c r="Q113" s="37" t="n"/>
      <c r="R113" s="31" t="n"/>
      <c r="S113" s="31" t="inlineStr">
        <is>
          <t>AUD-14</t>
        </is>
      </c>
    </row>
    <row r="114">
      <c r="A114" s="34" t="inlineStr">
        <is>
          <t>ACCT-002</t>
        </is>
      </c>
      <c r="B114" s="35" t="n">
        <v>6</v>
      </c>
      <c r="C114" s="31" t="inlineStr">
        <is>
          <t>ACCOUNT</t>
        </is>
      </c>
      <c r="D114" s="37" t="inlineStr">
        <is>
          <t>Password reset</t>
        </is>
      </c>
      <c r="E114" s="37" t="inlineStr">
        <is>
          <t>Single-use, expiring, hashed tokens; rate-limited; no account enumeration.</t>
        </is>
      </c>
      <c r="F114" s="31" t="inlineStr">
        <is>
          <t>P0</t>
        </is>
      </c>
      <c r="G114" s="31" t="inlineStr">
        <is>
          <t>NOT_STARTED</t>
        </is>
      </c>
      <c r="H114" s="37" t="n"/>
      <c r="I114" s="37" t="n"/>
      <c r="J114" s="37" t="inlineStr">
        <is>
          <t>backend/api, frontend</t>
        </is>
      </c>
      <c r="K114" s="37" t="inlineStr">
        <is>
          <t>ACCT-001</t>
        </is>
      </c>
      <c r="L114" s="31" t="inlineStr">
        <is>
          <t>High</t>
        </is>
      </c>
      <c r="M114" s="41" t="n"/>
      <c r="N114" s="41" t="n"/>
      <c r="O114" s="41" t="n"/>
      <c r="P114" s="31" t="n"/>
      <c r="Q114" s="37" t="n"/>
      <c r="R114" s="31" t="n"/>
      <c r="S114" s="31" t="inlineStr">
        <is>
          <t>AUD-14</t>
        </is>
      </c>
    </row>
    <row r="115">
      <c r="A115" s="34" t="inlineStr">
        <is>
          <t>ACCT-003</t>
        </is>
      </c>
      <c r="B115" s="35" t="n">
        <v>6</v>
      </c>
      <c r="C115" s="31" t="inlineStr">
        <is>
          <t>ACCOUNT</t>
        </is>
      </c>
      <c r="D115" s="37" t="inlineStr">
        <is>
          <t>E-mail verification</t>
        </is>
      </c>
      <c r="E115" s="37" t="inlineStr">
        <is>
          <t>Verification tokens and state.</t>
        </is>
      </c>
      <c r="F115" s="31" t="inlineStr">
        <is>
          <t>P0</t>
        </is>
      </c>
      <c r="G115" s="31" t="inlineStr">
        <is>
          <t>NOT_STARTED</t>
        </is>
      </c>
      <c r="H115" s="37" t="n"/>
      <c r="I115" s="37" t="n"/>
      <c r="J115" s="37" t="inlineStr">
        <is>
          <t>backend/api, frontend</t>
        </is>
      </c>
      <c r="K115" s="37" t="inlineStr">
        <is>
          <t>ACCT-001</t>
        </is>
      </c>
      <c r="L115" s="31" t="inlineStr">
        <is>
          <t>Medium</t>
        </is>
      </c>
      <c r="M115" s="41" t="n"/>
      <c r="N115" s="41" t="n"/>
      <c r="O115" s="41" t="n"/>
      <c r="P115" s="31" t="n"/>
      <c r="Q115" s="37" t="n"/>
      <c r="R115" s="31" t="n"/>
      <c r="S115" s="31" t="inlineStr">
        <is>
          <t>AUD-14</t>
        </is>
      </c>
    </row>
    <row r="116">
      <c r="A116" s="34" t="inlineStr">
        <is>
          <t>ACCT-004</t>
        </is>
      </c>
      <c r="B116" s="35" t="n">
        <v>6</v>
      </c>
      <c r="C116" s="31" t="inlineStr">
        <is>
          <t>ACCOUNT</t>
        </is>
      </c>
      <c r="D116" s="37" t="inlineStr">
        <is>
          <t>Password change</t>
        </is>
      </c>
      <c r="E116" s="37" t="inlineStr">
        <is>
          <t>Current password required; other sessions revoked.</t>
        </is>
      </c>
      <c r="F116" s="31" t="inlineStr">
        <is>
          <t>P0</t>
        </is>
      </c>
      <c r="G116" s="31" t="inlineStr">
        <is>
          <t>NOT_STARTED</t>
        </is>
      </c>
      <c r="H116" s="37" t="n"/>
      <c r="I116" s="37" t="n"/>
      <c r="J116" s="37" t="inlineStr">
        <is>
          <t>backend/api, frontend</t>
        </is>
      </c>
      <c r="K116" s="37" t="n"/>
      <c r="L116" s="31" t="inlineStr">
        <is>
          <t>Medium</t>
        </is>
      </c>
      <c r="M116" s="41" t="n"/>
      <c r="N116" s="41" t="n"/>
      <c r="O116" s="41" t="n"/>
      <c r="P116" s="31" t="n"/>
      <c r="Q116" s="37" t="n"/>
      <c r="R116" s="31" t="n"/>
      <c r="S116" s="31" t="inlineStr">
        <is>
          <t>AUD-14</t>
        </is>
      </c>
    </row>
    <row r="117">
      <c r="A117" s="34" t="inlineStr">
        <is>
          <t>ACCT-005</t>
        </is>
      </c>
      <c r="B117" s="35" t="n">
        <v>6</v>
      </c>
      <c r="C117" s="31" t="inlineStr">
        <is>
          <t>ACCOUNT</t>
        </is>
      </c>
      <c r="D117" s="37" t="inlineStr">
        <is>
          <t>Account deletion</t>
        </is>
      </c>
      <c r="E117" s="37" t="inlineStr">
        <is>
          <t>Cascading policy: documents, versions, assets, exports, sessions, jobs, usage.</t>
        </is>
      </c>
      <c r="F117" s="31" t="inlineStr">
        <is>
          <t>P0</t>
        </is>
      </c>
      <c r="G117" s="31" t="inlineStr">
        <is>
          <t>NOT_STARTED</t>
        </is>
      </c>
      <c r="H117" s="37" t="n"/>
      <c r="I117" s="37" t="n"/>
      <c r="J117" s="37" t="inlineStr">
        <is>
          <t>backend/api, frontend</t>
        </is>
      </c>
      <c r="K117" s="37" t="n"/>
      <c r="L117" s="31" t="inlineStr">
        <is>
          <t>High</t>
        </is>
      </c>
      <c r="M117" s="41" t="n"/>
      <c r="N117" s="41" t="n"/>
      <c r="O117" s="41" t="n"/>
      <c r="P117" s="31" t="n"/>
      <c r="Q117" s="37" t="n"/>
      <c r="R117" s="31" t="n"/>
      <c r="S117" s="31" t="inlineStr">
        <is>
          <t>AUD-14</t>
        </is>
      </c>
    </row>
    <row r="118">
      <c r="A118" s="34" t="inlineStr">
        <is>
          <t>ACCT-006</t>
        </is>
      </c>
      <c r="B118" s="35" t="n">
        <v>6</v>
      </c>
      <c r="C118" s="31" t="inlineStr">
        <is>
          <t>ACCOUNT</t>
        </is>
      </c>
      <c r="D118" s="37" t="inlineStr">
        <is>
          <t>Session revocation and cleanup</t>
        </is>
      </c>
      <c r="E118" s="37" t="inlineStr">
        <is>
          <t>Sign out everywhere; expired/revoked session sweep.</t>
        </is>
      </c>
      <c r="F118" s="31" t="inlineStr">
        <is>
          <t>P1</t>
        </is>
      </c>
      <c r="G118" s="31" t="inlineStr">
        <is>
          <t>NOT_STARTED</t>
        </is>
      </c>
      <c r="H118" s="37" t="n"/>
      <c r="I118" s="37" t="n"/>
      <c r="J118" s="37" t="inlineStr">
        <is>
          <t>backend/services</t>
        </is>
      </c>
      <c r="K118" s="37" t="n"/>
      <c r="L118" s="31" t="inlineStr">
        <is>
          <t>Low</t>
        </is>
      </c>
      <c r="M118" s="41" t="n"/>
      <c r="N118" s="41" t="n"/>
      <c r="O118" s="41" t="n"/>
      <c r="P118" s="31" t="n"/>
      <c r="Q118" s="37" t="n"/>
      <c r="R118" s="31" t="n"/>
      <c r="S118" s="31" t="inlineStr">
        <is>
          <t>AUD-14</t>
        </is>
      </c>
    </row>
    <row r="119">
      <c r="A119" s="34" t="inlineStr">
        <is>
          <t>ACCT-007</t>
        </is>
      </c>
      <c r="B119" s="35" t="n">
        <v>6</v>
      </c>
      <c r="C119" s="31" t="inlineStr">
        <is>
          <t>ACCOUNT</t>
        </is>
      </c>
      <c r="D119" s="37" t="inlineStr">
        <is>
          <t>Suspicious login handling</t>
        </is>
      </c>
      <c r="E119" s="37" t="inlineStr">
        <is>
          <t>Lockout and notification strategy.</t>
        </is>
      </c>
      <c r="F119" s="31" t="inlineStr">
        <is>
          <t>P2</t>
        </is>
      </c>
      <c r="G119" s="31" t="inlineStr">
        <is>
          <t>NOT_STARTED</t>
        </is>
      </c>
      <c r="H119" s="37" t="n"/>
      <c r="I119" s="37" t="n"/>
      <c r="J119" s="37" t="inlineStr">
        <is>
          <t>backend/services</t>
        </is>
      </c>
      <c r="K119" s="37" t="inlineStr">
        <is>
          <t>ACCT-001</t>
        </is>
      </c>
      <c r="L119" s="31" t="inlineStr">
        <is>
          <t>Low</t>
        </is>
      </c>
      <c r="M119" s="41" t="n"/>
      <c r="N119" s="41" t="n"/>
      <c r="O119" s="41" t="n"/>
      <c r="P119" s="31" t="n"/>
      <c r="Q119" s="37" t="n"/>
      <c r="R119" s="31" t="n"/>
      <c r="S119" s="31" t="n"/>
    </row>
    <row r="120">
      <c r="A120" s="34" t="inlineStr">
        <is>
          <t>PLAN-001</t>
        </is>
      </c>
      <c r="B120" s="35" t="n">
        <v>6</v>
      </c>
      <c r="C120" s="31" t="inlineStr">
        <is>
          <t>BILLING</t>
        </is>
      </c>
      <c r="D120" s="37" t="inlineStr">
        <is>
          <t>Usage units</t>
        </is>
      </c>
      <c r="E120" s="37" t="inlineStr">
        <is>
          <t>Documents, exports, PDF pages, OCR pages, translation characters, AI operations, storage, batch jobs.</t>
        </is>
      </c>
      <c r="F120" s="31" t="inlineStr">
        <is>
          <t>P0</t>
        </is>
      </c>
      <c r="G120" s="31" t="inlineStr">
        <is>
          <t>NOT_STARTED</t>
        </is>
      </c>
      <c r="H120" s="37" t="n"/>
      <c r="I120" s="37" t="n"/>
      <c r="J120" s="37" t="inlineStr">
        <is>
          <t>backend/billing</t>
        </is>
      </c>
      <c r="K120" s="37" t="n"/>
      <c r="L120" s="31" t="inlineStr">
        <is>
          <t>Medium</t>
        </is>
      </c>
      <c r="M120" s="41" t="n"/>
      <c r="N120" s="41" t="n"/>
      <c r="O120" s="41" t="n"/>
      <c r="P120" s="31" t="n"/>
      <c r="Q120" s="37" t="n"/>
      <c r="R120" s="31" t="n"/>
      <c r="S120" s="31" t="inlineStr">
        <is>
          <t>AUD-11</t>
        </is>
      </c>
    </row>
    <row r="121">
      <c r="A121" s="34" t="inlineStr">
        <is>
          <t>PLAN-002</t>
        </is>
      </c>
      <c r="B121" s="35" t="n">
        <v>6</v>
      </c>
      <c r="C121" s="31" t="inlineStr">
        <is>
          <t>BILLING</t>
        </is>
      </c>
      <c r="D121" s="37" t="inlineStr">
        <is>
          <t>Configurable plan defaults</t>
        </is>
      </c>
      <c r="E121" s="37" t="inlineStr">
        <is>
          <t>Free/Pro/Business initial hypotheses as configuration, never hardcoded.</t>
        </is>
      </c>
      <c r="F121" s="31" t="inlineStr">
        <is>
          <t>P1</t>
        </is>
      </c>
      <c r="G121" s="31" t="inlineStr">
        <is>
          <t>NOT_STARTED</t>
        </is>
      </c>
      <c r="H121" s="37" t="n"/>
      <c r="I121" s="37" t="n"/>
      <c r="J121" s="37" t="inlineStr">
        <is>
          <t>backend/billing</t>
        </is>
      </c>
      <c r="K121" s="37" t="inlineStr">
        <is>
          <t>PLAN-001</t>
        </is>
      </c>
      <c r="L121" s="31" t="inlineStr">
        <is>
          <t>Low</t>
        </is>
      </c>
      <c r="M121" s="41" t="n"/>
      <c r="N121" s="41" t="n"/>
      <c r="O121" s="41" t="n"/>
      <c r="P121" s="31" t="n"/>
      <c r="Q121" s="37" t="n"/>
      <c r="R121" s="31" t="n"/>
      <c r="S121" s="31" t="n"/>
    </row>
    <row r="122">
      <c r="A122" s="34" t="inlineStr">
        <is>
          <t>PLAN-003</t>
        </is>
      </c>
      <c r="B122" s="35" t="n">
        <v>6</v>
      </c>
      <c r="C122" s="31" t="inlineStr">
        <is>
          <t>BILLING</t>
        </is>
      </c>
      <c r="D122" s="37" t="inlineStr">
        <is>
          <t>Atomic entitlement checks</t>
        </is>
      </c>
      <c r="E122" s="37" t="inlineStr">
        <is>
          <t>Reservation/locking; concurrency test proves limits hold.</t>
        </is>
      </c>
      <c r="F122" s="31" t="inlineStr">
        <is>
          <t>P0</t>
        </is>
      </c>
      <c r="G122" s="31" t="inlineStr">
        <is>
          <t>NOT_STARTED</t>
        </is>
      </c>
      <c r="H122" s="37" t="n"/>
      <c r="I122" s="37" t="n"/>
      <c r="J122" s="37" t="inlineStr">
        <is>
          <t>backend/services</t>
        </is>
      </c>
      <c r="K122" s="37" t="inlineStr">
        <is>
          <t>PLAN-001</t>
        </is>
      </c>
      <c r="L122" s="31" t="inlineStr">
        <is>
          <t>High</t>
        </is>
      </c>
      <c r="M122" s="41" t="n"/>
      <c r="N122" s="41" t="n"/>
      <c r="O122" s="41" t="n"/>
      <c r="P122" s="31" t="n"/>
      <c r="Q122" s="37" t="n"/>
      <c r="R122" s="31" t="n"/>
      <c r="S122" s="31" t="inlineStr">
        <is>
          <t>AUD-11</t>
        </is>
      </c>
    </row>
    <row r="123">
      <c r="A123" s="34" t="inlineStr">
        <is>
          <t>PLAN-004</t>
        </is>
      </c>
      <c r="B123" s="35" t="n">
        <v>6</v>
      </c>
      <c r="C123" s="31" t="inlineStr">
        <is>
          <t>BILLING</t>
        </is>
      </c>
      <c r="D123" s="37" t="inlineStr">
        <is>
          <t>Stripe flows review</t>
        </is>
      </c>
      <c r="E123" s="37" t="inlineStr">
        <is>
          <t>Checkout, portal, upgrade, downgrade, cancel, renewal, failed payment, webhook idempotency.</t>
        </is>
      </c>
      <c r="F123" s="31" t="inlineStr">
        <is>
          <t>P1</t>
        </is>
      </c>
      <c r="G123" s="31" t="inlineStr">
        <is>
          <t>NOT_STARTED</t>
        </is>
      </c>
      <c r="H123" s="37" t="n"/>
      <c r="I123" s="37" t="n"/>
      <c r="J123" s="37" t="inlineStr">
        <is>
          <t>backend/billing</t>
        </is>
      </c>
      <c r="K123" s="37" t="n"/>
      <c r="L123" s="31" t="inlineStr">
        <is>
          <t>Medium</t>
        </is>
      </c>
      <c r="M123" s="41" t="n"/>
      <c r="N123" s="41" t="n"/>
      <c r="O123" s="41" t="n"/>
      <c r="P123" s="31" t="n"/>
      <c r="Q123" s="37" t="n"/>
      <c r="R123" s="31" t="n"/>
      <c r="S123" s="31" t="n"/>
    </row>
    <row r="124">
      <c r="A124" s="34" t="inlineStr">
        <is>
          <t>PLAN-005</t>
        </is>
      </c>
      <c r="B124" s="35" t="n">
        <v>6</v>
      </c>
      <c r="C124" s="31" t="inlineStr">
        <is>
          <t>BILLING</t>
        </is>
      </c>
      <c r="D124" s="37" t="inlineStr">
        <is>
          <t>Storage metering including history</t>
        </is>
      </c>
      <c r="E124" s="37" t="inlineStr">
        <is>
          <t>History and autosave growth counted.</t>
        </is>
      </c>
      <c r="F124" s="31" t="inlineStr">
        <is>
          <t>P1</t>
        </is>
      </c>
      <c r="G124" s="31" t="inlineStr">
        <is>
          <t>NOT_STARTED</t>
        </is>
      </c>
      <c r="H124" s="37" t="n"/>
      <c r="I124" s="37" t="n"/>
      <c r="J124" s="37" t="inlineStr">
        <is>
          <t>backend/services</t>
        </is>
      </c>
      <c r="K124" s="37" t="inlineStr">
        <is>
          <t>PLAN-001</t>
        </is>
      </c>
      <c r="L124" s="31" t="inlineStr">
        <is>
          <t>Medium</t>
        </is>
      </c>
      <c r="M124" s="41" t="n"/>
      <c r="N124" s="41" t="n"/>
      <c r="O124" s="41" t="n"/>
      <c r="P124" s="31" t="n"/>
      <c r="Q124" s="37" t="n"/>
      <c r="R124" s="31" t="n"/>
      <c r="S124" s="31" t="inlineStr">
        <is>
          <t>AUD-11,AUD-16</t>
        </is>
      </c>
    </row>
    <row r="125">
      <c r="A125" s="34" t="inlineStr">
        <is>
          <t>PDF-010</t>
        </is>
      </c>
      <c r="B125" s="35" t="n">
        <v>7</v>
      </c>
      <c r="C125" s="31" t="inlineStr">
        <is>
          <t>PDF</t>
        </is>
      </c>
      <c r="D125" s="37" t="inlineStr">
        <is>
          <t>Geometry-aware PDF parser</t>
        </is>
      </c>
      <c r="E125" s="37" t="inlineStr">
        <is>
          <t>Chars, fonts, sizes, colours, lines, rectangles, images, links, annotations, outlines, forms, metadata, rotation, page boxes.</t>
        </is>
      </c>
      <c r="F125" s="31" t="inlineStr">
        <is>
          <t>P0</t>
        </is>
      </c>
      <c r="G125" s="31" t="inlineStr">
        <is>
          <t>NOT_STARTED</t>
        </is>
      </c>
      <c r="H125" s="37" t="n"/>
      <c r="I125" s="37" t="n"/>
      <c r="J125" s="37" t="inlineStr">
        <is>
          <t>backend/parsers/pdf</t>
        </is>
      </c>
      <c r="K125" s="37" t="n"/>
      <c r="L125" s="31" t="inlineStr">
        <is>
          <t>High</t>
        </is>
      </c>
      <c r="M125" s="41" t="n"/>
      <c r="N125" s="41" t="n"/>
      <c r="O125" s="41" t="n"/>
      <c r="P125" s="31" t="n"/>
      <c r="Q125" s="37" t="n"/>
      <c r="R125" s="31" t="n"/>
      <c r="S125" s="31" t="n"/>
    </row>
    <row r="126">
      <c r="A126" s="34" t="inlineStr">
        <is>
          <t>PDF-011</t>
        </is>
      </c>
      <c r="B126" s="35" t="n">
        <v>7</v>
      </c>
      <c r="C126" s="31" t="inlineStr">
        <is>
          <t>PDF</t>
        </is>
      </c>
      <c r="D126" s="37" t="inlineStr">
        <is>
          <t>Page classifier</t>
        </is>
      </c>
      <c r="E126" s="37" t="inlineStr">
        <is>
          <t>TEXT / SCANNED / HYBRID per page with evidence.</t>
        </is>
      </c>
      <c r="F126" s="31" t="inlineStr">
        <is>
          <t>P0</t>
        </is>
      </c>
      <c r="G126" s="31" t="inlineStr">
        <is>
          <t>NOT_STARTED</t>
        </is>
      </c>
      <c r="H126" s="37" t="n"/>
      <c r="I126" s="37" t="n"/>
      <c r="J126" s="37" t="inlineStr">
        <is>
          <t>backend/parsers/pdf</t>
        </is>
      </c>
      <c r="K126" s="37" t="inlineStr">
        <is>
          <t>PDF-010</t>
        </is>
      </c>
      <c r="L126" s="31" t="inlineStr">
        <is>
          <t>Medium</t>
        </is>
      </c>
      <c r="M126" s="41" t="n"/>
      <c r="N126" s="41" t="n"/>
      <c r="O126" s="41" t="n"/>
      <c r="P126" s="31" t="n"/>
      <c r="Q126" s="37" t="n"/>
      <c r="R126" s="31" t="n"/>
      <c r="S126" s="31" t="n"/>
    </row>
    <row r="127">
      <c r="A127" s="34" t="inlineStr">
        <is>
          <t>PDF-012</t>
        </is>
      </c>
      <c r="B127" s="35" t="n">
        <v>7</v>
      </c>
      <c r="C127" s="31" t="inlineStr">
        <is>
          <t>PDF</t>
        </is>
      </c>
      <c r="D127" s="37" t="inlineStr">
        <is>
          <t>PDF inspection report</t>
        </is>
      </c>
      <c r="E127" s="37" t="inlineStr">
        <is>
          <t>What the parser found, per page.</t>
        </is>
      </c>
      <c r="F127" s="31" t="inlineStr">
        <is>
          <t>P1</t>
        </is>
      </c>
      <c r="G127" s="31" t="inlineStr">
        <is>
          <t>NOT_STARTED</t>
        </is>
      </c>
      <c r="H127" s="37" t="n"/>
      <c r="I127" s="37" t="n"/>
      <c r="J127" s="37" t="inlineStr">
        <is>
          <t>backend/parsers/pdf</t>
        </is>
      </c>
      <c r="K127" s="37" t="inlineStr">
        <is>
          <t>PDF-010</t>
        </is>
      </c>
      <c r="L127" s="31" t="inlineStr">
        <is>
          <t>Low</t>
        </is>
      </c>
      <c r="M127" s="41" t="n"/>
      <c r="N127" s="41" t="n"/>
      <c r="O127" s="41" t="n"/>
      <c r="P127" s="31" t="n"/>
      <c r="Q127" s="37" t="n"/>
      <c r="R127" s="31" t="n"/>
      <c r="S127" s="31" t="n"/>
    </row>
    <row r="128">
      <c r="A128" s="34" t="inlineStr">
        <is>
          <t>P2E-001</t>
        </is>
      </c>
      <c r="B128" s="35" t="n">
        <v>8</v>
      </c>
      <c r="C128" s="31" t="inlineStr">
        <is>
          <t>P2E</t>
        </is>
      </c>
      <c r="D128" s="37" t="inlineStr">
        <is>
          <t>Layout primitives where PDF needs them</t>
        </is>
      </c>
      <c r="E128" s="37" t="inlineStr">
        <is>
          <t>Page, block, bbox, rotation, confidence, provenance.</t>
        </is>
      </c>
      <c r="F128" s="31" t="inlineStr">
        <is>
          <t>P0</t>
        </is>
      </c>
      <c r="G128" s="31" t="inlineStr">
        <is>
          <t>NOT_STARTED</t>
        </is>
      </c>
      <c r="H128" s="37" t="n"/>
      <c r="I128" s="37" t="n"/>
      <c r="J128" s="37" t="inlineStr">
        <is>
          <t>backend/models</t>
        </is>
      </c>
      <c r="K128" s="37" t="inlineStr">
        <is>
          <t>PDF-010</t>
        </is>
      </c>
      <c r="L128" s="31" t="inlineStr">
        <is>
          <t>Medium</t>
        </is>
      </c>
      <c r="M128" s="41" t="n"/>
      <c r="N128" s="41" t="n"/>
      <c r="O128" s="41" t="n"/>
      <c r="P128" s="31" t="n"/>
      <c r="Q128" s="37" t="n"/>
      <c r="R128" s="31" t="n"/>
      <c r="S128" s="31" t="n"/>
    </row>
    <row r="129">
      <c r="A129" s="34" t="inlineStr">
        <is>
          <t>P2E-002</t>
        </is>
      </c>
      <c r="B129" s="35" t="n">
        <v>8</v>
      </c>
      <c r="C129" s="31" t="inlineStr">
        <is>
          <t>P2E</t>
        </is>
      </c>
      <c r="D129" s="37" t="inlineStr">
        <is>
          <t>Structure reconstruction</t>
        </is>
      </c>
      <c r="E129" s="37" t="inlineStr">
        <is>
          <t>Reading order, lines, paragraphs, headings, lists, captions, header/footer bands, columns.</t>
        </is>
      </c>
      <c r="F129" s="31" t="inlineStr">
        <is>
          <t>P0</t>
        </is>
      </c>
      <c r="G129" s="31" t="inlineStr">
        <is>
          <t>NOT_STARTED</t>
        </is>
      </c>
      <c r="H129" s="37" t="n"/>
      <c r="I129" s="37" t="n"/>
      <c r="J129" s="37" t="inlineStr">
        <is>
          <t>backend/pdf</t>
        </is>
      </c>
      <c r="K129" s="37" t="inlineStr">
        <is>
          <t>P2E-001</t>
        </is>
      </c>
      <c r="L129" s="31" t="inlineStr">
        <is>
          <t>High</t>
        </is>
      </c>
      <c r="M129" s="41" t="n"/>
      <c r="N129" s="41" t="n"/>
      <c r="O129" s="41" t="n"/>
      <c r="P129" s="31" t="n"/>
      <c r="Q129" s="37" t="n"/>
      <c r="R129" s="31" t="n"/>
      <c r="S129" s="31" t="n"/>
    </row>
    <row r="130">
      <c r="A130" s="34" t="inlineStr">
        <is>
          <t>P2E-003</t>
        </is>
      </c>
      <c r="B130" s="35" t="n">
        <v>8</v>
      </c>
      <c r="C130" s="31" t="inlineStr">
        <is>
          <t>P2E</t>
        </is>
      </c>
      <c r="D130" s="37" t="inlineStr">
        <is>
          <t>Images with position</t>
        </is>
      </c>
      <c r="E130" s="37" t="inlineStr">
        <is>
          <t>Extracted images kept with bbox.</t>
        </is>
      </c>
      <c r="F130" s="31" t="inlineStr">
        <is>
          <t>P1</t>
        </is>
      </c>
      <c r="G130" s="31" t="inlineStr">
        <is>
          <t>NOT_STARTED</t>
        </is>
      </c>
      <c r="H130" s="37" t="n"/>
      <c r="I130" s="37" t="n"/>
      <c r="J130" s="37" t="inlineStr">
        <is>
          <t>backend/pdf</t>
        </is>
      </c>
      <c r="K130" s="37" t="inlineStr">
        <is>
          <t>P2E-001</t>
        </is>
      </c>
      <c r="L130" s="31" t="inlineStr">
        <is>
          <t>Medium</t>
        </is>
      </c>
      <c r="M130" s="41" t="n"/>
      <c r="N130" s="41" t="n"/>
      <c r="O130" s="41" t="n"/>
      <c r="P130" s="31" t="n"/>
      <c r="Q130" s="37" t="n"/>
      <c r="R130" s="31" t="n"/>
      <c r="S130" s="31" t="n"/>
    </row>
    <row r="131">
      <c r="A131" s="34" t="inlineStr">
        <is>
          <t>P2E-004</t>
        </is>
      </c>
      <c r="B131" s="35" t="n">
        <v>8</v>
      </c>
      <c r="C131" s="31" t="inlineStr">
        <is>
          <t>P2E</t>
        </is>
      </c>
      <c r="D131" s="37" t="inlineStr">
        <is>
          <t>Tables from PDF</t>
        </is>
      </c>
      <c r="E131" s="37" t="inlineStr">
        <is>
          <t>Ruling lines and alignment.</t>
        </is>
      </c>
      <c r="F131" s="31" t="inlineStr">
        <is>
          <t>P1</t>
        </is>
      </c>
      <c r="G131" s="31" t="inlineStr">
        <is>
          <t>NOT_STARTED</t>
        </is>
      </c>
      <c r="H131" s="37" t="n"/>
      <c r="I131" s="37" t="n"/>
      <c r="J131" s="37" t="inlineStr">
        <is>
          <t>backend/pdf</t>
        </is>
      </c>
      <c r="K131" s="37" t="inlineStr">
        <is>
          <t>P2E-002</t>
        </is>
      </c>
      <c r="L131" s="31" t="inlineStr">
        <is>
          <t>High</t>
        </is>
      </c>
      <c r="M131" s="41" t="n"/>
      <c r="N131" s="41" t="n"/>
      <c r="O131" s="41" t="n"/>
      <c r="P131" s="31" t="n"/>
      <c r="Q131" s="37" t="n"/>
      <c r="R131" s="31" t="n"/>
      <c r="S131" s="31" t="n"/>
    </row>
    <row r="132">
      <c r="A132" s="34" t="inlineStr">
        <is>
          <t>P2E-005</t>
        </is>
      </c>
      <c r="B132" s="35" t="n">
        <v>8</v>
      </c>
      <c r="C132" s="31" t="inlineStr">
        <is>
          <t>P2E</t>
        </is>
      </c>
      <c r="D132" s="37" t="inlineStr">
        <is>
          <t>Confidence and conversion report</t>
        </is>
      </c>
      <c r="E132" s="37" t="inlineStr">
        <is>
          <t>Per element confidence; issues reported; never silent removal.</t>
        </is>
      </c>
      <c r="F132" s="31" t="inlineStr">
        <is>
          <t>P0</t>
        </is>
      </c>
      <c r="G132" s="31" t="inlineStr">
        <is>
          <t>NOT_STARTED</t>
        </is>
      </c>
      <c r="H132" s="37" t="n"/>
      <c r="I132" s="37" t="n"/>
      <c r="J132" s="37" t="inlineStr">
        <is>
          <t>backend/pdf</t>
        </is>
      </c>
      <c r="K132" s="37" t="inlineStr">
        <is>
          <t>P2E-002</t>
        </is>
      </c>
      <c r="L132" s="31" t="inlineStr">
        <is>
          <t>Medium</t>
        </is>
      </c>
      <c r="M132" s="41" t="n"/>
      <c r="N132" s="41" t="n"/>
      <c r="O132" s="41" t="n"/>
      <c r="P132" s="31" t="n"/>
      <c r="Q132" s="37" t="n"/>
      <c r="R132" s="31" t="n"/>
      <c r="S132" s="31" t="n"/>
    </row>
    <row r="133">
      <c r="A133" s="34" t="inlineStr">
        <is>
          <t>P2E-006</t>
        </is>
      </c>
      <c r="B133" s="35" t="n">
        <v>8</v>
      </c>
      <c r="C133" s="31" t="inlineStr">
        <is>
          <t>P2E</t>
        </is>
      </c>
      <c r="D133" s="37" t="inlineStr">
        <is>
          <t>OCR provider abstraction</t>
        </is>
      </c>
      <c r="E133" s="37" t="inlineStr">
        <is>
          <t>Interface (text, confidence, bbox, page, language/script); implementation(s); OCR output untrusted.</t>
        </is>
      </c>
      <c r="F133" s="31" t="inlineStr">
        <is>
          <t>P1</t>
        </is>
      </c>
      <c r="G133" s="31" t="inlineStr">
        <is>
          <t>NOT_STARTED</t>
        </is>
      </c>
      <c r="H133" s="37" t="n"/>
      <c r="I133" s="37" t="n"/>
      <c r="J133" s="37" t="inlineStr">
        <is>
          <t>backend/ocr</t>
        </is>
      </c>
      <c r="K133" s="37" t="n"/>
      <c r="L133" s="31" t="inlineStr">
        <is>
          <t>Medium</t>
        </is>
      </c>
      <c r="M133" s="41" t="n"/>
      <c r="N133" s="41" t="n"/>
      <c r="O133" s="41" t="n"/>
      <c r="P133" s="31" t="n"/>
      <c r="Q133" s="37" t="n"/>
      <c r="R133" s="31" t="n"/>
      <c r="S133" s="31" t="n"/>
    </row>
    <row r="134">
      <c r="A134" s="34" t="inlineStr">
        <is>
          <t>P2E-007</t>
        </is>
      </c>
      <c r="B134" s="35" t="n">
        <v>8</v>
      </c>
      <c r="C134" s="31" t="inlineStr">
        <is>
          <t>P2E</t>
        </is>
      </c>
      <c r="D134" s="37" t="inlineStr">
        <is>
          <t>Imported-from-PDF version and UX</t>
        </is>
      </c>
      <c r="E134" s="37" t="inlineStr">
        <is>
          <t>Editable document vs layout-focused choice; confidence shown.</t>
        </is>
      </c>
      <c r="F134" s="31" t="inlineStr">
        <is>
          <t>P1</t>
        </is>
      </c>
      <c r="G134" s="31" t="inlineStr">
        <is>
          <t>NOT_STARTED</t>
        </is>
      </c>
      <c r="H134" s="37" t="n"/>
      <c r="I134" s="37" t="n"/>
      <c r="J134" s="37" t="inlineStr">
        <is>
          <t>frontend, backend</t>
        </is>
      </c>
      <c r="K134" s="37" t="inlineStr">
        <is>
          <t>P2E-005</t>
        </is>
      </c>
      <c r="L134" s="31" t="inlineStr">
        <is>
          <t>Medium</t>
        </is>
      </c>
      <c r="M134" s="41" t="n"/>
      <c r="N134" s="41" t="n"/>
      <c r="O134" s="41" t="n"/>
      <c r="P134" s="31" t="n"/>
      <c r="Q134" s="37" t="n"/>
      <c r="R134" s="31" t="n"/>
      <c r="S134" s="31" t="n"/>
    </row>
    <row r="135">
      <c r="A135" s="34" t="inlineStr">
        <is>
          <t>P2E-008</t>
        </is>
      </c>
      <c r="B135" s="35" t="n">
        <v>8</v>
      </c>
      <c r="C135" s="31" t="inlineStr">
        <is>
          <t>P2E</t>
        </is>
      </c>
      <c r="D135" s="37" t="inlineStr">
        <is>
          <t>PDF fixtures and tests</t>
        </is>
      </c>
      <c r="E135" s="37" t="inlineStr">
        <is>
          <t>Text, scanned, hybrid, tables, columns, multilingual.</t>
        </is>
      </c>
      <c r="F135" s="31" t="inlineStr">
        <is>
          <t>P0</t>
        </is>
      </c>
      <c r="G135" s="31" t="inlineStr">
        <is>
          <t>NOT_STARTED</t>
        </is>
      </c>
      <c r="H135" s="37" t="n"/>
      <c r="I135" s="37" t="n"/>
      <c r="J135" s="37" t="inlineStr">
        <is>
          <t>backend/tests</t>
        </is>
      </c>
      <c r="K135" s="37" t="inlineStr">
        <is>
          <t>P2E-002</t>
        </is>
      </c>
      <c r="L135" s="31" t="inlineStr">
        <is>
          <t>Low</t>
        </is>
      </c>
      <c r="M135" s="41" t="n"/>
      <c r="N135" s="41" t="n"/>
      <c r="O135" s="41" t="n"/>
      <c r="P135" s="31" t="n"/>
      <c r="Q135" s="37" t="n"/>
      <c r="R135" s="31" t="n"/>
      <c r="S135" s="31" t="n"/>
    </row>
    <row r="136">
      <c r="A136" s="34" t="inlineStr">
        <is>
          <t>P2E-020</t>
        </is>
      </c>
      <c r="B136" s="35" t="n">
        <v>9</v>
      </c>
      <c r="C136" s="31" t="inlineStr">
        <is>
          <t>P2E</t>
        </is>
      </c>
      <c r="D136" s="37" t="inlineStr">
        <is>
          <t>Layout-preserving architecture</t>
        </is>
      </c>
      <c r="E136" s="37" t="inlineStr">
        <is>
          <t>Frames/anchors model hooks and design doc.</t>
        </is>
      </c>
      <c r="F136" s="31" t="inlineStr">
        <is>
          <t>P2</t>
        </is>
      </c>
      <c r="G136" s="31" t="inlineStr">
        <is>
          <t>NOT_STARTED</t>
        </is>
      </c>
      <c r="H136" s="37" t="n"/>
      <c r="I136" s="37" t="n"/>
      <c r="J136" s="37" t="inlineStr">
        <is>
          <t>docs, backend/models</t>
        </is>
      </c>
      <c r="K136" s="37" t="inlineStr">
        <is>
          <t>P2E-001</t>
        </is>
      </c>
      <c r="L136" s="31" t="inlineStr">
        <is>
          <t>Medium</t>
        </is>
      </c>
      <c r="M136" s="41" t="n"/>
      <c r="N136" s="41" t="n"/>
      <c r="O136" s="41" t="n"/>
      <c r="P136" s="31" t="n"/>
      <c r="Q136" s="37" t="n"/>
      <c r="R136" s="31" t="n"/>
      <c r="S136" s="31" t="n"/>
    </row>
    <row r="137">
      <c r="A137" s="34" t="inlineStr">
        <is>
          <t>PDF-020</t>
        </is>
      </c>
      <c r="B137" s="35" t="n">
        <v>9</v>
      </c>
      <c r="C137" s="31" t="inlineStr">
        <is>
          <t>PDF</t>
        </is>
      </c>
      <c r="D137" s="37" t="inlineStr">
        <is>
          <t>PDF page operations service</t>
        </is>
      </c>
      <c r="E137" s="37" t="inlineStr">
        <is>
          <t>Reorder, rotate, delete, duplicate, extract, split, merge as a separate service.</t>
        </is>
      </c>
      <c r="F137" s="31" t="inlineStr">
        <is>
          <t>P2</t>
        </is>
      </c>
      <c r="G137" s="31" t="inlineStr">
        <is>
          <t>NOT_STARTED</t>
        </is>
      </c>
      <c r="H137" s="37" t="n"/>
      <c r="I137" s="37" t="n"/>
      <c r="J137" s="37" t="inlineStr">
        <is>
          <t>backend/pdf</t>
        </is>
      </c>
      <c r="K137" s="37" t="n"/>
      <c r="L137" s="31" t="inlineStr">
        <is>
          <t>Medium</t>
        </is>
      </c>
      <c r="M137" s="41" t="n"/>
      <c r="N137" s="41" t="n"/>
      <c r="O137" s="41" t="n"/>
      <c r="P137" s="31" t="n"/>
      <c r="Q137" s="37" t="n"/>
      <c r="R137" s="31" t="n"/>
      <c r="S137" s="31" t="n"/>
    </row>
    <row r="138">
      <c r="A138" s="34" t="inlineStr">
        <is>
          <t>TRAN-001</t>
        </is>
      </c>
      <c r="B138" s="35" t="n">
        <v>10</v>
      </c>
      <c r="C138" s="31" t="inlineStr">
        <is>
          <t>TRANSLATION</t>
        </is>
      </c>
      <c r="D138" s="37" t="inlineStr">
        <is>
          <t>Segments and tag protocol</t>
        </is>
      </c>
      <c r="E138" s="37" t="inlineStr">
        <is>
          <t>Segments keep element/run ids, marks, placeholders; never one giant string.</t>
        </is>
      </c>
      <c r="F138" s="31" t="inlineStr">
        <is>
          <t>P0</t>
        </is>
      </c>
      <c r="G138" s="31" t="inlineStr">
        <is>
          <t>NOT_STARTED</t>
        </is>
      </c>
      <c r="H138" s="37" t="n"/>
      <c r="I138" s="37" t="n"/>
      <c r="J138" s="37" t="inlineStr">
        <is>
          <t>backend/translation</t>
        </is>
      </c>
      <c r="K138" s="37" t="n"/>
      <c r="L138" s="31" t="inlineStr">
        <is>
          <t>High</t>
        </is>
      </c>
      <c r="M138" s="41" t="n"/>
      <c r="N138" s="41" t="n"/>
      <c r="O138" s="41" t="n"/>
      <c r="P138" s="31" t="n"/>
      <c r="Q138" s="37" t="n"/>
      <c r="R138" s="31" t="n"/>
      <c r="S138" s="31" t="n"/>
    </row>
    <row r="139">
      <c r="A139" s="34" t="inlineStr">
        <is>
          <t>TRAN-002</t>
        </is>
      </c>
      <c r="B139" s="35" t="n">
        <v>10</v>
      </c>
      <c r="C139" s="31" t="inlineStr">
        <is>
          <t>TRANSLATION</t>
        </is>
      </c>
      <c r="D139" s="37" t="inlineStr">
        <is>
          <t>TranslationProvider abstraction</t>
        </is>
      </c>
      <c r="E139" s="37" t="inlineStr">
        <is>
          <t>AI provider implementation + deterministic test provider.</t>
        </is>
      </c>
      <c r="F139" s="31" t="inlineStr">
        <is>
          <t>P0</t>
        </is>
      </c>
      <c r="G139" s="31" t="inlineStr">
        <is>
          <t>NOT_STARTED</t>
        </is>
      </c>
      <c r="H139" s="37" t="n"/>
      <c r="I139" s="37" t="n"/>
      <c r="J139" s="37" t="inlineStr">
        <is>
          <t>backend/translation</t>
        </is>
      </c>
      <c r="K139" s="37" t="inlineStr">
        <is>
          <t>TRAN-001</t>
        </is>
      </c>
      <c r="L139" s="31" t="inlineStr">
        <is>
          <t>Medium</t>
        </is>
      </c>
      <c r="M139" s="41" t="n"/>
      <c r="N139" s="41" t="n"/>
      <c r="O139" s="41" t="n"/>
      <c r="P139" s="31" t="n"/>
      <c r="Q139" s="37" t="n"/>
      <c r="R139" s="31" t="n"/>
      <c r="S139" s="31" t="n"/>
    </row>
    <row r="140">
      <c r="A140" s="34" t="inlineStr">
        <is>
          <t>TRAN-003</t>
        </is>
      </c>
      <c r="B140" s="35" t="n">
        <v>10</v>
      </c>
      <c r="C140" s="31" t="inlineStr">
        <is>
          <t>TRANSLATION</t>
        </is>
      </c>
      <c r="D140" s="37" t="inlineStr">
        <is>
          <t>Translation validation</t>
        </is>
      </c>
      <c r="E140" s="37" t="inlineStr">
        <is>
          <t>Tags, numbers, units, dates, percentages, identifiers, glossary terms.</t>
        </is>
      </c>
      <c r="F140" s="31" t="inlineStr">
        <is>
          <t>P0</t>
        </is>
      </c>
      <c r="G140" s="31" t="inlineStr">
        <is>
          <t>NOT_STARTED</t>
        </is>
      </c>
      <c r="H140" s="37" t="n"/>
      <c r="I140" s="37" t="n"/>
      <c r="J140" s="37" t="inlineStr">
        <is>
          <t>backend/translation</t>
        </is>
      </c>
      <c r="K140" s="37" t="inlineStr">
        <is>
          <t>TRAN-001</t>
        </is>
      </c>
      <c r="L140" s="31" t="inlineStr">
        <is>
          <t>High</t>
        </is>
      </c>
      <c r="M140" s="41" t="n"/>
      <c r="N140" s="41" t="n"/>
      <c r="O140" s="41" t="n"/>
      <c r="P140" s="31" t="n"/>
      <c r="Q140" s="37" t="n"/>
      <c r="R140" s="31" t="n"/>
      <c r="S140" s="31" t="n"/>
    </row>
    <row r="141">
      <c r="A141" s="34" t="inlineStr">
        <is>
          <t>TRAN-004</t>
        </is>
      </c>
      <c r="B141" s="35" t="n">
        <v>10</v>
      </c>
      <c r="C141" s="31" t="inlineStr">
        <is>
          <t>TRANSLATION</t>
        </is>
      </c>
      <c r="D141" s="37" t="inlineStr">
        <is>
          <t>Glossary and terminology lock</t>
        </is>
      </c>
      <c r="E141" s="37" t="inlineStr">
        <is>
          <t>Source/target term, domain, locked, case-sensitive.</t>
        </is>
      </c>
      <c r="F141" s="31" t="inlineStr">
        <is>
          <t>P1</t>
        </is>
      </c>
      <c r="G141" s="31" t="inlineStr">
        <is>
          <t>NOT_STARTED</t>
        </is>
      </c>
      <c r="H141" s="37" t="n"/>
      <c r="I141" s="37" t="n"/>
      <c r="J141" s="37" t="inlineStr">
        <is>
          <t>backend/translation, db</t>
        </is>
      </c>
      <c r="K141" s="37" t="inlineStr">
        <is>
          <t>TRAN-001</t>
        </is>
      </c>
      <c r="L141" s="31" t="inlineStr">
        <is>
          <t>Medium</t>
        </is>
      </c>
      <c r="M141" s="41" t="n"/>
      <c r="N141" s="41" t="n"/>
      <c r="O141" s="41" t="n"/>
      <c r="P141" s="31" t="n"/>
      <c r="Q141" s="37" t="n"/>
      <c r="R141" s="31" t="n"/>
      <c r="S141" s="31" t="n"/>
    </row>
    <row r="142">
      <c r="A142" s="34" t="inlineStr">
        <is>
          <t>TRAN-005</t>
        </is>
      </c>
      <c r="B142" s="35" t="n">
        <v>10</v>
      </c>
      <c r="C142" s="31" t="inlineStr">
        <is>
          <t>TRANSLATION</t>
        </is>
      </c>
      <c r="D142" s="37" t="inlineStr">
        <is>
          <t>Selection/paragraph/block translation proposals</t>
        </is>
      </c>
      <c r="E142" s="37" t="inlineStr">
        <is>
          <t>Preview; accept/reject; undo.</t>
        </is>
      </c>
      <c r="F142" s="31" t="inlineStr">
        <is>
          <t>P0</t>
        </is>
      </c>
      <c r="G142" s="31" t="inlineStr">
        <is>
          <t>NOT_STARTED</t>
        </is>
      </c>
      <c r="H142" s="37" t="n"/>
      <c r="I142" s="37" t="n"/>
      <c r="J142" s="37" t="inlineStr">
        <is>
          <t>backend, frontend</t>
        </is>
      </c>
      <c r="K142" s="37" t="inlineStr">
        <is>
          <t>TRAN-003,REV-001</t>
        </is>
      </c>
      <c r="L142" s="31" t="inlineStr">
        <is>
          <t>Medium</t>
        </is>
      </c>
      <c r="M142" s="41" t="n"/>
      <c r="N142" s="41" t="n"/>
      <c r="O142" s="41" t="n"/>
      <c r="P142" s="31" t="n"/>
      <c r="Q142" s="37" t="n"/>
      <c r="R142" s="31" t="n"/>
      <c r="S142" s="31" t="n"/>
    </row>
    <row r="143">
      <c r="A143" s="34" t="inlineStr">
        <is>
          <t>TRAN-006</t>
        </is>
      </c>
      <c r="B143" s="35" t="n">
        <v>10</v>
      </c>
      <c r="C143" s="31" t="inlineStr">
        <is>
          <t>TRANSLATION</t>
        </is>
      </c>
      <c r="D143" s="37" t="inlineStr">
        <is>
          <t>Whole-document translated version</t>
        </is>
      </c>
      <c r="E143" s="37" t="inlineStr">
        <is>
          <t>Source kept; translated copy linked.</t>
        </is>
      </c>
      <c r="F143" s="31" t="inlineStr">
        <is>
          <t>P0</t>
        </is>
      </c>
      <c r="G143" s="31" t="inlineStr">
        <is>
          <t>NOT_STARTED</t>
        </is>
      </c>
      <c r="H143" s="37" t="n"/>
      <c r="I143" s="37" t="n"/>
      <c r="J143" s="37" t="inlineStr">
        <is>
          <t>backend, frontend</t>
        </is>
      </c>
      <c r="K143" s="37" t="inlineStr">
        <is>
          <t>TRAN-003</t>
        </is>
      </c>
      <c r="L143" s="31" t="inlineStr">
        <is>
          <t>Medium</t>
        </is>
      </c>
      <c r="M143" s="41" t="n"/>
      <c r="N143" s="41" t="n"/>
      <c r="O143" s="41" t="n"/>
      <c r="P143" s="31" t="n"/>
      <c r="Q143" s="37" t="n"/>
      <c r="R143" s="31" t="n"/>
      <c r="S143" s="31" t="n"/>
    </row>
    <row r="144">
      <c r="A144" s="34" t="inlineStr">
        <is>
          <t>TRAN-007</t>
        </is>
      </c>
      <c r="B144" s="35" t="n">
        <v>10</v>
      </c>
      <c r="C144" s="31" t="inlineStr">
        <is>
          <t>TRANSLATION</t>
        </is>
      </c>
      <c r="D144" s="37" t="inlineStr">
        <is>
          <t>Language, script, direction metadata</t>
        </is>
      </c>
      <c r="E144" s="37" t="inlineStr">
        <is>
          <t>Auto-detect + manual override.</t>
        </is>
      </c>
      <c r="F144" s="31" t="inlineStr">
        <is>
          <t>P1</t>
        </is>
      </c>
      <c r="G144" s="31" t="inlineStr">
        <is>
          <t>NOT_STARTED</t>
        </is>
      </c>
      <c r="H144" s="37" t="n"/>
      <c r="I144" s="37" t="n"/>
      <c r="J144" s="37" t="inlineStr">
        <is>
          <t>backend/models</t>
        </is>
      </c>
      <c r="K144" s="37" t="n"/>
      <c r="L144" s="31" t="inlineStr">
        <is>
          <t>Low</t>
        </is>
      </c>
      <c r="M144" s="41" t="n"/>
      <c r="N144" s="41" t="n"/>
      <c r="O144" s="41" t="n"/>
      <c r="P144" s="31" t="n"/>
      <c r="Q144" s="37" t="n"/>
      <c r="R144" s="31" t="n"/>
      <c r="S144" s="31" t="n"/>
    </row>
    <row r="145">
      <c r="A145" s="34" t="inlineStr">
        <is>
          <t>TRAN-008</t>
        </is>
      </c>
      <c r="B145" s="35" t="n">
        <v>10</v>
      </c>
      <c r="C145" s="31" t="inlineStr">
        <is>
          <t>TRANSLATION</t>
        </is>
      </c>
      <c r="D145" s="37" t="inlineStr">
        <is>
          <t>Translation UX</t>
        </is>
      </c>
      <c r="E145" s="37" t="inlineStr">
        <is>
          <t>Toolbar/context Translate, target language, preview, accept/reject; 'AI-assisted translation - review required'.</t>
        </is>
      </c>
      <c r="F145" s="31" t="inlineStr">
        <is>
          <t>P0</t>
        </is>
      </c>
      <c r="G145" s="31" t="inlineStr">
        <is>
          <t>NOT_STARTED</t>
        </is>
      </c>
      <c r="H145" s="37" t="n"/>
      <c r="I145" s="37" t="n"/>
      <c r="J145" s="37" t="inlineStr">
        <is>
          <t>frontend</t>
        </is>
      </c>
      <c r="K145" s="37" t="inlineStr">
        <is>
          <t>TRAN-005</t>
        </is>
      </c>
      <c r="L145" s="31" t="inlineStr">
        <is>
          <t>Medium</t>
        </is>
      </c>
      <c r="M145" s="41" t="n"/>
      <c r="N145" s="41" t="n"/>
      <c r="O145" s="41" t="n"/>
      <c r="P145" s="31" t="n"/>
      <c r="Q145" s="37" t="n"/>
      <c r="R145" s="31" t="n"/>
      <c r="S145" s="31" t="n"/>
    </row>
    <row r="146">
      <c r="A146" s="34" t="inlineStr">
        <is>
          <t>TRAN-009</t>
        </is>
      </c>
      <c r="B146" s="35" t="n">
        <v>10</v>
      </c>
      <c r="C146" s="31" t="inlineStr">
        <is>
          <t>TRANSLATION</t>
        </is>
      </c>
      <c r="D146" s="37" t="inlineStr">
        <is>
          <t>Translation metering</t>
        </is>
      </c>
      <c r="E146" s="37" t="inlineStr">
        <is>
          <t>Translation characters as a usage unit.</t>
        </is>
      </c>
      <c r="F146" s="31" t="inlineStr">
        <is>
          <t>P1</t>
        </is>
      </c>
      <c r="G146" s="31" t="inlineStr">
        <is>
          <t>NOT_STARTED</t>
        </is>
      </c>
      <c r="H146" s="37" t="n"/>
      <c r="I146" s="37" t="n"/>
      <c r="J146" s="37" t="inlineStr">
        <is>
          <t>backend/billing</t>
        </is>
      </c>
      <c r="K146" s="37" t="inlineStr">
        <is>
          <t>PLAN-001</t>
        </is>
      </c>
      <c r="L146" s="31" t="inlineStr">
        <is>
          <t>Low</t>
        </is>
      </c>
      <c r="M146" s="41" t="n"/>
      <c r="N146" s="41" t="n"/>
      <c r="O146" s="41" t="n"/>
      <c r="P146" s="31" t="n"/>
      <c r="Q146" s="37" t="n"/>
      <c r="R146" s="31" t="n"/>
      <c r="S146" s="31" t="n"/>
    </row>
    <row r="147">
      <c r="A147" s="34" t="inlineStr">
        <is>
          <t>TRAN-010</t>
        </is>
      </c>
      <c r="B147" s="35" t="n">
        <v>10</v>
      </c>
      <c r="C147" s="31" t="inlineStr">
        <is>
          <t>TRANSLATION</t>
        </is>
      </c>
      <c r="D147" s="37" t="inlineStr">
        <is>
          <t>Translation tests</t>
        </is>
      </c>
      <c r="E147" s="37" t="inlineStr">
        <is>
          <t>Formatting preservation, validation, versions.</t>
        </is>
      </c>
      <c r="F147" s="31" t="inlineStr">
        <is>
          <t>P0</t>
        </is>
      </c>
      <c r="G147" s="31" t="inlineStr">
        <is>
          <t>NOT_STARTED</t>
        </is>
      </c>
      <c r="H147" s="37" t="n"/>
      <c r="I147" s="37" t="n"/>
      <c r="J147" s="37" t="inlineStr">
        <is>
          <t>backend/tests</t>
        </is>
      </c>
      <c r="K147" s="37" t="inlineStr">
        <is>
          <t>TRAN-006</t>
        </is>
      </c>
      <c r="L147" s="31" t="inlineStr">
        <is>
          <t>Low</t>
        </is>
      </c>
      <c r="M147" s="41" t="n"/>
      <c r="N147" s="41" t="n"/>
      <c r="O147" s="41" t="n"/>
      <c r="P147" s="31" t="n"/>
      <c r="Q147" s="37" t="n"/>
      <c r="R147" s="31" t="n"/>
      <c r="S147" s="31" t="n"/>
    </row>
    <row r="148">
      <c r="A148" s="34" t="inlineStr">
        <is>
          <t>FONT-001</t>
        </is>
      </c>
      <c r="B148" s="35" t="n">
        <v>11</v>
      </c>
      <c r="C148" s="31" t="inlineStr">
        <is>
          <t>FONT</t>
        </is>
      </c>
      <c r="D148" s="37" t="inlineStr">
        <is>
          <t>Font catalogue with Unicode coverage</t>
        </is>
      </c>
      <c r="E148" s="37" t="inlineStr">
        <is>
          <t>fontTools cmap coverage per script, metrics, embeddability.</t>
        </is>
      </c>
      <c r="F148" s="31" t="inlineStr">
        <is>
          <t>P0</t>
        </is>
      </c>
      <c r="G148" s="31" t="inlineStr">
        <is>
          <t>NOT_STARTED</t>
        </is>
      </c>
      <c r="H148" s="37" t="n"/>
      <c r="I148" s="37" t="n"/>
      <c r="J148" s="37" t="inlineStr">
        <is>
          <t>backend/fonts</t>
        </is>
      </c>
      <c r="K148" s="37" t="n"/>
      <c r="L148" s="31" t="inlineStr">
        <is>
          <t>Medium</t>
        </is>
      </c>
      <c r="M148" s="41" t="n"/>
      <c r="N148" s="41" t="n"/>
      <c r="O148" s="41" t="n"/>
      <c r="P148" s="31" t="n"/>
      <c r="Q148" s="37" t="n"/>
      <c r="R148" s="31" t="n"/>
      <c r="S148" s="31" t="inlineStr">
        <is>
          <t>AUD-17</t>
        </is>
      </c>
    </row>
    <row r="149">
      <c r="A149" s="34" t="inlineStr">
        <is>
          <t>FONT-002</t>
        </is>
      </c>
      <c r="B149" s="35" t="n">
        <v>11</v>
      </c>
      <c r="C149" s="31" t="inlineStr">
        <is>
          <t>FONT</t>
        </is>
      </c>
      <c r="D149" s="37" t="inlineStr">
        <is>
          <t>FontResolver</t>
        </is>
      </c>
      <c r="E149" s="37" t="inlineStr">
        <is>
          <t>Script segmentation, coverage, fallback chain, embedding, RTL; deterministic first, AI suggestion validated.</t>
        </is>
      </c>
      <c r="F149" s="31" t="inlineStr">
        <is>
          <t>P0</t>
        </is>
      </c>
      <c r="G149" s="31" t="inlineStr">
        <is>
          <t>NOT_STARTED</t>
        </is>
      </c>
      <c r="H149" s="37" t="n"/>
      <c r="I149" s="37" t="n"/>
      <c r="J149" s="37" t="inlineStr">
        <is>
          <t>backend/fonts</t>
        </is>
      </c>
      <c r="K149" s="37" t="inlineStr">
        <is>
          <t>FONT-001</t>
        </is>
      </c>
      <c r="L149" s="31" t="inlineStr">
        <is>
          <t>Medium</t>
        </is>
      </c>
      <c r="M149" s="41" t="n"/>
      <c r="N149" s="41" t="n"/>
      <c r="O149" s="41" t="n"/>
      <c r="P149" s="31" t="n"/>
      <c r="Q149" s="37" t="n"/>
      <c r="R149" s="31" t="inlineStr">
        <is>
          <t>FONT-001</t>
        </is>
      </c>
      <c r="S149" s="31" t="inlineStr">
        <is>
          <t>AUD-17</t>
        </is>
      </c>
    </row>
    <row r="150">
      <c r="A150" s="34" t="inlineStr">
        <is>
          <t>FONT-003</t>
        </is>
      </c>
      <c r="B150" s="35" t="n">
        <v>11</v>
      </c>
      <c r="C150" s="31" t="inlineStr">
        <is>
          <t>FONT</t>
        </is>
      </c>
      <c r="D150" s="37" t="inlineStr">
        <is>
          <t>Multilingual PDF rendering</t>
        </is>
      </c>
      <c r="E150" s="37" t="inlineStr">
        <is>
          <t>Shaping for Arabic/Hebrew/Devanagari, bidi, CJK fonts, emoji handled gracefully.</t>
        </is>
      </c>
      <c r="F150" s="31" t="inlineStr">
        <is>
          <t>P0</t>
        </is>
      </c>
      <c r="G150" s="31" t="inlineStr">
        <is>
          <t>NOT_STARTED</t>
        </is>
      </c>
      <c r="H150" s="37" t="n"/>
      <c r="I150" s="37" t="n"/>
      <c r="J150" s="37" t="inlineStr">
        <is>
          <t>backend/export</t>
        </is>
      </c>
      <c r="K150" s="37" t="inlineStr">
        <is>
          <t>FONT-002</t>
        </is>
      </c>
      <c r="L150" s="31" t="inlineStr">
        <is>
          <t>High</t>
        </is>
      </c>
      <c r="M150" s="41" t="n"/>
      <c r="N150" s="41" t="n"/>
      <c r="O150" s="41" t="n"/>
      <c r="P150" s="31" t="n"/>
      <c r="Q150" s="37" t="n"/>
      <c r="R150" s="31" t="inlineStr">
        <is>
          <t>FONT-002</t>
        </is>
      </c>
      <c r="S150" s="31" t="inlineStr">
        <is>
          <t>AUD-17</t>
        </is>
      </c>
    </row>
    <row r="151">
      <c r="A151" s="34" t="inlineStr">
        <is>
          <t>FONT-004</t>
        </is>
      </c>
      <c r="B151" s="35" t="n">
        <v>11</v>
      </c>
      <c r="C151" s="31" t="inlineStr">
        <is>
          <t>FONT</t>
        </is>
      </c>
      <c r="D151" s="37" t="inlineStr">
        <is>
          <t>DOCX per-script fonts</t>
        </is>
      </c>
      <c r="E151" s="37" t="inlineStr">
        <is>
          <t>w:rFonts ascii/hAnsi/eastAsia/cs, w:lang, rtl/bidi.</t>
        </is>
      </c>
      <c r="F151" s="31" t="inlineStr">
        <is>
          <t>P1</t>
        </is>
      </c>
      <c r="G151" s="31" t="inlineStr">
        <is>
          <t>NOT_STARTED</t>
        </is>
      </c>
      <c r="H151" s="37" t="n"/>
      <c r="I151" s="37" t="n"/>
      <c r="J151" s="37" t="inlineStr">
        <is>
          <t>backend/export</t>
        </is>
      </c>
      <c r="K151" s="37" t="inlineStr">
        <is>
          <t>FONT-002</t>
        </is>
      </c>
      <c r="L151" s="31" t="inlineStr">
        <is>
          <t>Medium</t>
        </is>
      </c>
      <c r="M151" s="41" t="n"/>
      <c r="N151" s="41" t="n"/>
      <c r="O151" s="41" t="n"/>
      <c r="P151" s="31" t="n"/>
      <c r="Q151" s="37" t="n"/>
      <c r="R151" s="31" t="inlineStr">
        <is>
          <t>FONT-002</t>
        </is>
      </c>
      <c r="S151" s="31" t="inlineStr">
        <is>
          <t>AUD-17</t>
        </is>
      </c>
    </row>
    <row r="152">
      <c r="A152" s="34" t="inlineStr">
        <is>
          <t>FONT-005</t>
        </is>
      </c>
      <c r="B152" s="35" t="n">
        <v>11</v>
      </c>
      <c r="C152" s="31" t="inlineStr">
        <is>
          <t>FONT</t>
        </is>
      </c>
      <c r="D152" s="37" t="inlineStr">
        <is>
          <t>Editor fallback stacks</t>
        </is>
      </c>
      <c r="E152" s="37" t="inlineStr">
        <is>
          <t>CSS stacks from the resolver.</t>
        </is>
      </c>
      <c r="F152" s="31" t="inlineStr">
        <is>
          <t>P2</t>
        </is>
      </c>
      <c r="G152" s="31" t="inlineStr">
        <is>
          <t>NOT_STARTED</t>
        </is>
      </c>
      <c r="H152" s="37" t="n"/>
      <c r="I152" s="37" t="n"/>
      <c r="J152" s="37" t="inlineStr">
        <is>
          <t>frontend</t>
        </is>
      </c>
      <c r="K152" s="37" t="inlineStr">
        <is>
          <t>FONT-002</t>
        </is>
      </c>
      <c r="L152" s="31" t="inlineStr">
        <is>
          <t>Low</t>
        </is>
      </c>
      <c r="M152" s="41" t="n"/>
      <c r="N152" s="41" t="n"/>
      <c r="O152" s="41" t="n"/>
      <c r="P152" s="31" t="n"/>
      <c r="Q152" s="37" t="n"/>
      <c r="R152" s="31" t="inlineStr">
        <is>
          <t>FONT-002</t>
        </is>
      </c>
      <c r="S152" s="31" t="n"/>
    </row>
    <row r="153">
      <c r="A153" s="34" t="inlineStr">
        <is>
          <t>FONT-006</t>
        </is>
      </c>
      <c r="B153" s="35" t="n">
        <v>11</v>
      </c>
      <c r="C153" s="31" t="inlineStr">
        <is>
          <t>FONT</t>
        </is>
      </c>
      <c r="D153" s="37" t="inlineStr">
        <is>
          <t>Multilingual tests</t>
        </is>
      </c>
      <c r="E153" s="37" t="inlineStr">
        <is>
          <t>Script matrix x editor/DOCX/PDF with pdftotext and rendering.</t>
        </is>
      </c>
      <c r="F153" s="31" t="inlineStr">
        <is>
          <t>P0</t>
        </is>
      </c>
      <c r="G153" s="31" t="inlineStr">
        <is>
          <t>NOT_STARTED</t>
        </is>
      </c>
      <c r="H153" s="37" t="n"/>
      <c r="I153" s="37" t="n"/>
      <c r="J153" s="37" t="inlineStr">
        <is>
          <t>backend/tests</t>
        </is>
      </c>
      <c r="K153" s="37" t="inlineStr">
        <is>
          <t>FONT-003</t>
        </is>
      </c>
      <c r="L153" s="31" t="inlineStr">
        <is>
          <t>Low</t>
        </is>
      </c>
      <c r="M153" s="41" t="n"/>
      <c r="N153" s="41" t="n"/>
      <c r="O153" s="41" t="n"/>
      <c r="P153" s="31" t="n"/>
      <c r="Q153" s="37" t="n"/>
      <c r="R153" s="31" t="inlineStr">
        <is>
          <t>FONT-003</t>
        </is>
      </c>
      <c r="S153" s="31" t="inlineStr">
        <is>
          <t>AUD-17</t>
        </is>
      </c>
    </row>
    <row r="154">
      <c r="A154" s="34" t="inlineStr">
        <is>
          <t>FMT-001</t>
        </is>
      </c>
      <c r="B154" s="35" t="n">
        <v>12</v>
      </c>
      <c r="C154" s="31" t="inlineStr">
        <is>
          <t>FORMATTING</t>
        </is>
      </c>
      <c r="D154" s="37" t="inlineStr">
        <is>
          <t>Style extraction completeness</t>
        </is>
      </c>
      <c r="E154" s="37" t="inlineStr">
        <is>
          <t>Page setup, margins, fonts, headings, lists, tables, captions, headers/footers, spacing, numbering, colours.</t>
        </is>
      </c>
      <c r="F154" s="31" t="inlineStr">
        <is>
          <t>P1</t>
        </is>
      </c>
      <c r="G154" s="31" t="inlineStr">
        <is>
          <t>NOT_STARTED</t>
        </is>
      </c>
      <c r="H154" s="37" t="n"/>
      <c r="I154" s="37" t="n"/>
      <c r="J154" s="37" t="inlineStr">
        <is>
          <t>backend/formatting</t>
        </is>
      </c>
      <c r="K154" s="37" t="inlineStr">
        <is>
          <t>DOCX-016</t>
        </is>
      </c>
      <c r="L154" s="31" t="inlineStr">
        <is>
          <t>Medium</t>
        </is>
      </c>
      <c r="M154" s="41" t="n"/>
      <c r="N154" s="41" t="n"/>
      <c r="O154" s="41" t="n"/>
      <c r="P154" s="31" t="n"/>
      <c r="Q154" s="37" t="n"/>
      <c r="R154" s="31" t="n"/>
      <c r="S154" s="31" t="n"/>
    </row>
    <row r="155">
      <c r="A155" s="34" t="inlineStr">
        <is>
          <t>FMT-002</t>
        </is>
      </c>
      <c r="B155" s="35" t="n">
        <v>12</v>
      </c>
      <c r="C155" s="31" t="inlineStr">
        <is>
          <t>FORMATTING</t>
        </is>
      </c>
      <c r="D155" s="37" t="inlineStr">
        <is>
          <t>Semantic mapping validated</t>
        </is>
      </c>
      <c r="E155" s="37" t="inlineStr">
        <is>
          <t>AI classifies/maps, engine applies; validation.</t>
        </is>
      </c>
      <c r="F155" s="31" t="inlineStr">
        <is>
          <t>P1</t>
        </is>
      </c>
      <c r="G155" s="31" t="inlineStr">
        <is>
          <t>NOT_STARTED</t>
        </is>
      </c>
      <c r="H155" s="37" t="n"/>
      <c r="I155" s="37" t="n"/>
      <c r="J155" s="37" t="inlineStr">
        <is>
          <t>backend/formatting</t>
        </is>
      </c>
      <c r="K155" s="37" t="n"/>
      <c r="L155" s="31" t="inlineStr">
        <is>
          <t>Medium</t>
        </is>
      </c>
      <c r="M155" s="41" t="n"/>
      <c r="N155" s="41" t="n"/>
      <c r="O155" s="41" t="n"/>
      <c r="P155" s="31" t="n"/>
      <c r="Q155" s="37" t="n"/>
      <c r="R155" s="31" t="n"/>
      <c r="S155" s="31" t="n"/>
    </row>
    <row r="156">
      <c r="A156" s="34" t="inlineStr">
        <is>
          <t>FMT-003</t>
        </is>
      </c>
      <c r="B156" s="35" t="n">
        <v>12</v>
      </c>
      <c r="C156" s="31" t="inlineStr">
        <is>
          <t>FORMATTING</t>
        </is>
      </c>
      <c r="D156" s="37" t="inlineStr">
        <is>
          <t>Before/after for Format by Example</t>
        </is>
      </c>
      <c r="E156" s="37" t="inlineStr">
        <is>
          <t>Preview before saving a template.</t>
        </is>
      </c>
      <c r="F156" s="31" t="inlineStr">
        <is>
          <t>P1</t>
        </is>
      </c>
      <c r="G156" s="31" t="inlineStr">
        <is>
          <t>NOT_STARTED</t>
        </is>
      </c>
      <c r="H156" s="37" t="n"/>
      <c r="I156" s="37" t="n"/>
      <c r="J156" s="37" t="inlineStr">
        <is>
          <t>frontend</t>
        </is>
      </c>
      <c r="K156" s="37" t="n"/>
      <c r="L156" s="31" t="inlineStr">
        <is>
          <t>Low</t>
        </is>
      </c>
      <c r="M156" s="41" t="n"/>
      <c r="N156" s="41" t="n"/>
      <c r="O156" s="41" t="n"/>
      <c r="P156" s="31" t="n"/>
      <c r="Q156" s="37" t="n"/>
      <c r="R156" s="31" t="n"/>
      <c r="S156" s="31" t="n"/>
    </row>
    <row r="157">
      <c r="A157" s="34" t="inlineStr">
        <is>
          <t>FMT-005</t>
        </is>
      </c>
      <c r="B157" s="35" t="n">
        <v>12</v>
      </c>
      <c r="C157" s="31" t="inlineStr">
        <is>
          <t>FORMATTING</t>
        </is>
      </c>
      <c r="D157" s="37" t="inlineStr">
        <is>
          <t>Rule value validation</t>
        </is>
      </c>
      <c r="E157" s="37" t="inlineStr">
        <is>
          <t>Instruction-path values validated before reaching CSS/export.</t>
        </is>
      </c>
      <c r="F157" s="31" t="inlineStr">
        <is>
          <t>P1</t>
        </is>
      </c>
      <c r="G157" s="31" t="inlineStr">
        <is>
          <t>DONE</t>
        </is>
      </c>
      <c r="H157" s="37" t="inlineStr">
        <is>
          <t>Instruction rules and set_style operations go through values.clean_rule_value: invalid ones dropped, normalised values stored (see SEC-022).</t>
        </is>
      </c>
      <c r="I157" s="37" t="inlineStr">
        <is>
          <t>tests/test_rule_values.py::test_instructions_cannot_carry_such_values</t>
        </is>
      </c>
      <c r="J157" s="37" t="inlineStr">
        <is>
          <t>backend/ai</t>
        </is>
      </c>
      <c r="K157" s="37" t="n"/>
      <c r="L157" s="31" t="inlineStr">
        <is>
          <t>Low</t>
        </is>
      </c>
      <c r="M157" s="41" t="n">
        <v>46292.39736111111</v>
      </c>
      <c r="N157" s="41" t="n">
        <v>46292.39905092592</v>
      </c>
      <c r="O157" s="41" t="n">
        <v>46292.39905092592</v>
      </c>
      <c r="P157" s="31" t="inlineStr">
        <is>
          <t>53c84e4</t>
        </is>
      </c>
      <c r="Q157" s="37" t="n"/>
      <c r="R157" s="31" t="n"/>
      <c r="S157" s="31" t="n"/>
    </row>
    <row r="158">
      <c r="A158" s="34" t="inlineStr">
        <is>
          <t>HLTH-001</t>
        </is>
      </c>
      <c r="B158" s="35" t="n">
        <v>13</v>
      </c>
      <c r="C158" s="31" t="inlineStr">
        <is>
          <t>HEALTH</t>
        </is>
      </c>
      <c r="D158" s="37" t="inlineStr">
        <is>
          <t>Health 2.0 checks</t>
        </is>
      </c>
      <c r="E158" s="37" t="inlineStr">
        <is>
          <t>Alt text, hidden text, mixed language, unsupported features, section inconsistency, broken lists, empty paragraphs, layout anomalies, duplicated formatting, broken links.</t>
        </is>
      </c>
      <c r="F158" s="31" t="inlineStr">
        <is>
          <t>P1</t>
        </is>
      </c>
      <c r="G158" s="31" t="inlineStr">
        <is>
          <t>NOT_STARTED</t>
        </is>
      </c>
      <c r="H158" s="37" t="n"/>
      <c r="I158" s="37" t="n"/>
      <c r="J158" s="37" t="inlineStr">
        <is>
          <t>backend/formatting</t>
        </is>
      </c>
      <c r="K158" s="37" t="inlineStr">
        <is>
          <t>FID-002</t>
        </is>
      </c>
      <c r="L158" s="31" t="inlineStr">
        <is>
          <t>Medium</t>
        </is>
      </c>
      <c r="M158" s="41" t="n"/>
      <c r="N158" s="41" t="n"/>
      <c r="O158" s="41" t="n"/>
      <c r="P158" s="31" t="n"/>
      <c r="Q158" s="37" t="n"/>
      <c r="R158" s="31" t="n"/>
      <c r="S158" s="31" t="n"/>
    </row>
    <row r="159">
      <c r="A159" s="34" t="inlineStr">
        <is>
          <t>HLTH-002</t>
        </is>
      </c>
      <c r="B159" s="35" t="n">
        <v>13</v>
      </c>
      <c r="C159" s="31" t="inlineStr">
        <is>
          <t>HEALTH</t>
        </is>
      </c>
      <c r="D159" s="37" t="inlineStr">
        <is>
          <t>Deterministic fixes with preview</t>
        </is>
      </c>
      <c r="E159" s="37" t="inlineStr">
        <is>
          <t>Fix proposals through the change model.</t>
        </is>
      </c>
      <c r="F159" s="31" t="inlineStr">
        <is>
          <t>P1</t>
        </is>
      </c>
      <c r="G159" s="31" t="inlineStr">
        <is>
          <t>NOT_STARTED</t>
        </is>
      </c>
      <c r="H159" s="37" t="n"/>
      <c r="I159" s="37" t="n"/>
      <c r="J159" s="37" t="inlineStr">
        <is>
          <t>backend, frontend</t>
        </is>
      </c>
      <c r="K159" s="37" t="inlineStr">
        <is>
          <t>REV-001</t>
        </is>
      </c>
      <c r="L159" s="31" t="inlineStr">
        <is>
          <t>Medium</t>
        </is>
      </c>
      <c r="M159" s="41" t="n"/>
      <c r="N159" s="41" t="n"/>
      <c r="O159" s="41" t="n"/>
      <c r="P159" s="31" t="n"/>
      <c r="Q159" s="37" t="n"/>
      <c r="R159" s="31" t="n"/>
      <c r="S159" s="31" t="n"/>
    </row>
    <row r="160">
      <c r="A160" s="34" t="inlineStr">
        <is>
          <t>HLTH-003</t>
        </is>
      </c>
      <c r="B160" s="35" t="n">
        <v>13</v>
      </c>
      <c r="C160" s="31" t="inlineStr">
        <is>
          <t>HEALTH</t>
        </is>
      </c>
      <c r="D160" s="37" t="inlineStr">
        <is>
          <t>AI explanations only</t>
        </is>
      </c>
      <c r="E160" s="37" t="inlineStr">
        <is>
          <t>AI explains issues; never scores.</t>
        </is>
      </c>
      <c r="F160" s="31" t="inlineStr">
        <is>
          <t>P2</t>
        </is>
      </c>
      <c r="G160" s="31" t="inlineStr">
        <is>
          <t>NOT_STARTED</t>
        </is>
      </c>
      <c r="H160" s="37" t="n"/>
      <c r="I160" s="37" t="n"/>
      <c r="J160" s="37" t="inlineStr">
        <is>
          <t>backend/ai</t>
        </is>
      </c>
      <c r="K160" s="37" t="n"/>
      <c r="L160" s="31" t="inlineStr">
        <is>
          <t>Low</t>
        </is>
      </c>
      <c r="M160" s="41" t="n"/>
      <c r="N160" s="41" t="n"/>
      <c r="O160" s="41" t="n"/>
      <c r="P160" s="31" t="n"/>
      <c r="Q160" s="37" t="n"/>
      <c r="R160" s="31" t="n"/>
      <c r="S160" s="31" t="n"/>
    </row>
    <row r="161">
      <c r="A161" s="34" t="inlineStr">
        <is>
          <t>REV-002</t>
        </is>
      </c>
      <c r="B161" s="35" t="n">
        <v>14</v>
      </c>
      <c r="C161" s="31" t="inlineStr">
        <is>
          <t>REVIEW</t>
        </is>
      </c>
      <c r="D161" s="37" t="inlineStr">
        <is>
          <t>Review Changes UI</t>
        </is>
      </c>
      <c r="E161" s="37" t="inlineStr">
        <is>
          <t>Categories FORMAT/STRUCTURE/CONTENT/METADATA/PRESERVATION/TRANSLATION.</t>
        </is>
      </c>
      <c r="F161" s="31" t="inlineStr">
        <is>
          <t>P0</t>
        </is>
      </c>
      <c r="G161" s="31" t="inlineStr">
        <is>
          <t>NOT_STARTED</t>
        </is>
      </c>
      <c r="H161" s="37" t="n"/>
      <c r="I161" s="37" t="n"/>
      <c r="J161" s="37" t="inlineStr">
        <is>
          <t>frontend</t>
        </is>
      </c>
      <c r="K161" s="37" t="inlineStr">
        <is>
          <t>REV-001</t>
        </is>
      </c>
      <c r="L161" s="31" t="inlineStr">
        <is>
          <t>Medium</t>
        </is>
      </c>
      <c r="M161" s="41" t="n"/>
      <c r="N161" s="41" t="n"/>
      <c r="O161" s="41" t="n"/>
      <c r="P161" s="31" t="n"/>
      <c r="Q161" s="37" t="n"/>
      <c r="R161" s="31" t="n"/>
      <c r="S161" s="31" t="inlineStr">
        <is>
          <t>AUD-05</t>
        </is>
      </c>
    </row>
    <row r="162">
      <c r="A162" s="34" t="inlineStr">
        <is>
          <t>REV-003</t>
        </is>
      </c>
      <c r="B162" s="35" t="n">
        <v>14</v>
      </c>
      <c r="C162" s="31" t="inlineStr">
        <is>
          <t>REVIEW</t>
        </is>
      </c>
      <c r="D162" s="37" t="inlineStr">
        <is>
          <t>Content changes need acceptance</t>
        </is>
      </c>
      <c r="E162" s="37" t="inlineStr">
        <is>
          <t>Enforced server-side.</t>
        </is>
      </c>
      <c r="F162" s="31" t="inlineStr">
        <is>
          <t>P0</t>
        </is>
      </c>
      <c r="G162" s="31" t="inlineStr">
        <is>
          <t>NOT_STARTED</t>
        </is>
      </c>
      <c r="H162" s="37" t="n"/>
      <c r="I162" s="37" t="n"/>
      <c r="J162" s="37" t="inlineStr">
        <is>
          <t>backend</t>
        </is>
      </c>
      <c r="K162" s="37" t="inlineStr">
        <is>
          <t>REV-001</t>
        </is>
      </c>
      <c r="L162" s="31" t="inlineStr">
        <is>
          <t>High</t>
        </is>
      </c>
      <c r="M162" s="41" t="n"/>
      <c r="N162" s="41" t="n"/>
      <c r="O162" s="41" t="n"/>
      <c r="P162" s="31" t="n"/>
      <c r="Q162" s="37" t="n"/>
      <c r="R162" s="31" t="inlineStr">
        <is>
          <t>REV-002</t>
        </is>
      </c>
      <c r="S162" s="31" t="inlineStr">
        <is>
          <t>AUD-05</t>
        </is>
      </c>
    </row>
    <row r="163">
      <c r="A163" s="34" t="inlineStr">
        <is>
          <t>REV-004</t>
        </is>
      </c>
      <c r="B163" s="35" t="n">
        <v>14</v>
      </c>
      <c r="C163" s="31" t="inlineStr">
        <is>
          <t>REVIEW</t>
        </is>
      </c>
      <c r="D163" s="37" t="inlineStr">
        <is>
          <t>Repair</t>
        </is>
      </c>
      <c r="E163" s="37" t="inlineStr">
        <is>
          <t>Detected issue, proposed fix, preview, apply.</t>
        </is>
      </c>
      <c r="F163" s="31" t="inlineStr">
        <is>
          <t>P2</t>
        </is>
      </c>
      <c r="G163" s="31" t="inlineStr">
        <is>
          <t>NOT_STARTED</t>
        </is>
      </c>
      <c r="H163" s="37" t="n"/>
      <c r="I163" s="37" t="n"/>
      <c r="J163" s="37" t="inlineStr">
        <is>
          <t>backend, frontend</t>
        </is>
      </c>
      <c r="K163" s="37" t="inlineStr">
        <is>
          <t>REV-001</t>
        </is>
      </c>
      <c r="L163" s="31" t="inlineStr">
        <is>
          <t>Medium</t>
        </is>
      </c>
      <c r="M163" s="41" t="n"/>
      <c r="N163" s="41" t="n"/>
      <c r="O163" s="41" t="n"/>
      <c r="P163" s="31" t="n"/>
      <c r="Q163" s="37" t="n"/>
      <c r="R163" s="31" t="n"/>
      <c r="S163" s="31" t="n"/>
    </row>
    <row r="164">
      <c r="A164" s="34" t="inlineStr">
        <is>
          <t>REV-005</t>
        </is>
      </c>
      <c r="B164" s="35" t="n">
        <v>14</v>
      </c>
      <c r="C164" s="31" t="inlineStr">
        <is>
          <t>REVIEW</t>
        </is>
      </c>
      <c r="D164" s="37" t="inlineStr">
        <is>
          <t>Clean copy</t>
        </is>
      </c>
      <c r="E164" s="37" t="inlineStr">
        <is>
          <t>Explicit: remove comments, accept tracked changes, remove hidden text, remove metadata, normalise formatting.</t>
        </is>
      </c>
      <c r="F164" s="31" t="inlineStr">
        <is>
          <t>P2</t>
        </is>
      </c>
      <c r="G164" s="31" t="inlineStr">
        <is>
          <t>NOT_STARTED</t>
        </is>
      </c>
      <c r="H164" s="37" t="n"/>
      <c r="I164" s="37" t="n"/>
      <c r="J164" s="37" t="inlineStr">
        <is>
          <t>backend, frontend</t>
        </is>
      </c>
      <c r="K164" s="37" t="inlineStr">
        <is>
          <t>DOCX-022</t>
        </is>
      </c>
      <c r="L164" s="31" t="inlineStr">
        <is>
          <t>Medium</t>
        </is>
      </c>
      <c r="M164" s="41" t="n"/>
      <c r="N164" s="41" t="n"/>
      <c r="O164" s="41" t="n"/>
      <c r="P164" s="31" t="n"/>
      <c r="Q164" s="37" t="n"/>
      <c r="R164" s="31" t="n"/>
      <c r="S164" s="31" t="n"/>
    </row>
    <row r="165">
      <c r="A165" s="34" t="inlineStr">
        <is>
          <t>FEAT-001</t>
        </is>
      </c>
      <c r="B165" s="35" t="n">
        <v>15</v>
      </c>
      <c r="C165" s="31" t="inlineStr">
        <is>
          <t>PRODUCT</t>
        </is>
      </c>
      <c r="D165" s="37" t="inlineStr">
        <is>
          <t>Batch formatting</t>
        </is>
      </c>
      <c r="E165" s="37" t="inlineStr">
        <is>
          <t>One template/reference over many documents as jobs.</t>
        </is>
      </c>
      <c r="F165" s="31" t="inlineStr">
        <is>
          <t>P2</t>
        </is>
      </c>
      <c r="G165" s="31" t="inlineStr">
        <is>
          <t>NOT_STARTED</t>
        </is>
      </c>
      <c r="H165" s="37" t="n"/>
      <c r="I165" s="37" t="n"/>
      <c r="J165" s="37" t="inlineStr">
        <is>
          <t>backend/jobs</t>
        </is>
      </c>
      <c r="K165" s="37" t="n"/>
      <c r="L165" s="31" t="inlineStr">
        <is>
          <t>Medium</t>
        </is>
      </c>
      <c r="M165" s="41" t="n"/>
      <c r="N165" s="41" t="n"/>
      <c r="O165" s="41" t="n"/>
      <c r="P165" s="31" t="n"/>
      <c r="Q165" s="37" t="n"/>
      <c r="R165" s="31" t="n"/>
      <c r="S165" s="31" t="n"/>
    </row>
    <row r="166">
      <c r="A166" s="34" t="inlineStr">
        <is>
          <t>FEAT-002</t>
        </is>
      </c>
      <c r="B166" s="35" t="n">
        <v>15</v>
      </c>
      <c r="C166" s="31" t="inlineStr">
        <is>
          <t>PRODUCT</t>
        </is>
      </c>
      <c r="D166" s="37" t="inlineStr">
        <is>
          <t>Batch export</t>
        </is>
      </c>
      <c r="E166" s="37" t="inlineStr">
        <is>
          <t>Many documents to a zip.</t>
        </is>
      </c>
      <c r="F166" s="31" t="inlineStr">
        <is>
          <t>P2</t>
        </is>
      </c>
      <c r="G166" s="31" t="inlineStr">
        <is>
          <t>NOT_STARTED</t>
        </is>
      </c>
      <c r="H166" s="37" t="n"/>
      <c r="I166" s="37" t="n"/>
      <c r="J166" s="37" t="inlineStr">
        <is>
          <t>backend/jobs</t>
        </is>
      </c>
      <c r="K166" s="37" t="inlineStr">
        <is>
          <t>PERF-001</t>
        </is>
      </c>
      <c r="L166" s="31" t="inlineStr">
        <is>
          <t>Low</t>
        </is>
      </c>
      <c r="M166" s="41" t="n"/>
      <c r="N166" s="41" t="n"/>
      <c r="O166" s="41" t="n"/>
      <c r="P166" s="31" t="n"/>
      <c r="Q166" s="37" t="n"/>
      <c r="R166" s="31" t="n"/>
      <c r="S166" s="31" t="n"/>
    </row>
    <row r="167">
      <c r="A167" s="34" t="inlineStr">
        <is>
          <t>FEAT-003</t>
        </is>
      </c>
      <c r="B167" s="35" t="n">
        <v>15</v>
      </c>
      <c r="C167" s="31" t="inlineStr">
        <is>
          <t>PRODUCT</t>
        </is>
      </c>
      <c r="D167" s="37" t="inlineStr">
        <is>
          <t>Batch translation</t>
        </is>
      </c>
      <c r="E167" s="37" t="inlineStr">
        <is>
          <t>After the translation MVP.</t>
        </is>
      </c>
      <c r="F167" s="31" t="inlineStr">
        <is>
          <t>P3</t>
        </is>
      </c>
      <c r="G167" s="31" t="inlineStr">
        <is>
          <t>NOT_STARTED</t>
        </is>
      </c>
      <c r="H167" s="37" t="n"/>
      <c r="I167" s="37" t="n"/>
      <c r="J167" s="37" t="inlineStr">
        <is>
          <t>backend/jobs</t>
        </is>
      </c>
      <c r="K167" s="37" t="inlineStr">
        <is>
          <t>TRAN-006</t>
        </is>
      </c>
      <c r="L167" s="31" t="inlineStr">
        <is>
          <t>Medium</t>
        </is>
      </c>
      <c r="M167" s="41" t="n"/>
      <c r="N167" s="41" t="n"/>
      <c r="O167" s="41" t="n"/>
      <c r="P167" s="31" t="n"/>
      <c r="Q167" s="37" t="n"/>
      <c r="R167" s="31" t="n"/>
      <c r="S167" s="31" t="n"/>
    </row>
    <row r="168">
      <c r="A168" s="34" t="inlineStr">
        <is>
          <t>FEAT-010</t>
        </is>
      </c>
      <c r="B168" s="35" t="n">
        <v>16</v>
      </c>
      <c r="C168" s="31" t="inlineStr">
        <is>
          <t>PRODUCT</t>
        </is>
      </c>
      <c r="D168" s="37" t="inlineStr">
        <is>
          <t>Accessibility checker</t>
        </is>
      </c>
      <c r="E168" s="37" t="inlineStr">
        <is>
          <t>Heading hierarchy, alt text, link labels, table headers, reading order, language, contrast.</t>
        </is>
      </c>
      <c r="F168" s="31" t="inlineStr">
        <is>
          <t>P1</t>
        </is>
      </c>
      <c r="G168" s="31" t="inlineStr">
        <is>
          <t>NOT_STARTED</t>
        </is>
      </c>
      <c r="H168" s="37" t="n"/>
      <c r="I168" s="37" t="n"/>
      <c r="J168" s="37" t="inlineStr">
        <is>
          <t>backend/formatting</t>
        </is>
      </c>
      <c r="K168" s="37" t="inlineStr">
        <is>
          <t>HLTH-001</t>
        </is>
      </c>
      <c r="L168" s="31" t="inlineStr">
        <is>
          <t>Low</t>
        </is>
      </c>
      <c r="M168" s="41" t="n"/>
      <c r="N168" s="41" t="n"/>
      <c r="O168" s="41" t="n"/>
      <c r="P168" s="31" t="n"/>
      <c r="Q168" s="37" t="n"/>
      <c r="R168" s="31" t="n"/>
      <c r="S168" s="31" t="n"/>
    </row>
    <row r="169">
      <c r="A169" s="34" t="inlineStr">
        <is>
          <t>FEAT-011</t>
        </is>
      </c>
      <c r="B169" s="35" t="n">
        <v>16</v>
      </c>
      <c r="C169" s="31" t="inlineStr">
        <is>
          <t>PRODUCT</t>
        </is>
      </c>
      <c r="D169" s="37" t="inlineStr">
        <is>
          <t>App accessibility fixes</t>
        </is>
      </c>
      <c r="E169" s="37" t="inlineStr">
        <is>
          <t>Zero serious axe violations on main pages and the editor.</t>
        </is>
      </c>
      <c r="F169" s="31" t="inlineStr">
        <is>
          <t>P1</t>
        </is>
      </c>
      <c r="G169" s="31" t="inlineStr">
        <is>
          <t>NOT_STARTED</t>
        </is>
      </c>
      <c r="H169" s="37" t="n"/>
      <c r="I169" s="37" t="n"/>
      <c r="J169" s="37" t="inlineStr">
        <is>
          <t>frontend</t>
        </is>
      </c>
      <c r="K169" s="37" t="n"/>
      <c r="L169" s="31" t="inlineStr">
        <is>
          <t>Low</t>
        </is>
      </c>
      <c r="M169" s="41" t="n"/>
      <c r="N169" s="41" t="n"/>
      <c r="O169" s="41" t="n"/>
      <c r="P169" s="31" t="n"/>
      <c r="Q169" s="37" t="n"/>
      <c r="R169" s="31" t="n"/>
      <c r="S169" s="31" t="n"/>
    </row>
    <row r="170">
      <c r="A170" s="34" t="inlineStr">
        <is>
          <t>JOB-001</t>
        </is>
      </c>
      <c r="B170" s="35" t="n">
        <v>5</v>
      </c>
      <c r="C170" s="31" t="inlineStr">
        <is>
          <t>JOBS</t>
        </is>
      </c>
      <c r="D170" s="37" t="inlineStr">
        <is>
          <t>Job safety</t>
        </is>
      </c>
      <c r="E170" s="37" t="inlineStr">
        <is>
          <t>idempotency_key, retry_count, timeout, cancellation, stuck detection, backoff, dead-letter.</t>
        </is>
      </c>
      <c r="F170" s="31" t="inlineStr">
        <is>
          <t>P1</t>
        </is>
      </c>
      <c r="G170" s="31" t="inlineStr">
        <is>
          <t>NOT_STARTED</t>
        </is>
      </c>
      <c r="H170" s="37" t="n"/>
      <c r="I170" s="37" t="n"/>
      <c r="J170" s="37" t="inlineStr">
        <is>
          <t>backend/jobs</t>
        </is>
      </c>
      <c r="K170" s="37" t="n"/>
      <c r="L170" s="31" t="inlineStr">
        <is>
          <t>Medium</t>
        </is>
      </c>
      <c r="M170" s="41" t="n"/>
      <c r="N170" s="41" t="n"/>
      <c r="O170" s="41" t="n"/>
      <c r="P170" s="31" t="n"/>
      <c r="Q170" s="37" t="n"/>
      <c r="R170" s="31" t="n"/>
      <c r="S170" s="31" t="n"/>
    </row>
    <row r="171">
      <c r="A171" s="34" t="inlineStr">
        <is>
          <t>STOR-001</t>
        </is>
      </c>
      <c r="B171" s="35" t="n">
        <v>6</v>
      </c>
      <c r="C171" s="31" t="inlineStr">
        <is>
          <t>STORAGE</t>
        </is>
      </c>
      <c r="D171" s="37" t="inlineStr">
        <is>
          <t>Storage retention and deletion</t>
        </is>
      </c>
      <c r="E171" s="37" t="inlineStr">
        <is>
          <t>Source files, exports, OCR artifacts: retention, deletion, access control, content types, size limits.</t>
        </is>
      </c>
      <c r="F171" s="31" t="inlineStr">
        <is>
          <t>P1</t>
        </is>
      </c>
      <c r="G171" s="31" t="inlineStr">
        <is>
          <t>NOT_STARTED</t>
        </is>
      </c>
      <c r="H171" s="37" t="n"/>
      <c r="I171" s="37" t="n"/>
      <c r="J171" s="37" t="inlineStr">
        <is>
          <t>backend/storage</t>
        </is>
      </c>
      <c r="K171" s="37" t="inlineStr">
        <is>
          <t>DOCX-010</t>
        </is>
      </c>
      <c r="L171" s="31" t="inlineStr">
        <is>
          <t>Medium</t>
        </is>
      </c>
      <c r="M171" s="41" t="n"/>
      <c r="N171" s="41" t="n"/>
      <c r="O171" s="41" t="n"/>
      <c r="P171" s="31" t="n"/>
      <c r="Q171" s="37" t="n"/>
      <c r="R171" s="31" t="n"/>
      <c r="S171" s="31" t="n"/>
    </row>
    <row r="172">
      <c r="A172" s="34" t="inlineStr">
        <is>
          <t>OBS-001</t>
        </is>
      </c>
      <c r="B172" s="35" t="n">
        <v>16</v>
      </c>
      <c r="C172" s="31" t="inlineStr">
        <is>
          <t>OBSERVABILITY</t>
        </is>
      </c>
      <c r="D172" s="37" t="inlineStr">
        <is>
          <t>Metrics</t>
        </is>
      </c>
      <c r="E172" s="37" t="inlineStr">
        <is>
          <t>Latency, failure rate, job/AI/export metrics without content.</t>
        </is>
      </c>
      <c r="F172" s="31" t="inlineStr">
        <is>
          <t>P1</t>
        </is>
      </c>
      <c r="G172" s="31" t="inlineStr">
        <is>
          <t>NOT_STARTED</t>
        </is>
      </c>
      <c r="H172" s="37" t="n"/>
      <c r="I172" s="37" t="n"/>
      <c r="J172" s="37" t="inlineStr">
        <is>
          <t>backend</t>
        </is>
      </c>
      <c r="K172" s="37" t="n"/>
      <c r="L172" s="31" t="inlineStr">
        <is>
          <t>Medium</t>
        </is>
      </c>
      <c r="M172" s="41" t="n"/>
      <c r="N172" s="41" t="n"/>
      <c r="O172" s="41" t="n"/>
      <c r="P172" s="31" t="n"/>
      <c r="Q172" s="37" t="n"/>
      <c r="R172" s="31" t="n"/>
      <c r="S172" s="31" t="inlineStr">
        <is>
          <t>AUD-15</t>
        </is>
      </c>
    </row>
    <row r="173">
      <c r="A173" s="34" t="inlineStr">
        <is>
          <t>OBS-002</t>
        </is>
      </c>
      <c r="B173" s="35" t="n">
        <v>16</v>
      </c>
      <c r="C173" s="31" t="inlineStr">
        <is>
          <t>OBSERVABILITY</t>
        </is>
      </c>
      <c r="D173" s="37" t="inlineStr">
        <is>
          <t>Operation and job IDs in logs</t>
        </is>
      </c>
      <c r="E173" s="37" t="inlineStr">
        <is>
          <t>Request, operation and job IDs everywhere.</t>
        </is>
      </c>
      <c r="F173" s="31" t="inlineStr">
        <is>
          <t>P1</t>
        </is>
      </c>
      <c r="G173" s="31" t="inlineStr">
        <is>
          <t>NOT_STARTED</t>
        </is>
      </c>
      <c r="H173" s="37" t="n"/>
      <c r="I173" s="37" t="n"/>
      <c r="J173" s="37" t="inlineStr">
        <is>
          <t>backend</t>
        </is>
      </c>
      <c r="K173" s="37" t="n"/>
      <c r="L173" s="31" t="inlineStr">
        <is>
          <t>Low</t>
        </is>
      </c>
      <c r="M173" s="41" t="n"/>
      <c r="N173" s="41" t="n"/>
      <c r="O173" s="41" t="n"/>
      <c r="P173" s="31" t="n"/>
      <c r="Q173" s="37" t="n"/>
      <c r="R173" s="31" t="n"/>
      <c r="S173" s="31" t="inlineStr">
        <is>
          <t>AUD-15</t>
        </is>
      </c>
    </row>
    <row r="174">
      <c r="A174" s="34" t="inlineStr">
        <is>
          <t>OBS-003</t>
        </is>
      </c>
      <c r="B174" s="35" t="n">
        <v>16</v>
      </c>
      <c r="C174" s="31" t="inlineStr">
        <is>
          <t>OBSERVABILITY</t>
        </is>
      </c>
      <c r="D174" s="37" t="inlineStr">
        <is>
          <t>Operations data</t>
        </is>
      </c>
      <c r="E174" s="37" t="inlineStr">
        <is>
          <t>Failed jobs, processing failures, usage spikes, AI/export failures, storage, abuse - minimal admin API.</t>
        </is>
      </c>
      <c r="F174" s="31" t="inlineStr">
        <is>
          <t>P2</t>
        </is>
      </c>
      <c r="G174" s="31" t="inlineStr">
        <is>
          <t>NOT_STARTED</t>
        </is>
      </c>
      <c r="H174" s="37" t="n"/>
      <c r="I174" s="37" t="n"/>
      <c r="J174" s="37" t="inlineStr">
        <is>
          <t>backend</t>
        </is>
      </c>
      <c r="K174" s="37" t="inlineStr">
        <is>
          <t>OBS-001</t>
        </is>
      </c>
      <c r="L174" s="31" t="inlineStr">
        <is>
          <t>Low</t>
        </is>
      </c>
      <c r="M174" s="41" t="n"/>
      <c r="N174" s="41" t="n"/>
      <c r="O174" s="41" t="n"/>
      <c r="P174" s="31" t="n"/>
      <c r="Q174" s="37" t="n"/>
      <c r="R174" s="31" t="n"/>
      <c r="S174" s="31" t="inlineStr">
        <is>
          <t>AUD-15</t>
        </is>
      </c>
    </row>
    <row r="175">
      <c r="A175" s="34" t="inlineStr">
        <is>
          <t>INFRA-010</t>
        </is>
      </c>
      <c r="B175" s="35" t="n">
        <v>17</v>
      </c>
      <c r="C175" s="31" t="inlineStr">
        <is>
          <t>INFRA</t>
        </is>
      </c>
      <c r="D175" s="37" t="inlineStr">
        <is>
          <t>Deployment verified</t>
        </is>
      </c>
      <c r="E175" s="37" t="inlineStr">
        <is>
          <t>Docker images build and start; Postgres, Redis, storage, worker, frontend, backend.</t>
        </is>
      </c>
      <c r="F175" s="31" t="inlineStr">
        <is>
          <t>P1</t>
        </is>
      </c>
      <c r="G175" s="31" t="inlineStr">
        <is>
          <t>NOT_STARTED</t>
        </is>
      </c>
      <c r="H175" s="37" t="n"/>
      <c r="I175" s="37" t="n"/>
      <c r="J175" s="37" t="inlineStr">
        <is>
          <t>docker, CI</t>
        </is>
      </c>
      <c r="K175" s="37" t="n"/>
      <c r="L175" s="31" t="inlineStr">
        <is>
          <t>High</t>
        </is>
      </c>
      <c r="M175" s="41" t="n"/>
      <c r="N175" s="41" t="n"/>
      <c r="O175" s="41" t="n"/>
      <c r="P175" s="31" t="n"/>
      <c r="Q175" s="37" t="n"/>
      <c r="R175" s="31" t="n"/>
      <c r="S175" s="31" t="inlineStr">
        <is>
          <t>AUD-15</t>
        </is>
      </c>
    </row>
    <row r="176">
      <c r="A176" s="34" t="inlineStr">
        <is>
          <t>INFRA-011</t>
        </is>
      </c>
      <c r="B176" s="35" t="n">
        <v>17</v>
      </c>
      <c r="C176" s="31" t="inlineStr">
        <is>
          <t>INFRA</t>
        </is>
      </c>
      <c r="D176" s="37" t="inlineStr">
        <is>
          <t>CI gates</t>
        </is>
      </c>
      <c r="E176" s="37" t="inlineStr">
        <is>
          <t>Backend, frontend, E2E, lint, typecheck, build, migrations, security audit, document fidelity tests.</t>
        </is>
      </c>
      <c r="F176" s="31" t="inlineStr">
        <is>
          <t>P0</t>
        </is>
      </c>
      <c r="G176" s="31" t="inlineStr">
        <is>
          <t>NOT_STARTED</t>
        </is>
      </c>
      <c r="H176" s="37" t="n"/>
      <c r="I176" s="37" t="n"/>
      <c r="J176" s="37" t="inlineStr">
        <is>
          <t>.github/workflows</t>
        </is>
      </c>
      <c r="K176" s="37" t="inlineStr">
        <is>
          <t>TEST-021</t>
        </is>
      </c>
      <c r="L176" s="31" t="inlineStr">
        <is>
          <t>Medium</t>
        </is>
      </c>
      <c r="M176" s="41" t="n"/>
      <c r="N176" s="41" t="n"/>
      <c r="O176" s="41" t="n"/>
      <c r="P176" s="31" t="n"/>
      <c r="Q176" s="37" t="n"/>
      <c r="R176" s="31" t="n"/>
      <c r="S176" s="31" t="inlineStr">
        <is>
          <t>AUD-15,AUD-20</t>
        </is>
      </c>
    </row>
    <row r="177">
      <c r="A177" s="34" t="inlineStr">
        <is>
          <t>TEST-040</t>
        </is>
      </c>
      <c r="B177" s="35" t="n">
        <v>17</v>
      </c>
      <c r="C177" s="31" t="inlineStr">
        <is>
          <t>TESTING</t>
        </is>
      </c>
      <c r="D177" s="37" t="inlineStr">
        <is>
          <t>Playwright workflow coverage</t>
        </is>
      </c>
      <c r="E177" s="37" t="inlineStr">
        <is>
          <t>The 24 workflows of the brief.</t>
        </is>
      </c>
      <c r="F177" s="31" t="inlineStr">
        <is>
          <t>P0</t>
        </is>
      </c>
      <c r="G177" s="31" t="inlineStr">
        <is>
          <t>NOT_STARTED</t>
        </is>
      </c>
      <c r="H177" s="37" t="n"/>
      <c r="I177" s="37" t="n"/>
      <c r="J177" s="37" t="inlineStr">
        <is>
          <t>frontend/e2e</t>
        </is>
      </c>
      <c r="K177" s="37" t="n"/>
      <c r="L177" s="31" t="inlineStr">
        <is>
          <t>Medium</t>
        </is>
      </c>
      <c r="M177" s="41" t="n"/>
      <c r="N177" s="41" t="n"/>
      <c r="O177" s="41" t="n"/>
      <c r="P177" s="31" t="n"/>
      <c r="Q177" s="37" t="n"/>
      <c r="R177" s="31" t="n"/>
      <c r="S177" s="31" t="n"/>
    </row>
    <row r="178">
      <c r="A178" s="34" t="inlineStr">
        <is>
          <t>TEST-041</t>
        </is>
      </c>
      <c r="B178" s="35" t="n">
        <v>17</v>
      </c>
      <c r="C178" s="31" t="inlineStr">
        <is>
          <t>TESTING</t>
        </is>
      </c>
      <c r="D178" s="37" t="inlineStr">
        <is>
          <t>Performance gates</t>
        </is>
      </c>
      <c r="E178" s="37" t="inlineStr">
        <is>
          <t>Regression thresholds relative to baseline.</t>
        </is>
      </c>
      <c r="F178" s="31" t="inlineStr">
        <is>
          <t>P1</t>
        </is>
      </c>
      <c r="G178" s="31" t="inlineStr">
        <is>
          <t>NOT_STARTED</t>
        </is>
      </c>
      <c r="H178" s="37" t="n"/>
      <c r="I178" s="37" t="n"/>
      <c r="J178" s="37" t="inlineStr">
        <is>
          <t>tests/perf</t>
        </is>
      </c>
      <c r="K178" s="37" t="inlineStr">
        <is>
          <t>PERF-002</t>
        </is>
      </c>
      <c r="L178" s="31" t="inlineStr">
        <is>
          <t>Low</t>
        </is>
      </c>
      <c r="M178" s="41" t="n"/>
      <c r="N178" s="41" t="n"/>
      <c r="O178" s="41" t="n"/>
      <c r="P178" s="31" t="n"/>
      <c r="Q178" s="37" t="n"/>
      <c r="R178" s="31" t="n"/>
      <c r="S178" s="31" t="n"/>
    </row>
    <row r="179">
      <c r="A179" s="34" t="inlineStr">
        <is>
          <t>TEST-043</t>
        </is>
      </c>
      <c r="B179" s="35" t="n">
        <v>17</v>
      </c>
      <c r="C179" s="31" t="inlineStr">
        <is>
          <t>TESTING</t>
        </is>
      </c>
      <c r="D179" s="37" t="inlineStr">
        <is>
          <t>Browser matrix</t>
        </is>
      </c>
      <c r="E179" s="37" t="inlineStr">
        <is>
          <t>Chromium, Firefox, WebKit.</t>
        </is>
      </c>
      <c r="F179" s="31" t="inlineStr">
        <is>
          <t>P2</t>
        </is>
      </c>
      <c r="G179" s="31" t="inlineStr">
        <is>
          <t>NOT_STARTED</t>
        </is>
      </c>
      <c r="H179" s="37" t="n"/>
      <c r="I179" s="37" t="n"/>
      <c r="J179" s="37" t="inlineStr">
        <is>
          <t>frontend/e2e</t>
        </is>
      </c>
      <c r="K179" s="37" t="n"/>
      <c r="L179" s="31" t="inlineStr">
        <is>
          <t>Low</t>
        </is>
      </c>
      <c r="M179" s="41" t="n"/>
      <c r="N179" s="41" t="n"/>
      <c r="O179" s="41" t="n"/>
      <c r="P179" s="31" t="n"/>
      <c r="Q179" s="37" t="n"/>
      <c r="R179" s="31" t="n"/>
      <c r="S179" s="31" t="n"/>
    </row>
    <row r="180">
      <c r="A180" s="34" t="inlineStr">
        <is>
          <t>TEST-006</t>
        </is>
      </c>
      <c r="B180" s="35" t="n">
        <v>17</v>
      </c>
      <c r="C180" s="31" t="inlineStr">
        <is>
          <t>TESTING</t>
        </is>
      </c>
      <c r="D180" s="37" t="inlineStr">
        <is>
          <t>E2E backend removes its temp directory</t>
        </is>
      </c>
      <c r="E180" s="37" t="inlineStr">
        <is>
          <t>scripts/e2e_server.py leaves %TEMP%/smartdoc-e2e-* behind after every Playwright run (10 found on 2026-09-27).</t>
        </is>
      </c>
      <c r="F180" s="31" t="inlineStr">
        <is>
          <t>P3</t>
        </is>
      </c>
      <c r="G180" s="31" t="inlineStr">
        <is>
          <t>NOT_STARTED</t>
        </is>
      </c>
      <c r="H180" s="37" t="n"/>
      <c r="I180" s="37" t="n"/>
      <c r="J180" s="37" t="inlineStr">
        <is>
          <t>backend/scripts/e2e_server.py</t>
        </is>
      </c>
      <c r="K180" s="37" t="n"/>
      <c r="L180" s="31" t="inlineStr">
        <is>
          <t>Low</t>
        </is>
      </c>
      <c r="M180" s="41" t="n"/>
      <c r="N180" s="41" t="n"/>
      <c r="O180" s="41" t="n"/>
      <c r="P180" s="31" t="n"/>
      <c r="Q180" s="37" t="n"/>
      <c r="R180" s="31" t="n"/>
      <c r="S180" s="31" t="n"/>
    </row>
    <row r="181">
      <c r="A181" s="34" t="inlineStr">
        <is>
          <t>DOCS-010</t>
        </is>
      </c>
      <c r="B181" s="35" t="n">
        <v>18</v>
      </c>
      <c r="C181" s="31" t="inlineStr">
        <is>
          <t>DOCS</t>
        </is>
      </c>
      <c r="D181" s="37" t="inlineStr">
        <is>
          <t>final-production-readiness.md</t>
        </is>
      </c>
      <c r="E181" s="37" t="inlineStr">
        <is>
          <t>The 16-section final report.</t>
        </is>
      </c>
      <c r="F181" s="31" t="inlineStr">
        <is>
          <t>P0</t>
        </is>
      </c>
      <c r="G181" s="31" t="inlineStr">
        <is>
          <t>NOT_STARTED</t>
        </is>
      </c>
      <c r="H181" s="37" t="n"/>
      <c r="I181" s="37" t="n"/>
      <c r="J181" s="37" t="inlineStr">
        <is>
          <t>docs</t>
        </is>
      </c>
      <c r="K181" s="37" t="n"/>
      <c r="L181" s="31" t="inlineStr">
        <is>
          <t>Low</t>
        </is>
      </c>
      <c r="M181" s="41" t="n"/>
      <c r="N181" s="41" t="n"/>
      <c r="O181" s="41" t="n"/>
      <c r="P181" s="31" t="n"/>
      <c r="Q181" s="37" t="n"/>
      <c r="R181" s="31" t="n"/>
      <c r="S181" s="31" t="n"/>
    </row>
    <row r="182">
      <c r="A182" s="34" t="inlineStr">
        <is>
          <t>DOCS-011</t>
        </is>
      </c>
      <c r="B182" s="35" t="n">
        <v>18</v>
      </c>
      <c r="C182" s="31" t="inlineStr">
        <is>
          <t>DOCS</t>
        </is>
      </c>
      <c r="D182" s="37" t="inlineStr">
        <is>
          <t>Documentation tree</t>
        </is>
      </c>
      <c r="E182" s="37" t="inlineStr">
        <is>
          <t>docs/{architecture,document-model,docx,pdf,translation,ai,formatting,security,testing,deployment,billing,operations}.</t>
        </is>
      </c>
      <c r="F182" s="31" t="inlineStr">
        <is>
          <t>P1</t>
        </is>
      </c>
      <c r="G182" s="31" t="inlineStr">
        <is>
          <t>IN_PROGRESS</t>
        </is>
      </c>
      <c r="H182" s="37" t="n"/>
      <c r="I182" s="37" t="n"/>
      <c r="J182" s="37" t="inlineStr">
        <is>
          <t>docs</t>
        </is>
      </c>
      <c r="K182" s="37" t="n"/>
      <c r="L182" s="31" t="inlineStr">
        <is>
          <t>Low</t>
        </is>
      </c>
      <c r="M182" s="41" t="n">
        <v>46292.41409722222</v>
      </c>
      <c r="N182" s="41" t="n"/>
      <c r="O182" s="41" t="n"/>
      <c r="P182" s="31" t="n"/>
      <c r="Q182" s="37" t="inlineStr">
        <is>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is>
      </c>
      <c r="R182" s="31" t="n"/>
      <c r="S182" s="31" t="n"/>
    </row>
  </sheetData>
  <autoFilter ref="A1:S182"/>
  <conditionalFormatting sqref="G2:G2000">
    <cfRule type="cellIs" priority="1" operator="equal" dxfId="342">
      <formula>"IN_PROGRESS"</formula>
    </cfRule>
    <cfRule type="cellIs" priority="2" operator="equal" dxfId="343">
      <formula>"BLOCKED"</formula>
    </cfRule>
    <cfRule type="cellIs" priority="3" operator="equal" dxfId="344">
      <formula>"IMPLEMENTED"</formula>
    </cfRule>
    <cfRule type="cellIs" priority="4" operator="equal" dxfId="345">
      <formula>"TESTING"</formula>
    </cfRule>
    <cfRule type="cellIs" priority="5" operator="equal" dxfId="346">
      <formula>"VERIFIED"</formula>
    </cfRule>
    <cfRule type="cellIs" priority="6" operator="equal" dxfId="347">
      <formula>"DONE"</formula>
    </cfRule>
    <cfRule type="cellIs" priority="7" operator="equal" dxfId="341">
      <formula>"FAILED"</formula>
    </cfRule>
    <cfRule type="cellIs" priority="8" operator="equal" dxfId="348">
      <formula>"DEFERRED"</formula>
    </cfRule>
    <cfRule type="cellIs" priority="9" operator="equal" dxfId="349">
      <formula>"UNKNOWN"</formula>
    </cfRule>
  </conditionalFormatting>
  <conditionalFormatting sqref="F2:F2000">
    <cfRule type="cellIs" priority="10" operator="equal" dxfId="341">
      <formula>"P0"</formula>
    </cfRule>
    <cfRule type="cellIs" priority="11" operator="equal" dxfId="350">
      <formula>"P1"</formula>
    </cfRule>
  </conditionalFormatting>
  <dataValidations count="5">
    <dataValidation sqref="G2:G2000" showDropDown="0" showInputMessage="0" showErrorMessage="1" allowBlank="1" errorTitle="Invalid status" error="Pick a status from the list." type="list" errorStyle="stop">
      <formula1>"NOT_STARTED,IN_PROGRESS,BLOCKED,IMPLEMENTED,TESTING,VERIFIED,DONE,FAILED,DEFERRED,UNKNOWN"</formula1>
    </dataValidation>
    <dataValidation sqref="F2:F2000" showDropDown="0" showInputMessage="0" showErrorMessage="1" allowBlank="1" errorTitle="Invalid priority" error="Pick a priority from the list." type="list" errorStyle="stop">
      <formula1>"P0,P1,P2,P3"</formula1>
    </dataValidation>
    <dataValidation sqref="L2:L2000" showDropDown="0" showInputMessage="0" showErrorMessage="1" allowBlank="1" errorTitle="Invalid risk" error="Pick a risk from the list." type="list" errorStyle="stop">
      <formula1>"Low,Medium,High,Critical"</formula1>
    </dataValidation>
    <dataValidation sqref="C2:C2000" showDropDown="0" showInputMessage="0" showErrorMessage="1" allowBlank="1" errorTitle="Invalid category" error="Pick a category from the list." type="list" errorStyle="stop">
      <formula1>"CORE,FIDELITY,REVIEW,DOCX,PDF,EDITOR,FORMATTING,HEALTH,AI,SECURITY,ACCOUNT,PERFORMANCE,TESTING,PRODUCT,TRANSLATION,FONT,P2E,BILLING,INFRA,JOBS,STORAGE,OBSERVABILITY,DOCS"</formula1>
    </dataValidation>
    <dataValidation sqref="B2:B2000" showDropDown="0" showInputMessage="0" showErrorMessage="1" allowBlank="1" errorTitle="Invalid phase" error="Phase is a whole number 0-18." type="whole" operator="between">
      <formula1>0</formula1>
      <formula2>18</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L116"/>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0" customWidth="1" min="3" max="3"/>
    <col width="60" customWidth="1" min="4" max="4"/>
    <col width="9" customWidth="1" min="5" max="5"/>
    <col width="14" customWidth="1" min="6" max="6"/>
    <col width="40" customWidth="1" min="7" max="7"/>
    <col width="34" customWidth="1" min="8" max="8"/>
    <col width="16" customWidth="1" min="9" max="9"/>
    <col width="40" customWidth="1" min="10" max="10"/>
    <col width="40" customWidth="1" min="11" max="11"/>
    <col width="11" customWidth="1" min="12" max="12"/>
  </cols>
  <sheetData>
    <row r="1">
      <c r="A1" s="22" t="inlineStr">
        <is>
          <t>CRITICAL_FIXES — Audit findings and P0 tasks</t>
        </is>
      </c>
    </row>
    <row r="2">
      <c r="A2" s="23" t="inlineStr">
        <is>
          <t>The 20 findings of the 2026-09-26 audit (current known risks) with fix progress, then every P0 task. Report: https://claude.ai/artifact/WKskiyexTDLAHe1BfjvWR1 — a finding is RESOLVED when every linked fix task is DONE.</t>
        </is>
      </c>
    </row>
    <row r="3">
      <c r="A3" s="25" t="inlineStr">
        <is>
          <t>Findings</t>
        </is>
      </c>
      <c r="B3" s="25" t="inlineStr">
        <is>
          <t>Resolved</t>
        </is>
      </c>
      <c r="C3" s="25" t="inlineStr">
        <is>
          <t>In progress</t>
        </is>
      </c>
      <c r="D3" s="25" t="inlineStr">
        <is>
          <t>Blocked</t>
        </is>
      </c>
      <c r="E3" s="25" t="inlineStr">
        <is>
          <t>Open</t>
        </is>
      </c>
      <c r="F3" s="25" t="inlineStr">
        <is>
          <t>P0 tasks</t>
        </is>
      </c>
      <c r="G3" s="25" t="inlineStr">
        <is>
          <t>P0 done</t>
        </is>
      </c>
      <c r="H3" s="25" t="inlineStr">
        <is>
          <t>P0 remaining</t>
        </is>
      </c>
    </row>
    <row r="4">
      <c r="A4" s="26">
        <f>COUNTA(A8:A27)</f>
        <v/>
      </c>
      <c r="B4" s="26">
        <f>COUNTIF(B8:B27,"RESOLVED")</f>
        <v/>
      </c>
      <c r="C4" s="26">
        <f>COUNTIF(B8:B27,"IN_PROGRESS")</f>
        <v/>
      </c>
      <c r="D4" s="26">
        <f>COUNTIF(B8:B27,"BLOCKED")</f>
        <v/>
      </c>
      <c r="E4" s="26">
        <f>COUNTIF(B8:B27,"OPEN")</f>
        <v/>
      </c>
      <c r="F4" s="26">
        <f>COUNTIF(MASTER!$F$2:$F$2000,"P0")</f>
        <v/>
      </c>
      <c r="G4" s="26">
        <f>COUNTIFS(MASTER!$F$2:$F$2000,"P0",MASTER!$G$2:$G$2000,"DONE")</f>
        <v/>
      </c>
      <c r="H4" s="26">
        <f>F4-G4</f>
        <v/>
      </c>
    </row>
    <row r="6">
      <c r="A6" s="24" t="inlineStr">
        <is>
          <t>Audit findings (current known risks)</t>
        </is>
      </c>
    </row>
    <row r="7">
      <c r="A7" s="29" t="inlineStr">
        <is>
          <t>Finding ID</t>
        </is>
      </c>
      <c r="B7" s="29" t="inlineStr">
        <is>
          <t>Status</t>
        </is>
      </c>
      <c r="C7" s="29" t="inlineStr">
        <is>
          <t>Progress</t>
        </is>
      </c>
      <c r="D7" s="29" t="inlineStr">
        <is>
          <t>Finding</t>
        </is>
      </c>
      <c r="E7" s="29" t="inlineStr">
        <is>
          <t>Tasks</t>
        </is>
      </c>
      <c r="F7" s="29" t="inlineStr">
        <is>
          <t>Done</t>
        </is>
      </c>
      <c r="G7" s="29" t="inlineStr">
        <is>
          <t>Fix Tasks</t>
        </is>
      </c>
      <c r="H7" s="29" t="inlineStr">
        <is>
          <t>Active</t>
        </is>
      </c>
      <c r="I7" s="29" t="inlineStr">
        <is>
          <t>Blocked/Failed</t>
        </is>
      </c>
      <c r="J7" s="29" t="inlineStr">
        <is>
          <t>Notes</t>
        </is>
      </c>
    </row>
    <row r="8">
      <c r="A8" s="34" t="inlineStr">
        <is>
          <t>AUD-01</t>
        </is>
      </c>
      <c r="B8" s="31">
        <f>IF(E8=0,"OPEN",IF(F8=E8,"RESOLVED",IF(I8&gt;0,"BLOCKED",IF(H8+F8&gt;0,"IN_PROGRESS","OPEN"))))</f>
        <v/>
      </c>
      <c r="C8" s="33">
        <f>IF(E8=0,0,F8/E8)</f>
        <v/>
      </c>
      <c r="D8" s="37" t="inlineStr">
        <is>
          <t>Editor save can discard nested blocks (lists, pictures, code, quotes inside cells/items)</t>
        </is>
      </c>
      <c r="E8" s="35">
        <f>IF(LEN(SUBSTITUTE($G8," ",""))=0,0,LEN(SUBSTITUTE($G8," ",""))-LEN(SUBSTITUTE(SUBSTITUTE($G8," ",""),",",""))+1)</f>
        <v/>
      </c>
      <c r="F8" s="35">
        <f>SUMPRODUCT(ISNUMBER(SEARCH(","&amp;MASTER!$A$2:$A$2000&amp;",",","&amp;SUBSTITUTE($G8," ","")&amp;","))*((MASTER!$G$2:$G$2000="DONE")))</f>
        <v/>
      </c>
      <c r="G8" s="37" t="inlineStr">
        <is>
          <t>EDIT-001,EDIT-002,EDIT-003,EDIT-005,EDIT-006</t>
        </is>
      </c>
      <c r="H8" s="35">
        <f>SUMPRODUCT(ISNUMBER(SEARCH(","&amp;MASTER!$A$2:$A$2000&amp;",",","&amp;SUBSTITUTE($G8," ","")&amp;","))*((MASTER!$G$2:$G$2000="IN_PROGRESS")+(MASTER!$G$2:$G$2000="IMPLEMENTED")+(MASTER!$G$2:$G$2000="TESTING")+(MASTER!$G$2:$G$2000="VERIFIED")))</f>
        <v/>
      </c>
      <c r="I8" s="35">
        <f>SUMPRODUCT(ISNUMBER(SEARCH(","&amp;MASTER!$A$2:$A$2000&amp;",",","&amp;SUBSTITUTE($G8," ","")&amp;","))*((MASTER!$G$2:$G$2000="BLOCKED")+(MASTER!$G$2:$G$2000="FAILED")))</f>
        <v/>
      </c>
      <c r="J8" s="37" t="n"/>
    </row>
    <row r="9">
      <c r="A9" s="34" t="inlineStr">
        <is>
          <t>AUD-02</t>
        </is>
      </c>
      <c r="B9" s="31">
        <f>IF(E9=0,"OPEN",IF(F9=E9,"RESOLVED",IF(I9&gt;0,"BLOCKED",IF(H9+F9&gt;0,"IN_PROGRESS","OPEN"))))</f>
        <v/>
      </c>
      <c r="C9" s="33">
        <f>IF(E9=0,0,F9/E9)</f>
        <v/>
      </c>
      <c r="D9" s="37" t="inlineStr">
        <is>
          <t>AI fidelity check misses omissions, negation removal, number changes, inserted text</t>
        </is>
      </c>
      <c r="E9" s="35">
        <f>IF(LEN(SUBSTITUTE($G9," ",""))=0,0,LEN(SUBSTITUTE($G9," ",""))-LEN(SUBSTITUTE(SUBSTITUTE($G9," ",""),",",""))+1)</f>
        <v/>
      </c>
      <c r="F9" s="35">
        <f>SUMPRODUCT(ISNUMBER(SEARCH(","&amp;MASTER!$A$2:$A$2000&amp;",",","&amp;SUBSTITUTE($G9," ","")&amp;","))*((MASTER!$G$2:$G$2000="DONE")))</f>
        <v/>
      </c>
      <c r="G9" s="37" t="inlineStr">
        <is>
          <t>AI-001,AI-002,AI-003,AI-004</t>
        </is>
      </c>
      <c r="H9" s="35">
        <f>SUMPRODUCT(ISNUMBER(SEARCH(","&amp;MASTER!$A$2:$A$2000&amp;",",","&amp;SUBSTITUTE($G9," ","")&amp;","))*((MASTER!$G$2:$G$2000="IN_PROGRESS")+(MASTER!$G$2:$G$2000="IMPLEMENTED")+(MASTER!$G$2:$G$2000="TESTING")+(MASTER!$G$2:$G$2000="VERIFIED")))</f>
        <v/>
      </c>
      <c r="I9" s="35">
        <f>SUMPRODUCT(ISNUMBER(SEARCH(","&amp;MASTER!$A$2:$A$2000&amp;",",","&amp;SUBSTITUTE($G9," ","")&amp;","))*((MASTER!$G$2:$G$2000="BLOCKED")+(MASTER!$G$2:$G$2000="FAILED")))</f>
        <v/>
      </c>
      <c r="J9" s="37" t="inlineStr">
        <is>
          <t>Fixed in Phase 2 (AI-001..004): AI structure answers are checked token by token; any omission, negation removal, number/unit/date change, insertion, reordering, duplication or punctuation change is refused.</t>
        </is>
      </c>
    </row>
    <row r="10">
      <c r="A10" s="34" t="inlineStr">
        <is>
          <t>AUD-03</t>
        </is>
      </c>
      <c r="B10" s="31">
        <f>IF(E10=0,"OPEN",IF(F10=E10,"RESOLVED",IF(I10&gt;0,"BLOCKED",IF(H10+F10&gt;0,"IN_PROGRESS","OPEN"))))</f>
        <v/>
      </c>
      <c r="C10" s="33">
        <f>IF(E10=0,0,F10/E10)</f>
        <v/>
      </c>
      <c r="D10" s="37" t="inlineStr">
        <is>
          <t>Import/export silently changes hidden text, numbering, section headers, metadata, alt text, structure</t>
        </is>
      </c>
      <c r="E10" s="35">
        <f>IF(LEN(SUBSTITUTE($G10," ",""))=0,0,LEN(SUBSTITUTE($G10," ",""))-LEN(SUBSTITUTE(SUBSTITUTE($G10," ",""),",",""))+1)</f>
        <v/>
      </c>
      <c r="F10" s="35">
        <f>SUMPRODUCT(ISNUMBER(SEARCH(","&amp;MASTER!$A$2:$A$2000&amp;",",","&amp;SUBSTITUTE($G10," ","")&amp;","))*((MASTER!$G$2:$G$2000="DONE")))</f>
        <v/>
      </c>
      <c r="G10" s="37" t="inlineStr">
        <is>
          <t>FID-002,DOCX-011,DOCX-013,DOCX-015,DOCX-025</t>
        </is>
      </c>
      <c r="H10" s="35">
        <f>SUMPRODUCT(ISNUMBER(SEARCH(","&amp;MASTER!$A$2:$A$2000&amp;",",","&amp;SUBSTITUTE($G10," ","")&amp;","))*((MASTER!$G$2:$G$2000="IN_PROGRESS")+(MASTER!$G$2:$G$2000="IMPLEMENTED")+(MASTER!$G$2:$G$2000="TESTING")+(MASTER!$G$2:$G$2000="VERIFIED")))</f>
        <v/>
      </c>
      <c r="I10" s="35">
        <f>SUMPRODUCT(ISNUMBER(SEARCH(","&amp;MASTER!$A$2:$A$2000&amp;",",","&amp;SUBSTITUTE($G10," ","")&amp;","))*((MASTER!$G$2:$G$2000="BLOCKED")+(MASTER!$G$2:$G$2000="FAILED")))</f>
        <v/>
      </c>
      <c r="J10" s="37" t="n"/>
    </row>
    <row r="11">
      <c r="A11" s="34" t="inlineStr">
        <is>
          <t>AUD-04</t>
        </is>
      </c>
      <c r="B11" s="31">
        <f>IF(E11=0,"OPEN",IF(F11=E11,"RESOLVED",IF(I11&gt;0,"BLOCKED",IF(H11+F11&gt;0,"IN_PROGRESS","OPEN"))))</f>
        <v/>
      </c>
      <c r="C11" s="33">
        <f>IF(E11=0,0,F11/E11)</f>
        <v/>
      </c>
      <c r="D11" s="37" t="inlineStr">
        <is>
          <t>List numbering changes ('Чл. 1.' -&gt; '1.', '(a)' -&gt; 'a.', start values)</t>
        </is>
      </c>
      <c r="E11" s="35">
        <f>IF(LEN(SUBSTITUTE($G11," ",""))=0,0,LEN(SUBSTITUTE($G11," ",""))-LEN(SUBSTITUTE(SUBSTITUTE($G11," ",""),",",""))+1)</f>
        <v/>
      </c>
      <c r="F11" s="35">
        <f>SUMPRODUCT(ISNUMBER(SEARCH(","&amp;MASTER!$A$2:$A$2000&amp;",",","&amp;SUBSTITUTE($G11," ","")&amp;","))*((MASTER!$G$2:$G$2000="DONE")))</f>
        <v/>
      </c>
      <c r="G11" s="37" t="inlineStr">
        <is>
          <t>DOCX-016</t>
        </is>
      </c>
      <c r="H11" s="35">
        <f>SUMPRODUCT(ISNUMBER(SEARCH(","&amp;MASTER!$A$2:$A$2000&amp;",",","&amp;SUBSTITUTE($G11," ","")&amp;","))*((MASTER!$G$2:$G$2000="IN_PROGRESS")+(MASTER!$G$2:$G$2000="IMPLEMENTED")+(MASTER!$G$2:$G$2000="TESTING")+(MASTER!$G$2:$G$2000="VERIFIED")))</f>
        <v/>
      </c>
      <c r="I11" s="35">
        <f>SUMPRODUCT(ISNUMBER(SEARCH(","&amp;MASTER!$A$2:$A$2000&amp;",",","&amp;SUBSTITUTE($G11," ","")&amp;","))*((MASTER!$G$2:$G$2000="BLOCKED")+(MASTER!$G$2:$G$2000="FAILED")))</f>
        <v/>
      </c>
      <c r="J11" s="37" t="inlineStr">
        <is>
          <t>Partly fixed in 622d9c1: list format/start/continuation kept; custom labels ('Чл. 1.', '(a)') and multi-level labels reported, not kept yet (DOCX-016).</t>
        </is>
      </c>
    </row>
    <row r="12">
      <c r="A12" s="34" t="inlineStr">
        <is>
          <t>AUD-05</t>
        </is>
      </c>
      <c r="B12" s="31">
        <f>IF(E12=0,"OPEN",IF(F12=E12,"RESOLVED",IF(I12&gt;0,"BLOCKED",IF(H12+F12&gt;0,"IN_PROGRESS","OPEN"))))</f>
        <v/>
      </c>
      <c r="C12" s="33">
        <f>IF(E12=0,0,F12/E12)</f>
        <v/>
      </c>
      <c r="D12" s="37" t="inlineStr">
        <is>
          <t>AI instruction operations can delete/insert/move content without preview</t>
        </is>
      </c>
      <c r="E12" s="35">
        <f>IF(LEN(SUBSTITUTE($G12," ",""))=0,0,LEN(SUBSTITUTE($G12," ",""))-LEN(SUBSTITUTE(SUBSTITUTE($G12," ",""),",",""))+1)</f>
        <v/>
      </c>
      <c r="F12" s="35">
        <f>SUMPRODUCT(ISNUMBER(SEARCH(","&amp;MASTER!$A$2:$A$2000&amp;",",","&amp;SUBSTITUTE($G12," ","")&amp;","))*((MASTER!$G$2:$G$2000="DONE")))</f>
        <v/>
      </c>
      <c r="G12" s="37" t="inlineStr">
        <is>
          <t>AI-005,AI-006,AI-007,REV-003</t>
        </is>
      </c>
      <c r="H12" s="35">
        <f>SUMPRODUCT(ISNUMBER(SEARCH(","&amp;MASTER!$A$2:$A$2000&amp;",",","&amp;SUBSTITUTE($G12," ","")&amp;","))*((MASTER!$G$2:$G$2000="IN_PROGRESS")+(MASTER!$G$2:$G$2000="IMPLEMENTED")+(MASTER!$G$2:$G$2000="TESTING")+(MASTER!$G$2:$G$2000="VERIFIED")))</f>
        <v/>
      </c>
      <c r="I12" s="35">
        <f>SUMPRODUCT(ISNUMBER(SEARCH(","&amp;MASTER!$A$2:$A$2000&amp;",",","&amp;SUBSTITUTE($G12," ","")&amp;","))*((MASTER!$G$2:$G$2000="BLOCKED")+(MASTER!$G$2:$G$2000="FAILED")))</f>
        <v/>
      </c>
      <c r="J12" s="37" t="inlineStr">
        <is>
          <t>Fixed in Phase 2 (AI-005..AI-007): an instruction's insert/delete/move is a proposal the user sees and accepts or rejects; nothing is deleted silently.</t>
        </is>
      </c>
    </row>
    <row r="13">
      <c r="A13" s="34" t="inlineStr">
        <is>
          <t>AUD-06</t>
        </is>
      </c>
      <c r="B13" s="31">
        <f>IF(E13=0,"OPEN",IF(F13=E13,"RESOLVED",IF(I13&gt;0,"BLOCKED",IF(H13+F13&gt;0,"IN_PROGRESS","OPEN"))))</f>
        <v/>
      </c>
      <c r="C13" s="33">
        <f>IF(E13=0,0,F13/E13)</f>
        <v/>
      </c>
      <c r="D13" s="37" t="inlineStr">
        <is>
          <t>Content controls, metadata, comment threads, sensitivity information lost</t>
        </is>
      </c>
      <c r="E13" s="35">
        <f>IF(LEN(SUBSTITUTE($G13," ",""))=0,0,LEN(SUBSTITUTE($G13," ",""))-LEN(SUBSTITUTE(SUBSTITUTE($G13," ",""),",",""))+1)</f>
        <v/>
      </c>
      <c r="F13" s="35">
        <f>SUMPRODUCT(ISNUMBER(SEARCH(","&amp;MASTER!$A$2:$A$2000&amp;",",","&amp;SUBSTITUTE($G13," ","")&amp;","))*((MASTER!$G$2:$G$2000="DONE")))</f>
        <v/>
      </c>
      <c r="G13" s="37" t="inlineStr">
        <is>
          <t>DOCX-012,DOCX-021,DOCX-023</t>
        </is>
      </c>
      <c r="H13" s="35">
        <f>SUMPRODUCT(ISNUMBER(SEARCH(","&amp;MASTER!$A$2:$A$2000&amp;",",","&amp;SUBSTITUTE($G13," ","")&amp;","))*((MASTER!$G$2:$G$2000="IN_PROGRESS")+(MASTER!$G$2:$G$2000="IMPLEMENTED")+(MASTER!$G$2:$G$2000="TESTING")+(MASTER!$G$2:$G$2000="VERIFIED")))</f>
        <v/>
      </c>
      <c r="I13" s="35">
        <f>SUMPRODUCT(ISNUMBER(SEARCH(","&amp;MASTER!$A$2:$A$2000&amp;",",","&amp;SUBSTITUTE($G13," ","")&amp;","))*((MASTER!$G$2:$G$2000="BLOCKED")+(MASTER!$G$2:$G$2000="FAILED")))</f>
        <v/>
      </c>
      <c r="J13" s="37" t="n"/>
    </row>
    <row r="14">
      <c r="A14" s="34" t="inlineStr">
        <is>
          <t>AUD-07</t>
        </is>
      </c>
      <c r="B14" s="31">
        <f>IF(E14=0,"OPEN",IF(F14=E14,"RESOLVED",IF(I14&gt;0,"BLOCKED",IF(H14+F14&gt;0,"IN_PROGRESS","OPEN"))))</f>
        <v/>
      </c>
      <c r="C14" s="33">
        <f>IF(E14=0,0,F14/E14)</f>
        <v/>
      </c>
      <c r="D14" s="37" t="inlineStr">
        <is>
          <t>Image fidelity gaps: alt text, crop, rotation, formats</t>
        </is>
      </c>
      <c r="E14" s="35">
        <f>IF(LEN(SUBSTITUTE($G14," ",""))=0,0,LEN(SUBSTITUTE($G14," ",""))-LEN(SUBSTITUTE(SUBSTITUTE($G14," ",""),",",""))+1)</f>
        <v/>
      </c>
      <c r="F14" s="35">
        <f>SUMPRODUCT(ISNUMBER(SEARCH(","&amp;MASTER!$A$2:$A$2000&amp;",",","&amp;SUBSTITUTE($G14," ","")&amp;","))*((MASTER!$G$2:$G$2000="DONE")))</f>
        <v/>
      </c>
      <c r="G14" s="37" t="inlineStr">
        <is>
          <t>DOCX-018</t>
        </is>
      </c>
      <c r="H14" s="35">
        <f>SUMPRODUCT(ISNUMBER(SEARCH(","&amp;MASTER!$A$2:$A$2000&amp;",",","&amp;SUBSTITUTE($G14," ","")&amp;","))*((MASTER!$G$2:$G$2000="IN_PROGRESS")+(MASTER!$G$2:$G$2000="IMPLEMENTED")+(MASTER!$G$2:$G$2000="TESTING")+(MASTER!$G$2:$G$2000="VERIFIED")))</f>
        <v/>
      </c>
      <c r="I14" s="35">
        <f>SUMPRODUCT(ISNUMBER(SEARCH(","&amp;MASTER!$A$2:$A$2000&amp;",",","&amp;SUBSTITUTE($G14," ","")&amp;","))*((MASTER!$G$2:$G$2000="BLOCKED")+(MASTER!$G$2:$G$2000="FAILED")))</f>
        <v/>
      </c>
      <c r="J14" s="37" t="n"/>
    </row>
    <row r="15">
      <c r="A15" s="34" t="inlineStr">
        <is>
          <t>AUD-08</t>
        </is>
      </c>
      <c r="B15" s="31">
        <f>IF(E15=0,"OPEN",IF(F15=E15,"RESOLVED",IF(I15&gt;0,"BLOCKED",IF(H15+F15&gt;0,"IN_PROGRESS","OPEN"))))</f>
        <v/>
      </c>
      <c r="C15" s="33">
        <f>IF(E15=0,0,F15/E15)</f>
        <v/>
      </c>
      <c r="D15" s="37" t="inlineStr">
        <is>
          <t>Table export changes header state, borders, alignment, widths, geometry</t>
        </is>
      </c>
      <c r="E15" s="35">
        <f>IF(LEN(SUBSTITUTE($G15," ",""))=0,0,LEN(SUBSTITUTE($G15," ",""))-LEN(SUBSTITUTE(SUBSTITUTE($G15," ",""),",",""))+1)</f>
        <v/>
      </c>
      <c r="F15" s="35">
        <f>SUMPRODUCT(ISNUMBER(SEARCH(","&amp;MASTER!$A$2:$A$2000&amp;",",","&amp;SUBSTITUTE($G15," ","")&amp;","))*((MASTER!$G$2:$G$2000="DONE")))</f>
        <v/>
      </c>
      <c r="G15" s="37" t="inlineStr">
        <is>
          <t>DOCX-017</t>
        </is>
      </c>
      <c r="H15" s="35">
        <f>SUMPRODUCT(ISNUMBER(SEARCH(","&amp;MASTER!$A$2:$A$2000&amp;",",","&amp;SUBSTITUTE($G15," ","")&amp;","))*((MASTER!$G$2:$G$2000="IN_PROGRESS")+(MASTER!$G$2:$G$2000="IMPLEMENTED")+(MASTER!$G$2:$G$2000="TESTING")+(MASTER!$G$2:$G$2000="VERIFIED")))</f>
        <v/>
      </c>
      <c r="I15" s="35">
        <f>SUMPRODUCT(ISNUMBER(SEARCH(","&amp;MASTER!$A$2:$A$2000&amp;",",","&amp;SUBSTITUTE($G15," ","")&amp;","))*((MASTER!$G$2:$G$2000="BLOCKED")+(MASTER!$G$2:$G$2000="FAILED")))</f>
        <v/>
      </c>
      <c r="J15" s="37" t="n"/>
    </row>
    <row r="16">
      <c r="A16" s="34" t="inlineStr">
        <is>
          <t>AUD-09</t>
        </is>
      </c>
      <c r="B16" s="31">
        <f>IF(E16=0,"OPEN",IF(F16=E16,"RESOLVED",IF(I16&gt;0,"BLOCKED",IF(H16+F16&gt;0,"IN_PROGRESS","OPEN"))))</f>
        <v/>
      </c>
      <c r="C16" s="33">
        <f>IF(E16=0,0,F16/E16)</f>
        <v/>
      </c>
      <c r="D16" s="37" t="inlineStr">
        <is>
          <t>Large images cause huge memory consumption</t>
        </is>
      </c>
      <c r="E16" s="35">
        <f>IF(LEN(SUBSTITUTE($G16," ",""))=0,0,LEN(SUBSTITUTE($G16," ",""))-LEN(SUBSTITUTE(SUBSTITUTE($G16," ",""),",",""))+1)</f>
        <v/>
      </c>
      <c r="F16" s="35">
        <f>SUMPRODUCT(ISNUMBER(SEARCH(","&amp;MASTER!$A$2:$A$2000&amp;",",","&amp;SUBSTITUTE($G16," ","")&amp;","))*((MASTER!$G$2:$G$2000="DONE")))</f>
        <v/>
      </c>
      <c r="G16" s="37" t="inlineStr">
        <is>
          <t>SEC-012,SEC-013</t>
        </is>
      </c>
      <c r="H16" s="35">
        <f>SUMPRODUCT(ISNUMBER(SEARCH(","&amp;MASTER!$A$2:$A$2000&amp;",",","&amp;SUBSTITUTE($G16," ","")&amp;","))*((MASTER!$G$2:$G$2000="IN_PROGRESS")+(MASTER!$G$2:$G$2000="IMPLEMENTED")+(MASTER!$G$2:$G$2000="TESTING")+(MASTER!$G$2:$G$2000="VERIFIED")))</f>
        <v/>
      </c>
      <c r="I16" s="35">
        <f>SUMPRODUCT(ISNUMBER(SEARCH(","&amp;MASTER!$A$2:$A$2000&amp;",",","&amp;SUBSTITUTE($G16," ","")&amp;","))*((MASTER!$G$2:$G$2000="BLOCKED")+(MASTER!$G$2:$G$2000="FAILED")))</f>
        <v/>
      </c>
      <c r="J16" s="37" t="n"/>
    </row>
    <row r="17">
      <c r="A17" s="34" t="inlineStr">
        <is>
          <t>AUD-10</t>
        </is>
      </c>
      <c r="B17" s="31">
        <f>IF(E17=0,"OPEN",IF(F17=E17,"RESOLVED",IF(I17&gt;0,"BLOCKED",IF(H17+F17&gt;0,"IN_PROGRESS","OPEN"))))</f>
        <v/>
      </c>
      <c r="C17" s="33">
        <f>IF(E17=0,0,F17/E17)</f>
        <v/>
      </c>
      <c r="D17" s="37" t="inlineStr">
        <is>
          <t>Large tables have a performance problem</t>
        </is>
      </c>
      <c r="E17" s="35">
        <f>IF(LEN(SUBSTITUTE($G17," ",""))=0,0,LEN(SUBSTITUTE($G17," ",""))-LEN(SUBSTITUTE(SUBSTITUTE($G17," ",""),",",""))+1)</f>
        <v/>
      </c>
      <c r="F17" s="35">
        <f>SUMPRODUCT(ISNUMBER(SEARCH(","&amp;MASTER!$A$2:$A$2000&amp;",",","&amp;SUBSTITUTE($G17," ","")&amp;","))*((MASTER!$G$2:$G$2000="DONE")))</f>
        <v/>
      </c>
      <c r="G17" s="37" t="inlineStr">
        <is>
          <t>PERF-001</t>
        </is>
      </c>
      <c r="H17" s="35">
        <f>SUMPRODUCT(ISNUMBER(SEARCH(","&amp;MASTER!$A$2:$A$2000&amp;",",","&amp;SUBSTITUTE($G17," ","")&amp;","))*((MASTER!$G$2:$G$2000="IN_PROGRESS")+(MASTER!$G$2:$G$2000="IMPLEMENTED")+(MASTER!$G$2:$G$2000="TESTING")+(MASTER!$G$2:$G$2000="VERIFIED")))</f>
        <v/>
      </c>
      <c r="I17" s="35">
        <f>SUMPRODUCT(ISNUMBER(SEARCH(","&amp;MASTER!$A$2:$A$2000&amp;",",","&amp;SUBSTITUTE($G17," ","")&amp;","))*((MASTER!$G$2:$G$2000="BLOCKED")+(MASTER!$G$2:$G$2000="FAILED")))</f>
        <v/>
      </c>
      <c r="J17" s="37" t="n"/>
    </row>
    <row r="18">
      <c r="A18" s="34" t="inlineStr">
        <is>
          <t>AUD-11</t>
        </is>
      </c>
      <c r="B18" s="31">
        <f>IF(E18=0,"OPEN",IF(F18=E18,"RESOLVED",IF(I18&gt;0,"BLOCKED",IF(H18+F18&gt;0,"IN_PROGRESS","OPEN"))))</f>
        <v/>
      </c>
      <c r="C18" s="33">
        <f>IF(E18=0,0,F18/E18)</f>
        <v/>
      </c>
      <c r="D18" s="37" t="inlineStr">
        <is>
          <t>Plan limits have a concurrency race</t>
        </is>
      </c>
      <c r="E18" s="35">
        <f>IF(LEN(SUBSTITUTE($G18," ",""))=0,0,LEN(SUBSTITUTE($G18," ",""))-LEN(SUBSTITUTE(SUBSTITUTE($G18," ",""),",",""))+1)</f>
        <v/>
      </c>
      <c r="F18" s="35">
        <f>SUMPRODUCT(ISNUMBER(SEARCH(","&amp;MASTER!$A$2:$A$2000&amp;",",","&amp;SUBSTITUTE($G18," ","")&amp;","))*((MASTER!$G$2:$G$2000="DONE")))</f>
        <v/>
      </c>
      <c r="G18" s="37" t="inlineStr">
        <is>
          <t>PLAN-003</t>
        </is>
      </c>
      <c r="H18" s="35">
        <f>SUMPRODUCT(ISNUMBER(SEARCH(","&amp;MASTER!$A$2:$A$2000&amp;",",","&amp;SUBSTITUTE($G18," ","")&amp;","))*((MASTER!$G$2:$G$2000="IN_PROGRESS")+(MASTER!$G$2:$G$2000="IMPLEMENTED")+(MASTER!$G$2:$G$2000="TESTING")+(MASTER!$G$2:$G$2000="VERIFIED")))</f>
        <v/>
      </c>
      <c r="I18" s="35">
        <f>SUMPRODUCT(ISNUMBER(SEARCH(","&amp;MASTER!$A$2:$A$2000&amp;",",","&amp;SUBSTITUTE($G18," ","")&amp;","))*((MASTER!$G$2:$G$2000="BLOCKED")+(MASTER!$G$2:$G$2000="FAILED")))</f>
        <v/>
      </c>
      <c r="J18" s="37" t="n"/>
    </row>
    <row r="19">
      <c r="A19" s="34" t="inlineStr">
        <is>
          <t>AUD-12</t>
        </is>
      </c>
      <c r="B19" s="31">
        <f>IF(E19=0,"OPEN",IF(F19=E19,"RESOLVED",IF(I19&gt;0,"BLOCKED",IF(H19+F19&gt;0,"IN_PROGRESS","OPEN"))))</f>
        <v/>
      </c>
      <c r="C19" s="33">
        <f>IF(E19=0,0,F19/E19)</f>
        <v/>
      </c>
      <c r="D19" s="37" t="inlineStr">
        <is>
          <t>Malformed DOCX leads to HTTP 500</t>
        </is>
      </c>
      <c r="E19" s="35">
        <f>IF(LEN(SUBSTITUTE($G19," ",""))=0,0,LEN(SUBSTITUTE($G19," ",""))-LEN(SUBSTITUTE(SUBSTITUTE($G19," ",""),",",""))+1)</f>
        <v/>
      </c>
      <c r="F19" s="35">
        <f>SUMPRODUCT(ISNUMBER(SEARCH(","&amp;MASTER!$A$2:$A$2000&amp;",",","&amp;SUBSTITUTE($G19," ","")&amp;","))*((MASTER!$G$2:$G$2000="DONE")))</f>
        <v/>
      </c>
      <c r="G19" s="37" t="inlineStr">
        <is>
          <t>SEC-010,SEC-019</t>
        </is>
      </c>
      <c r="H19" s="35">
        <f>SUMPRODUCT(ISNUMBER(SEARCH(","&amp;MASTER!$A$2:$A$2000&amp;",",","&amp;SUBSTITUTE($G19," ","")&amp;","))*((MASTER!$G$2:$G$2000="IN_PROGRESS")+(MASTER!$G$2:$G$2000="IMPLEMENTED")+(MASTER!$G$2:$G$2000="TESTING")+(MASTER!$G$2:$G$2000="VERIFIED")))</f>
        <v/>
      </c>
      <c r="I19" s="35">
        <f>SUMPRODUCT(ISNUMBER(SEARCH(","&amp;MASTER!$A$2:$A$2000&amp;",",","&amp;SUBSTITUTE($G19," ","")&amp;","))*((MASTER!$G$2:$G$2000="BLOCKED")+(MASTER!$G$2:$G$2000="FAILED")))</f>
        <v/>
      </c>
      <c r="J19" s="37" t="n"/>
    </row>
    <row r="20">
      <c r="A20" s="34" t="inlineStr">
        <is>
          <t>AUD-13</t>
        </is>
      </c>
      <c r="B20" s="31">
        <f>IF(E20=0,"OPEN",IF(F20=E20,"RESOLVED",IF(I20&gt;0,"BLOCKED",IF(H20+F20&gt;0,"IN_PROGRESS","OPEN"))))</f>
        <v/>
      </c>
      <c r="C20" s="33">
        <f>IF(E20=0,0,F20/E20)</f>
        <v/>
      </c>
      <c r="D20" s="37" t="inlineStr">
        <is>
          <t>Dangerous href/field instructions must be filtered</t>
        </is>
      </c>
      <c r="E20" s="35">
        <f>IF(LEN(SUBSTITUTE($G20," ",""))=0,0,LEN(SUBSTITUTE($G20," ",""))-LEN(SUBSTITUTE(SUBSTITUTE($G20," ",""),",",""))+1)</f>
        <v/>
      </c>
      <c r="F20" s="35">
        <f>SUMPRODUCT(ISNUMBER(SEARCH(","&amp;MASTER!$A$2:$A$2000&amp;",",","&amp;SUBSTITUTE($G20," ","")&amp;","))*((MASTER!$G$2:$G$2000="DONE")))</f>
        <v/>
      </c>
      <c r="G20" s="37" t="inlineStr">
        <is>
          <t>SEC-014,SEC-015,SEC-016</t>
        </is>
      </c>
      <c r="H20" s="35">
        <f>SUMPRODUCT(ISNUMBER(SEARCH(","&amp;MASTER!$A$2:$A$2000&amp;",",","&amp;SUBSTITUTE($G20," ","")&amp;","))*((MASTER!$G$2:$G$2000="IN_PROGRESS")+(MASTER!$G$2:$G$2000="IMPLEMENTED")+(MASTER!$G$2:$G$2000="TESTING")+(MASTER!$G$2:$G$2000="VERIFIED")))</f>
        <v/>
      </c>
      <c r="I20" s="35">
        <f>SUMPRODUCT(ISNUMBER(SEARCH(","&amp;MASTER!$A$2:$A$2000&amp;",",","&amp;SUBSTITUTE($G20," ","")&amp;","))*((MASTER!$G$2:$G$2000="BLOCKED")+(MASTER!$G$2:$G$2000="FAILED")))</f>
        <v/>
      </c>
      <c r="J20" s="37" t="n"/>
    </row>
    <row r="21">
      <c r="A21" s="34" t="inlineStr">
        <is>
          <t>AUD-14</t>
        </is>
      </c>
      <c r="B21" s="31">
        <f>IF(E21=0,"OPEN",IF(F21=E21,"RESOLVED",IF(I21&gt;0,"BLOCKED",IF(H21+F21&gt;0,"IN_PROGRESS","OPEN"))))</f>
        <v/>
      </c>
      <c r="C21" s="33">
        <f>IF(E21=0,0,F21/E21)</f>
        <v/>
      </c>
      <c r="D21" s="37" t="inlineStr">
        <is>
          <t>Account essentials missing: reset, verification, change, deletion</t>
        </is>
      </c>
      <c r="E21" s="35">
        <f>IF(LEN(SUBSTITUTE($G21," ",""))=0,0,LEN(SUBSTITUTE($G21," ",""))-LEN(SUBSTITUTE(SUBSTITUTE($G21," ",""),",",""))+1)</f>
        <v/>
      </c>
      <c r="F21" s="35">
        <f>SUMPRODUCT(ISNUMBER(SEARCH(","&amp;MASTER!$A$2:$A$2000&amp;",",","&amp;SUBSTITUTE($G21," ","")&amp;","))*((MASTER!$G$2:$G$2000="DONE")))</f>
        <v/>
      </c>
      <c r="G21" s="37" t="inlineStr">
        <is>
          <t>ACCT-002,ACCT-003,ACCT-004,ACCT-005</t>
        </is>
      </c>
      <c r="H21" s="35">
        <f>SUMPRODUCT(ISNUMBER(SEARCH(","&amp;MASTER!$A$2:$A$2000&amp;",",","&amp;SUBSTITUTE($G21," ","")&amp;","))*((MASTER!$G$2:$G$2000="IN_PROGRESS")+(MASTER!$G$2:$G$2000="IMPLEMENTED")+(MASTER!$G$2:$G$2000="TESTING")+(MASTER!$G$2:$G$2000="VERIFIED")))</f>
        <v/>
      </c>
      <c r="I21" s="35">
        <f>SUMPRODUCT(ISNUMBER(SEARCH(","&amp;MASTER!$A$2:$A$2000&amp;",",","&amp;SUBSTITUTE($G21," ","")&amp;","))*((MASTER!$G$2:$G$2000="BLOCKED")+(MASTER!$G$2:$G$2000="FAILED")))</f>
        <v/>
      </c>
      <c r="J21" s="37" t="n"/>
    </row>
    <row r="22">
      <c r="A22" s="34" t="inlineStr">
        <is>
          <t>AUD-15</t>
        </is>
      </c>
      <c r="B22" s="31">
        <f>IF(E22=0,"OPEN",IF(F22=E22,"RESOLVED",IF(I22&gt;0,"BLOCKED",IF(H22+F22&gt;0,"IN_PROGRESS","OPEN"))))</f>
        <v/>
      </c>
      <c r="C22" s="33">
        <f>IF(E22=0,0,F22/E22)</f>
        <v/>
      </c>
      <c r="D22" s="37" t="inlineStr">
        <is>
          <t>Operations/monitoring must be confirmed</t>
        </is>
      </c>
      <c r="E22" s="35">
        <f>IF(LEN(SUBSTITUTE($G22," ",""))=0,0,LEN(SUBSTITUTE($G22," ",""))-LEN(SUBSTITUTE(SUBSTITUTE($G22," ",""),",",""))+1)</f>
        <v/>
      </c>
      <c r="F22" s="35">
        <f>SUMPRODUCT(ISNUMBER(SEARCH(","&amp;MASTER!$A$2:$A$2000&amp;",",","&amp;SUBSTITUTE($G22," ","")&amp;","))*((MASTER!$G$2:$G$2000="DONE")))</f>
        <v/>
      </c>
      <c r="G22" s="37" t="inlineStr">
        <is>
          <t>OBS-001,OBS-002,INFRA-010</t>
        </is>
      </c>
      <c r="H22" s="35">
        <f>SUMPRODUCT(ISNUMBER(SEARCH(","&amp;MASTER!$A$2:$A$2000&amp;",",","&amp;SUBSTITUTE($G22," ","")&amp;","))*((MASTER!$G$2:$G$2000="IN_PROGRESS")+(MASTER!$G$2:$G$2000="IMPLEMENTED")+(MASTER!$G$2:$G$2000="TESTING")+(MASTER!$G$2:$G$2000="VERIFIED")))</f>
        <v/>
      </c>
      <c r="I22" s="35">
        <f>SUMPRODUCT(ISNUMBER(SEARCH(","&amp;MASTER!$A$2:$A$2000&amp;",",","&amp;SUBSTITUTE($G22," ","")&amp;","))*((MASTER!$G$2:$G$2000="BLOCKED")+(MASTER!$G$2:$G$2000="FAILED")))</f>
        <v/>
      </c>
      <c r="J22" s="37" t="n"/>
    </row>
    <row r="23">
      <c r="A23" s="34" t="inlineStr">
        <is>
          <t>AUD-16</t>
        </is>
      </c>
      <c r="B23" s="31">
        <f>IF(E23=0,"OPEN",IF(F23=E23,"RESOLVED",IF(I23&gt;0,"BLOCKED",IF(H23+F23&gt;0,"IN_PROGRESS","OPEN"))))</f>
        <v/>
      </c>
      <c r="C23" s="33">
        <f>IF(E23=0,0,F23/E23)</f>
        <v/>
      </c>
      <c r="D23" s="37" t="inlineStr">
        <is>
          <t>Whole-document autosave must be optimised</t>
        </is>
      </c>
      <c r="E23" s="35">
        <f>IF(LEN(SUBSTITUTE($G23," ",""))=0,0,LEN(SUBSTITUTE($G23," ",""))-LEN(SUBSTITUTE(SUBSTITUTE($G23," ",""),",",""))+1)</f>
        <v/>
      </c>
      <c r="F23" s="35">
        <f>SUMPRODUCT(ISNUMBER(SEARCH(","&amp;MASTER!$A$2:$A$2000&amp;",",","&amp;SUBSTITUTE($G23," ","")&amp;","))*((MASTER!$G$2:$G$2000="DONE")))</f>
        <v/>
      </c>
      <c r="G23" s="37" t="inlineStr">
        <is>
          <t>PERF-003,PERF-004</t>
        </is>
      </c>
      <c r="H23" s="35">
        <f>SUMPRODUCT(ISNUMBER(SEARCH(","&amp;MASTER!$A$2:$A$2000&amp;",",","&amp;SUBSTITUTE($G23," ","")&amp;","))*((MASTER!$G$2:$G$2000="IN_PROGRESS")+(MASTER!$G$2:$G$2000="IMPLEMENTED")+(MASTER!$G$2:$G$2000="TESTING")+(MASTER!$G$2:$G$2000="VERIFIED")))</f>
        <v/>
      </c>
      <c r="I23" s="35">
        <f>SUMPRODUCT(ISNUMBER(SEARCH(","&amp;MASTER!$A$2:$A$2000&amp;",",","&amp;SUBSTITUTE($G23," ","")&amp;","))*((MASTER!$G$2:$G$2000="BLOCKED")+(MASTER!$G$2:$G$2000="FAILED")))</f>
        <v/>
      </c>
      <c r="J23" s="37" t="n"/>
    </row>
    <row r="24">
      <c r="A24" s="34" t="inlineStr">
        <is>
          <t>AUD-17</t>
        </is>
      </c>
      <c r="B24" s="31">
        <f>IF(E24=0,"OPEN",IF(F24=E24,"RESOLVED",IF(I24&gt;0,"BLOCKED",IF(H24+F24&gt;0,"IN_PROGRESS","OPEN"))))</f>
        <v/>
      </c>
      <c r="C24" s="33">
        <f>IF(E24=0,0,F24/E24)</f>
        <v/>
      </c>
      <c r="D24" s="37" t="inlineStr">
        <is>
          <t>PDF multilingual rendering must be reliable</t>
        </is>
      </c>
      <c r="E24" s="35">
        <f>IF(LEN(SUBSTITUTE($G24," ",""))=0,0,LEN(SUBSTITUTE($G24," ",""))-LEN(SUBSTITUTE(SUBSTITUTE($G24," ",""),",",""))+1)</f>
        <v/>
      </c>
      <c r="F24" s="35">
        <f>SUMPRODUCT(ISNUMBER(SEARCH(","&amp;MASTER!$A$2:$A$2000&amp;",",","&amp;SUBSTITUTE($G24," ","")&amp;","))*((MASTER!$G$2:$G$2000="DONE")))</f>
        <v/>
      </c>
      <c r="G24" s="37" t="inlineStr">
        <is>
          <t>FONT-003,FONT-006</t>
        </is>
      </c>
      <c r="H24" s="35">
        <f>SUMPRODUCT(ISNUMBER(SEARCH(","&amp;MASTER!$A$2:$A$2000&amp;",",","&amp;SUBSTITUTE($G24," ","")&amp;","))*((MASTER!$G$2:$G$2000="IN_PROGRESS")+(MASTER!$G$2:$G$2000="IMPLEMENTED")+(MASTER!$G$2:$G$2000="TESTING")+(MASTER!$G$2:$G$2000="VERIFIED")))</f>
        <v/>
      </c>
      <c r="I24" s="35">
        <f>SUMPRODUCT(ISNUMBER(SEARCH(","&amp;MASTER!$A$2:$A$2000&amp;",",","&amp;SUBSTITUTE($G24," ","")&amp;","))*((MASTER!$G$2:$G$2000="BLOCKED")+(MASTER!$G$2:$G$2000="FAILED")))</f>
        <v/>
      </c>
      <c r="J24" s="37" t="n"/>
    </row>
    <row r="25">
      <c r="A25" s="34" t="inlineStr">
        <is>
          <t>AUD-18</t>
        </is>
      </c>
      <c r="B25" s="31">
        <f>IF(E25=0,"OPEN",IF(F25=E25,"RESOLVED",IF(I25&gt;0,"BLOCKED",IF(H25+F25&gt;0,"IN_PROGRESS","OPEN"))))</f>
        <v/>
      </c>
      <c r="C25" s="33">
        <f>IF(E25=0,0,F25/E25)</f>
        <v/>
      </c>
      <c r="D25" s="37" t="inlineStr">
        <is>
          <t>Export metadata must be correct</t>
        </is>
      </c>
      <c r="E25" s="35">
        <f>IF(LEN(SUBSTITUTE($G25," ",""))=0,0,LEN(SUBSTITUTE($G25," ",""))-LEN(SUBSTITUTE(SUBSTITUTE($G25," ",""),",",""))+1)</f>
        <v/>
      </c>
      <c r="F25" s="35">
        <f>SUMPRODUCT(ISNUMBER(SEARCH(","&amp;MASTER!$A$2:$A$2000&amp;",",","&amp;SUBSTITUTE($G25," ","")&amp;","))*((MASTER!$G$2:$G$2000="DONE")))</f>
        <v/>
      </c>
      <c r="G25" s="37" t="inlineStr">
        <is>
          <t>DOCX-012,DOCX-020</t>
        </is>
      </c>
      <c r="H25" s="35">
        <f>SUMPRODUCT(ISNUMBER(SEARCH(","&amp;MASTER!$A$2:$A$2000&amp;",",","&amp;SUBSTITUTE($G25," ","")&amp;","))*((MASTER!$G$2:$G$2000="IN_PROGRESS")+(MASTER!$G$2:$G$2000="IMPLEMENTED")+(MASTER!$G$2:$G$2000="TESTING")+(MASTER!$G$2:$G$2000="VERIFIED")))</f>
        <v/>
      </c>
      <c r="I25" s="35">
        <f>SUMPRODUCT(ISNUMBER(SEARCH(","&amp;MASTER!$A$2:$A$2000&amp;",",","&amp;SUBSTITUTE($G25," ","")&amp;","))*((MASTER!$G$2:$G$2000="BLOCKED")+(MASTER!$G$2:$G$2000="FAILED")))</f>
        <v/>
      </c>
      <c r="J25" s="37" t="inlineStr">
        <is>
          <t>Partly fixed in 622d9c1: Word exports carry the source file's core properties (author, dates, subject...) instead of 'python-docx'/2013; fields remain (DOCX-020).</t>
        </is>
      </c>
    </row>
    <row r="26">
      <c r="A26" s="34" t="inlineStr">
        <is>
          <t>AUD-19</t>
        </is>
      </c>
      <c r="B26" s="31">
        <f>IF(E26=0,"OPEN",IF(F26=E26,"RESOLVED",IF(I26&gt;0,"BLOCKED",IF(H26+F26&gt;0,"IN_PROGRESS","OPEN"))))</f>
        <v/>
      </c>
      <c r="C26" s="33">
        <f>IF(E26=0,0,F26/E26)</f>
        <v/>
      </c>
      <c r="D26" s="37" t="inlineStr">
        <is>
          <t>Canonical model must represent more than paragraphs + runs + simple tables</t>
        </is>
      </c>
      <c r="E26" s="35">
        <f>IF(LEN(SUBSTITUTE($G26," ",""))=0,0,LEN(SUBSTITUTE($G26," ",""))-LEN(SUBSTITUTE(SUBSTITUTE($G26," ",""),",",""))+1)</f>
        <v/>
      </c>
      <c r="F26" s="35">
        <f>SUMPRODUCT(ISNUMBER(SEARCH(","&amp;MASTER!$A$2:$A$2000&amp;",",","&amp;SUBSTITUTE($G26," ","")&amp;","))*((MASTER!$G$2:$G$2000="DONE")))</f>
        <v/>
      </c>
      <c r="G26" s="37" t="inlineStr">
        <is>
          <t>CORE-001,DOCX-015,DOCX-016,DOCX-017</t>
        </is>
      </c>
      <c r="H26" s="35">
        <f>SUMPRODUCT(ISNUMBER(SEARCH(","&amp;MASTER!$A$2:$A$2000&amp;",",","&amp;SUBSTITUTE($G26," ","")&amp;","))*((MASTER!$G$2:$G$2000="IN_PROGRESS")+(MASTER!$G$2:$G$2000="IMPLEMENTED")+(MASTER!$G$2:$G$2000="TESTING")+(MASTER!$G$2:$G$2000="VERIFIED")))</f>
        <v/>
      </c>
      <c r="I26" s="35">
        <f>SUMPRODUCT(ISNUMBER(SEARCH(","&amp;MASTER!$A$2:$A$2000&amp;",",","&amp;SUBSTITUTE($G26," ","")&amp;","))*((MASTER!$G$2:$G$2000="BLOCKED")+(MASTER!$G$2:$G$2000="FAILED")))</f>
        <v/>
      </c>
      <c r="J26" s="37" t="n"/>
    </row>
    <row r="27">
      <c r="A27" s="34" t="inlineStr">
        <is>
          <t>AUD-20</t>
        </is>
      </c>
      <c r="B27" s="31">
        <f>IF(E27=0,"OPEN",IF(F27=E27,"RESOLVED",IF(I27&gt;0,"BLOCKED",IF(H27+F27&gt;0,"IN_PROGRESS","OPEN"))))</f>
        <v/>
      </c>
      <c r="C27" s="33">
        <f>IF(E27=0,0,F27/E27)</f>
        <v/>
      </c>
      <c r="D27" s="37" t="inlineStr">
        <is>
          <t>Tests can miss import-side data loss (model-relative comparison)</t>
        </is>
      </c>
      <c r="E27" s="35">
        <f>IF(LEN(SUBSTITUTE($G27," ",""))=0,0,LEN(SUBSTITUTE($G27," ",""))-LEN(SUBSTITUTE(SUBSTITUTE($G27," ",""),",",""))+1)</f>
        <v/>
      </c>
      <c r="F27" s="35">
        <f>SUMPRODUCT(ISNUMBER(SEARCH(","&amp;MASTER!$A$2:$A$2000&amp;",",","&amp;SUBSTITUTE($G27," ","")&amp;","))*((MASTER!$G$2:$G$2000="DONE")))</f>
        <v/>
      </c>
      <c r="G27" s="37" t="inlineStr">
        <is>
          <t>TEST-020,TEST-021,TEST-022</t>
        </is>
      </c>
      <c r="H27" s="35">
        <f>SUMPRODUCT(ISNUMBER(SEARCH(","&amp;MASTER!$A$2:$A$2000&amp;",",","&amp;SUBSTITUTE($G27," ","")&amp;","))*((MASTER!$G$2:$G$2000="IN_PROGRESS")+(MASTER!$G$2:$G$2000="IMPLEMENTED")+(MASTER!$G$2:$G$2000="TESTING")+(MASTER!$G$2:$G$2000="VERIFIED")))</f>
        <v/>
      </c>
      <c r="I27" s="35">
        <f>SUMPRODUCT(ISNUMBER(SEARCH(","&amp;MASTER!$A$2:$A$2000&amp;",",","&amp;SUBSTITUTE($G27," ","")&amp;","))*((MASTER!$G$2:$G$2000="BLOCKED")+(MASTER!$G$2:$G$2000="FAILED")))</f>
        <v/>
      </c>
      <c r="J27" s="37" t="n"/>
    </row>
    <row r="30">
      <c r="A30" s="24" t="inlineStr">
        <is>
          <t>P0 tasks (live from MASTER)</t>
        </is>
      </c>
    </row>
    <row r="31">
      <c r="A31" s="29" t="inlineStr">
        <is>
          <t>ID</t>
        </is>
      </c>
      <c r="B31" s="29" t="inlineStr">
        <is>
          <t>Category</t>
        </is>
      </c>
      <c r="C31" s="29" t="inlineStr">
        <is>
          <t>Phase</t>
        </is>
      </c>
      <c r="D31" s="29" t="inlineStr">
        <is>
          <t>Feature/Task</t>
        </is>
      </c>
      <c r="E31" s="29" t="inlineStr">
        <is>
          <t>Priority</t>
        </is>
      </c>
      <c r="F31" s="29" t="inlineStr">
        <is>
          <t>Status</t>
        </is>
      </c>
      <c r="G31" s="29" t="inlineStr">
        <is>
          <t>Evidence</t>
        </is>
      </c>
      <c r="H31" s="29" t="inlineStr">
        <is>
          <t>Tests</t>
        </is>
      </c>
      <c r="I31" s="29" t="inlineStr">
        <is>
          <t>Last Verified</t>
        </is>
      </c>
      <c r="J31" s="29" t="inlineStr">
        <is>
          <t>Commit</t>
        </is>
      </c>
      <c r="K31" s="29" t="inlineStr">
        <is>
          <t>Notes</t>
        </is>
      </c>
      <c r="L31" s="29" t="inlineStr">
        <is>
          <t>Parent ID</t>
        </is>
      </c>
    </row>
    <row r="32">
      <c r="A32" s="34" t="inlineStr">
        <is>
          <t>INFRA-001</t>
        </is>
      </c>
      <c r="B32" s="31">
        <f>IFERROR(INDEX(MASTER!$C$2:$C$2000,MATCH($A32,MASTER!$A$2:$A$2000,0))&amp;"","")</f>
        <v/>
      </c>
      <c r="C32" s="35">
        <f>IFERROR(INDEX(MASTER!$B$2:$B$2000,MATCH($A32,MASTER!$A$2:$A$2000,0)),"")</f>
        <v/>
      </c>
      <c r="D32" s="31">
        <f>IFERROR(INDEX(MASTER!$D$2:$D$2000,MATCH($A32,MASTER!$A$2:$A$2000,0))&amp;"","")</f>
        <v/>
      </c>
      <c r="E32" s="31">
        <f>IFERROR(INDEX(MASTER!$F$2:$F$2000,MATCH($A32,MASTER!$A$2:$A$2000,0))&amp;"","")</f>
        <v/>
      </c>
      <c r="F32" s="31">
        <f>IFERROR(INDEX(MASTER!$G$2:$G$2000,MATCH($A32,MASTER!$A$2:$A$2000,0))&amp;"","NOT IN MASTER")</f>
        <v/>
      </c>
      <c r="G32" s="31">
        <f>IFERROR(INDEX(MASTER!$H$2:$H$2000,MATCH($A32,MASTER!$A$2:$A$2000,0))&amp;"","")</f>
        <v/>
      </c>
      <c r="H32" s="31">
        <f>IFERROR(INDEX(MASTER!$I$2:$I$2000,MATCH($A32,MASTER!$A$2:$A$2000,0))&amp;"","")</f>
        <v/>
      </c>
      <c r="I32" s="41">
        <f>IFERROR(IF(INDEX(MASTER!$O$2:$O$2000,MATCH($A32,MASTER!$A$2:$A$2000,0))="","",INDEX(MASTER!$O$2:$O$2000,MATCH($A32,MASTER!$A$2:$A$2000,0))),"")</f>
        <v/>
      </c>
      <c r="J32" s="31">
        <f>IFERROR(INDEX(MASTER!$P$2:$P$2000,MATCH($A32,MASTER!$A$2:$A$2000,0))&amp;"","")</f>
        <v/>
      </c>
      <c r="K32" s="31">
        <f>IFERROR(INDEX(MASTER!$Q$2:$Q$2000,MATCH($A32,MASTER!$A$2:$A$2000,0))&amp;"","")</f>
        <v/>
      </c>
      <c r="L32" s="31">
        <f>IFERROR(INDEX(MASTER!$R$2:$R$2000,MATCH($A32,MASTER!$A$2:$A$2000,0))&amp;"","")</f>
        <v/>
      </c>
    </row>
    <row r="33">
      <c r="A33" s="34" t="inlineStr">
        <is>
          <t>INFRA-002</t>
        </is>
      </c>
      <c r="B33" s="31">
        <f>IFERROR(INDEX(MASTER!$C$2:$C$2000,MATCH($A33,MASTER!$A$2:$A$2000,0))&amp;"","")</f>
        <v/>
      </c>
      <c r="C33" s="35">
        <f>IFERROR(INDEX(MASTER!$B$2:$B$2000,MATCH($A33,MASTER!$A$2:$A$2000,0)),"")</f>
        <v/>
      </c>
      <c r="D33" s="31">
        <f>IFERROR(INDEX(MASTER!$D$2:$D$2000,MATCH($A33,MASTER!$A$2:$A$2000,0))&amp;"","")</f>
        <v/>
      </c>
      <c r="E33" s="31">
        <f>IFERROR(INDEX(MASTER!$F$2:$F$2000,MATCH($A33,MASTER!$A$2:$A$2000,0))&amp;"","")</f>
        <v/>
      </c>
      <c r="F33" s="31">
        <f>IFERROR(INDEX(MASTER!$G$2:$G$2000,MATCH($A33,MASTER!$A$2:$A$2000,0))&amp;"","NOT IN MASTER")</f>
        <v/>
      </c>
      <c r="G33" s="31">
        <f>IFERROR(INDEX(MASTER!$H$2:$H$2000,MATCH($A33,MASTER!$A$2:$A$2000,0))&amp;"","")</f>
        <v/>
      </c>
      <c r="H33" s="31">
        <f>IFERROR(INDEX(MASTER!$I$2:$I$2000,MATCH($A33,MASTER!$A$2:$A$2000,0))&amp;"","")</f>
        <v/>
      </c>
      <c r="I33" s="41">
        <f>IFERROR(IF(INDEX(MASTER!$O$2:$O$2000,MATCH($A33,MASTER!$A$2:$A$2000,0))="","",INDEX(MASTER!$O$2:$O$2000,MATCH($A33,MASTER!$A$2:$A$2000,0))),"")</f>
        <v/>
      </c>
      <c r="J33" s="31">
        <f>IFERROR(INDEX(MASTER!$P$2:$P$2000,MATCH($A33,MASTER!$A$2:$A$2000,0))&amp;"","")</f>
        <v/>
      </c>
      <c r="K33" s="31">
        <f>IFERROR(INDEX(MASTER!$Q$2:$Q$2000,MATCH($A33,MASTER!$A$2:$A$2000,0))&amp;"","")</f>
        <v/>
      </c>
      <c r="L33" s="31">
        <f>IFERROR(INDEX(MASTER!$R$2:$R$2000,MATCH($A33,MASTER!$A$2:$A$2000,0))&amp;"","")</f>
        <v/>
      </c>
    </row>
    <row r="34">
      <c r="A34" s="34" t="inlineStr">
        <is>
          <t>TEST-001</t>
        </is>
      </c>
      <c r="B34" s="31">
        <f>IFERROR(INDEX(MASTER!$C$2:$C$2000,MATCH($A34,MASTER!$A$2:$A$2000,0))&amp;"","")</f>
        <v/>
      </c>
      <c r="C34" s="35">
        <f>IFERROR(INDEX(MASTER!$B$2:$B$2000,MATCH($A34,MASTER!$A$2:$A$2000,0)),"")</f>
        <v/>
      </c>
      <c r="D34" s="31">
        <f>IFERROR(INDEX(MASTER!$D$2:$D$2000,MATCH($A34,MASTER!$A$2:$A$2000,0))&amp;"","")</f>
        <v/>
      </c>
      <c r="E34" s="31">
        <f>IFERROR(INDEX(MASTER!$F$2:$F$2000,MATCH($A34,MASTER!$A$2:$A$2000,0))&amp;"","")</f>
        <v/>
      </c>
      <c r="F34" s="31">
        <f>IFERROR(INDEX(MASTER!$G$2:$G$2000,MATCH($A34,MASTER!$A$2:$A$2000,0))&amp;"","NOT IN MASTER")</f>
        <v/>
      </c>
      <c r="G34" s="31">
        <f>IFERROR(INDEX(MASTER!$H$2:$H$2000,MATCH($A34,MASTER!$A$2:$A$2000,0))&amp;"","")</f>
        <v/>
      </c>
      <c r="H34" s="31">
        <f>IFERROR(INDEX(MASTER!$I$2:$I$2000,MATCH($A34,MASTER!$A$2:$A$2000,0))&amp;"","")</f>
        <v/>
      </c>
      <c r="I34" s="41">
        <f>IFERROR(IF(INDEX(MASTER!$O$2:$O$2000,MATCH($A34,MASTER!$A$2:$A$2000,0))="","",INDEX(MASTER!$O$2:$O$2000,MATCH($A34,MASTER!$A$2:$A$2000,0))),"")</f>
        <v/>
      </c>
      <c r="J34" s="31">
        <f>IFERROR(INDEX(MASTER!$P$2:$P$2000,MATCH($A34,MASTER!$A$2:$A$2000,0))&amp;"","")</f>
        <v/>
      </c>
      <c r="K34" s="31">
        <f>IFERROR(INDEX(MASTER!$Q$2:$Q$2000,MATCH($A34,MASTER!$A$2:$A$2000,0))&amp;"","")</f>
        <v/>
      </c>
      <c r="L34" s="31">
        <f>IFERROR(INDEX(MASTER!$R$2:$R$2000,MATCH($A34,MASTER!$A$2:$A$2000,0))&amp;"","")</f>
        <v/>
      </c>
    </row>
    <row r="35">
      <c r="A35" s="34" t="inlineStr">
        <is>
          <t>TEST-002</t>
        </is>
      </c>
      <c r="B35" s="31">
        <f>IFERROR(INDEX(MASTER!$C$2:$C$2000,MATCH($A35,MASTER!$A$2:$A$2000,0))&amp;"","")</f>
        <v/>
      </c>
      <c r="C35" s="35">
        <f>IFERROR(INDEX(MASTER!$B$2:$B$2000,MATCH($A35,MASTER!$A$2:$A$2000,0)),"")</f>
        <v/>
      </c>
      <c r="D35" s="31">
        <f>IFERROR(INDEX(MASTER!$D$2:$D$2000,MATCH($A35,MASTER!$A$2:$A$2000,0))&amp;"","")</f>
        <v/>
      </c>
      <c r="E35" s="31">
        <f>IFERROR(INDEX(MASTER!$F$2:$F$2000,MATCH($A35,MASTER!$A$2:$A$2000,0))&amp;"","")</f>
        <v/>
      </c>
      <c r="F35" s="31">
        <f>IFERROR(INDEX(MASTER!$G$2:$G$2000,MATCH($A35,MASTER!$A$2:$A$2000,0))&amp;"","NOT IN MASTER")</f>
        <v/>
      </c>
      <c r="G35" s="31">
        <f>IFERROR(INDEX(MASTER!$H$2:$H$2000,MATCH($A35,MASTER!$A$2:$A$2000,0))&amp;"","")</f>
        <v/>
      </c>
      <c r="H35" s="31">
        <f>IFERROR(INDEX(MASTER!$I$2:$I$2000,MATCH($A35,MASTER!$A$2:$A$2000,0))&amp;"","")</f>
        <v/>
      </c>
      <c r="I35" s="41">
        <f>IFERROR(IF(INDEX(MASTER!$O$2:$O$2000,MATCH($A35,MASTER!$A$2:$A$2000,0))="","",INDEX(MASTER!$O$2:$O$2000,MATCH($A35,MASTER!$A$2:$A$2000,0))),"")</f>
        <v/>
      </c>
      <c r="J35" s="31">
        <f>IFERROR(INDEX(MASTER!$P$2:$P$2000,MATCH($A35,MASTER!$A$2:$A$2000,0))&amp;"","")</f>
        <v/>
      </c>
      <c r="K35" s="31">
        <f>IFERROR(INDEX(MASTER!$Q$2:$Q$2000,MATCH($A35,MASTER!$A$2:$A$2000,0))&amp;"","")</f>
        <v/>
      </c>
      <c r="L35" s="31">
        <f>IFERROR(INDEX(MASTER!$R$2:$R$2000,MATCH($A35,MASTER!$A$2:$A$2000,0))&amp;"","")</f>
        <v/>
      </c>
    </row>
    <row r="36">
      <c r="A36" s="34" t="inlineStr">
        <is>
          <t>TEST-003</t>
        </is>
      </c>
      <c r="B36" s="31">
        <f>IFERROR(INDEX(MASTER!$C$2:$C$2000,MATCH($A36,MASTER!$A$2:$A$2000,0))&amp;"","")</f>
        <v/>
      </c>
      <c r="C36" s="35">
        <f>IFERROR(INDEX(MASTER!$B$2:$B$2000,MATCH($A36,MASTER!$A$2:$A$2000,0)),"")</f>
        <v/>
      </c>
      <c r="D36" s="31">
        <f>IFERROR(INDEX(MASTER!$D$2:$D$2000,MATCH($A36,MASTER!$A$2:$A$2000,0))&amp;"","")</f>
        <v/>
      </c>
      <c r="E36" s="31">
        <f>IFERROR(INDEX(MASTER!$F$2:$F$2000,MATCH($A36,MASTER!$A$2:$A$2000,0))&amp;"","")</f>
        <v/>
      </c>
      <c r="F36" s="31">
        <f>IFERROR(INDEX(MASTER!$G$2:$G$2000,MATCH($A36,MASTER!$A$2:$A$2000,0))&amp;"","NOT IN MASTER")</f>
        <v/>
      </c>
      <c r="G36" s="31">
        <f>IFERROR(INDEX(MASTER!$H$2:$H$2000,MATCH($A36,MASTER!$A$2:$A$2000,0))&amp;"","")</f>
        <v/>
      </c>
      <c r="H36" s="31">
        <f>IFERROR(INDEX(MASTER!$I$2:$I$2000,MATCH($A36,MASTER!$A$2:$A$2000,0))&amp;"","")</f>
        <v/>
      </c>
      <c r="I36" s="41">
        <f>IFERROR(IF(INDEX(MASTER!$O$2:$O$2000,MATCH($A36,MASTER!$A$2:$A$2000,0))="","",INDEX(MASTER!$O$2:$O$2000,MATCH($A36,MASTER!$A$2:$A$2000,0))),"")</f>
        <v/>
      </c>
      <c r="J36" s="31">
        <f>IFERROR(INDEX(MASTER!$P$2:$P$2000,MATCH($A36,MASTER!$A$2:$A$2000,0))&amp;"","")</f>
        <v/>
      </c>
      <c r="K36" s="31">
        <f>IFERROR(INDEX(MASTER!$Q$2:$Q$2000,MATCH($A36,MASTER!$A$2:$A$2000,0))&amp;"","")</f>
        <v/>
      </c>
      <c r="L36" s="31">
        <f>IFERROR(INDEX(MASTER!$R$2:$R$2000,MATCH($A36,MASTER!$A$2:$A$2000,0))&amp;"","")</f>
        <v/>
      </c>
    </row>
    <row r="37">
      <c r="A37" s="34" t="inlineStr">
        <is>
          <t>TEST-004</t>
        </is>
      </c>
      <c r="B37" s="31">
        <f>IFERROR(INDEX(MASTER!$C$2:$C$2000,MATCH($A37,MASTER!$A$2:$A$2000,0))&amp;"","")</f>
        <v/>
      </c>
      <c r="C37" s="35">
        <f>IFERROR(INDEX(MASTER!$B$2:$B$2000,MATCH($A37,MASTER!$A$2:$A$2000,0)),"")</f>
        <v/>
      </c>
      <c r="D37" s="31">
        <f>IFERROR(INDEX(MASTER!$D$2:$D$2000,MATCH($A37,MASTER!$A$2:$A$2000,0))&amp;"","")</f>
        <v/>
      </c>
      <c r="E37" s="31">
        <f>IFERROR(INDEX(MASTER!$F$2:$F$2000,MATCH($A37,MASTER!$A$2:$A$2000,0))&amp;"","")</f>
        <v/>
      </c>
      <c r="F37" s="31">
        <f>IFERROR(INDEX(MASTER!$G$2:$G$2000,MATCH($A37,MASTER!$A$2:$A$2000,0))&amp;"","NOT IN MASTER")</f>
        <v/>
      </c>
      <c r="G37" s="31">
        <f>IFERROR(INDEX(MASTER!$H$2:$H$2000,MATCH($A37,MASTER!$A$2:$A$2000,0))&amp;"","")</f>
        <v/>
      </c>
      <c r="H37" s="31">
        <f>IFERROR(INDEX(MASTER!$I$2:$I$2000,MATCH($A37,MASTER!$A$2:$A$2000,0))&amp;"","")</f>
        <v/>
      </c>
      <c r="I37" s="41">
        <f>IFERROR(IF(INDEX(MASTER!$O$2:$O$2000,MATCH($A37,MASTER!$A$2:$A$2000,0))="","",INDEX(MASTER!$O$2:$O$2000,MATCH($A37,MASTER!$A$2:$A$2000,0))),"")</f>
        <v/>
      </c>
      <c r="J37" s="31">
        <f>IFERROR(INDEX(MASTER!$P$2:$P$2000,MATCH($A37,MASTER!$A$2:$A$2000,0))&amp;"","")</f>
        <v/>
      </c>
      <c r="K37" s="31">
        <f>IFERROR(INDEX(MASTER!$Q$2:$Q$2000,MATCH($A37,MASTER!$A$2:$A$2000,0))&amp;"","")</f>
        <v/>
      </c>
      <c r="L37" s="31">
        <f>IFERROR(INDEX(MASTER!$R$2:$R$2000,MATCH($A37,MASTER!$A$2:$A$2000,0))&amp;"","")</f>
        <v/>
      </c>
    </row>
    <row r="38">
      <c r="A38" s="34" t="inlineStr">
        <is>
          <t>DOCS-001</t>
        </is>
      </c>
      <c r="B38" s="31">
        <f>IFERROR(INDEX(MASTER!$C$2:$C$2000,MATCH($A38,MASTER!$A$2:$A$2000,0))&amp;"","")</f>
        <v/>
      </c>
      <c r="C38" s="35">
        <f>IFERROR(INDEX(MASTER!$B$2:$B$2000,MATCH($A38,MASTER!$A$2:$A$2000,0)),"")</f>
        <v/>
      </c>
      <c r="D38" s="31">
        <f>IFERROR(INDEX(MASTER!$D$2:$D$2000,MATCH($A38,MASTER!$A$2:$A$2000,0))&amp;"","")</f>
        <v/>
      </c>
      <c r="E38" s="31">
        <f>IFERROR(INDEX(MASTER!$F$2:$F$2000,MATCH($A38,MASTER!$A$2:$A$2000,0))&amp;"","")</f>
        <v/>
      </c>
      <c r="F38" s="31">
        <f>IFERROR(INDEX(MASTER!$G$2:$G$2000,MATCH($A38,MASTER!$A$2:$A$2000,0))&amp;"","NOT IN MASTER")</f>
        <v/>
      </c>
      <c r="G38" s="31">
        <f>IFERROR(INDEX(MASTER!$H$2:$H$2000,MATCH($A38,MASTER!$A$2:$A$2000,0))&amp;"","")</f>
        <v/>
      </c>
      <c r="H38" s="31">
        <f>IFERROR(INDEX(MASTER!$I$2:$I$2000,MATCH($A38,MASTER!$A$2:$A$2000,0))&amp;"","")</f>
        <v/>
      </c>
      <c r="I38" s="41">
        <f>IFERROR(IF(INDEX(MASTER!$O$2:$O$2000,MATCH($A38,MASTER!$A$2:$A$2000,0))="","",INDEX(MASTER!$O$2:$O$2000,MATCH($A38,MASTER!$A$2:$A$2000,0))),"")</f>
        <v/>
      </c>
      <c r="J38" s="31">
        <f>IFERROR(INDEX(MASTER!$P$2:$P$2000,MATCH($A38,MASTER!$A$2:$A$2000,0))&amp;"","")</f>
        <v/>
      </c>
      <c r="K38" s="31">
        <f>IFERROR(INDEX(MASTER!$Q$2:$Q$2000,MATCH($A38,MASTER!$A$2:$A$2000,0))&amp;"","")</f>
        <v/>
      </c>
      <c r="L38" s="31">
        <f>IFERROR(INDEX(MASTER!$R$2:$R$2000,MATCH($A38,MASTER!$A$2:$A$2000,0))&amp;"","")</f>
        <v/>
      </c>
    </row>
    <row r="39">
      <c r="A39" s="34" t="inlineStr">
        <is>
          <t>CORE-001</t>
        </is>
      </c>
      <c r="B39" s="31">
        <f>IFERROR(INDEX(MASTER!$C$2:$C$2000,MATCH($A39,MASTER!$A$2:$A$2000,0))&amp;"","")</f>
        <v/>
      </c>
      <c r="C39" s="35">
        <f>IFERROR(INDEX(MASTER!$B$2:$B$2000,MATCH($A39,MASTER!$A$2:$A$2000,0)),"")</f>
        <v/>
      </c>
      <c r="D39" s="31">
        <f>IFERROR(INDEX(MASTER!$D$2:$D$2000,MATCH($A39,MASTER!$A$2:$A$2000,0))&amp;"","")</f>
        <v/>
      </c>
      <c r="E39" s="31">
        <f>IFERROR(INDEX(MASTER!$F$2:$F$2000,MATCH($A39,MASTER!$A$2:$A$2000,0))&amp;"","")</f>
        <v/>
      </c>
      <c r="F39" s="31">
        <f>IFERROR(INDEX(MASTER!$G$2:$G$2000,MATCH($A39,MASTER!$A$2:$A$2000,0))&amp;"","NOT IN MASTER")</f>
        <v/>
      </c>
      <c r="G39" s="31">
        <f>IFERROR(INDEX(MASTER!$H$2:$H$2000,MATCH($A39,MASTER!$A$2:$A$2000,0))&amp;"","")</f>
        <v/>
      </c>
      <c r="H39" s="31">
        <f>IFERROR(INDEX(MASTER!$I$2:$I$2000,MATCH($A39,MASTER!$A$2:$A$2000,0))&amp;"","")</f>
        <v/>
      </c>
      <c r="I39" s="41">
        <f>IFERROR(IF(INDEX(MASTER!$O$2:$O$2000,MATCH($A39,MASTER!$A$2:$A$2000,0))="","",INDEX(MASTER!$O$2:$O$2000,MATCH($A39,MASTER!$A$2:$A$2000,0))),"")</f>
        <v/>
      </c>
      <c r="J39" s="31">
        <f>IFERROR(INDEX(MASTER!$P$2:$P$2000,MATCH($A39,MASTER!$A$2:$A$2000,0))&amp;"","")</f>
        <v/>
      </c>
      <c r="K39" s="31">
        <f>IFERROR(INDEX(MASTER!$Q$2:$Q$2000,MATCH($A39,MASTER!$A$2:$A$2000,0))&amp;"","")</f>
        <v/>
      </c>
      <c r="L39" s="31">
        <f>IFERROR(INDEX(MASTER!$R$2:$R$2000,MATCH($A39,MASTER!$A$2:$A$2000,0))&amp;"","")</f>
        <v/>
      </c>
    </row>
    <row r="40">
      <c r="A40" s="34" t="inlineStr">
        <is>
          <t>CORE-002</t>
        </is>
      </c>
      <c r="B40" s="31">
        <f>IFERROR(INDEX(MASTER!$C$2:$C$2000,MATCH($A40,MASTER!$A$2:$A$2000,0))&amp;"","")</f>
        <v/>
      </c>
      <c r="C40" s="35">
        <f>IFERROR(INDEX(MASTER!$B$2:$B$2000,MATCH($A40,MASTER!$A$2:$A$2000,0)),"")</f>
        <v/>
      </c>
      <c r="D40" s="31">
        <f>IFERROR(INDEX(MASTER!$D$2:$D$2000,MATCH($A40,MASTER!$A$2:$A$2000,0))&amp;"","")</f>
        <v/>
      </c>
      <c r="E40" s="31">
        <f>IFERROR(INDEX(MASTER!$F$2:$F$2000,MATCH($A40,MASTER!$A$2:$A$2000,0))&amp;"","")</f>
        <v/>
      </c>
      <c r="F40" s="31">
        <f>IFERROR(INDEX(MASTER!$G$2:$G$2000,MATCH($A40,MASTER!$A$2:$A$2000,0))&amp;"","NOT IN MASTER")</f>
        <v/>
      </c>
      <c r="G40" s="31">
        <f>IFERROR(INDEX(MASTER!$H$2:$H$2000,MATCH($A40,MASTER!$A$2:$A$2000,0))&amp;"","")</f>
        <v/>
      </c>
      <c r="H40" s="31">
        <f>IFERROR(INDEX(MASTER!$I$2:$I$2000,MATCH($A40,MASTER!$A$2:$A$2000,0))&amp;"","")</f>
        <v/>
      </c>
      <c r="I40" s="41">
        <f>IFERROR(IF(INDEX(MASTER!$O$2:$O$2000,MATCH($A40,MASTER!$A$2:$A$2000,0))="","",INDEX(MASTER!$O$2:$O$2000,MATCH($A40,MASTER!$A$2:$A$2000,0))),"")</f>
        <v/>
      </c>
      <c r="J40" s="31">
        <f>IFERROR(INDEX(MASTER!$P$2:$P$2000,MATCH($A40,MASTER!$A$2:$A$2000,0))&amp;"","")</f>
        <v/>
      </c>
      <c r="K40" s="31">
        <f>IFERROR(INDEX(MASTER!$Q$2:$Q$2000,MATCH($A40,MASTER!$A$2:$A$2000,0))&amp;"","")</f>
        <v/>
      </c>
      <c r="L40" s="31">
        <f>IFERROR(INDEX(MASTER!$R$2:$R$2000,MATCH($A40,MASTER!$A$2:$A$2000,0))&amp;"","")</f>
        <v/>
      </c>
    </row>
    <row r="41">
      <c r="A41" s="34" t="inlineStr">
        <is>
          <t>CORE-003</t>
        </is>
      </c>
      <c r="B41" s="31">
        <f>IFERROR(INDEX(MASTER!$C$2:$C$2000,MATCH($A41,MASTER!$A$2:$A$2000,0))&amp;"","")</f>
        <v/>
      </c>
      <c r="C41" s="35">
        <f>IFERROR(INDEX(MASTER!$B$2:$B$2000,MATCH($A41,MASTER!$A$2:$A$2000,0)),"")</f>
        <v/>
      </c>
      <c r="D41" s="31">
        <f>IFERROR(INDEX(MASTER!$D$2:$D$2000,MATCH($A41,MASTER!$A$2:$A$2000,0))&amp;"","")</f>
        <v/>
      </c>
      <c r="E41" s="31">
        <f>IFERROR(INDEX(MASTER!$F$2:$F$2000,MATCH($A41,MASTER!$A$2:$A$2000,0))&amp;"","")</f>
        <v/>
      </c>
      <c r="F41" s="31">
        <f>IFERROR(INDEX(MASTER!$G$2:$G$2000,MATCH($A41,MASTER!$A$2:$A$2000,0))&amp;"","NOT IN MASTER")</f>
        <v/>
      </c>
      <c r="G41" s="31">
        <f>IFERROR(INDEX(MASTER!$H$2:$H$2000,MATCH($A41,MASTER!$A$2:$A$2000,0))&amp;"","")</f>
        <v/>
      </c>
      <c r="H41" s="31">
        <f>IFERROR(INDEX(MASTER!$I$2:$I$2000,MATCH($A41,MASTER!$A$2:$A$2000,0))&amp;"","")</f>
        <v/>
      </c>
      <c r="I41" s="41">
        <f>IFERROR(IF(INDEX(MASTER!$O$2:$O$2000,MATCH($A41,MASTER!$A$2:$A$2000,0))="","",INDEX(MASTER!$O$2:$O$2000,MATCH($A41,MASTER!$A$2:$A$2000,0))),"")</f>
        <v/>
      </c>
      <c r="J41" s="31">
        <f>IFERROR(INDEX(MASTER!$P$2:$P$2000,MATCH($A41,MASTER!$A$2:$A$2000,0))&amp;"","")</f>
        <v/>
      </c>
      <c r="K41" s="31">
        <f>IFERROR(INDEX(MASTER!$Q$2:$Q$2000,MATCH($A41,MASTER!$A$2:$A$2000,0))&amp;"","")</f>
        <v/>
      </c>
      <c r="L41" s="31">
        <f>IFERROR(INDEX(MASTER!$R$2:$R$2000,MATCH($A41,MASTER!$A$2:$A$2000,0))&amp;"","")</f>
        <v/>
      </c>
    </row>
    <row r="42">
      <c r="A42" s="34" t="inlineStr">
        <is>
          <t>EDIT-001</t>
        </is>
      </c>
      <c r="B42" s="31">
        <f>IFERROR(INDEX(MASTER!$C$2:$C$2000,MATCH($A42,MASTER!$A$2:$A$2000,0))&amp;"","")</f>
        <v/>
      </c>
      <c r="C42" s="35">
        <f>IFERROR(INDEX(MASTER!$B$2:$B$2000,MATCH($A42,MASTER!$A$2:$A$2000,0)),"")</f>
        <v/>
      </c>
      <c r="D42" s="31">
        <f>IFERROR(INDEX(MASTER!$D$2:$D$2000,MATCH($A42,MASTER!$A$2:$A$2000,0))&amp;"","")</f>
        <v/>
      </c>
      <c r="E42" s="31">
        <f>IFERROR(INDEX(MASTER!$F$2:$F$2000,MATCH($A42,MASTER!$A$2:$A$2000,0))&amp;"","")</f>
        <v/>
      </c>
      <c r="F42" s="31">
        <f>IFERROR(INDEX(MASTER!$G$2:$G$2000,MATCH($A42,MASTER!$A$2:$A$2000,0))&amp;"","NOT IN MASTER")</f>
        <v/>
      </c>
      <c r="G42" s="31">
        <f>IFERROR(INDEX(MASTER!$H$2:$H$2000,MATCH($A42,MASTER!$A$2:$A$2000,0))&amp;"","")</f>
        <v/>
      </c>
      <c r="H42" s="31">
        <f>IFERROR(INDEX(MASTER!$I$2:$I$2000,MATCH($A42,MASTER!$A$2:$A$2000,0))&amp;"","")</f>
        <v/>
      </c>
      <c r="I42" s="41">
        <f>IFERROR(IF(INDEX(MASTER!$O$2:$O$2000,MATCH($A42,MASTER!$A$2:$A$2000,0))="","",INDEX(MASTER!$O$2:$O$2000,MATCH($A42,MASTER!$A$2:$A$2000,0))),"")</f>
        <v/>
      </c>
      <c r="J42" s="31">
        <f>IFERROR(INDEX(MASTER!$P$2:$P$2000,MATCH($A42,MASTER!$A$2:$A$2000,0))&amp;"","")</f>
        <v/>
      </c>
      <c r="K42" s="31">
        <f>IFERROR(INDEX(MASTER!$Q$2:$Q$2000,MATCH($A42,MASTER!$A$2:$A$2000,0))&amp;"","")</f>
        <v/>
      </c>
      <c r="L42" s="31">
        <f>IFERROR(INDEX(MASTER!$R$2:$R$2000,MATCH($A42,MASTER!$A$2:$A$2000,0))&amp;"","")</f>
        <v/>
      </c>
    </row>
    <row r="43">
      <c r="A43" s="34" t="inlineStr">
        <is>
          <t>EDIT-002</t>
        </is>
      </c>
      <c r="B43" s="31">
        <f>IFERROR(INDEX(MASTER!$C$2:$C$2000,MATCH($A43,MASTER!$A$2:$A$2000,0))&amp;"","")</f>
        <v/>
      </c>
      <c r="C43" s="35">
        <f>IFERROR(INDEX(MASTER!$B$2:$B$2000,MATCH($A43,MASTER!$A$2:$A$2000,0)),"")</f>
        <v/>
      </c>
      <c r="D43" s="31">
        <f>IFERROR(INDEX(MASTER!$D$2:$D$2000,MATCH($A43,MASTER!$A$2:$A$2000,0))&amp;"","")</f>
        <v/>
      </c>
      <c r="E43" s="31">
        <f>IFERROR(INDEX(MASTER!$F$2:$F$2000,MATCH($A43,MASTER!$A$2:$A$2000,0))&amp;"","")</f>
        <v/>
      </c>
      <c r="F43" s="31">
        <f>IFERROR(INDEX(MASTER!$G$2:$G$2000,MATCH($A43,MASTER!$A$2:$A$2000,0))&amp;"","NOT IN MASTER")</f>
        <v/>
      </c>
      <c r="G43" s="31">
        <f>IFERROR(INDEX(MASTER!$H$2:$H$2000,MATCH($A43,MASTER!$A$2:$A$2000,0))&amp;"","")</f>
        <v/>
      </c>
      <c r="H43" s="31">
        <f>IFERROR(INDEX(MASTER!$I$2:$I$2000,MATCH($A43,MASTER!$A$2:$A$2000,0))&amp;"","")</f>
        <v/>
      </c>
      <c r="I43" s="41">
        <f>IFERROR(IF(INDEX(MASTER!$O$2:$O$2000,MATCH($A43,MASTER!$A$2:$A$2000,0))="","",INDEX(MASTER!$O$2:$O$2000,MATCH($A43,MASTER!$A$2:$A$2000,0))),"")</f>
        <v/>
      </c>
      <c r="J43" s="31">
        <f>IFERROR(INDEX(MASTER!$P$2:$P$2000,MATCH($A43,MASTER!$A$2:$A$2000,0))&amp;"","")</f>
        <v/>
      </c>
      <c r="K43" s="31">
        <f>IFERROR(INDEX(MASTER!$Q$2:$Q$2000,MATCH($A43,MASTER!$A$2:$A$2000,0))&amp;"","")</f>
        <v/>
      </c>
      <c r="L43" s="31">
        <f>IFERROR(INDEX(MASTER!$R$2:$R$2000,MATCH($A43,MASTER!$A$2:$A$2000,0))&amp;"","")</f>
        <v/>
      </c>
    </row>
    <row r="44">
      <c r="A44" s="34" t="inlineStr">
        <is>
          <t>EDIT-003</t>
        </is>
      </c>
      <c r="B44" s="31">
        <f>IFERROR(INDEX(MASTER!$C$2:$C$2000,MATCH($A44,MASTER!$A$2:$A$2000,0))&amp;"","")</f>
        <v/>
      </c>
      <c r="C44" s="35">
        <f>IFERROR(INDEX(MASTER!$B$2:$B$2000,MATCH($A44,MASTER!$A$2:$A$2000,0)),"")</f>
        <v/>
      </c>
      <c r="D44" s="31">
        <f>IFERROR(INDEX(MASTER!$D$2:$D$2000,MATCH($A44,MASTER!$A$2:$A$2000,0))&amp;"","")</f>
        <v/>
      </c>
      <c r="E44" s="31">
        <f>IFERROR(INDEX(MASTER!$F$2:$F$2000,MATCH($A44,MASTER!$A$2:$A$2000,0))&amp;"","")</f>
        <v/>
      </c>
      <c r="F44" s="31">
        <f>IFERROR(INDEX(MASTER!$G$2:$G$2000,MATCH($A44,MASTER!$A$2:$A$2000,0))&amp;"","NOT IN MASTER")</f>
        <v/>
      </c>
      <c r="G44" s="31">
        <f>IFERROR(INDEX(MASTER!$H$2:$H$2000,MATCH($A44,MASTER!$A$2:$A$2000,0))&amp;"","")</f>
        <v/>
      </c>
      <c r="H44" s="31">
        <f>IFERROR(INDEX(MASTER!$I$2:$I$2000,MATCH($A44,MASTER!$A$2:$A$2000,0))&amp;"","")</f>
        <v/>
      </c>
      <c r="I44" s="41">
        <f>IFERROR(IF(INDEX(MASTER!$O$2:$O$2000,MATCH($A44,MASTER!$A$2:$A$2000,0))="","",INDEX(MASTER!$O$2:$O$2000,MATCH($A44,MASTER!$A$2:$A$2000,0))),"")</f>
        <v/>
      </c>
      <c r="J44" s="31">
        <f>IFERROR(INDEX(MASTER!$P$2:$P$2000,MATCH($A44,MASTER!$A$2:$A$2000,0))&amp;"","")</f>
        <v/>
      </c>
      <c r="K44" s="31">
        <f>IFERROR(INDEX(MASTER!$Q$2:$Q$2000,MATCH($A44,MASTER!$A$2:$A$2000,0))&amp;"","")</f>
        <v/>
      </c>
      <c r="L44" s="31">
        <f>IFERROR(INDEX(MASTER!$R$2:$R$2000,MATCH($A44,MASTER!$A$2:$A$2000,0))&amp;"","")</f>
        <v/>
      </c>
    </row>
    <row r="45">
      <c r="A45" s="34" t="inlineStr">
        <is>
          <t>EDIT-004</t>
        </is>
      </c>
      <c r="B45" s="31">
        <f>IFERROR(INDEX(MASTER!$C$2:$C$2000,MATCH($A45,MASTER!$A$2:$A$2000,0))&amp;"","")</f>
        <v/>
      </c>
      <c r="C45" s="35">
        <f>IFERROR(INDEX(MASTER!$B$2:$B$2000,MATCH($A45,MASTER!$A$2:$A$2000,0)),"")</f>
        <v/>
      </c>
      <c r="D45" s="31">
        <f>IFERROR(INDEX(MASTER!$D$2:$D$2000,MATCH($A45,MASTER!$A$2:$A$2000,0))&amp;"","")</f>
        <v/>
      </c>
      <c r="E45" s="31">
        <f>IFERROR(INDEX(MASTER!$F$2:$F$2000,MATCH($A45,MASTER!$A$2:$A$2000,0))&amp;"","")</f>
        <v/>
      </c>
      <c r="F45" s="31">
        <f>IFERROR(INDEX(MASTER!$G$2:$G$2000,MATCH($A45,MASTER!$A$2:$A$2000,0))&amp;"","NOT IN MASTER")</f>
        <v/>
      </c>
      <c r="G45" s="31">
        <f>IFERROR(INDEX(MASTER!$H$2:$H$2000,MATCH($A45,MASTER!$A$2:$A$2000,0))&amp;"","")</f>
        <v/>
      </c>
      <c r="H45" s="31">
        <f>IFERROR(INDEX(MASTER!$I$2:$I$2000,MATCH($A45,MASTER!$A$2:$A$2000,0))&amp;"","")</f>
        <v/>
      </c>
      <c r="I45" s="41">
        <f>IFERROR(IF(INDEX(MASTER!$O$2:$O$2000,MATCH($A45,MASTER!$A$2:$A$2000,0))="","",INDEX(MASTER!$O$2:$O$2000,MATCH($A45,MASTER!$A$2:$A$2000,0))),"")</f>
        <v/>
      </c>
      <c r="J45" s="31">
        <f>IFERROR(INDEX(MASTER!$P$2:$P$2000,MATCH($A45,MASTER!$A$2:$A$2000,0))&amp;"","")</f>
        <v/>
      </c>
      <c r="K45" s="31">
        <f>IFERROR(INDEX(MASTER!$Q$2:$Q$2000,MATCH($A45,MASTER!$A$2:$A$2000,0))&amp;"","")</f>
        <v/>
      </c>
      <c r="L45" s="31">
        <f>IFERROR(INDEX(MASTER!$R$2:$R$2000,MATCH($A45,MASTER!$A$2:$A$2000,0))&amp;"","")</f>
        <v/>
      </c>
    </row>
    <row r="46">
      <c r="A46" s="34" t="inlineStr">
        <is>
          <t>EDIT-005</t>
        </is>
      </c>
      <c r="B46" s="31">
        <f>IFERROR(INDEX(MASTER!$C$2:$C$2000,MATCH($A46,MASTER!$A$2:$A$2000,0))&amp;"","")</f>
        <v/>
      </c>
      <c r="C46" s="35">
        <f>IFERROR(INDEX(MASTER!$B$2:$B$2000,MATCH($A46,MASTER!$A$2:$A$2000,0)),"")</f>
        <v/>
      </c>
      <c r="D46" s="31">
        <f>IFERROR(INDEX(MASTER!$D$2:$D$2000,MATCH($A46,MASTER!$A$2:$A$2000,0))&amp;"","")</f>
        <v/>
      </c>
      <c r="E46" s="31">
        <f>IFERROR(INDEX(MASTER!$F$2:$F$2000,MATCH($A46,MASTER!$A$2:$A$2000,0))&amp;"","")</f>
        <v/>
      </c>
      <c r="F46" s="31">
        <f>IFERROR(INDEX(MASTER!$G$2:$G$2000,MATCH($A46,MASTER!$A$2:$A$2000,0))&amp;"","NOT IN MASTER")</f>
        <v/>
      </c>
      <c r="G46" s="31">
        <f>IFERROR(INDEX(MASTER!$H$2:$H$2000,MATCH($A46,MASTER!$A$2:$A$2000,0))&amp;"","")</f>
        <v/>
      </c>
      <c r="H46" s="31">
        <f>IFERROR(INDEX(MASTER!$I$2:$I$2000,MATCH($A46,MASTER!$A$2:$A$2000,0))&amp;"","")</f>
        <v/>
      </c>
      <c r="I46" s="41">
        <f>IFERROR(IF(INDEX(MASTER!$O$2:$O$2000,MATCH($A46,MASTER!$A$2:$A$2000,0))="","",INDEX(MASTER!$O$2:$O$2000,MATCH($A46,MASTER!$A$2:$A$2000,0))),"")</f>
        <v/>
      </c>
      <c r="J46" s="31">
        <f>IFERROR(INDEX(MASTER!$P$2:$P$2000,MATCH($A46,MASTER!$A$2:$A$2000,0))&amp;"","")</f>
        <v/>
      </c>
      <c r="K46" s="31">
        <f>IFERROR(INDEX(MASTER!$Q$2:$Q$2000,MATCH($A46,MASTER!$A$2:$A$2000,0))&amp;"","")</f>
        <v/>
      </c>
      <c r="L46" s="31">
        <f>IFERROR(INDEX(MASTER!$R$2:$R$2000,MATCH($A46,MASTER!$A$2:$A$2000,0))&amp;"","")</f>
        <v/>
      </c>
    </row>
    <row r="47">
      <c r="A47" s="34" t="inlineStr">
        <is>
          <t>EDIT-006</t>
        </is>
      </c>
      <c r="B47" s="31">
        <f>IFERROR(INDEX(MASTER!$C$2:$C$2000,MATCH($A47,MASTER!$A$2:$A$2000,0))&amp;"","")</f>
        <v/>
      </c>
      <c r="C47" s="35">
        <f>IFERROR(INDEX(MASTER!$B$2:$B$2000,MATCH($A47,MASTER!$A$2:$A$2000,0)),"")</f>
        <v/>
      </c>
      <c r="D47" s="31">
        <f>IFERROR(INDEX(MASTER!$D$2:$D$2000,MATCH($A47,MASTER!$A$2:$A$2000,0))&amp;"","")</f>
        <v/>
      </c>
      <c r="E47" s="31">
        <f>IFERROR(INDEX(MASTER!$F$2:$F$2000,MATCH($A47,MASTER!$A$2:$A$2000,0))&amp;"","")</f>
        <v/>
      </c>
      <c r="F47" s="31">
        <f>IFERROR(INDEX(MASTER!$G$2:$G$2000,MATCH($A47,MASTER!$A$2:$A$2000,0))&amp;"","NOT IN MASTER")</f>
        <v/>
      </c>
      <c r="G47" s="31">
        <f>IFERROR(INDEX(MASTER!$H$2:$H$2000,MATCH($A47,MASTER!$A$2:$A$2000,0))&amp;"","")</f>
        <v/>
      </c>
      <c r="H47" s="31">
        <f>IFERROR(INDEX(MASTER!$I$2:$I$2000,MATCH($A47,MASTER!$A$2:$A$2000,0))&amp;"","")</f>
        <v/>
      </c>
      <c r="I47" s="41">
        <f>IFERROR(IF(INDEX(MASTER!$O$2:$O$2000,MATCH($A47,MASTER!$A$2:$A$2000,0))="","",INDEX(MASTER!$O$2:$O$2000,MATCH($A47,MASTER!$A$2:$A$2000,0))),"")</f>
        <v/>
      </c>
      <c r="J47" s="31">
        <f>IFERROR(INDEX(MASTER!$P$2:$P$2000,MATCH($A47,MASTER!$A$2:$A$2000,0))&amp;"","")</f>
        <v/>
      </c>
      <c r="K47" s="31">
        <f>IFERROR(INDEX(MASTER!$Q$2:$Q$2000,MATCH($A47,MASTER!$A$2:$A$2000,0))&amp;"","")</f>
        <v/>
      </c>
      <c r="L47" s="31">
        <f>IFERROR(INDEX(MASTER!$R$2:$R$2000,MATCH($A47,MASTER!$A$2:$A$2000,0))&amp;"","")</f>
        <v/>
      </c>
    </row>
    <row r="48">
      <c r="A48" s="34" t="inlineStr">
        <is>
          <t>DOCX-001</t>
        </is>
      </c>
      <c r="B48" s="31">
        <f>IFERROR(INDEX(MASTER!$C$2:$C$2000,MATCH($A48,MASTER!$A$2:$A$2000,0))&amp;"","")</f>
        <v/>
      </c>
      <c r="C48" s="35">
        <f>IFERROR(INDEX(MASTER!$B$2:$B$2000,MATCH($A48,MASTER!$A$2:$A$2000,0)),"")</f>
        <v/>
      </c>
      <c r="D48" s="31">
        <f>IFERROR(INDEX(MASTER!$D$2:$D$2000,MATCH($A48,MASTER!$A$2:$A$2000,0))&amp;"","")</f>
        <v/>
      </c>
      <c r="E48" s="31">
        <f>IFERROR(INDEX(MASTER!$F$2:$F$2000,MATCH($A48,MASTER!$A$2:$A$2000,0))&amp;"","")</f>
        <v/>
      </c>
      <c r="F48" s="31">
        <f>IFERROR(INDEX(MASTER!$G$2:$G$2000,MATCH($A48,MASTER!$A$2:$A$2000,0))&amp;"","NOT IN MASTER")</f>
        <v/>
      </c>
      <c r="G48" s="31">
        <f>IFERROR(INDEX(MASTER!$H$2:$H$2000,MATCH($A48,MASTER!$A$2:$A$2000,0))&amp;"","")</f>
        <v/>
      </c>
      <c r="H48" s="31">
        <f>IFERROR(INDEX(MASTER!$I$2:$I$2000,MATCH($A48,MASTER!$A$2:$A$2000,0))&amp;"","")</f>
        <v/>
      </c>
      <c r="I48" s="41">
        <f>IFERROR(IF(INDEX(MASTER!$O$2:$O$2000,MATCH($A48,MASTER!$A$2:$A$2000,0))="","",INDEX(MASTER!$O$2:$O$2000,MATCH($A48,MASTER!$A$2:$A$2000,0))),"")</f>
        <v/>
      </c>
      <c r="J48" s="31">
        <f>IFERROR(INDEX(MASTER!$P$2:$P$2000,MATCH($A48,MASTER!$A$2:$A$2000,0))&amp;"","")</f>
        <v/>
      </c>
      <c r="K48" s="31">
        <f>IFERROR(INDEX(MASTER!$Q$2:$Q$2000,MATCH($A48,MASTER!$A$2:$A$2000,0))&amp;"","")</f>
        <v/>
      </c>
      <c r="L48" s="31">
        <f>IFERROR(INDEX(MASTER!$R$2:$R$2000,MATCH($A48,MASTER!$A$2:$A$2000,0))&amp;"","")</f>
        <v/>
      </c>
    </row>
    <row r="49">
      <c r="A49" s="34" t="inlineStr">
        <is>
          <t>PDF-001</t>
        </is>
      </c>
      <c r="B49" s="31">
        <f>IFERROR(INDEX(MASTER!$C$2:$C$2000,MATCH($A49,MASTER!$A$2:$A$2000,0))&amp;"","")</f>
        <v/>
      </c>
      <c r="C49" s="35">
        <f>IFERROR(INDEX(MASTER!$B$2:$B$2000,MATCH($A49,MASTER!$A$2:$A$2000,0)),"")</f>
        <v/>
      </c>
      <c r="D49" s="31">
        <f>IFERROR(INDEX(MASTER!$D$2:$D$2000,MATCH($A49,MASTER!$A$2:$A$2000,0))&amp;"","")</f>
        <v/>
      </c>
      <c r="E49" s="31">
        <f>IFERROR(INDEX(MASTER!$F$2:$F$2000,MATCH($A49,MASTER!$A$2:$A$2000,0))&amp;"","")</f>
        <v/>
      </c>
      <c r="F49" s="31">
        <f>IFERROR(INDEX(MASTER!$G$2:$G$2000,MATCH($A49,MASTER!$A$2:$A$2000,0))&amp;"","NOT IN MASTER")</f>
        <v/>
      </c>
      <c r="G49" s="31">
        <f>IFERROR(INDEX(MASTER!$H$2:$H$2000,MATCH($A49,MASTER!$A$2:$A$2000,0))&amp;"","")</f>
        <v/>
      </c>
      <c r="H49" s="31">
        <f>IFERROR(INDEX(MASTER!$I$2:$I$2000,MATCH($A49,MASTER!$A$2:$A$2000,0))&amp;"","")</f>
        <v/>
      </c>
      <c r="I49" s="41">
        <f>IFERROR(IF(INDEX(MASTER!$O$2:$O$2000,MATCH($A49,MASTER!$A$2:$A$2000,0))="","",INDEX(MASTER!$O$2:$O$2000,MATCH($A49,MASTER!$A$2:$A$2000,0))),"")</f>
        <v/>
      </c>
      <c r="J49" s="31">
        <f>IFERROR(INDEX(MASTER!$P$2:$P$2000,MATCH($A49,MASTER!$A$2:$A$2000,0))&amp;"","")</f>
        <v/>
      </c>
      <c r="K49" s="31">
        <f>IFERROR(INDEX(MASTER!$Q$2:$Q$2000,MATCH($A49,MASTER!$A$2:$A$2000,0))&amp;"","")</f>
        <v/>
      </c>
      <c r="L49" s="31">
        <f>IFERROR(INDEX(MASTER!$R$2:$R$2000,MATCH($A49,MASTER!$A$2:$A$2000,0))&amp;"","")</f>
        <v/>
      </c>
    </row>
    <row r="50">
      <c r="A50" s="34" t="inlineStr">
        <is>
          <t>FID-001</t>
        </is>
      </c>
      <c r="B50" s="31">
        <f>IFERROR(INDEX(MASTER!$C$2:$C$2000,MATCH($A50,MASTER!$A$2:$A$2000,0))&amp;"","")</f>
        <v/>
      </c>
      <c r="C50" s="35">
        <f>IFERROR(INDEX(MASTER!$B$2:$B$2000,MATCH($A50,MASTER!$A$2:$A$2000,0)),"")</f>
        <v/>
      </c>
      <c r="D50" s="31">
        <f>IFERROR(INDEX(MASTER!$D$2:$D$2000,MATCH($A50,MASTER!$A$2:$A$2000,0))&amp;"","")</f>
        <v/>
      </c>
      <c r="E50" s="31">
        <f>IFERROR(INDEX(MASTER!$F$2:$F$2000,MATCH($A50,MASTER!$A$2:$A$2000,0))&amp;"","")</f>
        <v/>
      </c>
      <c r="F50" s="31">
        <f>IFERROR(INDEX(MASTER!$G$2:$G$2000,MATCH($A50,MASTER!$A$2:$A$2000,0))&amp;"","NOT IN MASTER")</f>
        <v/>
      </c>
      <c r="G50" s="31">
        <f>IFERROR(INDEX(MASTER!$H$2:$H$2000,MATCH($A50,MASTER!$A$2:$A$2000,0))&amp;"","")</f>
        <v/>
      </c>
      <c r="H50" s="31">
        <f>IFERROR(INDEX(MASTER!$I$2:$I$2000,MATCH($A50,MASTER!$A$2:$A$2000,0))&amp;"","")</f>
        <v/>
      </c>
      <c r="I50" s="41">
        <f>IFERROR(IF(INDEX(MASTER!$O$2:$O$2000,MATCH($A50,MASTER!$A$2:$A$2000,0))="","",INDEX(MASTER!$O$2:$O$2000,MATCH($A50,MASTER!$A$2:$A$2000,0))),"")</f>
        <v/>
      </c>
      <c r="J50" s="31">
        <f>IFERROR(INDEX(MASTER!$P$2:$P$2000,MATCH($A50,MASTER!$A$2:$A$2000,0))&amp;"","")</f>
        <v/>
      </c>
      <c r="K50" s="31">
        <f>IFERROR(INDEX(MASTER!$Q$2:$Q$2000,MATCH($A50,MASTER!$A$2:$A$2000,0))&amp;"","")</f>
        <v/>
      </c>
      <c r="L50" s="31">
        <f>IFERROR(INDEX(MASTER!$R$2:$R$2000,MATCH($A50,MASTER!$A$2:$A$2000,0))&amp;"","")</f>
        <v/>
      </c>
    </row>
    <row r="51">
      <c r="A51" s="34" t="inlineStr">
        <is>
          <t>FID-002</t>
        </is>
      </c>
      <c r="B51" s="31">
        <f>IFERROR(INDEX(MASTER!$C$2:$C$2000,MATCH($A51,MASTER!$A$2:$A$2000,0))&amp;"","")</f>
        <v/>
      </c>
      <c r="C51" s="35">
        <f>IFERROR(INDEX(MASTER!$B$2:$B$2000,MATCH($A51,MASTER!$A$2:$A$2000,0)),"")</f>
        <v/>
      </c>
      <c r="D51" s="31">
        <f>IFERROR(INDEX(MASTER!$D$2:$D$2000,MATCH($A51,MASTER!$A$2:$A$2000,0))&amp;"","")</f>
        <v/>
      </c>
      <c r="E51" s="31">
        <f>IFERROR(INDEX(MASTER!$F$2:$F$2000,MATCH($A51,MASTER!$A$2:$A$2000,0))&amp;"","")</f>
        <v/>
      </c>
      <c r="F51" s="31">
        <f>IFERROR(INDEX(MASTER!$G$2:$G$2000,MATCH($A51,MASTER!$A$2:$A$2000,0))&amp;"","NOT IN MASTER")</f>
        <v/>
      </c>
      <c r="G51" s="31">
        <f>IFERROR(INDEX(MASTER!$H$2:$H$2000,MATCH($A51,MASTER!$A$2:$A$2000,0))&amp;"","")</f>
        <v/>
      </c>
      <c r="H51" s="31">
        <f>IFERROR(INDEX(MASTER!$I$2:$I$2000,MATCH($A51,MASTER!$A$2:$A$2000,0))&amp;"","")</f>
        <v/>
      </c>
      <c r="I51" s="41">
        <f>IFERROR(IF(INDEX(MASTER!$O$2:$O$2000,MATCH($A51,MASTER!$A$2:$A$2000,0))="","",INDEX(MASTER!$O$2:$O$2000,MATCH($A51,MASTER!$A$2:$A$2000,0))),"")</f>
        <v/>
      </c>
      <c r="J51" s="31">
        <f>IFERROR(INDEX(MASTER!$P$2:$P$2000,MATCH($A51,MASTER!$A$2:$A$2000,0))&amp;"","")</f>
        <v/>
      </c>
      <c r="K51" s="31">
        <f>IFERROR(INDEX(MASTER!$Q$2:$Q$2000,MATCH($A51,MASTER!$A$2:$A$2000,0))&amp;"","")</f>
        <v/>
      </c>
      <c r="L51" s="31">
        <f>IFERROR(INDEX(MASTER!$R$2:$R$2000,MATCH($A51,MASTER!$A$2:$A$2000,0))&amp;"","")</f>
        <v/>
      </c>
    </row>
    <row r="52">
      <c r="A52" s="34" t="inlineStr">
        <is>
          <t>FID-003</t>
        </is>
      </c>
      <c r="B52" s="31">
        <f>IFERROR(INDEX(MASTER!$C$2:$C$2000,MATCH($A52,MASTER!$A$2:$A$2000,0))&amp;"","")</f>
        <v/>
      </c>
      <c r="C52" s="35">
        <f>IFERROR(INDEX(MASTER!$B$2:$B$2000,MATCH($A52,MASTER!$A$2:$A$2000,0)),"")</f>
        <v/>
      </c>
      <c r="D52" s="31">
        <f>IFERROR(INDEX(MASTER!$D$2:$D$2000,MATCH($A52,MASTER!$A$2:$A$2000,0))&amp;"","")</f>
        <v/>
      </c>
      <c r="E52" s="31">
        <f>IFERROR(INDEX(MASTER!$F$2:$F$2000,MATCH($A52,MASTER!$A$2:$A$2000,0))&amp;"","")</f>
        <v/>
      </c>
      <c r="F52" s="31">
        <f>IFERROR(INDEX(MASTER!$G$2:$G$2000,MATCH($A52,MASTER!$A$2:$A$2000,0))&amp;"","NOT IN MASTER")</f>
        <v/>
      </c>
      <c r="G52" s="31">
        <f>IFERROR(INDEX(MASTER!$H$2:$H$2000,MATCH($A52,MASTER!$A$2:$A$2000,0))&amp;"","")</f>
        <v/>
      </c>
      <c r="H52" s="31">
        <f>IFERROR(INDEX(MASTER!$I$2:$I$2000,MATCH($A52,MASTER!$A$2:$A$2000,0))&amp;"","")</f>
        <v/>
      </c>
      <c r="I52" s="41">
        <f>IFERROR(IF(INDEX(MASTER!$O$2:$O$2000,MATCH($A52,MASTER!$A$2:$A$2000,0))="","",INDEX(MASTER!$O$2:$O$2000,MATCH($A52,MASTER!$A$2:$A$2000,0))),"")</f>
        <v/>
      </c>
      <c r="J52" s="31">
        <f>IFERROR(INDEX(MASTER!$P$2:$P$2000,MATCH($A52,MASTER!$A$2:$A$2000,0))&amp;"","")</f>
        <v/>
      </c>
      <c r="K52" s="31">
        <f>IFERROR(INDEX(MASTER!$Q$2:$Q$2000,MATCH($A52,MASTER!$A$2:$A$2000,0))&amp;"","")</f>
        <v/>
      </c>
      <c r="L52" s="31">
        <f>IFERROR(INDEX(MASTER!$R$2:$R$2000,MATCH($A52,MASTER!$A$2:$A$2000,0))&amp;"","")</f>
        <v/>
      </c>
    </row>
    <row r="53">
      <c r="A53" s="34" t="inlineStr">
        <is>
          <t>FID-004</t>
        </is>
      </c>
      <c r="B53" s="31">
        <f>IFERROR(INDEX(MASTER!$C$2:$C$2000,MATCH($A53,MASTER!$A$2:$A$2000,0))&amp;"","")</f>
        <v/>
      </c>
      <c r="C53" s="35">
        <f>IFERROR(INDEX(MASTER!$B$2:$B$2000,MATCH($A53,MASTER!$A$2:$A$2000,0)),"")</f>
        <v/>
      </c>
      <c r="D53" s="31">
        <f>IFERROR(INDEX(MASTER!$D$2:$D$2000,MATCH($A53,MASTER!$A$2:$A$2000,0))&amp;"","")</f>
        <v/>
      </c>
      <c r="E53" s="31">
        <f>IFERROR(INDEX(MASTER!$F$2:$F$2000,MATCH($A53,MASTER!$A$2:$A$2000,0))&amp;"","")</f>
        <v/>
      </c>
      <c r="F53" s="31">
        <f>IFERROR(INDEX(MASTER!$G$2:$G$2000,MATCH($A53,MASTER!$A$2:$A$2000,0))&amp;"","NOT IN MASTER")</f>
        <v/>
      </c>
      <c r="G53" s="31">
        <f>IFERROR(INDEX(MASTER!$H$2:$H$2000,MATCH($A53,MASTER!$A$2:$A$2000,0))&amp;"","")</f>
        <v/>
      </c>
      <c r="H53" s="31">
        <f>IFERROR(INDEX(MASTER!$I$2:$I$2000,MATCH($A53,MASTER!$A$2:$A$2000,0))&amp;"","")</f>
        <v/>
      </c>
      <c r="I53" s="41">
        <f>IFERROR(IF(INDEX(MASTER!$O$2:$O$2000,MATCH($A53,MASTER!$A$2:$A$2000,0))="","",INDEX(MASTER!$O$2:$O$2000,MATCH($A53,MASTER!$A$2:$A$2000,0))),"")</f>
        <v/>
      </c>
      <c r="J53" s="31">
        <f>IFERROR(INDEX(MASTER!$P$2:$P$2000,MATCH($A53,MASTER!$A$2:$A$2000,0))&amp;"","")</f>
        <v/>
      </c>
      <c r="K53" s="31">
        <f>IFERROR(INDEX(MASTER!$Q$2:$Q$2000,MATCH($A53,MASTER!$A$2:$A$2000,0))&amp;"","")</f>
        <v/>
      </c>
      <c r="L53" s="31">
        <f>IFERROR(INDEX(MASTER!$R$2:$R$2000,MATCH($A53,MASTER!$A$2:$A$2000,0))&amp;"","")</f>
        <v/>
      </c>
    </row>
    <row r="54">
      <c r="A54" s="34" t="inlineStr">
        <is>
          <t>FID-005</t>
        </is>
      </c>
      <c r="B54" s="31">
        <f>IFERROR(INDEX(MASTER!$C$2:$C$2000,MATCH($A54,MASTER!$A$2:$A$2000,0))&amp;"","")</f>
        <v/>
      </c>
      <c r="C54" s="35">
        <f>IFERROR(INDEX(MASTER!$B$2:$B$2000,MATCH($A54,MASTER!$A$2:$A$2000,0)),"")</f>
        <v/>
      </c>
      <c r="D54" s="31">
        <f>IFERROR(INDEX(MASTER!$D$2:$D$2000,MATCH($A54,MASTER!$A$2:$A$2000,0))&amp;"","")</f>
        <v/>
      </c>
      <c r="E54" s="31">
        <f>IFERROR(INDEX(MASTER!$F$2:$F$2000,MATCH($A54,MASTER!$A$2:$A$2000,0))&amp;"","")</f>
        <v/>
      </c>
      <c r="F54" s="31">
        <f>IFERROR(INDEX(MASTER!$G$2:$G$2000,MATCH($A54,MASTER!$A$2:$A$2000,0))&amp;"","NOT IN MASTER")</f>
        <v/>
      </c>
      <c r="G54" s="31">
        <f>IFERROR(INDEX(MASTER!$H$2:$H$2000,MATCH($A54,MASTER!$A$2:$A$2000,0))&amp;"","")</f>
        <v/>
      </c>
      <c r="H54" s="31">
        <f>IFERROR(INDEX(MASTER!$I$2:$I$2000,MATCH($A54,MASTER!$A$2:$A$2000,0))&amp;"","")</f>
        <v/>
      </c>
      <c r="I54" s="41">
        <f>IFERROR(IF(INDEX(MASTER!$O$2:$O$2000,MATCH($A54,MASTER!$A$2:$A$2000,0))="","",INDEX(MASTER!$O$2:$O$2000,MATCH($A54,MASTER!$A$2:$A$2000,0))),"")</f>
        <v/>
      </c>
      <c r="J54" s="31">
        <f>IFERROR(INDEX(MASTER!$P$2:$P$2000,MATCH($A54,MASTER!$A$2:$A$2000,0))&amp;"","")</f>
        <v/>
      </c>
      <c r="K54" s="31">
        <f>IFERROR(INDEX(MASTER!$Q$2:$Q$2000,MATCH($A54,MASTER!$A$2:$A$2000,0))&amp;"","")</f>
        <v/>
      </c>
      <c r="L54" s="31">
        <f>IFERROR(INDEX(MASTER!$R$2:$R$2000,MATCH($A54,MASTER!$A$2:$A$2000,0))&amp;"","")</f>
        <v/>
      </c>
    </row>
    <row r="55">
      <c r="A55" s="34" t="inlineStr">
        <is>
          <t>TEST-010</t>
        </is>
      </c>
      <c r="B55" s="31">
        <f>IFERROR(INDEX(MASTER!$C$2:$C$2000,MATCH($A55,MASTER!$A$2:$A$2000,0))&amp;"","")</f>
        <v/>
      </c>
      <c r="C55" s="35">
        <f>IFERROR(INDEX(MASTER!$B$2:$B$2000,MATCH($A55,MASTER!$A$2:$A$2000,0)),"")</f>
        <v/>
      </c>
      <c r="D55" s="31">
        <f>IFERROR(INDEX(MASTER!$D$2:$D$2000,MATCH($A55,MASTER!$A$2:$A$2000,0))&amp;"","")</f>
        <v/>
      </c>
      <c r="E55" s="31">
        <f>IFERROR(INDEX(MASTER!$F$2:$F$2000,MATCH($A55,MASTER!$A$2:$A$2000,0))&amp;"","")</f>
        <v/>
      </c>
      <c r="F55" s="31">
        <f>IFERROR(INDEX(MASTER!$G$2:$G$2000,MATCH($A55,MASTER!$A$2:$A$2000,0))&amp;"","NOT IN MASTER")</f>
        <v/>
      </c>
      <c r="G55" s="31">
        <f>IFERROR(INDEX(MASTER!$H$2:$H$2000,MATCH($A55,MASTER!$A$2:$A$2000,0))&amp;"","")</f>
        <v/>
      </c>
      <c r="H55" s="31">
        <f>IFERROR(INDEX(MASTER!$I$2:$I$2000,MATCH($A55,MASTER!$A$2:$A$2000,0))&amp;"","")</f>
        <v/>
      </c>
      <c r="I55" s="41">
        <f>IFERROR(IF(INDEX(MASTER!$O$2:$O$2000,MATCH($A55,MASTER!$A$2:$A$2000,0))="","",INDEX(MASTER!$O$2:$O$2000,MATCH($A55,MASTER!$A$2:$A$2000,0))),"")</f>
        <v/>
      </c>
      <c r="J55" s="31">
        <f>IFERROR(INDEX(MASTER!$P$2:$P$2000,MATCH($A55,MASTER!$A$2:$A$2000,0))&amp;"","")</f>
        <v/>
      </c>
      <c r="K55" s="31">
        <f>IFERROR(INDEX(MASTER!$Q$2:$Q$2000,MATCH($A55,MASTER!$A$2:$A$2000,0))&amp;"","")</f>
        <v/>
      </c>
      <c r="L55" s="31">
        <f>IFERROR(INDEX(MASTER!$R$2:$R$2000,MATCH($A55,MASTER!$A$2:$A$2000,0))&amp;"","")</f>
        <v/>
      </c>
    </row>
    <row r="56">
      <c r="A56" s="34" t="inlineStr">
        <is>
          <t>AI-001</t>
        </is>
      </c>
      <c r="B56" s="31">
        <f>IFERROR(INDEX(MASTER!$C$2:$C$2000,MATCH($A56,MASTER!$A$2:$A$2000,0))&amp;"","")</f>
        <v/>
      </c>
      <c r="C56" s="35">
        <f>IFERROR(INDEX(MASTER!$B$2:$B$2000,MATCH($A56,MASTER!$A$2:$A$2000,0)),"")</f>
        <v/>
      </c>
      <c r="D56" s="31">
        <f>IFERROR(INDEX(MASTER!$D$2:$D$2000,MATCH($A56,MASTER!$A$2:$A$2000,0))&amp;"","")</f>
        <v/>
      </c>
      <c r="E56" s="31">
        <f>IFERROR(INDEX(MASTER!$F$2:$F$2000,MATCH($A56,MASTER!$A$2:$A$2000,0))&amp;"","")</f>
        <v/>
      </c>
      <c r="F56" s="31">
        <f>IFERROR(INDEX(MASTER!$G$2:$G$2000,MATCH($A56,MASTER!$A$2:$A$2000,0))&amp;"","NOT IN MASTER")</f>
        <v/>
      </c>
      <c r="G56" s="31">
        <f>IFERROR(INDEX(MASTER!$H$2:$H$2000,MATCH($A56,MASTER!$A$2:$A$2000,0))&amp;"","")</f>
        <v/>
      </c>
      <c r="H56" s="31">
        <f>IFERROR(INDEX(MASTER!$I$2:$I$2000,MATCH($A56,MASTER!$A$2:$A$2000,0))&amp;"","")</f>
        <v/>
      </c>
      <c r="I56" s="41">
        <f>IFERROR(IF(INDEX(MASTER!$O$2:$O$2000,MATCH($A56,MASTER!$A$2:$A$2000,0))="","",INDEX(MASTER!$O$2:$O$2000,MATCH($A56,MASTER!$A$2:$A$2000,0))),"")</f>
        <v/>
      </c>
      <c r="J56" s="31">
        <f>IFERROR(INDEX(MASTER!$P$2:$P$2000,MATCH($A56,MASTER!$A$2:$A$2000,0))&amp;"","")</f>
        <v/>
      </c>
      <c r="K56" s="31">
        <f>IFERROR(INDEX(MASTER!$Q$2:$Q$2000,MATCH($A56,MASTER!$A$2:$A$2000,0))&amp;"","")</f>
        <v/>
      </c>
      <c r="L56" s="31">
        <f>IFERROR(INDEX(MASTER!$R$2:$R$2000,MATCH($A56,MASTER!$A$2:$A$2000,0))&amp;"","")</f>
        <v/>
      </c>
    </row>
    <row r="57">
      <c r="A57" s="34" t="inlineStr">
        <is>
          <t>AI-002</t>
        </is>
      </c>
      <c r="B57" s="31">
        <f>IFERROR(INDEX(MASTER!$C$2:$C$2000,MATCH($A57,MASTER!$A$2:$A$2000,0))&amp;"","")</f>
        <v/>
      </c>
      <c r="C57" s="35">
        <f>IFERROR(INDEX(MASTER!$B$2:$B$2000,MATCH($A57,MASTER!$A$2:$A$2000,0)),"")</f>
        <v/>
      </c>
      <c r="D57" s="31">
        <f>IFERROR(INDEX(MASTER!$D$2:$D$2000,MATCH($A57,MASTER!$A$2:$A$2000,0))&amp;"","")</f>
        <v/>
      </c>
      <c r="E57" s="31">
        <f>IFERROR(INDEX(MASTER!$F$2:$F$2000,MATCH($A57,MASTER!$A$2:$A$2000,0))&amp;"","")</f>
        <v/>
      </c>
      <c r="F57" s="31">
        <f>IFERROR(INDEX(MASTER!$G$2:$G$2000,MATCH($A57,MASTER!$A$2:$A$2000,0))&amp;"","NOT IN MASTER")</f>
        <v/>
      </c>
      <c r="G57" s="31">
        <f>IFERROR(INDEX(MASTER!$H$2:$H$2000,MATCH($A57,MASTER!$A$2:$A$2000,0))&amp;"","")</f>
        <v/>
      </c>
      <c r="H57" s="31">
        <f>IFERROR(INDEX(MASTER!$I$2:$I$2000,MATCH($A57,MASTER!$A$2:$A$2000,0))&amp;"","")</f>
        <v/>
      </c>
      <c r="I57" s="41">
        <f>IFERROR(IF(INDEX(MASTER!$O$2:$O$2000,MATCH($A57,MASTER!$A$2:$A$2000,0))="","",INDEX(MASTER!$O$2:$O$2000,MATCH($A57,MASTER!$A$2:$A$2000,0))),"")</f>
        <v/>
      </c>
      <c r="J57" s="31">
        <f>IFERROR(INDEX(MASTER!$P$2:$P$2000,MATCH($A57,MASTER!$A$2:$A$2000,0))&amp;"","")</f>
        <v/>
      </c>
      <c r="K57" s="31">
        <f>IFERROR(INDEX(MASTER!$Q$2:$Q$2000,MATCH($A57,MASTER!$A$2:$A$2000,0))&amp;"","")</f>
        <v/>
      </c>
      <c r="L57" s="31">
        <f>IFERROR(INDEX(MASTER!$R$2:$R$2000,MATCH($A57,MASTER!$A$2:$A$2000,0))&amp;"","")</f>
        <v/>
      </c>
    </row>
    <row r="58">
      <c r="A58" s="34" t="inlineStr">
        <is>
          <t>AI-003</t>
        </is>
      </c>
      <c r="B58" s="31">
        <f>IFERROR(INDEX(MASTER!$C$2:$C$2000,MATCH($A58,MASTER!$A$2:$A$2000,0))&amp;"","")</f>
        <v/>
      </c>
      <c r="C58" s="35">
        <f>IFERROR(INDEX(MASTER!$B$2:$B$2000,MATCH($A58,MASTER!$A$2:$A$2000,0)),"")</f>
        <v/>
      </c>
      <c r="D58" s="31">
        <f>IFERROR(INDEX(MASTER!$D$2:$D$2000,MATCH($A58,MASTER!$A$2:$A$2000,0))&amp;"","")</f>
        <v/>
      </c>
      <c r="E58" s="31">
        <f>IFERROR(INDEX(MASTER!$F$2:$F$2000,MATCH($A58,MASTER!$A$2:$A$2000,0))&amp;"","")</f>
        <v/>
      </c>
      <c r="F58" s="31">
        <f>IFERROR(INDEX(MASTER!$G$2:$G$2000,MATCH($A58,MASTER!$A$2:$A$2000,0))&amp;"","NOT IN MASTER")</f>
        <v/>
      </c>
      <c r="G58" s="31">
        <f>IFERROR(INDEX(MASTER!$H$2:$H$2000,MATCH($A58,MASTER!$A$2:$A$2000,0))&amp;"","")</f>
        <v/>
      </c>
      <c r="H58" s="31">
        <f>IFERROR(INDEX(MASTER!$I$2:$I$2000,MATCH($A58,MASTER!$A$2:$A$2000,0))&amp;"","")</f>
        <v/>
      </c>
      <c r="I58" s="41">
        <f>IFERROR(IF(INDEX(MASTER!$O$2:$O$2000,MATCH($A58,MASTER!$A$2:$A$2000,0))="","",INDEX(MASTER!$O$2:$O$2000,MATCH($A58,MASTER!$A$2:$A$2000,0))),"")</f>
        <v/>
      </c>
      <c r="J58" s="31">
        <f>IFERROR(INDEX(MASTER!$P$2:$P$2000,MATCH($A58,MASTER!$A$2:$A$2000,0))&amp;"","")</f>
        <v/>
      </c>
      <c r="K58" s="31">
        <f>IFERROR(INDEX(MASTER!$Q$2:$Q$2000,MATCH($A58,MASTER!$A$2:$A$2000,0))&amp;"","")</f>
        <v/>
      </c>
      <c r="L58" s="31">
        <f>IFERROR(INDEX(MASTER!$R$2:$R$2000,MATCH($A58,MASTER!$A$2:$A$2000,0))&amp;"","")</f>
        <v/>
      </c>
    </row>
    <row r="59">
      <c r="A59" s="34" t="inlineStr">
        <is>
          <t>AI-004</t>
        </is>
      </c>
      <c r="B59" s="31">
        <f>IFERROR(INDEX(MASTER!$C$2:$C$2000,MATCH($A59,MASTER!$A$2:$A$2000,0))&amp;"","")</f>
        <v/>
      </c>
      <c r="C59" s="35">
        <f>IFERROR(INDEX(MASTER!$B$2:$B$2000,MATCH($A59,MASTER!$A$2:$A$2000,0)),"")</f>
        <v/>
      </c>
      <c r="D59" s="31">
        <f>IFERROR(INDEX(MASTER!$D$2:$D$2000,MATCH($A59,MASTER!$A$2:$A$2000,0))&amp;"","")</f>
        <v/>
      </c>
      <c r="E59" s="31">
        <f>IFERROR(INDEX(MASTER!$F$2:$F$2000,MATCH($A59,MASTER!$A$2:$A$2000,0))&amp;"","")</f>
        <v/>
      </c>
      <c r="F59" s="31">
        <f>IFERROR(INDEX(MASTER!$G$2:$G$2000,MATCH($A59,MASTER!$A$2:$A$2000,0))&amp;"","NOT IN MASTER")</f>
        <v/>
      </c>
      <c r="G59" s="31">
        <f>IFERROR(INDEX(MASTER!$H$2:$H$2000,MATCH($A59,MASTER!$A$2:$A$2000,0))&amp;"","")</f>
        <v/>
      </c>
      <c r="H59" s="31">
        <f>IFERROR(INDEX(MASTER!$I$2:$I$2000,MATCH($A59,MASTER!$A$2:$A$2000,0))&amp;"","")</f>
        <v/>
      </c>
      <c r="I59" s="41">
        <f>IFERROR(IF(INDEX(MASTER!$O$2:$O$2000,MATCH($A59,MASTER!$A$2:$A$2000,0))="","",INDEX(MASTER!$O$2:$O$2000,MATCH($A59,MASTER!$A$2:$A$2000,0))),"")</f>
        <v/>
      </c>
      <c r="J59" s="31">
        <f>IFERROR(INDEX(MASTER!$P$2:$P$2000,MATCH($A59,MASTER!$A$2:$A$2000,0))&amp;"","")</f>
        <v/>
      </c>
      <c r="K59" s="31">
        <f>IFERROR(INDEX(MASTER!$Q$2:$Q$2000,MATCH($A59,MASTER!$A$2:$A$2000,0))&amp;"","")</f>
        <v/>
      </c>
      <c r="L59" s="31">
        <f>IFERROR(INDEX(MASTER!$R$2:$R$2000,MATCH($A59,MASTER!$A$2:$A$2000,0))&amp;"","")</f>
        <v/>
      </c>
    </row>
    <row r="60">
      <c r="A60" s="34" t="inlineStr">
        <is>
          <t>AI-005</t>
        </is>
      </c>
      <c r="B60" s="31">
        <f>IFERROR(INDEX(MASTER!$C$2:$C$2000,MATCH($A60,MASTER!$A$2:$A$2000,0))&amp;"","")</f>
        <v/>
      </c>
      <c r="C60" s="35">
        <f>IFERROR(INDEX(MASTER!$B$2:$B$2000,MATCH($A60,MASTER!$A$2:$A$2000,0)),"")</f>
        <v/>
      </c>
      <c r="D60" s="31">
        <f>IFERROR(INDEX(MASTER!$D$2:$D$2000,MATCH($A60,MASTER!$A$2:$A$2000,0))&amp;"","")</f>
        <v/>
      </c>
      <c r="E60" s="31">
        <f>IFERROR(INDEX(MASTER!$F$2:$F$2000,MATCH($A60,MASTER!$A$2:$A$2000,0))&amp;"","")</f>
        <v/>
      </c>
      <c r="F60" s="31">
        <f>IFERROR(INDEX(MASTER!$G$2:$G$2000,MATCH($A60,MASTER!$A$2:$A$2000,0))&amp;"","NOT IN MASTER")</f>
        <v/>
      </c>
      <c r="G60" s="31">
        <f>IFERROR(INDEX(MASTER!$H$2:$H$2000,MATCH($A60,MASTER!$A$2:$A$2000,0))&amp;"","")</f>
        <v/>
      </c>
      <c r="H60" s="31">
        <f>IFERROR(INDEX(MASTER!$I$2:$I$2000,MATCH($A60,MASTER!$A$2:$A$2000,0))&amp;"","")</f>
        <v/>
      </c>
      <c r="I60" s="41">
        <f>IFERROR(IF(INDEX(MASTER!$O$2:$O$2000,MATCH($A60,MASTER!$A$2:$A$2000,0))="","",INDEX(MASTER!$O$2:$O$2000,MATCH($A60,MASTER!$A$2:$A$2000,0))),"")</f>
        <v/>
      </c>
      <c r="J60" s="31">
        <f>IFERROR(INDEX(MASTER!$P$2:$P$2000,MATCH($A60,MASTER!$A$2:$A$2000,0))&amp;"","")</f>
        <v/>
      </c>
      <c r="K60" s="31">
        <f>IFERROR(INDEX(MASTER!$Q$2:$Q$2000,MATCH($A60,MASTER!$A$2:$A$2000,0))&amp;"","")</f>
        <v/>
      </c>
      <c r="L60" s="31">
        <f>IFERROR(INDEX(MASTER!$R$2:$R$2000,MATCH($A60,MASTER!$A$2:$A$2000,0))&amp;"","")</f>
        <v/>
      </c>
    </row>
    <row r="61">
      <c r="A61" s="34" t="inlineStr">
        <is>
          <t>AI-006</t>
        </is>
      </c>
      <c r="B61" s="31">
        <f>IFERROR(INDEX(MASTER!$C$2:$C$2000,MATCH($A61,MASTER!$A$2:$A$2000,0))&amp;"","")</f>
        <v/>
      </c>
      <c r="C61" s="35">
        <f>IFERROR(INDEX(MASTER!$B$2:$B$2000,MATCH($A61,MASTER!$A$2:$A$2000,0)),"")</f>
        <v/>
      </c>
      <c r="D61" s="31">
        <f>IFERROR(INDEX(MASTER!$D$2:$D$2000,MATCH($A61,MASTER!$A$2:$A$2000,0))&amp;"","")</f>
        <v/>
      </c>
      <c r="E61" s="31">
        <f>IFERROR(INDEX(MASTER!$F$2:$F$2000,MATCH($A61,MASTER!$A$2:$A$2000,0))&amp;"","")</f>
        <v/>
      </c>
      <c r="F61" s="31">
        <f>IFERROR(INDEX(MASTER!$G$2:$G$2000,MATCH($A61,MASTER!$A$2:$A$2000,0))&amp;"","NOT IN MASTER")</f>
        <v/>
      </c>
      <c r="G61" s="31">
        <f>IFERROR(INDEX(MASTER!$H$2:$H$2000,MATCH($A61,MASTER!$A$2:$A$2000,0))&amp;"","")</f>
        <v/>
      </c>
      <c r="H61" s="31">
        <f>IFERROR(INDEX(MASTER!$I$2:$I$2000,MATCH($A61,MASTER!$A$2:$A$2000,0))&amp;"","")</f>
        <v/>
      </c>
      <c r="I61" s="41">
        <f>IFERROR(IF(INDEX(MASTER!$O$2:$O$2000,MATCH($A61,MASTER!$A$2:$A$2000,0))="","",INDEX(MASTER!$O$2:$O$2000,MATCH($A61,MASTER!$A$2:$A$2000,0))),"")</f>
        <v/>
      </c>
      <c r="J61" s="31">
        <f>IFERROR(INDEX(MASTER!$P$2:$P$2000,MATCH($A61,MASTER!$A$2:$A$2000,0))&amp;"","")</f>
        <v/>
      </c>
      <c r="K61" s="31">
        <f>IFERROR(INDEX(MASTER!$Q$2:$Q$2000,MATCH($A61,MASTER!$A$2:$A$2000,0))&amp;"","")</f>
        <v/>
      </c>
      <c r="L61" s="31">
        <f>IFERROR(INDEX(MASTER!$R$2:$R$2000,MATCH($A61,MASTER!$A$2:$A$2000,0))&amp;"","")</f>
        <v/>
      </c>
    </row>
    <row r="62">
      <c r="A62" s="34" t="inlineStr">
        <is>
          <t>AI-007</t>
        </is>
      </c>
      <c r="B62" s="31">
        <f>IFERROR(INDEX(MASTER!$C$2:$C$2000,MATCH($A62,MASTER!$A$2:$A$2000,0))&amp;"","")</f>
        <v/>
      </c>
      <c r="C62" s="35">
        <f>IFERROR(INDEX(MASTER!$B$2:$B$2000,MATCH($A62,MASTER!$A$2:$A$2000,0)),"")</f>
        <v/>
      </c>
      <c r="D62" s="31">
        <f>IFERROR(INDEX(MASTER!$D$2:$D$2000,MATCH($A62,MASTER!$A$2:$A$2000,0))&amp;"","")</f>
        <v/>
      </c>
      <c r="E62" s="31">
        <f>IFERROR(INDEX(MASTER!$F$2:$F$2000,MATCH($A62,MASTER!$A$2:$A$2000,0))&amp;"","")</f>
        <v/>
      </c>
      <c r="F62" s="31">
        <f>IFERROR(INDEX(MASTER!$G$2:$G$2000,MATCH($A62,MASTER!$A$2:$A$2000,0))&amp;"","NOT IN MASTER")</f>
        <v/>
      </c>
      <c r="G62" s="31">
        <f>IFERROR(INDEX(MASTER!$H$2:$H$2000,MATCH($A62,MASTER!$A$2:$A$2000,0))&amp;"","")</f>
        <v/>
      </c>
      <c r="H62" s="31">
        <f>IFERROR(INDEX(MASTER!$I$2:$I$2000,MATCH($A62,MASTER!$A$2:$A$2000,0))&amp;"","")</f>
        <v/>
      </c>
      <c r="I62" s="41">
        <f>IFERROR(IF(INDEX(MASTER!$O$2:$O$2000,MATCH($A62,MASTER!$A$2:$A$2000,0))="","",INDEX(MASTER!$O$2:$O$2000,MATCH($A62,MASTER!$A$2:$A$2000,0))),"")</f>
        <v/>
      </c>
      <c r="J62" s="31">
        <f>IFERROR(INDEX(MASTER!$P$2:$P$2000,MATCH($A62,MASTER!$A$2:$A$2000,0))&amp;"","")</f>
        <v/>
      </c>
      <c r="K62" s="31">
        <f>IFERROR(INDEX(MASTER!$Q$2:$Q$2000,MATCH($A62,MASTER!$A$2:$A$2000,0))&amp;"","")</f>
        <v/>
      </c>
      <c r="L62" s="31">
        <f>IFERROR(INDEX(MASTER!$R$2:$R$2000,MATCH($A62,MASTER!$A$2:$A$2000,0))&amp;"","")</f>
        <v/>
      </c>
    </row>
    <row r="63">
      <c r="A63" s="34" t="inlineStr">
        <is>
          <t>REV-001</t>
        </is>
      </c>
      <c r="B63" s="31">
        <f>IFERROR(INDEX(MASTER!$C$2:$C$2000,MATCH($A63,MASTER!$A$2:$A$2000,0))&amp;"","")</f>
        <v/>
      </c>
      <c r="C63" s="35">
        <f>IFERROR(INDEX(MASTER!$B$2:$B$2000,MATCH($A63,MASTER!$A$2:$A$2000,0)),"")</f>
        <v/>
      </c>
      <c r="D63" s="31">
        <f>IFERROR(INDEX(MASTER!$D$2:$D$2000,MATCH($A63,MASTER!$A$2:$A$2000,0))&amp;"","")</f>
        <v/>
      </c>
      <c r="E63" s="31">
        <f>IFERROR(INDEX(MASTER!$F$2:$F$2000,MATCH($A63,MASTER!$A$2:$A$2000,0))&amp;"","")</f>
        <v/>
      </c>
      <c r="F63" s="31">
        <f>IFERROR(INDEX(MASTER!$G$2:$G$2000,MATCH($A63,MASTER!$A$2:$A$2000,0))&amp;"","NOT IN MASTER")</f>
        <v/>
      </c>
      <c r="G63" s="31">
        <f>IFERROR(INDEX(MASTER!$H$2:$H$2000,MATCH($A63,MASTER!$A$2:$A$2000,0))&amp;"","")</f>
        <v/>
      </c>
      <c r="H63" s="31">
        <f>IFERROR(INDEX(MASTER!$I$2:$I$2000,MATCH($A63,MASTER!$A$2:$A$2000,0))&amp;"","")</f>
        <v/>
      </c>
      <c r="I63" s="41">
        <f>IFERROR(IF(INDEX(MASTER!$O$2:$O$2000,MATCH($A63,MASTER!$A$2:$A$2000,0))="","",INDEX(MASTER!$O$2:$O$2000,MATCH($A63,MASTER!$A$2:$A$2000,0))),"")</f>
        <v/>
      </c>
      <c r="J63" s="31">
        <f>IFERROR(INDEX(MASTER!$P$2:$P$2000,MATCH($A63,MASTER!$A$2:$A$2000,0))&amp;"","")</f>
        <v/>
      </c>
      <c r="K63" s="31">
        <f>IFERROR(INDEX(MASTER!$Q$2:$Q$2000,MATCH($A63,MASTER!$A$2:$A$2000,0))&amp;"","")</f>
        <v/>
      </c>
      <c r="L63" s="31">
        <f>IFERROR(INDEX(MASTER!$R$2:$R$2000,MATCH($A63,MASTER!$A$2:$A$2000,0))&amp;"","")</f>
        <v/>
      </c>
    </row>
    <row r="64">
      <c r="A64" s="34" t="inlineStr">
        <is>
          <t>DOCX-010</t>
        </is>
      </c>
      <c r="B64" s="31">
        <f>IFERROR(INDEX(MASTER!$C$2:$C$2000,MATCH($A64,MASTER!$A$2:$A$2000,0))&amp;"","")</f>
        <v/>
      </c>
      <c r="C64" s="35">
        <f>IFERROR(INDEX(MASTER!$B$2:$B$2000,MATCH($A64,MASTER!$A$2:$A$2000,0)),"")</f>
        <v/>
      </c>
      <c r="D64" s="31">
        <f>IFERROR(INDEX(MASTER!$D$2:$D$2000,MATCH($A64,MASTER!$A$2:$A$2000,0))&amp;"","")</f>
        <v/>
      </c>
      <c r="E64" s="31">
        <f>IFERROR(INDEX(MASTER!$F$2:$F$2000,MATCH($A64,MASTER!$A$2:$A$2000,0))&amp;"","")</f>
        <v/>
      </c>
      <c r="F64" s="31">
        <f>IFERROR(INDEX(MASTER!$G$2:$G$2000,MATCH($A64,MASTER!$A$2:$A$2000,0))&amp;"","NOT IN MASTER")</f>
        <v/>
      </c>
      <c r="G64" s="31">
        <f>IFERROR(INDEX(MASTER!$H$2:$H$2000,MATCH($A64,MASTER!$A$2:$A$2000,0))&amp;"","")</f>
        <v/>
      </c>
      <c r="H64" s="31">
        <f>IFERROR(INDEX(MASTER!$I$2:$I$2000,MATCH($A64,MASTER!$A$2:$A$2000,0))&amp;"","")</f>
        <v/>
      </c>
      <c r="I64" s="41">
        <f>IFERROR(IF(INDEX(MASTER!$O$2:$O$2000,MATCH($A64,MASTER!$A$2:$A$2000,0))="","",INDEX(MASTER!$O$2:$O$2000,MATCH($A64,MASTER!$A$2:$A$2000,0))),"")</f>
        <v/>
      </c>
      <c r="J64" s="31">
        <f>IFERROR(INDEX(MASTER!$P$2:$P$2000,MATCH($A64,MASTER!$A$2:$A$2000,0))&amp;"","")</f>
        <v/>
      </c>
      <c r="K64" s="31">
        <f>IFERROR(INDEX(MASTER!$Q$2:$Q$2000,MATCH($A64,MASTER!$A$2:$A$2000,0))&amp;"","")</f>
        <v/>
      </c>
      <c r="L64" s="31">
        <f>IFERROR(INDEX(MASTER!$R$2:$R$2000,MATCH($A64,MASTER!$A$2:$A$2000,0))&amp;"","")</f>
        <v/>
      </c>
    </row>
    <row r="65">
      <c r="A65" s="34" t="inlineStr">
        <is>
          <t>DOCX-011</t>
        </is>
      </c>
      <c r="B65" s="31">
        <f>IFERROR(INDEX(MASTER!$C$2:$C$2000,MATCH($A65,MASTER!$A$2:$A$2000,0))&amp;"","")</f>
        <v/>
      </c>
      <c r="C65" s="35">
        <f>IFERROR(INDEX(MASTER!$B$2:$B$2000,MATCH($A65,MASTER!$A$2:$A$2000,0)),"")</f>
        <v/>
      </c>
      <c r="D65" s="31">
        <f>IFERROR(INDEX(MASTER!$D$2:$D$2000,MATCH($A65,MASTER!$A$2:$A$2000,0))&amp;"","")</f>
        <v/>
      </c>
      <c r="E65" s="31">
        <f>IFERROR(INDEX(MASTER!$F$2:$F$2000,MATCH($A65,MASTER!$A$2:$A$2000,0))&amp;"","")</f>
        <v/>
      </c>
      <c r="F65" s="31">
        <f>IFERROR(INDEX(MASTER!$G$2:$G$2000,MATCH($A65,MASTER!$A$2:$A$2000,0))&amp;"","NOT IN MASTER")</f>
        <v/>
      </c>
      <c r="G65" s="31">
        <f>IFERROR(INDEX(MASTER!$H$2:$H$2000,MATCH($A65,MASTER!$A$2:$A$2000,0))&amp;"","")</f>
        <v/>
      </c>
      <c r="H65" s="31">
        <f>IFERROR(INDEX(MASTER!$I$2:$I$2000,MATCH($A65,MASTER!$A$2:$A$2000,0))&amp;"","")</f>
        <v/>
      </c>
      <c r="I65" s="41">
        <f>IFERROR(IF(INDEX(MASTER!$O$2:$O$2000,MATCH($A65,MASTER!$A$2:$A$2000,0))="","",INDEX(MASTER!$O$2:$O$2000,MATCH($A65,MASTER!$A$2:$A$2000,0))),"")</f>
        <v/>
      </c>
      <c r="J65" s="31">
        <f>IFERROR(INDEX(MASTER!$P$2:$P$2000,MATCH($A65,MASTER!$A$2:$A$2000,0))&amp;"","")</f>
        <v/>
      </c>
      <c r="K65" s="31">
        <f>IFERROR(INDEX(MASTER!$Q$2:$Q$2000,MATCH($A65,MASTER!$A$2:$A$2000,0))&amp;"","")</f>
        <v/>
      </c>
      <c r="L65" s="31">
        <f>IFERROR(INDEX(MASTER!$R$2:$R$2000,MATCH($A65,MASTER!$A$2:$A$2000,0))&amp;"","")</f>
        <v/>
      </c>
    </row>
    <row r="66">
      <c r="A66" s="34" t="inlineStr">
        <is>
          <t>DOCX-012</t>
        </is>
      </c>
      <c r="B66" s="31">
        <f>IFERROR(INDEX(MASTER!$C$2:$C$2000,MATCH($A66,MASTER!$A$2:$A$2000,0))&amp;"","")</f>
        <v/>
      </c>
      <c r="C66" s="35">
        <f>IFERROR(INDEX(MASTER!$B$2:$B$2000,MATCH($A66,MASTER!$A$2:$A$2000,0)),"")</f>
        <v/>
      </c>
      <c r="D66" s="31">
        <f>IFERROR(INDEX(MASTER!$D$2:$D$2000,MATCH($A66,MASTER!$A$2:$A$2000,0))&amp;"","")</f>
        <v/>
      </c>
      <c r="E66" s="31">
        <f>IFERROR(INDEX(MASTER!$F$2:$F$2000,MATCH($A66,MASTER!$A$2:$A$2000,0))&amp;"","")</f>
        <v/>
      </c>
      <c r="F66" s="31">
        <f>IFERROR(INDEX(MASTER!$G$2:$G$2000,MATCH($A66,MASTER!$A$2:$A$2000,0))&amp;"","NOT IN MASTER")</f>
        <v/>
      </c>
      <c r="G66" s="31">
        <f>IFERROR(INDEX(MASTER!$H$2:$H$2000,MATCH($A66,MASTER!$A$2:$A$2000,0))&amp;"","")</f>
        <v/>
      </c>
      <c r="H66" s="31">
        <f>IFERROR(INDEX(MASTER!$I$2:$I$2000,MATCH($A66,MASTER!$A$2:$A$2000,0))&amp;"","")</f>
        <v/>
      </c>
      <c r="I66" s="41">
        <f>IFERROR(IF(INDEX(MASTER!$O$2:$O$2000,MATCH($A66,MASTER!$A$2:$A$2000,0))="","",INDEX(MASTER!$O$2:$O$2000,MATCH($A66,MASTER!$A$2:$A$2000,0))),"")</f>
        <v/>
      </c>
      <c r="J66" s="31">
        <f>IFERROR(INDEX(MASTER!$P$2:$P$2000,MATCH($A66,MASTER!$A$2:$A$2000,0))&amp;"","")</f>
        <v/>
      </c>
      <c r="K66" s="31">
        <f>IFERROR(INDEX(MASTER!$Q$2:$Q$2000,MATCH($A66,MASTER!$A$2:$A$2000,0))&amp;"","")</f>
        <v/>
      </c>
      <c r="L66" s="31">
        <f>IFERROR(INDEX(MASTER!$R$2:$R$2000,MATCH($A66,MASTER!$A$2:$A$2000,0))&amp;"","")</f>
        <v/>
      </c>
    </row>
    <row r="67">
      <c r="A67" s="34" t="inlineStr">
        <is>
          <t>DOCX-013</t>
        </is>
      </c>
      <c r="B67" s="31">
        <f>IFERROR(INDEX(MASTER!$C$2:$C$2000,MATCH($A67,MASTER!$A$2:$A$2000,0))&amp;"","")</f>
        <v/>
      </c>
      <c r="C67" s="35">
        <f>IFERROR(INDEX(MASTER!$B$2:$B$2000,MATCH($A67,MASTER!$A$2:$A$2000,0)),"")</f>
        <v/>
      </c>
      <c r="D67" s="31">
        <f>IFERROR(INDEX(MASTER!$D$2:$D$2000,MATCH($A67,MASTER!$A$2:$A$2000,0))&amp;"","")</f>
        <v/>
      </c>
      <c r="E67" s="31">
        <f>IFERROR(INDEX(MASTER!$F$2:$F$2000,MATCH($A67,MASTER!$A$2:$A$2000,0))&amp;"","")</f>
        <v/>
      </c>
      <c r="F67" s="31">
        <f>IFERROR(INDEX(MASTER!$G$2:$G$2000,MATCH($A67,MASTER!$A$2:$A$2000,0))&amp;"","NOT IN MASTER")</f>
        <v/>
      </c>
      <c r="G67" s="31">
        <f>IFERROR(INDEX(MASTER!$H$2:$H$2000,MATCH($A67,MASTER!$A$2:$A$2000,0))&amp;"","")</f>
        <v/>
      </c>
      <c r="H67" s="31">
        <f>IFERROR(INDEX(MASTER!$I$2:$I$2000,MATCH($A67,MASTER!$A$2:$A$2000,0))&amp;"","")</f>
        <v/>
      </c>
      <c r="I67" s="41">
        <f>IFERROR(IF(INDEX(MASTER!$O$2:$O$2000,MATCH($A67,MASTER!$A$2:$A$2000,0))="","",INDEX(MASTER!$O$2:$O$2000,MATCH($A67,MASTER!$A$2:$A$2000,0))),"")</f>
        <v/>
      </c>
      <c r="J67" s="31">
        <f>IFERROR(INDEX(MASTER!$P$2:$P$2000,MATCH($A67,MASTER!$A$2:$A$2000,0))&amp;"","")</f>
        <v/>
      </c>
      <c r="K67" s="31">
        <f>IFERROR(INDEX(MASTER!$Q$2:$Q$2000,MATCH($A67,MASTER!$A$2:$A$2000,0))&amp;"","")</f>
        <v/>
      </c>
      <c r="L67" s="31">
        <f>IFERROR(INDEX(MASTER!$R$2:$R$2000,MATCH($A67,MASTER!$A$2:$A$2000,0))&amp;"","")</f>
        <v/>
      </c>
    </row>
    <row r="68">
      <c r="A68" s="34" t="inlineStr">
        <is>
          <t>DOCX-015</t>
        </is>
      </c>
      <c r="B68" s="31">
        <f>IFERROR(INDEX(MASTER!$C$2:$C$2000,MATCH($A68,MASTER!$A$2:$A$2000,0))&amp;"","")</f>
        <v/>
      </c>
      <c r="C68" s="35">
        <f>IFERROR(INDEX(MASTER!$B$2:$B$2000,MATCH($A68,MASTER!$A$2:$A$2000,0)),"")</f>
        <v/>
      </c>
      <c r="D68" s="31">
        <f>IFERROR(INDEX(MASTER!$D$2:$D$2000,MATCH($A68,MASTER!$A$2:$A$2000,0))&amp;"","")</f>
        <v/>
      </c>
      <c r="E68" s="31">
        <f>IFERROR(INDEX(MASTER!$F$2:$F$2000,MATCH($A68,MASTER!$A$2:$A$2000,0))&amp;"","")</f>
        <v/>
      </c>
      <c r="F68" s="31">
        <f>IFERROR(INDEX(MASTER!$G$2:$G$2000,MATCH($A68,MASTER!$A$2:$A$2000,0))&amp;"","NOT IN MASTER")</f>
        <v/>
      </c>
      <c r="G68" s="31">
        <f>IFERROR(INDEX(MASTER!$H$2:$H$2000,MATCH($A68,MASTER!$A$2:$A$2000,0))&amp;"","")</f>
        <v/>
      </c>
      <c r="H68" s="31">
        <f>IFERROR(INDEX(MASTER!$I$2:$I$2000,MATCH($A68,MASTER!$A$2:$A$2000,0))&amp;"","")</f>
        <v/>
      </c>
      <c r="I68" s="41">
        <f>IFERROR(IF(INDEX(MASTER!$O$2:$O$2000,MATCH($A68,MASTER!$A$2:$A$2000,0))="","",INDEX(MASTER!$O$2:$O$2000,MATCH($A68,MASTER!$A$2:$A$2000,0))),"")</f>
        <v/>
      </c>
      <c r="J68" s="31">
        <f>IFERROR(INDEX(MASTER!$P$2:$P$2000,MATCH($A68,MASTER!$A$2:$A$2000,0))&amp;"","")</f>
        <v/>
      </c>
      <c r="K68" s="31">
        <f>IFERROR(INDEX(MASTER!$Q$2:$Q$2000,MATCH($A68,MASTER!$A$2:$A$2000,0))&amp;"","")</f>
        <v/>
      </c>
      <c r="L68" s="31">
        <f>IFERROR(INDEX(MASTER!$R$2:$R$2000,MATCH($A68,MASTER!$A$2:$A$2000,0))&amp;"","")</f>
        <v/>
      </c>
    </row>
    <row r="69">
      <c r="A69" s="34" t="inlineStr">
        <is>
          <t>DOCX-016</t>
        </is>
      </c>
      <c r="B69" s="31">
        <f>IFERROR(INDEX(MASTER!$C$2:$C$2000,MATCH($A69,MASTER!$A$2:$A$2000,0))&amp;"","")</f>
        <v/>
      </c>
      <c r="C69" s="35">
        <f>IFERROR(INDEX(MASTER!$B$2:$B$2000,MATCH($A69,MASTER!$A$2:$A$2000,0)),"")</f>
        <v/>
      </c>
      <c r="D69" s="31">
        <f>IFERROR(INDEX(MASTER!$D$2:$D$2000,MATCH($A69,MASTER!$A$2:$A$2000,0))&amp;"","")</f>
        <v/>
      </c>
      <c r="E69" s="31">
        <f>IFERROR(INDEX(MASTER!$F$2:$F$2000,MATCH($A69,MASTER!$A$2:$A$2000,0))&amp;"","")</f>
        <v/>
      </c>
      <c r="F69" s="31">
        <f>IFERROR(INDEX(MASTER!$G$2:$G$2000,MATCH($A69,MASTER!$A$2:$A$2000,0))&amp;"","NOT IN MASTER")</f>
        <v/>
      </c>
      <c r="G69" s="31">
        <f>IFERROR(INDEX(MASTER!$H$2:$H$2000,MATCH($A69,MASTER!$A$2:$A$2000,0))&amp;"","")</f>
        <v/>
      </c>
      <c r="H69" s="31">
        <f>IFERROR(INDEX(MASTER!$I$2:$I$2000,MATCH($A69,MASTER!$A$2:$A$2000,0))&amp;"","")</f>
        <v/>
      </c>
      <c r="I69" s="41">
        <f>IFERROR(IF(INDEX(MASTER!$O$2:$O$2000,MATCH($A69,MASTER!$A$2:$A$2000,0))="","",INDEX(MASTER!$O$2:$O$2000,MATCH($A69,MASTER!$A$2:$A$2000,0))),"")</f>
        <v/>
      </c>
      <c r="J69" s="31">
        <f>IFERROR(INDEX(MASTER!$P$2:$P$2000,MATCH($A69,MASTER!$A$2:$A$2000,0))&amp;"","")</f>
        <v/>
      </c>
      <c r="K69" s="31">
        <f>IFERROR(INDEX(MASTER!$Q$2:$Q$2000,MATCH($A69,MASTER!$A$2:$A$2000,0))&amp;"","")</f>
        <v/>
      </c>
      <c r="L69" s="31">
        <f>IFERROR(INDEX(MASTER!$R$2:$R$2000,MATCH($A69,MASTER!$A$2:$A$2000,0))&amp;"","")</f>
        <v/>
      </c>
    </row>
    <row r="70">
      <c r="A70" s="34" t="inlineStr">
        <is>
          <t>DOCX-017</t>
        </is>
      </c>
      <c r="B70" s="31">
        <f>IFERROR(INDEX(MASTER!$C$2:$C$2000,MATCH($A70,MASTER!$A$2:$A$2000,0))&amp;"","")</f>
        <v/>
      </c>
      <c r="C70" s="35">
        <f>IFERROR(INDEX(MASTER!$B$2:$B$2000,MATCH($A70,MASTER!$A$2:$A$2000,0)),"")</f>
        <v/>
      </c>
      <c r="D70" s="31">
        <f>IFERROR(INDEX(MASTER!$D$2:$D$2000,MATCH($A70,MASTER!$A$2:$A$2000,0))&amp;"","")</f>
        <v/>
      </c>
      <c r="E70" s="31">
        <f>IFERROR(INDEX(MASTER!$F$2:$F$2000,MATCH($A70,MASTER!$A$2:$A$2000,0))&amp;"","")</f>
        <v/>
      </c>
      <c r="F70" s="31">
        <f>IFERROR(INDEX(MASTER!$G$2:$G$2000,MATCH($A70,MASTER!$A$2:$A$2000,0))&amp;"","NOT IN MASTER")</f>
        <v/>
      </c>
      <c r="G70" s="31">
        <f>IFERROR(INDEX(MASTER!$H$2:$H$2000,MATCH($A70,MASTER!$A$2:$A$2000,0))&amp;"","")</f>
        <v/>
      </c>
      <c r="H70" s="31">
        <f>IFERROR(INDEX(MASTER!$I$2:$I$2000,MATCH($A70,MASTER!$A$2:$A$2000,0))&amp;"","")</f>
        <v/>
      </c>
      <c r="I70" s="41">
        <f>IFERROR(IF(INDEX(MASTER!$O$2:$O$2000,MATCH($A70,MASTER!$A$2:$A$2000,0))="","",INDEX(MASTER!$O$2:$O$2000,MATCH($A70,MASTER!$A$2:$A$2000,0))),"")</f>
        <v/>
      </c>
      <c r="J70" s="31">
        <f>IFERROR(INDEX(MASTER!$P$2:$P$2000,MATCH($A70,MASTER!$A$2:$A$2000,0))&amp;"","")</f>
        <v/>
      </c>
      <c r="K70" s="31">
        <f>IFERROR(INDEX(MASTER!$Q$2:$Q$2000,MATCH($A70,MASTER!$A$2:$A$2000,0))&amp;"","")</f>
        <v/>
      </c>
      <c r="L70" s="31">
        <f>IFERROR(INDEX(MASTER!$R$2:$R$2000,MATCH($A70,MASTER!$A$2:$A$2000,0))&amp;"","")</f>
        <v/>
      </c>
    </row>
    <row r="71">
      <c r="A71" s="34" t="inlineStr">
        <is>
          <t>DOCX-018</t>
        </is>
      </c>
      <c r="B71" s="31">
        <f>IFERROR(INDEX(MASTER!$C$2:$C$2000,MATCH($A71,MASTER!$A$2:$A$2000,0))&amp;"","")</f>
        <v/>
      </c>
      <c r="C71" s="35">
        <f>IFERROR(INDEX(MASTER!$B$2:$B$2000,MATCH($A71,MASTER!$A$2:$A$2000,0)),"")</f>
        <v/>
      </c>
      <c r="D71" s="31">
        <f>IFERROR(INDEX(MASTER!$D$2:$D$2000,MATCH($A71,MASTER!$A$2:$A$2000,0))&amp;"","")</f>
        <v/>
      </c>
      <c r="E71" s="31">
        <f>IFERROR(INDEX(MASTER!$F$2:$F$2000,MATCH($A71,MASTER!$A$2:$A$2000,0))&amp;"","")</f>
        <v/>
      </c>
      <c r="F71" s="31">
        <f>IFERROR(INDEX(MASTER!$G$2:$G$2000,MATCH($A71,MASTER!$A$2:$A$2000,0))&amp;"","NOT IN MASTER")</f>
        <v/>
      </c>
      <c r="G71" s="31">
        <f>IFERROR(INDEX(MASTER!$H$2:$H$2000,MATCH($A71,MASTER!$A$2:$A$2000,0))&amp;"","")</f>
        <v/>
      </c>
      <c r="H71" s="31">
        <f>IFERROR(INDEX(MASTER!$I$2:$I$2000,MATCH($A71,MASTER!$A$2:$A$2000,0))&amp;"","")</f>
        <v/>
      </c>
      <c r="I71" s="41">
        <f>IFERROR(IF(INDEX(MASTER!$O$2:$O$2000,MATCH($A71,MASTER!$A$2:$A$2000,0))="","",INDEX(MASTER!$O$2:$O$2000,MATCH($A71,MASTER!$A$2:$A$2000,0))),"")</f>
        <v/>
      </c>
      <c r="J71" s="31">
        <f>IFERROR(INDEX(MASTER!$P$2:$P$2000,MATCH($A71,MASTER!$A$2:$A$2000,0))&amp;"","")</f>
        <v/>
      </c>
      <c r="K71" s="31">
        <f>IFERROR(INDEX(MASTER!$Q$2:$Q$2000,MATCH($A71,MASTER!$A$2:$A$2000,0))&amp;"","")</f>
        <v/>
      </c>
      <c r="L71" s="31">
        <f>IFERROR(INDEX(MASTER!$R$2:$R$2000,MATCH($A71,MASTER!$A$2:$A$2000,0))&amp;"","")</f>
        <v/>
      </c>
    </row>
    <row r="72">
      <c r="A72" s="34" t="inlineStr">
        <is>
          <t>DOCX-025</t>
        </is>
      </c>
      <c r="B72" s="31">
        <f>IFERROR(INDEX(MASTER!$C$2:$C$2000,MATCH($A72,MASTER!$A$2:$A$2000,0))&amp;"","")</f>
        <v/>
      </c>
      <c r="C72" s="35">
        <f>IFERROR(INDEX(MASTER!$B$2:$B$2000,MATCH($A72,MASTER!$A$2:$A$2000,0)),"")</f>
        <v/>
      </c>
      <c r="D72" s="31">
        <f>IFERROR(INDEX(MASTER!$D$2:$D$2000,MATCH($A72,MASTER!$A$2:$A$2000,0))&amp;"","")</f>
        <v/>
      </c>
      <c r="E72" s="31">
        <f>IFERROR(INDEX(MASTER!$F$2:$F$2000,MATCH($A72,MASTER!$A$2:$A$2000,0))&amp;"","")</f>
        <v/>
      </c>
      <c r="F72" s="31">
        <f>IFERROR(INDEX(MASTER!$G$2:$G$2000,MATCH($A72,MASTER!$A$2:$A$2000,0))&amp;"","NOT IN MASTER")</f>
        <v/>
      </c>
      <c r="G72" s="31">
        <f>IFERROR(INDEX(MASTER!$H$2:$H$2000,MATCH($A72,MASTER!$A$2:$A$2000,0))&amp;"","")</f>
        <v/>
      </c>
      <c r="H72" s="31">
        <f>IFERROR(INDEX(MASTER!$I$2:$I$2000,MATCH($A72,MASTER!$A$2:$A$2000,0))&amp;"","")</f>
        <v/>
      </c>
      <c r="I72" s="41">
        <f>IFERROR(IF(INDEX(MASTER!$O$2:$O$2000,MATCH($A72,MASTER!$A$2:$A$2000,0))="","",INDEX(MASTER!$O$2:$O$2000,MATCH($A72,MASTER!$A$2:$A$2000,0))),"")</f>
        <v/>
      </c>
      <c r="J72" s="31">
        <f>IFERROR(INDEX(MASTER!$P$2:$P$2000,MATCH($A72,MASTER!$A$2:$A$2000,0))&amp;"","")</f>
        <v/>
      </c>
      <c r="K72" s="31">
        <f>IFERROR(INDEX(MASTER!$Q$2:$Q$2000,MATCH($A72,MASTER!$A$2:$A$2000,0))&amp;"","")</f>
        <v/>
      </c>
      <c r="L72" s="31">
        <f>IFERROR(INDEX(MASTER!$R$2:$R$2000,MATCH($A72,MASTER!$A$2:$A$2000,0))&amp;"","")</f>
        <v/>
      </c>
    </row>
    <row r="73">
      <c r="A73" s="34" t="inlineStr">
        <is>
          <t>DOCX-026</t>
        </is>
      </c>
      <c r="B73" s="31">
        <f>IFERROR(INDEX(MASTER!$C$2:$C$2000,MATCH($A73,MASTER!$A$2:$A$2000,0))&amp;"","")</f>
        <v/>
      </c>
      <c r="C73" s="35">
        <f>IFERROR(INDEX(MASTER!$B$2:$B$2000,MATCH($A73,MASTER!$A$2:$A$2000,0)),"")</f>
        <v/>
      </c>
      <c r="D73" s="31">
        <f>IFERROR(INDEX(MASTER!$D$2:$D$2000,MATCH($A73,MASTER!$A$2:$A$2000,0))&amp;"","")</f>
        <v/>
      </c>
      <c r="E73" s="31">
        <f>IFERROR(INDEX(MASTER!$F$2:$F$2000,MATCH($A73,MASTER!$A$2:$A$2000,0))&amp;"","")</f>
        <v/>
      </c>
      <c r="F73" s="31">
        <f>IFERROR(INDEX(MASTER!$G$2:$G$2000,MATCH($A73,MASTER!$A$2:$A$2000,0))&amp;"","NOT IN MASTER")</f>
        <v/>
      </c>
      <c r="G73" s="31">
        <f>IFERROR(INDEX(MASTER!$H$2:$H$2000,MATCH($A73,MASTER!$A$2:$A$2000,0))&amp;"","")</f>
        <v/>
      </c>
      <c r="H73" s="31">
        <f>IFERROR(INDEX(MASTER!$I$2:$I$2000,MATCH($A73,MASTER!$A$2:$A$2000,0))&amp;"","")</f>
        <v/>
      </c>
      <c r="I73" s="41">
        <f>IFERROR(IF(INDEX(MASTER!$O$2:$O$2000,MATCH($A73,MASTER!$A$2:$A$2000,0))="","",INDEX(MASTER!$O$2:$O$2000,MATCH($A73,MASTER!$A$2:$A$2000,0))),"")</f>
        <v/>
      </c>
      <c r="J73" s="31">
        <f>IFERROR(INDEX(MASTER!$P$2:$P$2000,MATCH($A73,MASTER!$A$2:$A$2000,0))&amp;"","")</f>
        <v/>
      </c>
      <c r="K73" s="31">
        <f>IFERROR(INDEX(MASTER!$Q$2:$Q$2000,MATCH($A73,MASTER!$A$2:$A$2000,0))&amp;"","")</f>
        <v/>
      </c>
      <c r="L73" s="31">
        <f>IFERROR(INDEX(MASTER!$R$2:$R$2000,MATCH($A73,MASTER!$A$2:$A$2000,0))&amp;"","")</f>
        <v/>
      </c>
    </row>
    <row r="74">
      <c r="A74" s="34" t="inlineStr">
        <is>
          <t>FMT-004</t>
        </is>
      </c>
      <c r="B74" s="31">
        <f>IFERROR(INDEX(MASTER!$C$2:$C$2000,MATCH($A74,MASTER!$A$2:$A$2000,0))&amp;"","")</f>
        <v/>
      </c>
      <c r="C74" s="35">
        <f>IFERROR(INDEX(MASTER!$B$2:$B$2000,MATCH($A74,MASTER!$A$2:$A$2000,0)),"")</f>
        <v/>
      </c>
      <c r="D74" s="31">
        <f>IFERROR(INDEX(MASTER!$D$2:$D$2000,MATCH($A74,MASTER!$A$2:$A$2000,0))&amp;"","")</f>
        <v/>
      </c>
      <c r="E74" s="31">
        <f>IFERROR(INDEX(MASTER!$F$2:$F$2000,MATCH($A74,MASTER!$A$2:$A$2000,0))&amp;"","")</f>
        <v/>
      </c>
      <c r="F74" s="31">
        <f>IFERROR(INDEX(MASTER!$G$2:$G$2000,MATCH($A74,MASTER!$A$2:$A$2000,0))&amp;"","NOT IN MASTER")</f>
        <v/>
      </c>
      <c r="G74" s="31">
        <f>IFERROR(INDEX(MASTER!$H$2:$H$2000,MATCH($A74,MASTER!$A$2:$A$2000,0))&amp;"","")</f>
        <v/>
      </c>
      <c r="H74" s="31">
        <f>IFERROR(INDEX(MASTER!$I$2:$I$2000,MATCH($A74,MASTER!$A$2:$A$2000,0))&amp;"","")</f>
        <v/>
      </c>
      <c r="I74" s="41">
        <f>IFERROR(IF(INDEX(MASTER!$O$2:$O$2000,MATCH($A74,MASTER!$A$2:$A$2000,0))="","",INDEX(MASTER!$O$2:$O$2000,MATCH($A74,MASTER!$A$2:$A$2000,0))),"")</f>
        <v/>
      </c>
      <c r="J74" s="31">
        <f>IFERROR(INDEX(MASTER!$P$2:$P$2000,MATCH($A74,MASTER!$A$2:$A$2000,0))&amp;"","")</f>
        <v/>
      </c>
      <c r="K74" s="31">
        <f>IFERROR(INDEX(MASTER!$Q$2:$Q$2000,MATCH($A74,MASTER!$A$2:$A$2000,0))&amp;"","")</f>
        <v/>
      </c>
      <c r="L74" s="31">
        <f>IFERROR(INDEX(MASTER!$R$2:$R$2000,MATCH($A74,MASTER!$A$2:$A$2000,0))&amp;"","")</f>
        <v/>
      </c>
    </row>
    <row r="75">
      <c r="A75" s="34" t="inlineStr">
        <is>
          <t>TEST-020</t>
        </is>
      </c>
      <c r="B75" s="31">
        <f>IFERROR(INDEX(MASTER!$C$2:$C$2000,MATCH($A75,MASTER!$A$2:$A$2000,0))&amp;"","")</f>
        <v/>
      </c>
      <c r="C75" s="35">
        <f>IFERROR(INDEX(MASTER!$B$2:$B$2000,MATCH($A75,MASTER!$A$2:$A$2000,0)),"")</f>
        <v/>
      </c>
      <c r="D75" s="31">
        <f>IFERROR(INDEX(MASTER!$D$2:$D$2000,MATCH($A75,MASTER!$A$2:$A$2000,0))&amp;"","")</f>
        <v/>
      </c>
      <c r="E75" s="31">
        <f>IFERROR(INDEX(MASTER!$F$2:$F$2000,MATCH($A75,MASTER!$A$2:$A$2000,0))&amp;"","")</f>
        <v/>
      </c>
      <c r="F75" s="31">
        <f>IFERROR(INDEX(MASTER!$G$2:$G$2000,MATCH($A75,MASTER!$A$2:$A$2000,0))&amp;"","NOT IN MASTER")</f>
        <v/>
      </c>
      <c r="G75" s="31">
        <f>IFERROR(INDEX(MASTER!$H$2:$H$2000,MATCH($A75,MASTER!$A$2:$A$2000,0))&amp;"","")</f>
        <v/>
      </c>
      <c r="H75" s="31">
        <f>IFERROR(INDEX(MASTER!$I$2:$I$2000,MATCH($A75,MASTER!$A$2:$A$2000,0))&amp;"","")</f>
        <v/>
      </c>
      <c r="I75" s="41">
        <f>IFERROR(IF(INDEX(MASTER!$O$2:$O$2000,MATCH($A75,MASTER!$A$2:$A$2000,0))="","",INDEX(MASTER!$O$2:$O$2000,MATCH($A75,MASTER!$A$2:$A$2000,0))),"")</f>
        <v/>
      </c>
      <c r="J75" s="31">
        <f>IFERROR(INDEX(MASTER!$P$2:$P$2000,MATCH($A75,MASTER!$A$2:$A$2000,0))&amp;"","")</f>
        <v/>
      </c>
      <c r="K75" s="31">
        <f>IFERROR(INDEX(MASTER!$Q$2:$Q$2000,MATCH($A75,MASTER!$A$2:$A$2000,0))&amp;"","")</f>
        <v/>
      </c>
      <c r="L75" s="31">
        <f>IFERROR(INDEX(MASTER!$R$2:$R$2000,MATCH($A75,MASTER!$A$2:$A$2000,0))&amp;"","")</f>
        <v/>
      </c>
    </row>
    <row r="76">
      <c r="A76" s="34" t="inlineStr">
        <is>
          <t>TEST-021</t>
        </is>
      </c>
      <c r="B76" s="31">
        <f>IFERROR(INDEX(MASTER!$C$2:$C$2000,MATCH($A76,MASTER!$A$2:$A$2000,0))&amp;"","")</f>
        <v/>
      </c>
      <c r="C76" s="35">
        <f>IFERROR(INDEX(MASTER!$B$2:$B$2000,MATCH($A76,MASTER!$A$2:$A$2000,0)),"")</f>
        <v/>
      </c>
      <c r="D76" s="31">
        <f>IFERROR(INDEX(MASTER!$D$2:$D$2000,MATCH($A76,MASTER!$A$2:$A$2000,0))&amp;"","")</f>
        <v/>
      </c>
      <c r="E76" s="31">
        <f>IFERROR(INDEX(MASTER!$F$2:$F$2000,MATCH($A76,MASTER!$A$2:$A$2000,0))&amp;"","")</f>
        <v/>
      </c>
      <c r="F76" s="31">
        <f>IFERROR(INDEX(MASTER!$G$2:$G$2000,MATCH($A76,MASTER!$A$2:$A$2000,0))&amp;"","NOT IN MASTER")</f>
        <v/>
      </c>
      <c r="G76" s="31">
        <f>IFERROR(INDEX(MASTER!$H$2:$H$2000,MATCH($A76,MASTER!$A$2:$A$2000,0))&amp;"","")</f>
        <v/>
      </c>
      <c r="H76" s="31">
        <f>IFERROR(INDEX(MASTER!$I$2:$I$2000,MATCH($A76,MASTER!$A$2:$A$2000,0))&amp;"","")</f>
        <v/>
      </c>
      <c r="I76" s="41">
        <f>IFERROR(IF(INDEX(MASTER!$O$2:$O$2000,MATCH($A76,MASTER!$A$2:$A$2000,0))="","",INDEX(MASTER!$O$2:$O$2000,MATCH($A76,MASTER!$A$2:$A$2000,0))),"")</f>
        <v/>
      </c>
      <c r="J76" s="31">
        <f>IFERROR(INDEX(MASTER!$P$2:$P$2000,MATCH($A76,MASTER!$A$2:$A$2000,0))&amp;"","")</f>
        <v/>
      </c>
      <c r="K76" s="31">
        <f>IFERROR(INDEX(MASTER!$Q$2:$Q$2000,MATCH($A76,MASTER!$A$2:$A$2000,0))&amp;"","")</f>
        <v/>
      </c>
      <c r="L76" s="31">
        <f>IFERROR(INDEX(MASTER!$R$2:$R$2000,MATCH($A76,MASTER!$A$2:$A$2000,0))&amp;"","")</f>
        <v/>
      </c>
    </row>
    <row r="77">
      <c r="A77" s="34" t="inlineStr">
        <is>
          <t>TEST-022</t>
        </is>
      </c>
      <c r="B77" s="31">
        <f>IFERROR(INDEX(MASTER!$C$2:$C$2000,MATCH($A77,MASTER!$A$2:$A$2000,0))&amp;"","")</f>
        <v/>
      </c>
      <c r="C77" s="35">
        <f>IFERROR(INDEX(MASTER!$B$2:$B$2000,MATCH($A77,MASTER!$A$2:$A$2000,0)),"")</f>
        <v/>
      </c>
      <c r="D77" s="31">
        <f>IFERROR(INDEX(MASTER!$D$2:$D$2000,MATCH($A77,MASTER!$A$2:$A$2000,0))&amp;"","")</f>
        <v/>
      </c>
      <c r="E77" s="31">
        <f>IFERROR(INDEX(MASTER!$F$2:$F$2000,MATCH($A77,MASTER!$A$2:$A$2000,0))&amp;"","")</f>
        <v/>
      </c>
      <c r="F77" s="31">
        <f>IFERROR(INDEX(MASTER!$G$2:$G$2000,MATCH($A77,MASTER!$A$2:$A$2000,0))&amp;"","NOT IN MASTER")</f>
        <v/>
      </c>
      <c r="G77" s="31">
        <f>IFERROR(INDEX(MASTER!$H$2:$H$2000,MATCH($A77,MASTER!$A$2:$A$2000,0))&amp;"","")</f>
        <v/>
      </c>
      <c r="H77" s="31">
        <f>IFERROR(INDEX(MASTER!$I$2:$I$2000,MATCH($A77,MASTER!$A$2:$A$2000,0))&amp;"","")</f>
        <v/>
      </c>
      <c r="I77" s="41">
        <f>IFERROR(IF(INDEX(MASTER!$O$2:$O$2000,MATCH($A77,MASTER!$A$2:$A$2000,0))="","",INDEX(MASTER!$O$2:$O$2000,MATCH($A77,MASTER!$A$2:$A$2000,0))),"")</f>
        <v/>
      </c>
      <c r="J77" s="31">
        <f>IFERROR(INDEX(MASTER!$P$2:$P$2000,MATCH($A77,MASTER!$A$2:$A$2000,0))&amp;"","")</f>
        <v/>
      </c>
      <c r="K77" s="31">
        <f>IFERROR(INDEX(MASTER!$Q$2:$Q$2000,MATCH($A77,MASTER!$A$2:$A$2000,0))&amp;"","")</f>
        <v/>
      </c>
      <c r="L77" s="31">
        <f>IFERROR(INDEX(MASTER!$R$2:$R$2000,MATCH($A77,MASTER!$A$2:$A$2000,0))&amp;"","")</f>
        <v/>
      </c>
    </row>
    <row r="78">
      <c r="A78" s="34" t="inlineStr">
        <is>
          <t>DOCX-027</t>
        </is>
      </c>
      <c r="B78" s="31">
        <f>IFERROR(INDEX(MASTER!$C$2:$C$2000,MATCH($A78,MASTER!$A$2:$A$2000,0))&amp;"","")</f>
        <v/>
      </c>
      <c r="C78" s="35">
        <f>IFERROR(INDEX(MASTER!$B$2:$B$2000,MATCH($A78,MASTER!$A$2:$A$2000,0)),"")</f>
        <v/>
      </c>
      <c r="D78" s="31">
        <f>IFERROR(INDEX(MASTER!$D$2:$D$2000,MATCH($A78,MASTER!$A$2:$A$2000,0))&amp;"","")</f>
        <v/>
      </c>
      <c r="E78" s="31">
        <f>IFERROR(INDEX(MASTER!$F$2:$F$2000,MATCH($A78,MASTER!$A$2:$A$2000,0))&amp;"","")</f>
        <v/>
      </c>
      <c r="F78" s="31">
        <f>IFERROR(INDEX(MASTER!$G$2:$G$2000,MATCH($A78,MASTER!$A$2:$A$2000,0))&amp;"","NOT IN MASTER")</f>
        <v/>
      </c>
      <c r="G78" s="31">
        <f>IFERROR(INDEX(MASTER!$H$2:$H$2000,MATCH($A78,MASTER!$A$2:$A$2000,0))&amp;"","")</f>
        <v/>
      </c>
      <c r="H78" s="31">
        <f>IFERROR(INDEX(MASTER!$I$2:$I$2000,MATCH($A78,MASTER!$A$2:$A$2000,0))&amp;"","")</f>
        <v/>
      </c>
      <c r="I78" s="41">
        <f>IFERROR(IF(INDEX(MASTER!$O$2:$O$2000,MATCH($A78,MASTER!$A$2:$A$2000,0))="","",INDEX(MASTER!$O$2:$O$2000,MATCH($A78,MASTER!$A$2:$A$2000,0))),"")</f>
        <v/>
      </c>
      <c r="J78" s="31">
        <f>IFERROR(INDEX(MASTER!$P$2:$P$2000,MATCH($A78,MASTER!$A$2:$A$2000,0))&amp;"","")</f>
        <v/>
      </c>
      <c r="K78" s="31">
        <f>IFERROR(INDEX(MASTER!$Q$2:$Q$2000,MATCH($A78,MASTER!$A$2:$A$2000,0))&amp;"","")</f>
        <v/>
      </c>
      <c r="L78" s="31">
        <f>IFERROR(INDEX(MASTER!$R$2:$R$2000,MATCH($A78,MASTER!$A$2:$A$2000,0))&amp;"","")</f>
        <v/>
      </c>
    </row>
    <row r="79">
      <c r="A79" s="34" t="inlineStr">
        <is>
          <t>DOCX-028B</t>
        </is>
      </c>
      <c r="B79" s="31">
        <f>IFERROR(INDEX(MASTER!$C$2:$C$2000,MATCH($A79,MASTER!$A$2:$A$2000,0))&amp;"","")</f>
        <v/>
      </c>
      <c r="C79" s="35">
        <f>IFERROR(INDEX(MASTER!$B$2:$B$2000,MATCH($A79,MASTER!$A$2:$A$2000,0)),"")</f>
        <v/>
      </c>
      <c r="D79" s="31">
        <f>IFERROR(INDEX(MASTER!$D$2:$D$2000,MATCH($A79,MASTER!$A$2:$A$2000,0))&amp;"","")</f>
        <v/>
      </c>
      <c r="E79" s="31">
        <f>IFERROR(INDEX(MASTER!$F$2:$F$2000,MATCH($A79,MASTER!$A$2:$A$2000,0))&amp;"","")</f>
        <v/>
      </c>
      <c r="F79" s="31">
        <f>IFERROR(INDEX(MASTER!$G$2:$G$2000,MATCH($A79,MASTER!$A$2:$A$2000,0))&amp;"","NOT IN MASTER")</f>
        <v/>
      </c>
      <c r="G79" s="31">
        <f>IFERROR(INDEX(MASTER!$H$2:$H$2000,MATCH($A79,MASTER!$A$2:$A$2000,0))&amp;"","")</f>
        <v/>
      </c>
      <c r="H79" s="31">
        <f>IFERROR(INDEX(MASTER!$I$2:$I$2000,MATCH($A79,MASTER!$A$2:$A$2000,0))&amp;"","")</f>
        <v/>
      </c>
      <c r="I79" s="41">
        <f>IFERROR(IF(INDEX(MASTER!$O$2:$O$2000,MATCH($A79,MASTER!$A$2:$A$2000,0))="","",INDEX(MASTER!$O$2:$O$2000,MATCH($A79,MASTER!$A$2:$A$2000,0))),"")</f>
        <v/>
      </c>
      <c r="J79" s="31">
        <f>IFERROR(INDEX(MASTER!$P$2:$P$2000,MATCH($A79,MASTER!$A$2:$A$2000,0))&amp;"","")</f>
        <v/>
      </c>
      <c r="K79" s="31">
        <f>IFERROR(INDEX(MASTER!$Q$2:$Q$2000,MATCH($A79,MASTER!$A$2:$A$2000,0))&amp;"","")</f>
        <v/>
      </c>
      <c r="L79" s="31">
        <f>IFERROR(INDEX(MASTER!$R$2:$R$2000,MATCH($A79,MASTER!$A$2:$A$2000,0))&amp;"","")</f>
        <v/>
      </c>
    </row>
    <row r="80">
      <c r="A80" s="34" t="inlineStr">
        <is>
          <t>SEC-010</t>
        </is>
      </c>
      <c r="B80" s="31">
        <f>IFERROR(INDEX(MASTER!$C$2:$C$2000,MATCH($A80,MASTER!$A$2:$A$2000,0))&amp;"","")</f>
        <v/>
      </c>
      <c r="C80" s="35">
        <f>IFERROR(INDEX(MASTER!$B$2:$B$2000,MATCH($A80,MASTER!$A$2:$A$2000,0)),"")</f>
        <v/>
      </c>
      <c r="D80" s="31">
        <f>IFERROR(INDEX(MASTER!$D$2:$D$2000,MATCH($A80,MASTER!$A$2:$A$2000,0))&amp;"","")</f>
        <v/>
      </c>
      <c r="E80" s="31">
        <f>IFERROR(INDEX(MASTER!$F$2:$F$2000,MATCH($A80,MASTER!$A$2:$A$2000,0))&amp;"","")</f>
        <v/>
      </c>
      <c r="F80" s="31">
        <f>IFERROR(INDEX(MASTER!$G$2:$G$2000,MATCH($A80,MASTER!$A$2:$A$2000,0))&amp;"","NOT IN MASTER")</f>
        <v/>
      </c>
      <c r="G80" s="31">
        <f>IFERROR(INDEX(MASTER!$H$2:$H$2000,MATCH($A80,MASTER!$A$2:$A$2000,0))&amp;"","")</f>
        <v/>
      </c>
      <c r="H80" s="31">
        <f>IFERROR(INDEX(MASTER!$I$2:$I$2000,MATCH($A80,MASTER!$A$2:$A$2000,0))&amp;"","")</f>
        <v/>
      </c>
      <c r="I80" s="41">
        <f>IFERROR(IF(INDEX(MASTER!$O$2:$O$2000,MATCH($A80,MASTER!$A$2:$A$2000,0))="","",INDEX(MASTER!$O$2:$O$2000,MATCH($A80,MASTER!$A$2:$A$2000,0))),"")</f>
        <v/>
      </c>
      <c r="J80" s="31">
        <f>IFERROR(INDEX(MASTER!$P$2:$P$2000,MATCH($A80,MASTER!$A$2:$A$2000,0))&amp;"","")</f>
        <v/>
      </c>
      <c r="K80" s="31">
        <f>IFERROR(INDEX(MASTER!$Q$2:$Q$2000,MATCH($A80,MASTER!$A$2:$A$2000,0))&amp;"","")</f>
        <v/>
      </c>
      <c r="L80" s="31">
        <f>IFERROR(INDEX(MASTER!$R$2:$R$2000,MATCH($A80,MASTER!$A$2:$A$2000,0))&amp;"","")</f>
        <v/>
      </c>
    </row>
    <row r="81">
      <c r="A81" s="34" t="inlineStr">
        <is>
          <t>SEC-011</t>
        </is>
      </c>
      <c r="B81" s="31">
        <f>IFERROR(INDEX(MASTER!$C$2:$C$2000,MATCH($A81,MASTER!$A$2:$A$2000,0))&amp;"","")</f>
        <v/>
      </c>
      <c r="C81" s="35">
        <f>IFERROR(INDEX(MASTER!$B$2:$B$2000,MATCH($A81,MASTER!$A$2:$A$2000,0)),"")</f>
        <v/>
      </c>
      <c r="D81" s="31">
        <f>IFERROR(INDEX(MASTER!$D$2:$D$2000,MATCH($A81,MASTER!$A$2:$A$2000,0))&amp;"","")</f>
        <v/>
      </c>
      <c r="E81" s="31">
        <f>IFERROR(INDEX(MASTER!$F$2:$F$2000,MATCH($A81,MASTER!$A$2:$A$2000,0))&amp;"","")</f>
        <v/>
      </c>
      <c r="F81" s="31">
        <f>IFERROR(INDEX(MASTER!$G$2:$G$2000,MATCH($A81,MASTER!$A$2:$A$2000,0))&amp;"","NOT IN MASTER")</f>
        <v/>
      </c>
      <c r="G81" s="31">
        <f>IFERROR(INDEX(MASTER!$H$2:$H$2000,MATCH($A81,MASTER!$A$2:$A$2000,0))&amp;"","")</f>
        <v/>
      </c>
      <c r="H81" s="31">
        <f>IFERROR(INDEX(MASTER!$I$2:$I$2000,MATCH($A81,MASTER!$A$2:$A$2000,0))&amp;"","")</f>
        <v/>
      </c>
      <c r="I81" s="41">
        <f>IFERROR(IF(INDEX(MASTER!$O$2:$O$2000,MATCH($A81,MASTER!$A$2:$A$2000,0))="","",INDEX(MASTER!$O$2:$O$2000,MATCH($A81,MASTER!$A$2:$A$2000,0))),"")</f>
        <v/>
      </c>
      <c r="J81" s="31">
        <f>IFERROR(INDEX(MASTER!$P$2:$P$2000,MATCH($A81,MASTER!$A$2:$A$2000,0))&amp;"","")</f>
        <v/>
      </c>
      <c r="K81" s="31">
        <f>IFERROR(INDEX(MASTER!$Q$2:$Q$2000,MATCH($A81,MASTER!$A$2:$A$2000,0))&amp;"","")</f>
        <v/>
      </c>
      <c r="L81" s="31">
        <f>IFERROR(INDEX(MASTER!$R$2:$R$2000,MATCH($A81,MASTER!$A$2:$A$2000,0))&amp;"","")</f>
        <v/>
      </c>
    </row>
    <row r="82">
      <c r="A82" s="34" t="inlineStr">
        <is>
          <t>SEC-012</t>
        </is>
      </c>
      <c r="B82" s="31">
        <f>IFERROR(INDEX(MASTER!$C$2:$C$2000,MATCH($A82,MASTER!$A$2:$A$2000,0))&amp;"","")</f>
        <v/>
      </c>
      <c r="C82" s="35">
        <f>IFERROR(INDEX(MASTER!$B$2:$B$2000,MATCH($A82,MASTER!$A$2:$A$2000,0)),"")</f>
        <v/>
      </c>
      <c r="D82" s="31">
        <f>IFERROR(INDEX(MASTER!$D$2:$D$2000,MATCH($A82,MASTER!$A$2:$A$2000,0))&amp;"","")</f>
        <v/>
      </c>
      <c r="E82" s="31">
        <f>IFERROR(INDEX(MASTER!$F$2:$F$2000,MATCH($A82,MASTER!$A$2:$A$2000,0))&amp;"","")</f>
        <v/>
      </c>
      <c r="F82" s="31">
        <f>IFERROR(INDEX(MASTER!$G$2:$G$2000,MATCH($A82,MASTER!$A$2:$A$2000,0))&amp;"","NOT IN MASTER")</f>
        <v/>
      </c>
      <c r="G82" s="31">
        <f>IFERROR(INDEX(MASTER!$H$2:$H$2000,MATCH($A82,MASTER!$A$2:$A$2000,0))&amp;"","")</f>
        <v/>
      </c>
      <c r="H82" s="31">
        <f>IFERROR(INDEX(MASTER!$I$2:$I$2000,MATCH($A82,MASTER!$A$2:$A$2000,0))&amp;"","")</f>
        <v/>
      </c>
      <c r="I82" s="41">
        <f>IFERROR(IF(INDEX(MASTER!$O$2:$O$2000,MATCH($A82,MASTER!$A$2:$A$2000,0))="","",INDEX(MASTER!$O$2:$O$2000,MATCH($A82,MASTER!$A$2:$A$2000,0))),"")</f>
        <v/>
      </c>
      <c r="J82" s="31">
        <f>IFERROR(INDEX(MASTER!$P$2:$P$2000,MATCH($A82,MASTER!$A$2:$A$2000,0))&amp;"","")</f>
        <v/>
      </c>
      <c r="K82" s="31">
        <f>IFERROR(INDEX(MASTER!$Q$2:$Q$2000,MATCH($A82,MASTER!$A$2:$A$2000,0))&amp;"","")</f>
        <v/>
      </c>
      <c r="L82" s="31">
        <f>IFERROR(INDEX(MASTER!$R$2:$R$2000,MATCH($A82,MASTER!$A$2:$A$2000,0))&amp;"","")</f>
        <v/>
      </c>
    </row>
    <row r="83">
      <c r="A83" s="34" t="inlineStr">
        <is>
          <t>SEC-014</t>
        </is>
      </c>
      <c r="B83" s="31">
        <f>IFERROR(INDEX(MASTER!$C$2:$C$2000,MATCH($A83,MASTER!$A$2:$A$2000,0))&amp;"","")</f>
        <v/>
      </c>
      <c r="C83" s="35">
        <f>IFERROR(INDEX(MASTER!$B$2:$B$2000,MATCH($A83,MASTER!$A$2:$A$2000,0)),"")</f>
        <v/>
      </c>
      <c r="D83" s="31">
        <f>IFERROR(INDEX(MASTER!$D$2:$D$2000,MATCH($A83,MASTER!$A$2:$A$2000,0))&amp;"","")</f>
        <v/>
      </c>
      <c r="E83" s="31">
        <f>IFERROR(INDEX(MASTER!$F$2:$F$2000,MATCH($A83,MASTER!$A$2:$A$2000,0))&amp;"","")</f>
        <v/>
      </c>
      <c r="F83" s="31">
        <f>IFERROR(INDEX(MASTER!$G$2:$G$2000,MATCH($A83,MASTER!$A$2:$A$2000,0))&amp;"","NOT IN MASTER")</f>
        <v/>
      </c>
      <c r="G83" s="31">
        <f>IFERROR(INDEX(MASTER!$H$2:$H$2000,MATCH($A83,MASTER!$A$2:$A$2000,0))&amp;"","")</f>
        <v/>
      </c>
      <c r="H83" s="31">
        <f>IFERROR(INDEX(MASTER!$I$2:$I$2000,MATCH($A83,MASTER!$A$2:$A$2000,0))&amp;"","")</f>
        <v/>
      </c>
      <c r="I83" s="41">
        <f>IFERROR(IF(INDEX(MASTER!$O$2:$O$2000,MATCH($A83,MASTER!$A$2:$A$2000,0))="","",INDEX(MASTER!$O$2:$O$2000,MATCH($A83,MASTER!$A$2:$A$2000,0))),"")</f>
        <v/>
      </c>
      <c r="J83" s="31">
        <f>IFERROR(INDEX(MASTER!$P$2:$P$2000,MATCH($A83,MASTER!$A$2:$A$2000,0))&amp;"","")</f>
        <v/>
      </c>
      <c r="K83" s="31">
        <f>IFERROR(INDEX(MASTER!$Q$2:$Q$2000,MATCH($A83,MASTER!$A$2:$A$2000,0))&amp;"","")</f>
        <v/>
      </c>
      <c r="L83" s="31">
        <f>IFERROR(INDEX(MASTER!$R$2:$R$2000,MATCH($A83,MASTER!$A$2:$A$2000,0))&amp;"","")</f>
        <v/>
      </c>
    </row>
    <row r="84">
      <c r="A84" s="34" t="inlineStr">
        <is>
          <t>SEC-015</t>
        </is>
      </c>
      <c r="B84" s="31">
        <f>IFERROR(INDEX(MASTER!$C$2:$C$2000,MATCH($A84,MASTER!$A$2:$A$2000,0))&amp;"","")</f>
        <v/>
      </c>
      <c r="C84" s="35">
        <f>IFERROR(INDEX(MASTER!$B$2:$B$2000,MATCH($A84,MASTER!$A$2:$A$2000,0)),"")</f>
        <v/>
      </c>
      <c r="D84" s="31">
        <f>IFERROR(INDEX(MASTER!$D$2:$D$2000,MATCH($A84,MASTER!$A$2:$A$2000,0))&amp;"","")</f>
        <v/>
      </c>
      <c r="E84" s="31">
        <f>IFERROR(INDEX(MASTER!$F$2:$F$2000,MATCH($A84,MASTER!$A$2:$A$2000,0))&amp;"","")</f>
        <v/>
      </c>
      <c r="F84" s="31">
        <f>IFERROR(INDEX(MASTER!$G$2:$G$2000,MATCH($A84,MASTER!$A$2:$A$2000,0))&amp;"","NOT IN MASTER")</f>
        <v/>
      </c>
      <c r="G84" s="31">
        <f>IFERROR(INDEX(MASTER!$H$2:$H$2000,MATCH($A84,MASTER!$A$2:$A$2000,0))&amp;"","")</f>
        <v/>
      </c>
      <c r="H84" s="31">
        <f>IFERROR(INDEX(MASTER!$I$2:$I$2000,MATCH($A84,MASTER!$A$2:$A$2000,0))&amp;"","")</f>
        <v/>
      </c>
      <c r="I84" s="41">
        <f>IFERROR(IF(INDEX(MASTER!$O$2:$O$2000,MATCH($A84,MASTER!$A$2:$A$2000,0))="","",INDEX(MASTER!$O$2:$O$2000,MATCH($A84,MASTER!$A$2:$A$2000,0))),"")</f>
        <v/>
      </c>
      <c r="J84" s="31">
        <f>IFERROR(INDEX(MASTER!$P$2:$P$2000,MATCH($A84,MASTER!$A$2:$A$2000,0))&amp;"","")</f>
        <v/>
      </c>
      <c r="K84" s="31">
        <f>IFERROR(INDEX(MASTER!$Q$2:$Q$2000,MATCH($A84,MASTER!$A$2:$A$2000,0))&amp;"","")</f>
        <v/>
      </c>
      <c r="L84" s="31">
        <f>IFERROR(INDEX(MASTER!$R$2:$R$2000,MATCH($A84,MASTER!$A$2:$A$2000,0))&amp;"","")</f>
        <v/>
      </c>
    </row>
    <row r="85">
      <c r="A85" s="34" t="inlineStr">
        <is>
          <t>TEST-030</t>
        </is>
      </c>
      <c r="B85" s="31">
        <f>IFERROR(INDEX(MASTER!$C$2:$C$2000,MATCH($A85,MASTER!$A$2:$A$2000,0))&amp;"","")</f>
        <v/>
      </c>
      <c r="C85" s="35">
        <f>IFERROR(INDEX(MASTER!$B$2:$B$2000,MATCH($A85,MASTER!$A$2:$A$2000,0)),"")</f>
        <v/>
      </c>
      <c r="D85" s="31">
        <f>IFERROR(INDEX(MASTER!$D$2:$D$2000,MATCH($A85,MASTER!$A$2:$A$2000,0))&amp;"","")</f>
        <v/>
      </c>
      <c r="E85" s="31">
        <f>IFERROR(INDEX(MASTER!$F$2:$F$2000,MATCH($A85,MASTER!$A$2:$A$2000,0))&amp;"","")</f>
        <v/>
      </c>
      <c r="F85" s="31">
        <f>IFERROR(INDEX(MASTER!$G$2:$G$2000,MATCH($A85,MASTER!$A$2:$A$2000,0))&amp;"","NOT IN MASTER")</f>
        <v/>
      </c>
      <c r="G85" s="31">
        <f>IFERROR(INDEX(MASTER!$H$2:$H$2000,MATCH($A85,MASTER!$A$2:$A$2000,0))&amp;"","")</f>
        <v/>
      </c>
      <c r="H85" s="31">
        <f>IFERROR(INDEX(MASTER!$I$2:$I$2000,MATCH($A85,MASTER!$A$2:$A$2000,0))&amp;"","")</f>
        <v/>
      </c>
      <c r="I85" s="41">
        <f>IFERROR(IF(INDEX(MASTER!$O$2:$O$2000,MATCH($A85,MASTER!$A$2:$A$2000,0))="","",INDEX(MASTER!$O$2:$O$2000,MATCH($A85,MASTER!$A$2:$A$2000,0))),"")</f>
        <v/>
      </c>
      <c r="J85" s="31">
        <f>IFERROR(INDEX(MASTER!$P$2:$P$2000,MATCH($A85,MASTER!$A$2:$A$2000,0))&amp;"","")</f>
        <v/>
      </c>
      <c r="K85" s="31">
        <f>IFERROR(INDEX(MASTER!$Q$2:$Q$2000,MATCH($A85,MASTER!$A$2:$A$2000,0))&amp;"","")</f>
        <v/>
      </c>
      <c r="L85" s="31">
        <f>IFERROR(INDEX(MASTER!$R$2:$R$2000,MATCH($A85,MASTER!$A$2:$A$2000,0))&amp;"","")</f>
        <v/>
      </c>
    </row>
    <row r="86">
      <c r="A86" s="34" t="inlineStr">
        <is>
          <t>SEC-022</t>
        </is>
      </c>
      <c r="B86" s="31">
        <f>IFERROR(INDEX(MASTER!$C$2:$C$2000,MATCH($A86,MASTER!$A$2:$A$2000,0))&amp;"","")</f>
        <v/>
      </c>
      <c r="C86" s="35">
        <f>IFERROR(INDEX(MASTER!$B$2:$B$2000,MATCH($A86,MASTER!$A$2:$A$2000,0)),"")</f>
        <v/>
      </c>
      <c r="D86" s="31">
        <f>IFERROR(INDEX(MASTER!$D$2:$D$2000,MATCH($A86,MASTER!$A$2:$A$2000,0))&amp;"","")</f>
        <v/>
      </c>
      <c r="E86" s="31">
        <f>IFERROR(INDEX(MASTER!$F$2:$F$2000,MATCH($A86,MASTER!$A$2:$A$2000,0))&amp;"","")</f>
        <v/>
      </c>
      <c r="F86" s="31">
        <f>IFERROR(INDEX(MASTER!$G$2:$G$2000,MATCH($A86,MASTER!$A$2:$A$2000,0))&amp;"","NOT IN MASTER")</f>
        <v/>
      </c>
      <c r="G86" s="31">
        <f>IFERROR(INDEX(MASTER!$H$2:$H$2000,MATCH($A86,MASTER!$A$2:$A$2000,0))&amp;"","")</f>
        <v/>
      </c>
      <c r="H86" s="31">
        <f>IFERROR(INDEX(MASTER!$I$2:$I$2000,MATCH($A86,MASTER!$A$2:$A$2000,0))&amp;"","")</f>
        <v/>
      </c>
      <c r="I86" s="41">
        <f>IFERROR(IF(INDEX(MASTER!$O$2:$O$2000,MATCH($A86,MASTER!$A$2:$A$2000,0))="","",INDEX(MASTER!$O$2:$O$2000,MATCH($A86,MASTER!$A$2:$A$2000,0))),"")</f>
        <v/>
      </c>
      <c r="J86" s="31">
        <f>IFERROR(INDEX(MASTER!$P$2:$P$2000,MATCH($A86,MASTER!$A$2:$A$2000,0))&amp;"","")</f>
        <v/>
      </c>
      <c r="K86" s="31">
        <f>IFERROR(INDEX(MASTER!$Q$2:$Q$2000,MATCH($A86,MASTER!$A$2:$A$2000,0))&amp;"","")</f>
        <v/>
      </c>
      <c r="L86" s="31">
        <f>IFERROR(INDEX(MASTER!$R$2:$R$2000,MATCH($A86,MASTER!$A$2:$A$2000,0))&amp;"","")</f>
        <v/>
      </c>
    </row>
    <row r="87">
      <c r="A87" s="34" t="inlineStr">
        <is>
          <t>PERF-001</t>
        </is>
      </c>
      <c r="B87" s="31">
        <f>IFERROR(INDEX(MASTER!$C$2:$C$2000,MATCH($A87,MASTER!$A$2:$A$2000,0))&amp;"","")</f>
        <v/>
      </c>
      <c r="C87" s="35">
        <f>IFERROR(INDEX(MASTER!$B$2:$B$2000,MATCH($A87,MASTER!$A$2:$A$2000,0)),"")</f>
        <v/>
      </c>
      <c r="D87" s="31">
        <f>IFERROR(INDEX(MASTER!$D$2:$D$2000,MATCH($A87,MASTER!$A$2:$A$2000,0))&amp;"","")</f>
        <v/>
      </c>
      <c r="E87" s="31">
        <f>IFERROR(INDEX(MASTER!$F$2:$F$2000,MATCH($A87,MASTER!$A$2:$A$2000,0))&amp;"","")</f>
        <v/>
      </c>
      <c r="F87" s="31">
        <f>IFERROR(INDEX(MASTER!$G$2:$G$2000,MATCH($A87,MASTER!$A$2:$A$2000,0))&amp;"","NOT IN MASTER")</f>
        <v/>
      </c>
      <c r="G87" s="31">
        <f>IFERROR(INDEX(MASTER!$H$2:$H$2000,MATCH($A87,MASTER!$A$2:$A$2000,0))&amp;"","")</f>
        <v/>
      </c>
      <c r="H87" s="31">
        <f>IFERROR(INDEX(MASTER!$I$2:$I$2000,MATCH($A87,MASTER!$A$2:$A$2000,0))&amp;"","")</f>
        <v/>
      </c>
      <c r="I87" s="41">
        <f>IFERROR(IF(INDEX(MASTER!$O$2:$O$2000,MATCH($A87,MASTER!$A$2:$A$2000,0))="","",INDEX(MASTER!$O$2:$O$2000,MATCH($A87,MASTER!$A$2:$A$2000,0))),"")</f>
        <v/>
      </c>
      <c r="J87" s="31">
        <f>IFERROR(INDEX(MASTER!$P$2:$P$2000,MATCH($A87,MASTER!$A$2:$A$2000,0))&amp;"","")</f>
        <v/>
      </c>
      <c r="K87" s="31">
        <f>IFERROR(INDEX(MASTER!$Q$2:$Q$2000,MATCH($A87,MASTER!$A$2:$A$2000,0))&amp;"","")</f>
        <v/>
      </c>
      <c r="L87" s="31">
        <f>IFERROR(INDEX(MASTER!$R$2:$R$2000,MATCH($A87,MASTER!$A$2:$A$2000,0))&amp;"","")</f>
        <v/>
      </c>
    </row>
    <row r="88">
      <c r="A88" s="34" t="inlineStr">
        <is>
          <t>ACCT-001</t>
        </is>
      </c>
      <c r="B88" s="31">
        <f>IFERROR(INDEX(MASTER!$C$2:$C$2000,MATCH($A88,MASTER!$A$2:$A$2000,0))&amp;"","")</f>
        <v/>
      </c>
      <c r="C88" s="35">
        <f>IFERROR(INDEX(MASTER!$B$2:$B$2000,MATCH($A88,MASTER!$A$2:$A$2000,0)),"")</f>
        <v/>
      </c>
      <c r="D88" s="31">
        <f>IFERROR(INDEX(MASTER!$D$2:$D$2000,MATCH($A88,MASTER!$A$2:$A$2000,0))&amp;"","")</f>
        <v/>
      </c>
      <c r="E88" s="31">
        <f>IFERROR(INDEX(MASTER!$F$2:$F$2000,MATCH($A88,MASTER!$A$2:$A$2000,0))&amp;"","")</f>
        <v/>
      </c>
      <c r="F88" s="31">
        <f>IFERROR(INDEX(MASTER!$G$2:$G$2000,MATCH($A88,MASTER!$A$2:$A$2000,0))&amp;"","NOT IN MASTER")</f>
        <v/>
      </c>
      <c r="G88" s="31">
        <f>IFERROR(INDEX(MASTER!$H$2:$H$2000,MATCH($A88,MASTER!$A$2:$A$2000,0))&amp;"","")</f>
        <v/>
      </c>
      <c r="H88" s="31">
        <f>IFERROR(INDEX(MASTER!$I$2:$I$2000,MATCH($A88,MASTER!$A$2:$A$2000,0))&amp;"","")</f>
        <v/>
      </c>
      <c r="I88" s="41">
        <f>IFERROR(IF(INDEX(MASTER!$O$2:$O$2000,MATCH($A88,MASTER!$A$2:$A$2000,0))="","",INDEX(MASTER!$O$2:$O$2000,MATCH($A88,MASTER!$A$2:$A$2000,0))),"")</f>
        <v/>
      </c>
      <c r="J88" s="31">
        <f>IFERROR(INDEX(MASTER!$P$2:$P$2000,MATCH($A88,MASTER!$A$2:$A$2000,0))&amp;"","")</f>
        <v/>
      </c>
      <c r="K88" s="31">
        <f>IFERROR(INDEX(MASTER!$Q$2:$Q$2000,MATCH($A88,MASTER!$A$2:$A$2000,0))&amp;"","")</f>
        <v/>
      </c>
      <c r="L88" s="31">
        <f>IFERROR(INDEX(MASTER!$R$2:$R$2000,MATCH($A88,MASTER!$A$2:$A$2000,0))&amp;"","")</f>
        <v/>
      </c>
    </row>
    <row r="89">
      <c r="A89" s="34" t="inlineStr">
        <is>
          <t>ACCT-002</t>
        </is>
      </c>
      <c r="B89" s="31">
        <f>IFERROR(INDEX(MASTER!$C$2:$C$2000,MATCH($A89,MASTER!$A$2:$A$2000,0))&amp;"","")</f>
        <v/>
      </c>
      <c r="C89" s="35">
        <f>IFERROR(INDEX(MASTER!$B$2:$B$2000,MATCH($A89,MASTER!$A$2:$A$2000,0)),"")</f>
        <v/>
      </c>
      <c r="D89" s="31">
        <f>IFERROR(INDEX(MASTER!$D$2:$D$2000,MATCH($A89,MASTER!$A$2:$A$2000,0))&amp;"","")</f>
        <v/>
      </c>
      <c r="E89" s="31">
        <f>IFERROR(INDEX(MASTER!$F$2:$F$2000,MATCH($A89,MASTER!$A$2:$A$2000,0))&amp;"","")</f>
        <v/>
      </c>
      <c r="F89" s="31">
        <f>IFERROR(INDEX(MASTER!$G$2:$G$2000,MATCH($A89,MASTER!$A$2:$A$2000,0))&amp;"","NOT IN MASTER")</f>
        <v/>
      </c>
      <c r="G89" s="31">
        <f>IFERROR(INDEX(MASTER!$H$2:$H$2000,MATCH($A89,MASTER!$A$2:$A$2000,0))&amp;"","")</f>
        <v/>
      </c>
      <c r="H89" s="31">
        <f>IFERROR(INDEX(MASTER!$I$2:$I$2000,MATCH($A89,MASTER!$A$2:$A$2000,0))&amp;"","")</f>
        <v/>
      </c>
      <c r="I89" s="41">
        <f>IFERROR(IF(INDEX(MASTER!$O$2:$O$2000,MATCH($A89,MASTER!$A$2:$A$2000,0))="","",INDEX(MASTER!$O$2:$O$2000,MATCH($A89,MASTER!$A$2:$A$2000,0))),"")</f>
        <v/>
      </c>
      <c r="J89" s="31">
        <f>IFERROR(INDEX(MASTER!$P$2:$P$2000,MATCH($A89,MASTER!$A$2:$A$2000,0))&amp;"","")</f>
        <v/>
      </c>
      <c r="K89" s="31">
        <f>IFERROR(INDEX(MASTER!$Q$2:$Q$2000,MATCH($A89,MASTER!$A$2:$A$2000,0))&amp;"","")</f>
        <v/>
      </c>
      <c r="L89" s="31">
        <f>IFERROR(INDEX(MASTER!$R$2:$R$2000,MATCH($A89,MASTER!$A$2:$A$2000,0))&amp;"","")</f>
        <v/>
      </c>
    </row>
    <row r="90">
      <c r="A90" s="34" t="inlineStr">
        <is>
          <t>ACCT-003</t>
        </is>
      </c>
      <c r="B90" s="31">
        <f>IFERROR(INDEX(MASTER!$C$2:$C$2000,MATCH($A90,MASTER!$A$2:$A$2000,0))&amp;"","")</f>
        <v/>
      </c>
      <c r="C90" s="35">
        <f>IFERROR(INDEX(MASTER!$B$2:$B$2000,MATCH($A90,MASTER!$A$2:$A$2000,0)),"")</f>
        <v/>
      </c>
      <c r="D90" s="31">
        <f>IFERROR(INDEX(MASTER!$D$2:$D$2000,MATCH($A90,MASTER!$A$2:$A$2000,0))&amp;"","")</f>
        <v/>
      </c>
      <c r="E90" s="31">
        <f>IFERROR(INDEX(MASTER!$F$2:$F$2000,MATCH($A90,MASTER!$A$2:$A$2000,0))&amp;"","")</f>
        <v/>
      </c>
      <c r="F90" s="31">
        <f>IFERROR(INDEX(MASTER!$G$2:$G$2000,MATCH($A90,MASTER!$A$2:$A$2000,0))&amp;"","NOT IN MASTER")</f>
        <v/>
      </c>
      <c r="G90" s="31">
        <f>IFERROR(INDEX(MASTER!$H$2:$H$2000,MATCH($A90,MASTER!$A$2:$A$2000,0))&amp;"","")</f>
        <v/>
      </c>
      <c r="H90" s="31">
        <f>IFERROR(INDEX(MASTER!$I$2:$I$2000,MATCH($A90,MASTER!$A$2:$A$2000,0))&amp;"","")</f>
        <v/>
      </c>
      <c r="I90" s="41">
        <f>IFERROR(IF(INDEX(MASTER!$O$2:$O$2000,MATCH($A90,MASTER!$A$2:$A$2000,0))="","",INDEX(MASTER!$O$2:$O$2000,MATCH($A90,MASTER!$A$2:$A$2000,0))),"")</f>
        <v/>
      </c>
      <c r="J90" s="31">
        <f>IFERROR(INDEX(MASTER!$P$2:$P$2000,MATCH($A90,MASTER!$A$2:$A$2000,0))&amp;"","")</f>
        <v/>
      </c>
      <c r="K90" s="31">
        <f>IFERROR(INDEX(MASTER!$Q$2:$Q$2000,MATCH($A90,MASTER!$A$2:$A$2000,0))&amp;"","")</f>
        <v/>
      </c>
      <c r="L90" s="31">
        <f>IFERROR(INDEX(MASTER!$R$2:$R$2000,MATCH($A90,MASTER!$A$2:$A$2000,0))&amp;"","")</f>
        <v/>
      </c>
    </row>
    <row r="91">
      <c r="A91" s="34" t="inlineStr">
        <is>
          <t>ACCT-004</t>
        </is>
      </c>
      <c r="B91" s="31">
        <f>IFERROR(INDEX(MASTER!$C$2:$C$2000,MATCH($A91,MASTER!$A$2:$A$2000,0))&amp;"","")</f>
        <v/>
      </c>
      <c r="C91" s="35">
        <f>IFERROR(INDEX(MASTER!$B$2:$B$2000,MATCH($A91,MASTER!$A$2:$A$2000,0)),"")</f>
        <v/>
      </c>
      <c r="D91" s="31">
        <f>IFERROR(INDEX(MASTER!$D$2:$D$2000,MATCH($A91,MASTER!$A$2:$A$2000,0))&amp;"","")</f>
        <v/>
      </c>
      <c r="E91" s="31">
        <f>IFERROR(INDEX(MASTER!$F$2:$F$2000,MATCH($A91,MASTER!$A$2:$A$2000,0))&amp;"","")</f>
        <v/>
      </c>
      <c r="F91" s="31">
        <f>IFERROR(INDEX(MASTER!$G$2:$G$2000,MATCH($A91,MASTER!$A$2:$A$2000,0))&amp;"","NOT IN MASTER")</f>
        <v/>
      </c>
      <c r="G91" s="31">
        <f>IFERROR(INDEX(MASTER!$H$2:$H$2000,MATCH($A91,MASTER!$A$2:$A$2000,0))&amp;"","")</f>
        <v/>
      </c>
      <c r="H91" s="31">
        <f>IFERROR(INDEX(MASTER!$I$2:$I$2000,MATCH($A91,MASTER!$A$2:$A$2000,0))&amp;"","")</f>
        <v/>
      </c>
      <c r="I91" s="41">
        <f>IFERROR(IF(INDEX(MASTER!$O$2:$O$2000,MATCH($A91,MASTER!$A$2:$A$2000,0))="","",INDEX(MASTER!$O$2:$O$2000,MATCH($A91,MASTER!$A$2:$A$2000,0))),"")</f>
        <v/>
      </c>
      <c r="J91" s="31">
        <f>IFERROR(INDEX(MASTER!$P$2:$P$2000,MATCH($A91,MASTER!$A$2:$A$2000,0))&amp;"","")</f>
        <v/>
      </c>
      <c r="K91" s="31">
        <f>IFERROR(INDEX(MASTER!$Q$2:$Q$2000,MATCH($A91,MASTER!$A$2:$A$2000,0))&amp;"","")</f>
        <v/>
      </c>
      <c r="L91" s="31">
        <f>IFERROR(INDEX(MASTER!$R$2:$R$2000,MATCH($A91,MASTER!$A$2:$A$2000,0))&amp;"","")</f>
        <v/>
      </c>
    </row>
    <row r="92">
      <c r="A92" s="34" t="inlineStr">
        <is>
          <t>ACCT-005</t>
        </is>
      </c>
      <c r="B92" s="31">
        <f>IFERROR(INDEX(MASTER!$C$2:$C$2000,MATCH($A92,MASTER!$A$2:$A$2000,0))&amp;"","")</f>
        <v/>
      </c>
      <c r="C92" s="35">
        <f>IFERROR(INDEX(MASTER!$B$2:$B$2000,MATCH($A92,MASTER!$A$2:$A$2000,0)),"")</f>
        <v/>
      </c>
      <c r="D92" s="31">
        <f>IFERROR(INDEX(MASTER!$D$2:$D$2000,MATCH($A92,MASTER!$A$2:$A$2000,0))&amp;"","")</f>
        <v/>
      </c>
      <c r="E92" s="31">
        <f>IFERROR(INDEX(MASTER!$F$2:$F$2000,MATCH($A92,MASTER!$A$2:$A$2000,0))&amp;"","")</f>
        <v/>
      </c>
      <c r="F92" s="31">
        <f>IFERROR(INDEX(MASTER!$G$2:$G$2000,MATCH($A92,MASTER!$A$2:$A$2000,0))&amp;"","NOT IN MASTER")</f>
        <v/>
      </c>
      <c r="G92" s="31">
        <f>IFERROR(INDEX(MASTER!$H$2:$H$2000,MATCH($A92,MASTER!$A$2:$A$2000,0))&amp;"","")</f>
        <v/>
      </c>
      <c r="H92" s="31">
        <f>IFERROR(INDEX(MASTER!$I$2:$I$2000,MATCH($A92,MASTER!$A$2:$A$2000,0))&amp;"","")</f>
        <v/>
      </c>
      <c r="I92" s="41">
        <f>IFERROR(IF(INDEX(MASTER!$O$2:$O$2000,MATCH($A92,MASTER!$A$2:$A$2000,0))="","",INDEX(MASTER!$O$2:$O$2000,MATCH($A92,MASTER!$A$2:$A$2000,0))),"")</f>
        <v/>
      </c>
      <c r="J92" s="31">
        <f>IFERROR(INDEX(MASTER!$P$2:$P$2000,MATCH($A92,MASTER!$A$2:$A$2000,0))&amp;"","")</f>
        <v/>
      </c>
      <c r="K92" s="31">
        <f>IFERROR(INDEX(MASTER!$Q$2:$Q$2000,MATCH($A92,MASTER!$A$2:$A$2000,0))&amp;"","")</f>
        <v/>
      </c>
      <c r="L92" s="31">
        <f>IFERROR(INDEX(MASTER!$R$2:$R$2000,MATCH($A92,MASTER!$A$2:$A$2000,0))&amp;"","")</f>
        <v/>
      </c>
    </row>
    <row r="93">
      <c r="A93" s="34" t="inlineStr">
        <is>
          <t>PLAN-001</t>
        </is>
      </c>
      <c r="B93" s="31">
        <f>IFERROR(INDEX(MASTER!$C$2:$C$2000,MATCH($A93,MASTER!$A$2:$A$2000,0))&amp;"","")</f>
        <v/>
      </c>
      <c r="C93" s="35">
        <f>IFERROR(INDEX(MASTER!$B$2:$B$2000,MATCH($A93,MASTER!$A$2:$A$2000,0)),"")</f>
        <v/>
      </c>
      <c r="D93" s="31">
        <f>IFERROR(INDEX(MASTER!$D$2:$D$2000,MATCH($A93,MASTER!$A$2:$A$2000,0))&amp;"","")</f>
        <v/>
      </c>
      <c r="E93" s="31">
        <f>IFERROR(INDEX(MASTER!$F$2:$F$2000,MATCH($A93,MASTER!$A$2:$A$2000,0))&amp;"","")</f>
        <v/>
      </c>
      <c r="F93" s="31">
        <f>IFERROR(INDEX(MASTER!$G$2:$G$2000,MATCH($A93,MASTER!$A$2:$A$2000,0))&amp;"","NOT IN MASTER")</f>
        <v/>
      </c>
      <c r="G93" s="31">
        <f>IFERROR(INDEX(MASTER!$H$2:$H$2000,MATCH($A93,MASTER!$A$2:$A$2000,0))&amp;"","")</f>
        <v/>
      </c>
      <c r="H93" s="31">
        <f>IFERROR(INDEX(MASTER!$I$2:$I$2000,MATCH($A93,MASTER!$A$2:$A$2000,0))&amp;"","")</f>
        <v/>
      </c>
      <c r="I93" s="41">
        <f>IFERROR(IF(INDEX(MASTER!$O$2:$O$2000,MATCH($A93,MASTER!$A$2:$A$2000,0))="","",INDEX(MASTER!$O$2:$O$2000,MATCH($A93,MASTER!$A$2:$A$2000,0))),"")</f>
        <v/>
      </c>
      <c r="J93" s="31">
        <f>IFERROR(INDEX(MASTER!$P$2:$P$2000,MATCH($A93,MASTER!$A$2:$A$2000,0))&amp;"","")</f>
        <v/>
      </c>
      <c r="K93" s="31">
        <f>IFERROR(INDEX(MASTER!$Q$2:$Q$2000,MATCH($A93,MASTER!$A$2:$A$2000,0))&amp;"","")</f>
        <v/>
      </c>
      <c r="L93" s="31">
        <f>IFERROR(INDEX(MASTER!$R$2:$R$2000,MATCH($A93,MASTER!$A$2:$A$2000,0))&amp;"","")</f>
        <v/>
      </c>
    </row>
    <row r="94">
      <c r="A94" s="34" t="inlineStr">
        <is>
          <t>PLAN-003</t>
        </is>
      </c>
      <c r="B94" s="31">
        <f>IFERROR(INDEX(MASTER!$C$2:$C$2000,MATCH($A94,MASTER!$A$2:$A$2000,0))&amp;"","")</f>
        <v/>
      </c>
      <c r="C94" s="35">
        <f>IFERROR(INDEX(MASTER!$B$2:$B$2000,MATCH($A94,MASTER!$A$2:$A$2000,0)),"")</f>
        <v/>
      </c>
      <c r="D94" s="31">
        <f>IFERROR(INDEX(MASTER!$D$2:$D$2000,MATCH($A94,MASTER!$A$2:$A$2000,0))&amp;"","")</f>
        <v/>
      </c>
      <c r="E94" s="31">
        <f>IFERROR(INDEX(MASTER!$F$2:$F$2000,MATCH($A94,MASTER!$A$2:$A$2000,0))&amp;"","")</f>
        <v/>
      </c>
      <c r="F94" s="31">
        <f>IFERROR(INDEX(MASTER!$G$2:$G$2000,MATCH($A94,MASTER!$A$2:$A$2000,0))&amp;"","NOT IN MASTER")</f>
        <v/>
      </c>
      <c r="G94" s="31">
        <f>IFERROR(INDEX(MASTER!$H$2:$H$2000,MATCH($A94,MASTER!$A$2:$A$2000,0))&amp;"","")</f>
        <v/>
      </c>
      <c r="H94" s="31">
        <f>IFERROR(INDEX(MASTER!$I$2:$I$2000,MATCH($A94,MASTER!$A$2:$A$2000,0))&amp;"","")</f>
        <v/>
      </c>
      <c r="I94" s="41">
        <f>IFERROR(IF(INDEX(MASTER!$O$2:$O$2000,MATCH($A94,MASTER!$A$2:$A$2000,0))="","",INDEX(MASTER!$O$2:$O$2000,MATCH($A94,MASTER!$A$2:$A$2000,0))),"")</f>
        <v/>
      </c>
      <c r="J94" s="31">
        <f>IFERROR(INDEX(MASTER!$P$2:$P$2000,MATCH($A94,MASTER!$A$2:$A$2000,0))&amp;"","")</f>
        <v/>
      </c>
      <c r="K94" s="31">
        <f>IFERROR(INDEX(MASTER!$Q$2:$Q$2000,MATCH($A94,MASTER!$A$2:$A$2000,0))&amp;"","")</f>
        <v/>
      </c>
      <c r="L94" s="31">
        <f>IFERROR(INDEX(MASTER!$R$2:$R$2000,MATCH($A94,MASTER!$A$2:$A$2000,0))&amp;"","")</f>
        <v/>
      </c>
    </row>
    <row r="95">
      <c r="A95" s="34" t="inlineStr">
        <is>
          <t>PDF-010</t>
        </is>
      </c>
      <c r="B95" s="31">
        <f>IFERROR(INDEX(MASTER!$C$2:$C$2000,MATCH($A95,MASTER!$A$2:$A$2000,0))&amp;"","")</f>
        <v/>
      </c>
      <c r="C95" s="35">
        <f>IFERROR(INDEX(MASTER!$B$2:$B$2000,MATCH($A95,MASTER!$A$2:$A$2000,0)),"")</f>
        <v/>
      </c>
      <c r="D95" s="31">
        <f>IFERROR(INDEX(MASTER!$D$2:$D$2000,MATCH($A95,MASTER!$A$2:$A$2000,0))&amp;"","")</f>
        <v/>
      </c>
      <c r="E95" s="31">
        <f>IFERROR(INDEX(MASTER!$F$2:$F$2000,MATCH($A95,MASTER!$A$2:$A$2000,0))&amp;"","")</f>
        <v/>
      </c>
      <c r="F95" s="31">
        <f>IFERROR(INDEX(MASTER!$G$2:$G$2000,MATCH($A95,MASTER!$A$2:$A$2000,0))&amp;"","NOT IN MASTER")</f>
        <v/>
      </c>
      <c r="G95" s="31">
        <f>IFERROR(INDEX(MASTER!$H$2:$H$2000,MATCH($A95,MASTER!$A$2:$A$2000,0))&amp;"","")</f>
        <v/>
      </c>
      <c r="H95" s="31">
        <f>IFERROR(INDEX(MASTER!$I$2:$I$2000,MATCH($A95,MASTER!$A$2:$A$2000,0))&amp;"","")</f>
        <v/>
      </c>
      <c r="I95" s="41">
        <f>IFERROR(IF(INDEX(MASTER!$O$2:$O$2000,MATCH($A95,MASTER!$A$2:$A$2000,0))="","",INDEX(MASTER!$O$2:$O$2000,MATCH($A95,MASTER!$A$2:$A$2000,0))),"")</f>
        <v/>
      </c>
      <c r="J95" s="31">
        <f>IFERROR(INDEX(MASTER!$P$2:$P$2000,MATCH($A95,MASTER!$A$2:$A$2000,0))&amp;"","")</f>
        <v/>
      </c>
      <c r="K95" s="31">
        <f>IFERROR(INDEX(MASTER!$Q$2:$Q$2000,MATCH($A95,MASTER!$A$2:$A$2000,0))&amp;"","")</f>
        <v/>
      </c>
      <c r="L95" s="31">
        <f>IFERROR(INDEX(MASTER!$R$2:$R$2000,MATCH($A95,MASTER!$A$2:$A$2000,0))&amp;"","")</f>
        <v/>
      </c>
    </row>
    <row r="96">
      <c r="A96" s="34" t="inlineStr">
        <is>
          <t>PDF-011</t>
        </is>
      </c>
      <c r="B96" s="31">
        <f>IFERROR(INDEX(MASTER!$C$2:$C$2000,MATCH($A96,MASTER!$A$2:$A$2000,0))&amp;"","")</f>
        <v/>
      </c>
      <c r="C96" s="35">
        <f>IFERROR(INDEX(MASTER!$B$2:$B$2000,MATCH($A96,MASTER!$A$2:$A$2000,0)),"")</f>
        <v/>
      </c>
      <c r="D96" s="31">
        <f>IFERROR(INDEX(MASTER!$D$2:$D$2000,MATCH($A96,MASTER!$A$2:$A$2000,0))&amp;"","")</f>
        <v/>
      </c>
      <c r="E96" s="31">
        <f>IFERROR(INDEX(MASTER!$F$2:$F$2000,MATCH($A96,MASTER!$A$2:$A$2000,0))&amp;"","")</f>
        <v/>
      </c>
      <c r="F96" s="31">
        <f>IFERROR(INDEX(MASTER!$G$2:$G$2000,MATCH($A96,MASTER!$A$2:$A$2000,0))&amp;"","NOT IN MASTER")</f>
        <v/>
      </c>
      <c r="G96" s="31">
        <f>IFERROR(INDEX(MASTER!$H$2:$H$2000,MATCH($A96,MASTER!$A$2:$A$2000,0))&amp;"","")</f>
        <v/>
      </c>
      <c r="H96" s="31">
        <f>IFERROR(INDEX(MASTER!$I$2:$I$2000,MATCH($A96,MASTER!$A$2:$A$2000,0))&amp;"","")</f>
        <v/>
      </c>
      <c r="I96" s="41">
        <f>IFERROR(IF(INDEX(MASTER!$O$2:$O$2000,MATCH($A96,MASTER!$A$2:$A$2000,0))="","",INDEX(MASTER!$O$2:$O$2000,MATCH($A96,MASTER!$A$2:$A$2000,0))),"")</f>
        <v/>
      </c>
      <c r="J96" s="31">
        <f>IFERROR(INDEX(MASTER!$P$2:$P$2000,MATCH($A96,MASTER!$A$2:$A$2000,0))&amp;"","")</f>
        <v/>
      </c>
      <c r="K96" s="31">
        <f>IFERROR(INDEX(MASTER!$Q$2:$Q$2000,MATCH($A96,MASTER!$A$2:$A$2000,0))&amp;"","")</f>
        <v/>
      </c>
      <c r="L96" s="31">
        <f>IFERROR(INDEX(MASTER!$R$2:$R$2000,MATCH($A96,MASTER!$A$2:$A$2000,0))&amp;"","")</f>
        <v/>
      </c>
    </row>
    <row r="97">
      <c r="A97" s="34" t="inlineStr">
        <is>
          <t>P2E-001</t>
        </is>
      </c>
      <c r="B97" s="31">
        <f>IFERROR(INDEX(MASTER!$C$2:$C$2000,MATCH($A97,MASTER!$A$2:$A$2000,0))&amp;"","")</f>
        <v/>
      </c>
      <c r="C97" s="35">
        <f>IFERROR(INDEX(MASTER!$B$2:$B$2000,MATCH($A97,MASTER!$A$2:$A$2000,0)),"")</f>
        <v/>
      </c>
      <c r="D97" s="31">
        <f>IFERROR(INDEX(MASTER!$D$2:$D$2000,MATCH($A97,MASTER!$A$2:$A$2000,0))&amp;"","")</f>
        <v/>
      </c>
      <c r="E97" s="31">
        <f>IFERROR(INDEX(MASTER!$F$2:$F$2000,MATCH($A97,MASTER!$A$2:$A$2000,0))&amp;"","")</f>
        <v/>
      </c>
      <c r="F97" s="31">
        <f>IFERROR(INDEX(MASTER!$G$2:$G$2000,MATCH($A97,MASTER!$A$2:$A$2000,0))&amp;"","NOT IN MASTER")</f>
        <v/>
      </c>
      <c r="G97" s="31">
        <f>IFERROR(INDEX(MASTER!$H$2:$H$2000,MATCH($A97,MASTER!$A$2:$A$2000,0))&amp;"","")</f>
        <v/>
      </c>
      <c r="H97" s="31">
        <f>IFERROR(INDEX(MASTER!$I$2:$I$2000,MATCH($A97,MASTER!$A$2:$A$2000,0))&amp;"","")</f>
        <v/>
      </c>
      <c r="I97" s="41">
        <f>IFERROR(IF(INDEX(MASTER!$O$2:$O$2000,MATCH($A97,MASTER!$A$2:$A$2000,0))="","",INDEX(MASTER!$O$2:$O$2000,MATCH($A97,MASTER!$A$2:$A$2000,0))),"")</f>
        <v/>
      </c>
      <c r="J97" s="31">
        <f>IFERROR(INDEX(MASTER!$P$2:$P$2000,MATCH($A97,MASTER!$A$2:$A$2000,0))&amp;"","")</f>
        <v/>
      </c>
      <c r="K97" s="31">
        <f>IFERROR(INDEX(MASTER!$Q$2:$Q$2000,MATCH($A97,MASTER!$A$2:$A$2000,0))&amp;"","")</f>
        <v/>
      </c>
      <c r="L97" s="31">
        <f>IFERROR(INDEX(MASTER!$R$2:$R$2000,MATCH($A97,MASTER!$A$2:$A$2000,0))&amp;"","")</f>
        <v/>
      </c>
    </row>
    <row r="98">
      <c r="A98" s="34" t="inlineStr">
        <is>
          <t>P2E-002</t>
        </is>
      </c>
      <c r="B98" s="31">
        <f>IFERROR(INDEX(MASTER!$C$2:$C$2000,MATCH($A98,MASTER!$A$2:$A$2000,0))&amp;"","")</f>
        <v/>
      </c>
      <c r="C98" s="35">
        <f>IFERROR(INDEX(MASTER!$B$2:$B$2000,MATCH($A98,MASTER!$A$2:$A$2000,0)),"")</f>
        <v/>
      </c>
      <c r="D98" s="31">
        <f>IFERROR(INDEX(MASTER!$D$2:$D$2000,MATCH($A98,MASTER!$A$2:$A$2000,0))&amp;"","")</f>
        <v/>
      </c>
      <c r="E98" s="31">
        <f>IFERROR(INDEX(MASTER!$F$2:$F$2000,MATCH($A98,MASTER!$A$2:$A$2000,0))&amp;"","")</f>
        <v/>
      </c>
      <c r="F98" s="31">
        <f>IFERROR(INDEX(MASTER!$G$2:$G$2000,MATCH($A98,MASTER!$A$2:$A$2000,0))&amp;"","NOT IN MASTER")</f>
        <v/>
      </c>
      <c r="G98" s="31">
        <f>IFERROR(INDEX(MASTER!$H$2:$H$2000,MATCH($A98,MASTER!$A$2:$A$2000,0))&amp;"","")</f>
        <v/>
      </c>
      <c r="H98" s="31">
        <f>IFERROR(INDEX(MASTER!$I$2:$I$2000,MATCH($A98,MASTER!$A$2:$A$2000,0))&amp;"","")</f>
        <v/>
      </c>
      <c r="I98" s="41">
        <f>IFERROR(IF(INDEX(MASTER!$O$2:$O$2000,MATCH($A98,MASTER!$A$2:$A$2000,0))="","",INDEX(MASTER!$O$2:$O$2000,MATCH($A98,MASTER!$A$2:$A$2000,0))),"")</f>
        <v/>
      </c>
      <c r="J98" s="31">
        <f>IFERROR(INDEX(MASTER!$P$2:$P$2000,MATCH($A98,MASTER!$A$2:$A$2000,0))&amp;"","")</f>
        <v/>
      </c>
      <c r="K98" s="31">
        <f>IFERROR(INDEX(MASTER!$Q$2:$Q$2000,MATCH($A98,MASTER!$A$2:$A$2000,0))&amp;"","")</f>
        <v/>
      </c>
      <c r="L98" s="31">
        <f>IFERROR(INDEX(MASTER!$R$2:$R$2000,MATCH($A98,MASTER!$A$2:$A$2000,0))&amp;"","")</f>
        <v/>
      </c>
    </row>
    <row r="99">
      <c r="A99" s="34" t="inlineStr">
        <is>
          <t>P2E-005</t>
        </is>
      </c>
      <c r="B99" s="31">
        <f>IFERROR(INDEX(MASTER!$C$2:$C$2000,MATCH($A99,MASTER!$A$2:$A$2000,0))&amp;"","")</f>
        <v/>
      </c>
      <c r="C99" s="35">
        <f>IFERROR(INDEX(MASTER!$B$2:$B$2000,MATCH($A99,MASTER!$A$2:$A$2000,0)),"")</f>
        <v/>
      </c>
      <c r="D99" s="31">
        <f>IFERROR(INDEX(MASTER!$D$2:$D$2000,MATCH($A99,MASTER!$A$2:$A$2000,0))&amp;"","")</f>
        <v/>
      </c>
      <c r="E99" s="31">
        <f>IFERROR(INDEX(MASTER!$F$2:$F$2000,MATCH($A99,MASTER!$A$2:$A$2000,0))&amp;"","")</f>
        <v/>
      </c>
      <c r="F99" s="31">
        <f>IFERROR(INDEX(MASTER!$G$2:$G$2000,MATCH($A99,MASTER!$A$2:$A$2000,0))&amp;"","NOT IN MASTER")</f>
        <v/>
      </c>
      <c r="G99" s="31">
        <f>IFERROR(INDEX(MASTER!$H$2:$H$2000,MATCH($A99,MASTER!$A$2:$A$2000,0))&amp;"","")</f>
        <v/>
      </c>
      <c r="H99" s="31">
        <f>IFERROR(INDEX(MASTER!$I$2:$I$2000,MATCH($A99,MASTER!$A$2:$A$2000,0))&amp;"","")</f>
        <v/>
      </c>
      <c r="I99" s="41">
        <f>IFERROR(IF(INDEX(MASTER!$O$2:$O$2000,MATCH($A99,MASTER!$A$2:$A$2000,0))="","",INDEX(MASTER!$O$2:$O$2000,MATCH($A99,MASTER!$A$2:$A$2000,0))),"")</f>
        <v/>
      </c>
      <c r="J99" s="31">
        <f>IFERROR(INDEX(MASTER!$P$2:$P$2000,MATCH($A99,MASTER!$A$2:$A$2000,0))&amp;"","")</f>
        <v/>
      </c>
      <c r="K99" s="31">
        <f>IFERROR(INDEX(MASTER!$Q$2:$Q$2000,MATCH($A99,MASTER!$A$2:$A$2000,0))&amp;"","")</f>
        <v/>
      </c>
      <c r="L99" s="31">
        <f>IFERROR(INDEX(MASTER!$R$2:$R$2000,MATCH($A99,MASTER!$A$2:$A$2000,0))&amp;"","")</f>
        <v/>
      </c>
    </row>
    <row r="100">
      <c r="A100" s="34" t="inlineStr">
        <is>
          <t>P2E-008</t>
        </is>
      </c>
      <c r="B100" s="31">
        <f>IFERROR(INDEX(MASTER!$C$2:$C$2000,MATCH($A100,MASTER!$A$2:$A$2000,0))&amp;"","")</f>
        <v/>
      </c>
      <c r="C100" s="35">
        <f>IFERROR(INDEX(MASTER!$B$2:$B$2000,MATCH($A100,MASTER!$A$2:$A$2000,0)),"")</f>
        <v/>
      </c>
      <c r="D100" s="31">
        <f>IFERROR(INDEX(MASTER!$D$2:$D$2000,MATCH($A100,MASTER!$A$2:$A$2000,0))&amp;"","")</f>
        <v/>
      </c>
      <c r="E100" s="31">
        <f>IFERROR(INDEX(MASTER!$F$2:$F$2000,MATCH($A100,MASTER!$A$2:$A$2000,0))&amp;"","")</f>
        <v/>
      </c>
      <c r="F100" s="31">
        <f>IFERROR(INDEX(MASTER!$G$2:$G$2000,MATCH($A100,MASTER!$A$2:$A$2000,0))&amp;"","NOT IN MASTER")</f>
        <v/>
      </c>
      <c r="G100" s="31">
        <f>IFERROR(INDEX(MASTER!$H$2:$H$2000,MATCH($A100,MASTER!$A$2:$A$2000,0))&amp;"","")</f>
        <v/>
      </c>
      <c r="H100" s="31">
        <f>IFERROR(INDEX(MASTER!$I$2:$I$2000,MATCH($A100,MASTER!$A$2:$A$2000,0))&amp;"","")</f>
        <v/>
      </c>
      <c r="I100" s="41">
        <f>IFERROR(IF(INDEX(MASTER!$O$2:$O$2000,MATCH($A100,MASTER!$A$2:$A$2000,0))="","",INDEX(MASTER!$O$2:$O$2000,MATCH($A100,MASTER!$A$2:$A$2000,0))),"")</f>
        <v/>
      </c>
      <c r="J100" s="31">
        <f>IFERROR(INDEX(MASTER!$P$2:$P$2000,MATCH($A100,MASTER!$A$2:$A$2000,0))&amp;"","")</f>
        <v/>
      </c>
      <c r="K100" s="31">
        <f>IFERROR(INDEX(MASTER!$Q$2:$Q$2000,MATCH($A100,MASTER!$A$2:$A$2000,0))&amp;"","")</f>
        <v/>
      </c>
      <c r="L100" s="31">
        <f>IFERROR(INDEX(MASTER!$R$2:$R$2000,MATCH($A100,MASTER!$A$2:$A$2000,0))&amp;"","")</f>
        <v/>
      </c>
    </row>
    <row r="101">
      <c r="A101" s="34" t="inlineStr">
        <is>
          <t>TRAN-001</t>
        </is>
      </c>
      <c r="B101" s="31">
        <f>IFERROR(INDEX(MASTER!$C$2:$C$2000,MATCH($A101,MASTER!$A$2:$A$2000,0))&amp;"","")</f>
        <v/>
      </c>
      <c r="C101" s="35">
        <f>IFERROR(INDEX(MASTER!$B$2:$B$2000,MATCH($A101,MASTER!$A$2:$A$2000,0)),"")</f>
        <v/>
      </c>
      <c r="D101" s="31">
        <f>IFERROR(INDEX(MASTER!$D$2:$D$2000,MATCH($A101,MASTER!$A$2:$A$2000,0))&amp;"","")</f>
        <v/>
      </c>
      <c r="E101" s="31">
        <f>IFERROR(INDEX(MASTER!$F$2:$F$2000,MATCH($A101,MASTER!$A$2:$A$2000,0))&amp;"","")</f>
        <v/>
      </c>
      <c r="F101" s="31">
        <f>IFERROR(INDEX(MASTER!$G$2:$G$2000,MATCH($A101,MASTER!$A$2:$A$2000,0))&amp;"","NOT IN MASTER")</f>
        <v/>
      </c>
      <c r="G101" s="31">
        <f>IFERROR(INDEX(MASTER!$H$2:$H$2000,MATCH($A101,MASTER!$A$2:$A$2000,0))&amp;"","")</f>
        <v/>
      </c>
      <c r="H101" s="31">
        <f>IFERROR(INDEX(MASTER!$I$2:$I$2000,MATCH($A101,MASTER!$A$2:$A$2000,0))&amp;"","")</f>
        <v/>
      </c>
      <c r="I101" s="41">
        <f>IFERROR(IF(INDEX(MASTER!$O$2:$O$2000,MATCH($A101,MASTER!$A$2:$A$2000,0))="","",INDEX(MASTER!$O$2:$O$2000,MATCH($A101,MASTER!$A$2:$A$2000,0))),"")</f>
        <v/>
      </c>
      <c r="J101" s="31">
        <f>IFERROR(INDEX(MASTER!$P$2:$P$2000,MATCH($A101,MASTER!$A$2:$A$2000,0))&amp;"","")</f>
        <v/>
      </c>
      <c r="K101" s="31">
        <f>IFERROR(INDEX(MASTER!$Q$2:$Q$2000,MATCH($A101,MASTER!$A$2:$A$2000,0))&amp;"","")</f>
        <v/>
      </c>
      <c r="L101" s="31">
        <f>IFERROR(INDEX(MASTER!$R$2:$R$2000,MATCH($A101,MASTER!$A$2:$A$2000,0))&amp;"","")</f>
        <v/>
      </c>
    </row>
    <row r="102">
      <c r="A102" s="34" t="inlineStr">
        <is>
          <t>TRAN-002</t>
        </is>
      </c>
      <c r="B102" s="31">
        <f>IFERROR(INDEX(MASTER!$C$2:$C$2000,MATCH($A102,MASTER!$A$2:$A$2000,0))&amp;"","")</f>
        <v/>
      </c>
      <c r="C102" s="35">
        <f>IFERROR(INDEX(MASTER!$B$2:$B$2000,MATCH($A102,MASTER!$A$2:$A$2000,0)),"")</f>
        <v/>
      </c>
      <c r="D102" s="31">
        <f>IFERROR(INDEX(MASTER!$D$2:$D$2000,MATCH($A102,MASTER!$A$2:$A$2000,0))&amp;"","")</f>
        <v/>
      </c>
      <c r="E102" s="31">
        <f>IFERROR(INDEX(MASTER!$F$2:$F$2000,MATCH($A102,MASTER!$A$2:$A$2000,0))&amp;"","")</f>
        <v/>
      </c>
      <c r="F102" s="31">
        <f>IFERROR(INDEX(MASTER!$G$2:$G$2000,MATCH($A102,MASTER!$A$2:$A$2000,0))&amp;"","NOT IN MASTER")</f>
        <v/>
      </c>
      <c r="G102" s="31">
        <f>IFERROR(INDEX(MASTER!$H$2:$H$2000,MATCH($A102,MASTER!$A$2:$A$2000,0))&amp;"","")</f>
        <v/>
      </c>
      <c r="H102" s="31">
        <f>IFERROR(INDEX(MASTER!$I$2:$I$2000,MATCH($A102,MASTER!$A$2:$A$2000,0))&amp;"","")</f>
        <v/>
      </c>
      <c r="I102" s="41">
        <f>IFERROR(IF(INDEX(MASTER!$O$2:$O$2000,MATCH($A102,MASTER!$A$2:$A$2000,0))="","",INDEX(MASTER!$O$2:$O$2000,MATCH($A102,MASTER!$A$2:$A$2000,0))),"")</f>
        <v/>
      </c>
      <c r="J102" s="31">
        <f>IFERROR(INDEX(MASTER!$P$2:$P$2000,MATCH($A102,MASTER!$A$2:$A$2000,0))&amp;"","")</f>
        <v/>
      </c>
      <c r="K102" s="31">
        <f>IFERROR(INDEX(MASTER!$Q$2:$Q$2000,MATCH($A102,MASTER!$A$2:$A$2000,0))&amp;"","")</f>
        <v/>
      </c>
      <c r="L102" s="31">
        <f>IFERROR(INDEX(MASTER!$R$2:$R$2000,MATCH($A102,MASTER!$A$2:$A$2000,0))&amp;"","")</f>
        <v/>
      </c>
    </row>
    <row r="103">
      <c r="A103" s="34" t="inlineStr">
        <is>
          <t>TRAN-003</t>
        </is>
      </c>
      <c r="B103" s="31">
        <f>IFERROR(INDEX(MASTER!$C$2:$C$2000,MATCH($A103,MASTER!$A$2:$A$2000,0))&amp;"","")</f>
        <v/>
      </c>
      <c r="C103" s="35">
        <f>IFERROR(INDEX(MASTER!$B$2:$B$2000,MATCH($A103,MASTER!$A$2:$A$2000,0)),"")</f>
        <v/>
      </c>
      <c r="D103" s="31">
        <f>IFERROR(INDEX(MASTER!$D$2:$D$2000,MATCH($A103,MASTER!$A$2:$A$2000,0))&amp;"","")</f>
        <v/>
      </c>
      <c r="E103" s="31">
        <f>IFERROR(INDEX(MASTER!$F$2:$F$2000,MATCH($A103,MASTER!$A$2:$A$2000,0))&amp;"","")</f>
        <v/>
      </c>
      <c r="F103" s="31">
        <f>IFERROR(INDEX(MASTER!$G$2:$G$2000,MATCH($A103,MASTER!$A$2:$A$2000,0))&amp;"","NOT IN MASTER")</f>
        <v/>
      </c>
      <c r="G103" s="31">
        <f>IFERROR(INDEX(MASTER!$H$2:$H$2000,MATCH($A103,MASTER!$A$2:$A$2000,0))&amp;"","")</f>
        <v/>
      </c>
      <c r="H103" s="31">
        <f>IFERROR(INDEX(MASTER!$I$2:$I$2000,MATCH($A103,MASTER!$A$2:$A$2000,0))&amp;"","")</f>
        <v/>
      </c>
      <c r="I103" s="41">
        <f>IFERROR(IF(INDEX(MASTER!$O$2:$O$2000,MATCH($A103,MASTER!$A$2:$A$2000,0))="","",INDEX(MASTER!$O$2:$O$2000,MATCH($A103,MASTER!$A$2:$A$2000,0))),"")</f>
        <v/>
      </c>
      <c r="J103" s="31">
        <f>IFERROR(INDEX(MASTER!$P$2:$P$2000,MATCH($A103,MASTER!$A$2:$A$2000,0))&amp;"","")</f>
        <v/>
      </c>
      <c r="K103" s="31">
        <f>IFERROR(INDEX(MASTER!$Q$2:$Q$2000,MATCH($A103,MASTER!$A$2:$A$2000,0))&amp;"","")</f>
        <v/>
      </c>
      <c r="L103" s="31">
        <f>IFERROR(INDEX(MASTER!$R$2:$R$2000,MATCH($A103,MASTER!$A$2:$A$2000,0))&amp;"","")</f>
        <v/>
      </c>
    </row>
    <row r="104">
      <c r="A104" s="34" t="inlineStr">
        <is>
          <t>TRAN-005</t>
        </is>
      </c>
      <c r="B104" s="31">
        <f>IFERROR(INDEX(MASTER!$C$2:$C$2000,MATCH($A104,MASTER!$A$2:$A$2000,0))&amp;"","")</f>
        <v/>
      </c>
      <c r="C104" s="35">
        <f>IFERROR(INDEX(MASTER!$B$2:$B$2000,MATCH($A104,MASTER!$A$2:$A$2000,0)),"")</f>
        <v/>
      </c>
      <c r="D104" s="31">
        <f>IFERROR(INDEX(MASTER!$D$2:$D$2000,MATCH($A104,MASTER!$A$2:$A$2000,0))&amp;"","")</f>
        <v/>
      </c>
      <c r="E104" s="31">
        <f>IFERROR(INDEX(MASTER!$F$2:$F$2000,MATCH($A104,MASTER!$A$2:$A$2000,0))&amp;"","")</f>
        <v/>
      </c>
      <c r="F104" s="31">
        <f>IFERROR(INDEX(MASTER!$G$2:$G$2000,MATCH($A104,MASTER!$A$2:$A$2000,0))&amp;"","NOT IN MASTER")</f>
        <v/>
      </c>
      <c r="G104" s="31">
        <f>IFERROR(INDEX(MASTER!$H$2:$H$2000,MATCH($A104,MASTER!$A$2:$A$2000,0))&amp;"","")</f>
        <v/>
      </c>
      <c r="H104" s="31">
        <f>IFERROR(INDEX(MASTER!$I$2:$I$2000,MATCH($A104,MASTER!$A$2:$A$2000,0))&amp;"","")</f>
        <v/>
      </c>
      <c r="I104" s="41">
        <f>IFERROR(IF(INDEX(MASTER!$O$2:$O$2000,MATCH($A104,MASTER!$A$2:$A$2000,0))="","",INDEX(MASTER!$O$2:$O$2000,MATCH($A104,MASTER!$A$2:$A$2000,0))),"")</f>
        <v/>
      </c>
      <c r="J104" s="31">
        <f>IFERROR(INDEX(MASTER!$P$2:$P$2000,MATCH($A104,MASTER!$A$2:$A$2000,0))&amp;"","")</f>
        <v/>
      </c>
      <c r="K104" s="31">
        <f>IFERROR(INDEX(MASTER!$Q$2:$Q$2000,MATCH($A104,MASTER!$A$2:$A$2000,0))&amp;"","")</f>
        <v/>
      </c>
      <c r="L104" s="31">
        <f>IFERROR(INDEX(MASTER!$R$2:$R$2000,MATCH($A104,MASTER!$A$2:$A$2000,0))&amp;"","")</f>
        <v/>
      </c>
    </row>
    <row r="105">
      <c r="A105" s="34" t="inlineStr">
        <is>
          <t>TRAN-006</t>
        </is>
      </c>
      <c r="B105" s="31">
        <f>IFERROR(INDEX(MASTER!$C$2:$C$2000,MATCH($A105,MASTER!$A$2:$A$2000,0))&amp;"","")</f>
        <v/>
      </c>
      <c r="C105" s="35">
        <f>IFERROR(INDEX(MASTER!$B$2:$B$2000,MATCH($A105,MASTER!$A$2:$A$2000,0)),"")</f>
        <v/>
      </c>
      <c r="D105" s="31">
        <f>IFERROR(INDEX(MASTER!$D$2:$D$2000,MATCH($A105,MASTER!$A$2:$A$2000,0))&amp;"","")</f>
        <v/>
      </c>
      <c r="E105" s="31">
        <f>IFERROR(INDEX(MASTER!$F$2:$F$2000,MATCH($A105,MASTER!$A$2:$A$2000,0))&amp;"","")</f>
        <v/>
      </c>
      <c r="F105" s="31">
        <f>IFERROR(INDEX(MASTER!$G$2:$G$2000,MATCH($A105,MASTER!$A$2:$A$2000,0))&amp;"","NOT IN MASTER")</f>
        <v/>
      </c>
      <c r="G105" s="31">
        <f>IFERROR(INDEX(MASTER!$H$2:$H$2000,MATCH($A105,MASTER!$A$2:$A$2000,0))&amp;"","")</f>
        <v/>
      </c>
      <c r="H105" s="31">
        <f>IFERROR(INDEX(MASTER!$I$2:$I$2000,MATCH($A105,MASTER!$A$2:$A$2000,0))&amp;"","")</f>
        <v/>
      </c>
      <c r="I105" s="41">
        <f>IFERROR(IF(INDEX(MASTER!$O$2:$O$2000,MATCH($A105,MASTER!$A$2:$A$2000,0))="","",INDEX(MASTER!$O$2:$O$2000,MATCH($A105,MASTER!$A$2:$A$2000,0))),"")</f>
        <v/>
      </c>
      <c r="J105" s="31">
        <f>IFERROR(INDEX(MASTER!$P$2:$P$2000,MATCH($A105,MASTER!$A$2:$A$2000,0))&amp;"","")</f>
        <v/>
      </c>
      <c r="K105" s="31">
        <f>IFERROR(INDEX(MASTER!$Q$2:$Q$2000,MATCH($A105,MASTER!$A$2:$A$2000,0))&amp;"","")</f>
        <v/>
      </c>
      <c r="L105" s="31">
        <f>IFERROR(INDEX(MASTER!$R$2:$R$2000,MATCH($A105,MASTER!$A$2:$A$2000,0))&amp;"","")</f>
        <v/>
      </c>
    </row>
    <row r="106">
      <c r="A106" s="34" t="inlineStr">
        <is>
          <t>TRAN-008</t>
        </is>
      </c>
      <c r="B106" s="31">
        <f>IFERROR(INDEX(MASTER!$C$2:$C$2000,MATCH($A106,MASTER!$A$2:$A$2000,0))&amp;"","")</f>
        <v/>
      </c>
      <c r="C106" s="35">
        <f>IFERROR(INDEX(MASTER!$B$2:$B$2000,MATCH($A106,MASTER!$A$2:$A$2000,0)),"")</f>
        <v/>
      </c>
      <c r="D106" s="31">
        <f>IFERROR(INDEX(MASTER!$D$2:$D$2000,MATCH($A106,MASTER!$A$2:$A$2000,0))&amp;"","")</f>
        <v/>
      </c>
      <c r="E106" s="31">
        <f>IFERROR(INDEX(MASTER!$F$2:$F$2000,MATCH($A106,MASTER!$A$2:$A$2000,0))&amp;"","")</f>
        <v/>
      </c>
      <c r="F106" s="31">
        <f>IFERROR(INDEX(MASTER!$G$2:$G$2000,MATCH($A106,MASTER!$A$2:$A$2000,0))&amp;"","NOT IN MASTER")</f>
        <v/>
      </c>
      <c r="G106" s="31">
        <f>IFERROR(INDEX(MASTER!$H$2:$H$2000,MATCH($A106,MASTER!$A$2:$A$2000,0))&amp;"","")</f>
        <v/>
      </c>
      <c r="H106" s="31">
        <f>IFERROR(INDEX(MASTER!$I$2:$I$2000,MATCH($A106,MASTER!$A$2:$A$2000,0))&amp;"","")</f>
        <v/>
      </c>
      <c r="I106" s="41">
        <f>IFERROR(IF(INDEX(MASTER!$O$2:$O$2000,MATCH($A106,MASTER!$A$2:$A$2000,0))="","",INDEX(MASTER!$O$2:$O$2000,MATCH($A106,MASTER!$A$2:$A$2000,0))),"")</f>
        <v/>
      </c>
      <c r="J106" s="31">
        <f>IFERROR(INDEX(MASTER!$P$2:$P$2000,MATCH($A106,MASTER!$A$2:$A$2000,0))&amp;"","")</f>
        <v/>
      </c>
      <c r="K106" s="31">
        <f>IFERROR(INDEX(MASTER!$Q$2:$Q$2000,MATCH($A106,MASTER!$A$2:$A$2000,0))&amp;"","")</f>
        <v/>
      </c>
      <c r="L106" s="31">
        <f>IFERROR(INDEX(MASTER!$R$2:$R$2000,MATCH($A106,MASTER!$A$2:$A$2000,0))&amp;"","")</f>
        <v/>
      </c>
    </row>
    <row r="107">
      <c r="A107" s="34" t="inlineStr">
        <is>
          <t>TRAN-010</t>
        </is>
      </c>
      <c r="B107" s="31">
        <f>IFERROR(INDEX(MASTER!$C$2:$C$2000,MATCH($A107,MASTER!$A$2:$A$2000,0))&amp;"","")</f>
        <v/>
      </c>
      <c r="C107" s="35">
        <f>IFERROR(INDEX(MASTER!$B$2:$B$2000,MATCH($A107,MASTER!$A$2:$A$2000,0)),"")</f>
        <v/>
      </c>
      <c r="D107" s="31">
        <f>IFERROR(INDEX(MASTER!$D$2:$D$2000,MATCH($A107,MASTER!$A$2:$A$2000,0))&amp;"","")</f>
        <v/>
      </c>
      <c r="E107" s="31">
        <f>IFERROR(INDEX(MASTER!$F$2:$F$2000,MATCH($A107,MASTER!$A$2:$A$2000,0))&amp;"","")</f>
        <v/>
      </c>
      <c r="F107" s="31">
        <f>IFERROR(INDEX(MASTER!$G$2:$G$2000,MATCH($A107,MASTER!$A$2:$A$2000,0))&amp;"","NOT IN MASTER")</f>
        <v/>
      </c>
      <c r="G107" s="31">
        <f>IFERROR(INDEX(MASTER!$H$2:$H$2000,MATCH($A107,MASTER!$A$2:$A$2000,0))&amp;"","")</f>
        <v/>
      </c>
      <c r="H107" s="31">
        <f>IFERROR(INDEX(MASTER!$I$2:$I$2000,MATCH($A107,MASTER!$A$2:$A$2000,0))&amp;"","")</f>
        <v/>
      </c>
      <c r="I107" s="41">
        <f>IFERROR(IF(INDEX(MASTER!$O$2:$O$2000,MATCH($A107,MASTER!$A$2:$A$2000,0))="","",INDEX(MASTER!$O$2:$O$2000,MATCH($A107,MASTER!$A$2:$A$2000,0))),"")</f>
        <v/>
      </c>
      <c r="J107" s="31">
        <f>IFERROR(INDEX(MASTER!$P$2:$P$2000,MATCH($A107,MASTER!$A$2:$A$2000,0))&amp;"","")</f>
        <v/>
      </c>
      <c r="K107" s="31">
        <f>IFERROR(INDEX(MASTER!$Q$2:$Q$2000,MATCH($A107,MASTER!$A$2:$A$2000,0))&amp;"","")</f>
        <v/>
      </c>
      <c r="L107" s="31">
        <f>IFERROR(INDEX(MASTER!$R$2:$R$2000,MATCH($A107,MASTER!$A$2:$A$2000,0))&amp;"","")</f>
        <v/>
      </c>
    </row>
    <row r="108">
      <c r="A108" s="34" t="inlineStr">
        <is>
          <t>FONT-001</t>
        </is>
      </c>
      <c r="B108" s="31">
        <f>IFERROR(INDEX(MASTER!$C$2:$C$2000,MATCH($A108,MASTER!$A$2:$A$2000,0))&amp;"","")</f>
        <v/>
      </c>
      <c r="C108" s="35">
        <f>IFERROR(INDEX(MASTER!$B$2:$B$2000,MATCH($A108,MASTER!$A$2:$A$2000,0)),"")</f>
        <v/>
      </c>
      <c r="D108" s="31">
        <f>IFERROR(INDEX(MASTER!$D$2:$D$2000,MATCH($A108,MASTER!$A$2:$A$2000,0))&amp;"","")</f>
        <v/>
      </c>
      <c r="E108" s="31">
        <f>IFERROR(INDEX(MASTER!$F$2:$F$2000,MATCH($A108,MASTER!$A$2:$A$2000,0))&amp;"","")</f>
        <v/>
      </c>
      <c r="F108" s="31">
        <f>IFERROR(INDEX(MASTER!$G$2:$G$2000,MATCH($A108,MASTER!$A$2:$A$2000,0))&amp;"","NOT IN MASTER")</f>
        <v/>
      </c>
      <c r="G108" s="31">
        <f>IFERROR(INDEX(MASTER!$H$2:$H$2000,MATCH($A108,MASTER!$A$2:$A$2000,0))&amp;"","")</f>
        <v/>
      </c>
      <c r="H108" s="31">
        <f>IFERROR(INDEX(MASTER!$I$2:$I$2000,MATCH($A108,MASTER!$A$2:$A$2000,0))&amp;"","")</f>
        <v/>
      </c>
      <c r="I108" s="41">
        <f>IFERROR(IF(INDEX(MASTER!$O$2:$O$2000,MATCH($A108,MASTER!$A$2:$A$2000,0))="","",INDEX(MASTER!$O$2:$O$2000,MATCH($A108,MASTER!$A$2:$A$2000,0))),"")</f>
        <v/>
      </c>
      <c r="J108" s="31">
        <f>IFERROR(INDEX(MASTER!$P$2:$P$2000,MATCH($A108,MASTER!$A$2:$A$2000,0))&amp;"","")</f>
        <v/>
      </c>
      <c r="K108" s="31">
        <f>IFERROR(INDEX(MASTER!$Q$2:$Q$2000,MATCH($A108,MASTER!$A$2:$A$2000,0))&amp;"","")</f>
        <v/>
      </c>
      <c r="L108" s="31">
        <f>IFERROR(INDEX(MASTER!$R$2:$R$2000,MATCH($A108,MASTER!$A$2:$A$2000,0))&amp;"","")</f>
        <v/>
      </c>
    </row>
    <row r="109">
      <c r="A109" s="34" t="inlineStr">
        <is>
          <t>FONT-002</t>
        </is>
      </c>
      <c r="B109" s="31">
        <f>IFERROR(INDEX(MASTER!$C$2:$C$2000,MATCH($A109,MASTER!$A$2:$A$2000,0))&amp;"","")</f>
        <v/>
      </c>
      <c r="C109" s="35">
        <f>IFERROR(INDEX(MASTER!$B$2:$B$2000,MATCH($A109,MASTER!$A$2:$A$2000,0)),"")</f>
        <v/>
      </c>
      <c r="D109" s="31">
        <f>IFERROR(INDEX(MASTER!$D$2:$D$2000,MATCH($A109,MASTER!$A$2:$A$2000,0))&amp;"","")</f>
        <v/>
      </c>
      <c r="E109" s="31">
        <f>IFERROR(INDEX(MASTER!$F$2:$F$2000,MATCH($A109,MASTER!$A$2:$A$2000,0))&amp;"","")</f>
        <v/>
      </c>
      <c r="F109" s="31">
        <f>IFERROR(INDEX(MASTER!$G$2:$G$2000,MATCH($A109,MASTER!$A$2:$A$2000,0))&amp;"","NOT IN MASTER")</f>
        <v/>
      </c>
      <c r="G109" s="31">
        <f>IFERROR(INDEX(MASTER!$H$2:$H$2000,MATCH($A109,MASTER!$A$2:$A$2000,0))&amp;"","")</f>
        <v/>
      </c>
      <c r="H109" s="31">
        <f>IFERROR(INDEX(MASTER!$I$2:$I$2000,MATCH($A109,MASTER!$A$2:$A$2000,0))&amp;"","")</f>
        <v/>
      </c>
      <c r="I109" s="41">
        <f>IFERROR(IF(INDEX(MASTER!$O$2:$O$2000,MATCH($A109,MASTER!$A$2:$A$2000,0))="","",INDEX(MASTER!$O$2:$O$2000,MATCH($A109,MASTER!$A$2:$A$2000,0))),"")</f>
        <v/>
      </c>
      <c r="J109" s="31">
        <f>IFERROR(INDEX(MASTER!$P$2:$P$2000,MATCH($A109,MASTER!$A$2:$A$2000,0))&amp;"","")</f>
        <v/>
      </c>
      <c r="K109" s="31">
        <f>IFERROR(INDEX(MASTER!$Q$2:$Q$2000,MATCH($A109,MASTER!$A$2:$A$2000,0))&amp;"","")</f>
        <v/>
      </c>
      <c r="L109" s="31">
        <f>IFERROR(INDEX(MASTER!$R$2:$R$2000,MATCH($A109,MASTER!$A$2:$A$2000,0))&amp;"","")</f>
        <v/>
      </c>
    </row>
    <row r="110">
      <c r="A110" s="34" t="inlineStr">
        <is>
          <t>FONT-003</t>
        </is>
      </c>
      <c r="B110" s="31">
        <f>IFERROR(INDEX(MASTER!$C$2:$C$2000,MATCH($A110,MASTER!$A$2:$A$2000,0))&amp;"","")</f>
        <v/>
      </c>
      <c r="C110" s="35">
        <f>IFERROR(INDEX(MASTER!$B$2:$B$2000,MATCH($A110,MASTER!$A$2:$A$2000,0)),"")</f>
        <v/>
      </c>
      <c r="D110" s="31">
        <f>IFERROR(INDEX(MASTER!$D$2:$D$2000,MATCH($A110,MASTER!$A$2:$A$2000,0))&amp;"","")</f>
        <v/>
      </c>
      <c r="E110" s="31">
        <f>IFERROR(INDEX(MASTER!$F$2:$F$2000,MATCH($A110,MASTER!$A$2:$A$2000,0))&amp;"","")</f>
        <v/>
      </c>
      <c r="F110" s="31">
        <f>IFERROR(INDEX(MASTER!$G$2:$G$2000,MATCH($A110,MASTER!$A$2:$A$2000,0))&amp;"","NOT IN MASTER")</f>
        <v/>
      </c>
      <c r="G110" s="31">
        <f>IFERROR(INDEX(MASTER!$H$2:$H$2000,MATCH($A110,MASTER!$A$2:$A$2000,0))&amp;"","")</f>
        <v/>
      </c>
      <c r="H110" s="31">
        <f>IFERROR(INDEX(MASTER!$I$2:$I$2000,MATCH($A110,MASTER!$A$2:$A$2000,0))&amp;"","")</f>
        <v/>
      </c>
      <c r="I110" s="41">
        <f>IFERROR(IF(INDEX(MASTER!$O$2:$O$2000,MATCH($A110,MASTER!$A$2:$A$2000,0))="","",INDEX(MASTER!$O$2:$O$2000,MATCH($A110,MASTER!$A$2:$A$2000,0))),"")</f>
        <v/>
      </c>
      <c r="J110" s="31">
        <f>IFERROR(INDEX(MASTER!$P$2:$P$2000,MATCH($A110,MASTER!$A$2:$A$2000,0))&amp;"","")</f>
        <v/>
      </c>
      <c r="K110" s="31">
        <f>IFERROR(INDEX(MASTER!$Q$2:$Q$2000,MATCH($A110,MASTER!$A$2:$A$2000,0))&amp;"","")</f>
        <v/>
      </c>
      <c r="L110" s="31">
        <f>IFERROR(INDEX(MASTER!$R$2:$R$2000,MATCH($A110,MASTER!$A$2:$A$2000,0))&amp;"","")</f>
        <v/>
      </c>
    </row>
    <row r="111">
      <c r="A111" s="34" t="inlineStr">
        <is>
          <t>FONT-006</t>
        </is>
      </c>
      <c r="B111" s="31">
        <f>IFERROR(INDEX(MASTER!$C$2:$C$2000,MATCH($A111,MASTER!$A$2:$A$2000,0))&amp;"","")</f>
        <v/>
      </c>
      <c r="C111" s="35">
        <f>IFERROR(INDEX(MASTER!$B$2:$B$2000,MATCH($A111,MASTER!$A$2:$A$2000,0)),"")</f>
        <v/>
      </c>
      <c r="D111" s="31">
        <f>IFERROR(INDEX(MASTER!$D$2:$D$2000,MATCH($A111,MASTER!$A$2:$A$2000,0))&amp;"","")</f>
        <v/>
      </c>
      <c r="E111" s="31">
        <f>IFERROR(INDEX(MASTER!$F$2:$F$2000,MATCH($A111,MASTER!$A$2:$A$2000,0))&amp;"","")</f>
        <v/>
      </c>
      <c r="F111" s="31">
        <f>IFERROR(INDEX(MASTER!$G$2:$G$2000,MATCH($A111,MASTER!$A$2:$A$2000,0))&amp;"","NOT IN MASTER")</f>
        <v/>
      </c>
      <c r="G111" s="31">
        <f>IFERROR(INDEX(MASTER!$H$2:$H$2000,MATCH($A111,MASTER!$A$2:$A$2000,0))&amp;"","")</f>
        <v/>
      </c>
      <c r="H111" s="31">
        <f>IFERROR(INDEX(MASTER!$I$2:$I$2000,MATCH($A111,MASTER!$A$2:$A$2000,0))&amp;"","")</f>
        <v/>
      </c>
      <c r="I111" s="41">
        <f>IFERROR(IF(INDEX(MASTER!$O$2:$O$2000,MATCH($A111,MASTER!$A$2:$A$2000,0))="","",INDEX(MASTER!$O$2:$O$2000,MATCH($A111,MASTER!$A$2:$A$2000,0))),"")</f>
        <v/>
      </c>
      <c r="J111" s="31">
        <f>IFERROR(INDEX(MASTER!$P$2:$P$2000,MATCH($A111,MASTER!$A$2:$A$2000,0))&amp;"","")</f>
        <v/>
      </c>
      <c r="K111" s="31">
        <f>IFERROR(INDEX(MASTER!$Q$2:$Q$2000,MATCH($A111,MASTER!$A$2:$A$2000,0))&amp;"","")</f>
        <v/>
      </c>
      <c r="L111" s="31">
        <f>IFERROR(INDEX(MASTER!$R$2:$R$2000,MATCH($A111,MASTER!$A$2:$A$2000,0))&amp;"","")</f>
        <v/>
      </c>
    </row>
    <row r="112">
      <c r="A112" s="34" t="inlineStr">
        <is>
          <t>REV-002</t>
        </is>
      </c>
      <c r="B112" s="31">
        <f>IFERROR(INDEX(MASTER!$C$2:$C$2000,MATCH($A112,MASTER!$A$2:$A$2000,0))&amp;"","")</f>
        <v/>
      </c>
      <c r="C112" s="35">
        <f>IFERROR(INDEX(MASTER!$B$2:$B$2000,MATCH($A112,MASTER!$A$2:$A$2000,0)),"")</f>
        <v/>
      </c>
      <c r="D112" s="31">
        <f>IFERROR(INDEX(MASTER!$D$2:$D$2000,MATCH($A112,MASTER!$A$2:$A$2000,0))&amp;"","")</f>
        <v/>
      </c>
      <c r="E112" s="31">
        <f>IFERROR(INDEX(MASTER!$F$2:$F$2000,MATCH($A112,MASTER!$A$2:$A$2000,0))&amp;"","")</f>
        <v/>
      </c>
      <c r="F112" s="31">
        <f>IFERROR(INDEX(MASTER!$G$2:$G$2000,MATCH($A112,MASTER!$A$2:$A$2000,0))&amp;"","NOT IN MASTER")</f>
        <v/>
      </c>
      <c r="G112" s="31">
        <f>IFERROR(INDEX(MASTER!$H$2:$H$2000,MATCH($A112,MASTER!$A$2:$A$2000,0))&amp;"","")</f>
        <v/>
      </c>
      <c r="H112" s="31">
        <f>IFERROR(INDEX(MASTER!$I$2:$I$2000,MATCH($A112,MASTER!$A$2:$A$2000,0))&amp;"","")</f>
        <v/>
      </c>
      <c r="I112" s="41">
        <f>IFERROR(IF(INDEX(MASTER!$O$2:$O$2000,MATCH($A112,MASTER!$A$2:$A$2000,0))="","",INDEX(MASTER!$O$2:$O$2000,MATCH($A112,MASTER!$A$2:$A$2000,0))),"")</f>
        <v/>
      </c>
      <c r="J112" s="31">
        <f>IFERROR(INDEX(MASTER!$P$2:$P$2000,MATCH($A112,MASTER!$A$2:$A$2000,0))&amp;"","")</f>
        <v/>
      </c>
      <c r="K112" s="31">
        <f>IFERROR(INDEX(MASTER!$Q$2:$Q$2000,MATCH($A112,MASTER!$A$2:$A$2000,0))&amp;"","")</f>
        <v/>
      </c>
      <c r="L112" s="31">
        <f>IFERROR(INDEX(MASTER!$R$2:$R$2000,MATCH($A112,MASTER!$A$2:$A$2000,0))&amp;"","")</f>
        <v/>
      </c>
    </row>
    <row r="113">
      <c r="A113" s="34" t="inlineStr">
        <is>
          <t>REV-003</t>
        </is>
      </c>
      <c r="B113" s="31">
        <f>IFERROR(INDEX(MASTER!$C$2:$C$2000,MATCH($A113,MASTER!$A$2:$A$2000,0))&amp;"","")</f>
        <v/>
      </c>
      <c r="C113" s="35">
        <f>IFERROR(INDEX(MASTER!$B$2:$B$2000,MATCH($A113,MASTER!$A$2:$A$2000,0)),"")</f>
        <v/>
      </c>
      <c r="D113" s="31">
        <f>IFERROR(INDEX(MASTER!$D$2:$D$2000,MATCH($A113,MASTER!$A$2:$A$2000,0))&amp;"","")</f>
        <v/>
      </c>
      <c r="E113" s="31">
        <f>IFERROR(INDEX(MASTER!$F$2:$F$2000,MATCH($A113,MASTER!$A$2:$A$2000,0))&amp;"","")</f>
        <v/>
      </c>
      <c r="F113" s="31">
        <f>IFERROR(INDEX(MASTER!$G$2:$G$2000,MATCH($A113,MASTER!$A$2:$A$2000,0))&amp;"","NOT IN MASTER")</f>
        <v/>
      </c>
      <c r="G113" s="31">
        <f>IFERROR(INDEX(MASTER!$H$2:$H$2000,MATCH($A113,MASTER!$A$2:$A$2000,0))&amp;"","")</f>
        <v/>
      </c>
      <c r="H113" s="31">
        <f>IFERROR(INDEX(MASTER!$I$2:$I$2000,MATCH($A113,MASTER!$A$2:$A$2000,0))&amp;"","")</f>
        <v/>
      </c>
      <c r="I113" s="41">
        <f>IFERROR(IF(INDEX(MASTER!$O$2:$O$2000,MATCH($A113,MASTER!$A$2:$A$2000,0))="","",INDEX(MASTER!$O$2:$O$2000,MATCH($A113,MASTER!$A$2:$A$2000,0))),"")</f>
        <v/>
      </c>
      <c r="J113" s="31">
        <f>IFERROR(INDEX(MASTER!$P$2:$P$2000,MATCH($A113,MASTER!$A$2:$A$2000,0))&amp;"","")</f>
        <v/>
      </c>
      <c r="K113" s="31">
        <f>IFERROR(INDEX(MASTER!$Q$2:$Q$2000,MATCH($A113,MASTER!$A$2:$A$2000,0))&amp;"","")</f>
        <v/>
      </c>
      <c r="L113" s="31">
        <f>IFERROR(INDEX(MASTER!$R$2:$R$2000,MATCH($A113,MASTER!$A$2:$A$2000,0))&amp;"","")</f>
        <v/>
      </c>
    </row>
    <row r="114">
      <c r="A114" s="34" t="inlineStr">
        <is>
          <t>INFRA-011</t>
        </is>
      </c>
      <c r="B114" s="31">
        <f>IFERROR(INDEX(MASTER!$C$2:$C$2000,MATCH($A114,MASTER!$A$2:$A$2000,0))&amp;"","")</f>
        <v/>
      </c>
      <c r="C114" s="35">
        <f>IFERROR(INDEX(MASTER!$B$2:$B$2000,MATCH($A114,MASTER!$A$2:$A$2000,0)),"")</f>
        <v/>
      </c>
      <c r="D114" s="31">
        <f>IFERROR(INDEX(MASTER!$D$2:$D$2000,MATCH($A114,MASTER!$A$2:$A$2000,0))&amp;"","")</f>
        <v/>
      </c>
      <c r="E114" s="31">
        <f>IFERROR(INDEX(MASTER!$F$2:$F$2000,MATCH($A114,MASTER!$A$2:$A$2000,0))&amp;"","")</f>
        <v/>
      </c>
      <c r="F114" s="31">
        <f>IFERROR(INDEX(MASTER!$G$2:$G$2000,MATCH($A114,MASTER!$A$2:$A$2000,0))&amp;"","NOT IN MASTER")</f>
        <v/>
      </c>
      <c r="G114" s="31">
        <f>IFERROR(INDEX(MASTER!$H$2:$H$2000,MATCH($A114,MASTER!$A$2:$A$2000,0))&amp;"","")</f>
        <v/>
      </c>
      <c r="H114" s="31">
        <f>IFERROR(INDEX(MASTER!$I$2:$I$2000,MATCH($A114,MASTER!$A$2:$A$2000,0))&amp;"","")</f>
        <v/>
      </c>
      <c r="I114" s="41">
        <f>IFERROR(IF(INDEX(MASTER!$O$2:$O$2000,MATCH($A114,MASTER!$A$2:$A$2000,0))="","",INDEX(MASTER!$O$2:$O$2000,MATCH($A114,MASTER!$A$2:$A$2000,0))),"")</f>
        <v/>
      </c>
      <c r="J114" s="31">
        <f>IFERROR(INDEX(MASTER!$P$2:$P$2000,MATCH($A114,MASTER!$A$2:$A$2000,0))&amp;"","")</f>
        <v/>
      </c>
      <c r="K114" s="31">
        <f>IFERROR(INDEX(MASTER!$Q$2:$Q$2000,MATCH($A114,MASTER!$A$2:$A$2000,0))&amp;"","")</f>
        <v/>
      </c>
      <c r="L114" s="31">
        <f>IFERROR(INDEX(MASTER!$R$2:$R$2000,MATCH($A114,MASTER!$A$2:$A$2000,0))&amp;"","")</f>
        <v/>
      </c>
    </row>
    <row r="115">
      <c r="A115" s="34" t="inlineStr">
        <is>
          <t>TEST-040</t>
        </is>
      </c>
      <c r="B115" s="31">
        <f>IFERROR(INDEX(MASTER!$C$2:$C$2000,MATCH($A115,MASTER!$A$2:$A$2000,0))&amp;"","")</f>
        <v/>
      </c>
      <c r="C115" s="35">
        <f>IFERROR(INDEX(MASTER!$B$2:$B$2000,MATCH($A115,MASTER!$A$2:$A$2000,0)),"")</f>
        <v/>
      </c>
      <c r="D115" s="31">
        <f>IFERROR(INDEX(MASTER!$D$2:$D$2000,MATCH($A115,MASTER!$A$2:$A$2000,0))&amp;"","")</f>
        <v/>
      </c>
      <c r="E115" s="31">
        <f>IFERROR(INDEX(MASTER!$F$2:$F$2000,MATCH($A115,MASTER!$A$2:$A$2000,0))&amp;"","")</f>
        <v/>
      </c>
      <c r="F115" s="31">
        <f>IFERROR(INDEX(MASTER!$G$2:$G$2000,MATCH($A115,MASTER!$A$2:$A$2000,0))&amp;"","NOT IN MASTER")</f>
        <v/>
      </c>
      <c r="G115" s="31">
        <f>IFERROR(INDEX(MASTER!$H$2:$H$2000,MATCH($A115,MASTER!$A$2:$A$2000,0))&amp;"","")</f>
        <v/>
      </c>
      <c r="H115" s="31">
        <f>IFERROR(INDEX(MASTER!$I$2:$I$2000,MATCH($A115,MASTER!$A$2:$A$2000,0))&amp;"","")</f>
        <v/>
      </c>
      <c r="I115" s="41">
        <f>IFERROR(IF(INDEX(MASTER!$O$2:$O$2000,MATCH($A115,MASTER!$A$2:$A$2000,0))="","",INDEX(MASTER!$O$2:$O$2000,MATCH($A115,MASTER!$A$2:$A$2000,0))),"")</f>
        <v/>
      </c>
      <c r="J115" s="31">
        <f>IFERROR(INDEX(MASTER!$P$2:$P$2000,MATCH($A115,MASTER!$A$2:$A$2000,0))&amp;"","")</f>
        <v/>
      </c>
      <c r="K115" s="31">
        <f>IFERROR(INDEX(MASTER!$Q$2:$Q$2000,MATCH($A115,MASTER!$A$2:$A$2000,0))&amp;"","")</f>
        <v/>
      </c>
      <c r="L115" s="31">
        <f>IFERROR(INDEX(MASTER!$R$2:$R$2000,MATCH($A115,MASTER!$A$2:$A$2000,0))&amp;"","")</f>
        <v/>
      </c>
    </row>
    <row r="116">
      <c r="A116" s="34" t="inlineStr">
        <is>
          <t>DOCS-010</t>
        </is>
      </c>
      <c r="B116" s="31">
        <f>IFERROR(INDEX(MASTER!$C$2:$C$2000,MATCH($A116,MASTER!$A$2:$A$2000,0))&amp;"","")</f>
        <v/>
      </c>
      <c r="C116" s="35">
        <f>IFERROR(INDEX(MASTER!$B$2:$B$2000,MATCH($A116,MASTER!$A$2:$A$2000,0)),"")</f>
        <v/>
      </c>
      <c r="D116" s="31">
        <f>IFERROR(INDEX(MASTER!$D$2:$D$2000,MATCH($A116,MASTER!$A$2:$A$2000,0))&amp;"","")</f>
        <v/>
      </c>
      <c r="E116" s="31">
        <f>IFERROR(INDEX(MASTER!$F$2:$F$2000,MATCH($A116,MASTER!$A$2:$A$2000,0))&amp;"","")</f>
        <v/>
      </c>
      <c r="F116" s="31">
        <f>IFERROR(INDEX(MASTER!$G$2:$G$2000,MATCH($A116,MASTER!$A$2:$A$2000,0))&amp;"","NOT IN MASTER")</f>
        <v/>
      </c>
      <c r="G116" s="31">
        <f>IFERROR(INDEX(MASTER!$H$2:$H$2000,MATCH($A116,MASTER!$A$2:$A$2000,0))&amp;"","")</f>
        <v/>
      </c>
      <c r="H116" s="31">
        <f>IFERROR(INDEX(MASTER!$I$2:$I$2000,MATCH($A116,MASTER!$A$2:$A$2000,0))&amp;"","")</f>
        <v/>
      </c>
      <c r="I116" s="41">
        <f>IFERROR(IF(INDEX(MASTER!$O$2:$O$2000,MATCH($A116,MASTER!$A$2:$A$2000,0))="","",INDEX(MASTER!$O$2:$O$2000,MATCH($A116,MASTER!$A$2:$A$2000,0))),"")</f>
        <v/>
      </c>
      <c r="J116" s="31">
        <f>IFERROR(INDEX(MASTER!$P$2:$P$2000,MATCH($A116,MASTER!$A$2:$A$2000,0))&amp;"","")</f>
        <v/>
      </c>
      <c r="K116" s="31">
        <f>IFERROR(INDEX(MASTER!$Q$2:$Q$2000,MATCH($A116,MASTER!$A$2:$A$2000,0))&amp;"","")</f>
        <v/>
      </c>
      <c r="L116" s="31">
        <f>IFERROR(INDEX(MASTER!$R$2:$R$2000,MATCH($A116,MASTER!$A$2:$A$2000,0))&amp;"","")</f>
        <v/>
      </c>
    </row>
  </sheetData>
  <autoFilter ref="A31:L116"/>
  <conditionalFormatting sqref="B8:B27">
    <cfRule type="cellIs" priority="1" operator="equal" dxfId="347">
      <formula>"RESOLVED"</formula>
    </cfRule>
    <cfRule type="cellIs" priority="2" operator="equal" dxfId="342">
      <formula>"IN_PROGRESS"</formula>
    </cfRule>
    <cfRule type="cellIs" priority="3" operator="equal" dxfId="343">
      <formula>"BLOCKED"</formula>
    </cfRule>
    <cfRule type="cellIs" priority="4" operator="equal" dxfId="351">
      <formula>"OPEN"</formula>
    </cfRule>
  </conditionalFormatting>
  <conditionalFormatting sqref="C8:C27">
    <cfRule type="dataBar" priority="5">
      <dataBar>
        <cfvo type="num" val="0"/>
        <cfvo type="num" val="1"/>
        <color rgb="0063BE7B"/>
      </dataBar>
    </cfRule>
  </conditionalFormatting>
  <conditionalFormatting sqref="F32:F116">
    <cfRule type="cellIs" priority="6" operator="equal" dxfId="347">
      <formula>"DONE"</formula>
    </cfRule>
    <cfRule type="cellIs" priority="7" operator="equal" dxfId="346">
      <formula>"VERIFIED"</formula>
    </cfRule>
    <cfRule type="cellIs" priority="8" operator="equal" dxfId="342">
      <formula>"IN_PROGRESS"</formula>
    </cfRule>
    <cfRule type="cellIs" priority="9" operator="equal" dxfId="344">
      <formula>"IMPLEMENTED"</formula>
    </cfRule>
    <cfRule type="cellIs" priority="10" operator="equal" dxfId="345">
      <formula>"TESTING"</formula>
    </cfRule>
    <cfRule type="cellIs" priority="11" operator="equal" dxfId="343">
      <formula>"BLOCKED"</formula>
    </cfRule>
    <cfRule type="cellIs" priority="12" operator="equal" dxfId="341">
      <formula>"FAILED"</formula>
    </cfRule>
    <cfRule type="cellIs" priority="13" operator="equal" dxfId="348">
      <formula>"DEFERRED"</formula>
    </cfRule>
    <cfRule type="cellIs" priority="14" operator="equal" dxfId="349">
      <formula>"UNKNOWN"</formula>
    </cfRule>
    <cfRule type="cellIs" priority="15" operator="equal" dxfId="347">
      <formula>"PASS"</formula>
    </cfRule>
    <cfRule type="cellIs" priority="16" operator="equal" dxfId="341">
      <formula>"FAIL"</formula>
    </cfRule>
    <cfRule type="cellIs" priority="17" operator="equal" dxfId="342">
      <formula>"PARTIAL"</formula>
    </cfRule>
    <cfRule type="cellIs" priority="18" operator="equal" dxfId="347">
      <formula>"RESOLVED"</formula>
    </cfRule>
    <cfRule type="cellIs" priority="19" operator="equal" dxfId="351">
      <formula>"OPEN"</formula>
    </cfRule>
    <cfRule type="cellIs" priority="20" operator="equal" dxfId="347">
      <formula>"WITHIN"</formula>
    </cfRule>
    <cfRule type="cellIs" priority="21" operator="equal" dxfId="341">
      <formula>"OVER"</formula>
    </cfRule>
    <cfRule type="cellIs" priority="22" operator="equal" dxfId="352">
      <formula>"NOW"</formula>
    </cfRule>
    <cfRule type="cellIs" priority="23" operator="equal" dxfId="353">
      <formula>"NOT IN MASTER"</formula>
    </cfRule>
  </conditionalFormatting>
  <conditionalFormatting sqref="E32:E116">
    <cfRule type="cellIs" priority="24" operator="equal" dxfId="341">
      <formula>"P0"</formula>
    </cfRule>
    <cfRule type="cellIs" priority="25" operator="equal" dxfId="350">
      <formula>"P1"</formula>
    </cfRule>
  </conditionalFormatting>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L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DOCUMENT_FIDELITY — Content preservation</t>
        </is>
      </c>
    </row>
    <row r="2">
      <c r="A2" s="23" t="inlineStr">
        <is>
          <t>Canonical model, fidelity reports, capability matrix, change/review model. Categories: CORE, FIDELITY, REVIEW.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COUNTIF(MASTER!$C$2:$C$2000,"CORE")+COUNTIF(MASTER!$C$2:$C$2000,"FIDELITY")+COUNTIF(MASTER!$C$2:$C$2000,"REVIEW")</f>
        <v/>
      </c>
      <c r="B4" s="26">
        <f>COUNTIFS(MASTER!$C$2:$C$2000,"CORE",MASTER!$G$2:$G$2000,"DONE")+COUNTIFS(MASTER!$C$2:$C$2000,"FIDELITY",MASTER!$G$2:$G$2000,"DONE")+COUNTIFS(MASTER!$C$2:$C$2000,"REVIEW",MASTER!$G$2:$G$2000,"DONE")</f>
        <v/>
      </c>
      <c r="C4" s="26">
        <f>COUNTIFS(MASTER!$C$2:$C$2000,"CORE",MASTER!$G$2:$G$2000,"VERIFIED")+COUNTIFS(MASTER!$C$2:$C$2000,"FIDELITY",MASTER!$G$2:$G$2000,"VERIFIED")+COUNTIFS(MASTER!$C$2:$C$2000,"REVIEW",MASTER!$G$2:$G$2000,"VERIFIED")+B4</f>
        <v/>
      </c>
      <c r="D4" s="26">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
      </c>
      <c r="E4" s="26">
        <f>COUNTIFS(MASTER!$C$2:$C$2000,"CORE",MASTER!$G$2:$G$2000,"BLOCKED")+COUNTIFS(MASTER!$C$2:$C$2000,"FIDELITY",MASTER!$G$2:$G$2000,"BLOCKED")+COUNTIFS(MASTER!$C$2:$C$2000,"REVIEW",MASTER!$G$2:$G$2000,"BLOCKED")</f>
        <v/>
      </c>
      <c r="F4" s="26">
        <f>COUNTIFS(MASTER!$C$2:$C$2000,"CORE",MASTER!$G$2:$G$2000,"FAILED")+COUNTIFS(MASTER!$C$2:$C$2000,"FIDELITY",MASTER!$G$2:$G$2000,"FAILED")+COUNTIFS(MASTER!$C$2:$C$2000,"REVIEW",MASTER!$G$2:$G$2000,"FAILED")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CORE-001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CORE-002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CORE-003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FID-001</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FID-002</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FID-003</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FID-004</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FID-005</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CORE-004</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FID-006</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REV-001</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CORE-005</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FID-007</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REV-002</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REV-003</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row r="23">
      <c r="A23" s="34" t="inlineStr">
        <is>
          <t>REV-004</t>
        </is>
      </c>
      <c r="B23" s="31">
        <f>IFERROR(INDEX(MASTER!$C$2:$C$2000,MATCH($A23,MASTER!$A$2:$A$2000,0))&amp;"","")</f>
        <v/>
      </c>
      <c r="C23" s="35">
        <f>IFERROR(INDEX(MASTER!$B$2:$B$2000,MATCH($A23,MASTER!$A$2:$A$2000,0)),"")</f>
        <v/>
      </c>
      <c r="D23" s="31">
        <f>IFERROR(INDEX(MASTER!$D$2:$D$2000,MATCH($A23,MASTER!$A$2:$A$2000,0))&amp;"","")</f>
        <v/>
      </c>
      <c r="E23" s="31">
        <f>IFERROR(INDEX(MASTER!$F$2:$F$2000,MATCH($A23,MASTER!$A$2:$A$2000,0))&amp;"","")</f>
        <v/>
      </c>
      <c r="F23" s="31">
        <f>IFERROR(INDEX(MASTER!$G$2:$G$2000,MATCH($A23,MASTER!$A$2:$A$2000,0))&amp;"","NOT IN MASTER")</f>
        <v/>
      </c>
      <c r="G23" s="31">
        <f>IFERROR(INDEX(MASTER!$H$2:$H$2000,MATCH($A23,MASTER!$A$2:$A$2000,0))&amp;"","")</f>
        <v/>
      </c>
      <c r="H23" s="31">
        <f>IFERROR(INDEX(MASTER!$I$2:$I$2000,MATCH($A23,MASTER!$A$2:$A$2000,0))&amp;"","")</f>
        <v/>
      </c>
      <c r="I23" s="41">
        <f>IFERROR(IF(INDEX(MASTER!$O$2:$O$2000,MATCH($A23,MASTER!$A$2:$A$2000,0))="","",INDEX(MASTER!$O$2:$O$2000,MATCH($A23,MASTER!$A$2:$A$2000,0))),"")</f>
        <v/>
      </c>
      <c r="J23" s="31">
        <f>IFERROR(INDEX(MASTER!$P$2:$P$2000,MATCH($A23,MASTER!$A$2:$A$2000,0))&amp;"","")</f>
        <v/>
      </c>
      <c r="K23" s="31">
        <f>IFERROR(INDEX(MASTER!$Q$2:$Q$2000,MATCH($A23,MASTER!$A$2:$A$2000,0))&amp;"","")</f>
        <v/>
      </c>
      <c r="L23" s="31">
        <f>IFERROR(INDEX(MASTER!$R$2:$R$2000,MATCH($A23,MASTER!$A$2:$A$2000,0))&amp;"","")</f>
        <v/>
      </c>
    </row>
    <row r="24">
      <c r="A24" s="34" t="inlineStr">
        <is>
          <t>REV-005</t>
        </is>
      </c>
      <c r="B24" s="31">
        <f>IFERROR(INDEX(MASTER!$C$2:$C$2000,MATCH($A24,MASTER!$A$2:$A$2000,0))&amp;"","")</f>
        <v/>
      </c>
      <c r="C24" s="35">
        <f>IFERROR(INDEX(MASTER!$B$2:$B$2000,MATCH($A24,MASTER!$A$2:$A$2000,0)),"")</f>
        <v/>
      </c>
      <c r="D24" s="31">
        <f>IFERROR(INDEX(MASTER!$D$2:$D$2000,MATCH($A24,MASTER!$A$2:$A$2000,0))&amp;"","")</f>
        <v/>
      </c>
      <c r="E24" s="31">
        <f>IFERROR(INDEX(MASTER!$F$2:$F$2000,MATCH($A24,MASTER!$A$2:$A$2000,0))&amp;"","")</f>
        <v/>
      </c>
      <c r="F24" s="31">
        <f>IFERROR(INDEX(MASTER!$G$2:$G$2000,MATCH($A24,MASTER!$A$2:$A$2000,0))&amp;"","NOT IN MASTER")</f>
        <v/>
      </c>
      <c r="G24" s="31">
        <f>IFERROR(INDEX(MASTER!$H$2:$H$2000,MATCH($A24,MASTER!$A$2:$A$2000,0))&amp;"","")</f>
        <v/>
      </c>
      <c r="H24" s="31">
        <f>IFERROR(INDEX(MASTER!$I$2:$I$2000,MATCH($A24,MASTER!$A$2:$A$2000,0))&amp;"","")</f>
        <v/>
      </c>
      <c r="I24" s="41">
        <f>IFERROR(IF(INDEX(MASTER!$O$2:$O$2000,MATCH($A24,MASTER!$A$2:$A$2000,0))="","",INDEX(MASTER!$O$2:$O$2000,MATCH($A24,MASTER!$A$2:$A$2000,0))),"")</f>
        <v/>
      </c>
      <c r="J24" s="31">
        <f>IFERROR(INDEX(MASTER!$P$2:$P$2000,MATCH($A24,MASTER!$A$2:$A$2000,0))&amp;"","")</f>
        <v/>
      </c>
      <c r="K24" s="31">
        <f>IFERROR(INDEX(MASTER!$Q$2:$Q$2000,MATCH($A24,MASTER!$A$2:$A$2000,0))&amp;"","")</f>
        <v/>
      </c>
      <c r="L24" s="31">
        <f>IFERROR(INDEX(MASTER!$R$2:$R$2000,MATCH($A24,MASTER!$A$2:$A$2000,0))&amp;"","")</f>
        <v/>
      </c>
    </row>
  </sheetData>
  <autoFilter ref="A7:L24"/>
  <conditionalFormatting sqref="F8:F24">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4">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L40"/>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DOCX_OOXML — DOCX / OOXML preservation</t>
        </is>
      </c>
    </row>
    <row r="2">
      <c r="A2" s="23" t="inlineStr">
        <is>
          <t>Import and export fidelity for Word documents. Categories: DOCX.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COUNTIF(MASTER!$C$2:$C$2000,"DOCX")</f>
        <v/>
      </c>
      <c r="B4" s="26">
        <f>COUNTIFS(MASTER!$C$2:$C$2000,"DOCX",MASTER!$G$2:$G$2000,"DONE")</f>
        <v/>
      </c>
      <c r="C4" s="26">
        <f>COUNTIFS(MASTER!$C$2:$C$2000,"DOCX",MASTER!$G$2:$G$2000,"VERIFIED")+B4</f>
        <v/>
      </c>
      <c r="D4" s="26">
        <f>COUNTIFS(MASTER!$C$2:$C$2000,"DOCX",MASTER!$G$2:$G$2000,"IN_PROGRESS")+COUNTIFS(MASTER!$C$2:$C$2000,"DOCX",MASTER!$G$2:$G$2000,"IMPLEMENTED")+COUNTIFS(MASTER!$C$2:$C$2000,"DOCX",MASTER!$G$2:$G$2000,"TESTING")</f>
        <v/>
      </c>
      <c r="E4" s="26">
        <f>COUNTIFS(MASTER!$C$2:$C$2000,"DOCX",MASTER!$G$2:$G$2000,"BLOCKED")</f>
        <v/>
      </c>
      <c r="F4" s="26">
        <f>COUNTIFS(MASTER!$C$2:$C$2000,"DOCX",MASTER!$G$2:$G$2000,"FAILED")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DOCX-001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DOCX-010</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DOCX-011</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DOCX-012</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DOCX-013</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DOCX-014</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DOCX-015</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DOCX-015A</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DOCX-016</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DOCX-016A</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DOCX-016B</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DOCX-017</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DOCX-017A</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DOCX-017B</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DOCX-018</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row r="23">
      <c r="A23" s="34" t="inlineStr">
        <is>
          <t>DOCX-018A</t>
        </is>
      </c>
      <c r="B23" s="31">
        <f>IFERROR(INDEX(MASTER!$C$2:$C$2000,MATCH($A23,MASTER!$A$2:$A$2000,0))&amp;"","")</f>
        <v/>
      </c>
      <c r="C23" s="35">
        <f>IFERROR(INDEX(MASTER!$B$2:$B$2000,MATCH($A23,MASTER!$A$2:$A$2000,0)),"")</f>
        <v/>
      </c>
      <c r="D23" s="31">
        <f>IFERROR(INDEX(MASTER!$D$2:$D$2000,MATCH($A23,MASTER!$A$2:$A$2000,0))&amp;"","")</f>
        <v/>
      </c>
      <c r="E23" s="31">
        <f>IFERROR(INDEX(MASTER!$F$2:$F$2000,MATCH($A23,MASTER!$A$2:$A$2000,0))&amp;"","")</f>
        <v/>
      </c>
      <c r="F23" s="31">
        <f>IFERROR(INDEX(MASTER!$G$2:$G$2000,MATCH($A23,MASTER!$A$2:$A$2000,0))&amp;"","NOT IN MASTER")</f>
        <v/>
      </c>
      <c r="G23" s="31">
        <f>IFERROR(INDEX(MASTER!$H$2:$H$2000,MATCH($A23,MASTER!$A$2:$A$2000,0))&amp;"","")</f>
        <v/>
      </c>
      <c r="H23" s="31">
        <f>IFERROR(INDEX(MASTER!$I$2:$I$2000,MATCH($A23,MASTER!$A$2:$A$2000,0))&amp;"","")</f>
        <v/>
      </c>
      <c r="I23" s="41">
        <f>IFERROR(IF(INDEX(MASTER!$O$2:$O$2000,MATCH($A23,MASTER!$A$2:$A$2000,0))="","",INDEX(MASTER!$O$2:$O$2000,MATCH($A23,MASTER!$A$2:$A$2000,0))),"")</f>
        <v/>
      </c>
      <c r="J23" s="31">
        <f>IFERROR(INDEX(MASTER!$P$2:$P$2000,MATCH($A23,MASTER!$A$2:$A$2000,0))&amp;"","")</f>
        <v/>
      </c>
      <c r="K23" s="31">
        <f>IFERROR(INDEX(MASTER!$Q$2:$Q$2000,MATCH($A23,MASTER!$A$2:$A$2000,0))&amp;"","")</f>
        <v/>
      </c>
      <c r="L23" s="31">
        <f>IFERROR(INDEX(MASTER!$R$2:$R$2000,MATCH($A23,MASTER!$A$2:$A$2000,0))&amp;"","")</f>
        <v/>
      </c>
    </row>
    <row r="24">
      <c r="A24" s="34" t="inlineStr">
        <is>
          <t>DOCX-018B</t>
        </is>
      </c>
      <c r="B24" s="31">
        <f>IFERROR(INDEX(MASTER!$C$2:$C$2000,MATCH($A24,MASTER!$A$2:$A$2000,0))&amp;"","")</f>
        <v/>
      </c>
      <c r="C24" s="35">
        <f>IFERROR(INDEX(MASTER!$B$2:$B$2000,MATCH($A24,MASTER!$A$2:$A$2000,0)),"")</f>
        <v/>
      </c>
      <c r="D24" s="31">
        <f>IFERROR(INDEX(MASTER!$D$2:$D$2000,MATCH($A24,MASTER!$A$2:$A$2000,0))&amp;"","")</f>
        <v/>
      </c>
      <c r="E24" s="31">
        <f>IFERROR(INDEX(MASTER!$F$2:$F$2000,MATCH($A24,MASTER!$A$2:$A$2000,0))&amp;"","")</f>
        <v/>
      </c>
      <c r="F24" s="31">
        <f>IFERROR(INDEX(MASTER!$G$2:$G$2000,MATCH($A24,MASTER!$A$2:$A$2000,0))&amp;"","NOT IN MASTER")</f>
        <v/>
      </c>
      <c r="G24" s="31">
        <f>IFERROR(INDEX(MASTER!$H$2:$H$2000,MATCH($A24,MASTER!$A$2:$A$2000,0))&amp;"","")</f>
        <v/>
      </c>
      <c r="H24" s="31">
        <f>IFERROR(INDEX(MASTER!$I$2:$I$2000,MATCH($A24,MASTER!$A$2:$A$2000,0))&amp;"","")</f>
        <v/>
      </c>
      <c r="I24" s="41">
        <f>IFERROR(IF(INDEX(MASTER!$O$2:$O$2000,MATCH($A24,MASTER!$A$2:$A$2000,0))="","",INDEX(MASTER!$O$2:$O$2000,MATCH($A24,MASTER!$A$2:$A$2000,0))),"")</f>
        <v/>
      </c>
      <c r="J24" s="31">
        <f>IFERROR(INDEX(MASTER!$P$2:$P$2000,MATCH($A24,MASTER!$A$2:$A$2000,0))&amp;"","")</f>
        <v/>
      </c>
      <c r="K24" s="31">
        <f>IFERROR(INDEX(MASTER!$Q$2:$Q$2000,MATCH($A24,MASTER!$A$2:$A$2000,0))&amp;"","")</f>
        <v/>
      </c>
      <c r="L24" s="31">
        <f>IFERROR(INDEX(MASTER!$R$2:$R$2000,MATCH($A24,MASTER!$A$2:$A$2000,0))&amp;"","")</f>
        <v/>
      </c>
    </row>
    <row r="25">
      <c r="A25" s="34" t="inlineStr">
        <is>
          <t>DOCX-019</t>
        </is>
      </c>
      <c r="B25" s="31">
        <f>IFERROR(INDEX(MASTER!$C$2:$C$2000,MATCH($A25,MASTER!$A$2:$A$2000,0))&amp;"","")</f>
        <v/>
      </c>
      <c r="C25" s="35">
        <f>IFERROR(INDEX(MASTER!$B$2:$B$2000,MATCH($A25,MASTER!$A$2:$A$2000,0)),"")</f>
        <v/>
      </c>
      <c r="D25" s="31">
        <f>IFERROR(INDEX(MASTER!$D$2:$D$2000,MATCH($A25,MASTER!$A$2:$A$2000,0))&amp;"","")</f>
        <v/>
      </c>
      <c r="E25" s="31">
        <f>IFERROR(INDEX(MASTER!$F$2:$F$2000,MATCH($A25,MASTER!$A$2:$A$2000,0))&amp;"","")</f>
        <v/>
      </c>
      <c r="F25" s="31">
        <f>IFERROR(INDEX(MASTER!$G$2:$G$2000,MATCH($A25,MASTER!$A$2:$A$2000,0))&amp;"","NOT IN MASTER")</f>
        <v/>
      </c>
      <c r="G25" s="31">
        <f>IFERROR(INDEX(MASTER!$H$2:$H$2000,MATCH($A25,MASTER!$A$2:$A$2000,0))&amp;"","")</f>
        <v/>
      </c>
      <c r="H25" s="31">
        <f>IFERROR(INDEX(MASTER!$I$2:$I$2000,MATCH($A25,MASTER!$A$2:$A$2000,0))&amp;"","")</f>
        <v/>
      </c>
      <c r="I25" s="41">
        <f>IFERROR(IF(INDEX(MASTER!$O$2:$O$2000,MATCH($A25,MASTER!$A$2:$A$2000,0))="","",INDEX(MASTER!$O$2:$O$2000,MATCH($A25,MASTER!$A$2:$A$2000,0))),"")</f>
        <v/>
      </c>
      <c r="J25" s="31">
        <f>IFERROR(INDEX(MASTER!$P$2:$P$2000,MATCH($A25,MASTER!$A$2:$A$2000,0))&amp;"","")</f>
        <v/>
      </c>
      <c r="K25" s="31">
        <f>IFERROR(INDEX(MASTER!$Q$2:$Q$2000,MATCH($A25,MASTER!$A$2:$A$2000,0))&amp;"","")</f>
        <v/>
      </c>
      <c r="L25" s="31">
        <f>IFERROR(INDEX(MASTER!$R$2:$R$2000,MATCH($A25,MASTER!$A$2:$A$2000,0))&amp;"","")</f>
        <v/>
      </c>
    </row>
    <row r="26">
      <c r="A26" s="34" t="inlineStr">
        <is>
          <t>DOCX-019A</t>
        </is>
      </c>
      <c r="B26" s="31">
        <f>IFERROR(INDEX(MASTER!$C$2:$C$2000,MATCH($A26,MASTER!$A$2:$A$2000,0))&amp;"","")</f>
        <v/>
      </c>
      <c r="C26" s="35">
        <f>IFERROR(INDEX(MASTER!$B$2:$B$2000,MATCH($A26,MASTER!$A$2:$A$2000,0)),"")</f>
        <v/>
      </c>
      <c r="D26" s="31">
        <f>IFERROR(INDEX(MASTER!$D$2:$D$2000,MATCH($A26,MASTER!$A$2:$A$2000,0))&amp;"","")</f>
        <v/>
      </c>
      <c r="E26" s="31">
        <f>IFERROR(INDEX(MASTER!$F$2:$F$2000,MATCH($A26,MASTER!$A$2:$A$2000,0))&amp;"","")</f>
        <v/>
      </c>
      <c r="F26" s="31">
        <f>IFERROR(INDEX(MASTER!$G$2:$G$2000,MATCH($A26,MASTER!$A$2:$A$2000,0))&amp;"","NOT IN MASTER")</f>
        <v/>
      </c>
      <c r="G26" s="31">
        <f>IFERROR(INDEX(MASTER!$H$2:$H$2000,MATCH($A26,MASTER!$A$2:$A$2000,0))&amp;"","")</f>
        <v/>
      </c>
      <c r="H26" s="31">
        <f>IFERROR(INDEX(MASTER!$I$2:$I$2000,MATCH($A26,MASTER!$A$2:$A$2000,0))&amp;"","")</f>
        <v/>
      </c>
      <c r="I26" s="41">
        <f>IFERROR(IF(INDEX(MASTER!$O$2:$O$2000,MATCH($A26,MASTER!$A$2:$A$2000,0))="","",INDEX(MASTER!$O$2:$O$2000,MATCH($A26,MASTER!$A$2:$A$2000,0))),"")</f>
        <v/>
      </c>
      <c r="J26" s="31">
        <f>IFERROR(INDEX(MASTER!$P$2:$P$2000,MATCH($A26,MASTER!$A$2:$A$2000,0))&amp;"","")</f>
        <v/>
      </c>
      <c r="K26" s="31">
        <f>IFERROR(INDEX(MASTER!$Q$2:$Q$2000,MATCH($A26,MASTER!$A$2:$A$2000,0))&amp;"","")</f>
        <v/>
      </c>
      <c r="L26" s="31">
        <f>IFERROR(INDEX(MASTER!$R$2:$R$2000,MATCH($A26,MASTER!$A$2:$A$2000,0))&amp;"","")</f>
        <v/>
      </c>
    </row>
    <row r="27">
      <c r="A27" s="34" t="inlineStr">
        <is>
          <t>DOCX-020</t>
        </is>
      </c>
      <c r="B27" s="31">
        <f>IFERROR(INDEX(MASTER!$C$2:$C$2000,MATCH($A27,MASTER!$A$2:$A$2000,0))&amp;"","")</f>
        <v/>
      </c>
      <c r="C27" s="35">
        <f>IFERROR(INDEX(MASTER!$B$2:$B$2000,MATCH($A27,MASTER!$A$2:$A$2000,0)),"")</f>
        <v/>
      </c>
      <c r="D27" s="31">
        <f>IFERROR(INDEX(MASTER!$D$2:$D$2000,MATCH($A27,MASTER!$A$2:$A$2000,0))&amp;"","")</f>
        <v/>
      </c>
      <c r="E27" s="31">
        <f>IFERROR(INDEX(MASTER!$F$2:$F$2000,MATCH($A27,MASTER!$A$2:$A$2000,0))&amp;"","")</f>
        <v/>
      </c>
      <c r="F27" s="31">
        <f>IFERROR(INDEX(MASTER!$G$2:$G$2000,MATCH($A27,MASTER!$A$2:$A$2000,0))&amp;"","NOT IN MASTER")</f>
        <v/>
      </c>
      <c r="G27" s="31">
        <f>IFERROR(INDEX(MASTER!$H$2:$H$2000,MATCH($A27,MASTER!$A$2:$A$2000,0))&amp;"","")</f>
        <v/>
      </c>
      <c r="H27" s="31">
        <f>IFERROR(INDEX(MASTER!$I$2:$I$2000,MATCH($A27,MASTER!$A$2:$A$2000,0))&amp;"","")</f>
        <v/>
      </c>
      <c r="I27" s="41">
        <f>IFERROR(IF(INDEX(MASTER!$O$2:$O$2000,MATCH($A27,MASTER!$A$2:$A$2000,0))="","",INDEX(MASTER!$O$2:$O$2000,MATCH($A27,MASTER!$A$2:$A$2000,0))),"")</f>
        <v/>
      </c>
      <c r="J27" s="31">
        <f>IFERROR(INDEX(MASTER!$P$2:$P$2000,MATCH($A27,MASTER!$A$2:$A$2000,0))&amp;"","")</f>
        <v/>
      </c>
      <c r="K27" s="31">
        <f>IFERROR(INDEX(MASTER!$Q$2:$Q$2000,MATCH($A27,MASTER!$A$2:$A$2000,0))&amp;"","")</f>
        <v/>
      </c>
      <c r="L27" s="31">
        <f>IFERROR(INDEX(MASTER!$R$2:$R$2000,MATCH($A27,MASTER!$A$2:$A$2000,0))&amp;"","")</f>
        <v/>
      </c>
    </row>
    <row r="28">
      <c r="A28" s="34" t="inlineStr">
        <is>
          <t>DOCX-020A</t>
        </is>
      </c>
      <c r="B28" s="31">
        <f>IFERROR(INDEX(MASTER!$C$2:$C$2000,MATCH($A28,MASTER!$A$2:$A$2000,0))&amp;"","")</f>
        <v/>
      </c>
      <c r="C28" s="35">
        <f>IFERROR(INDEX(MASTER!$B$2:$B$2000,MATCH($A28,MASTER!$A$2:$A$2000,0)),"")</f>
        <v/>
      </c>
      <c r="D28" s="31">
        <f>IFERROR(INDEX(MASTER!$D$2:$D$2000,MATCH($A28,MASTER!$A$2:$A$2000,0))&amp;"","")</f>
        <v/>
      </c>
      <c r="E28" s="31">
        <f>IFERROR(INDEX(MASTER!$F$2:$F$2000,MATCH($A28,MASTER!$A$2:$A$2000,0))&amp;"","")</f>
        <v/>
      </c>
      <c r="F28" s="31">
        <f>IFERROR(INDEX(MASTER!$G$2:$G$2000,MATCH($A28,MASTER!$A$2:$A$2000,0))&amp;"","NOT IN MASTER")</f>
        <v/>
      </c>
      <c r="G28" s="31">
        <f>IFERROR(INDEX(MASTER!$H$2:$H$2000,MATCH($A28,MASTER!$A$2:$A$2000,0))&amp;"","")</f>
        <v/>
      </c>
      <c r="H28" s="31">
        <f>IFERROR(INDEX(MASTER!$I$2:$I$2000,MATCH($A28,MASTER!$A$2:$A$2000,0))&amp;"","")</f>
        <v/>
      </c>
      <c r="I28" s="41">
        <f>IFERROR(IF(INDEX(MASTER!$O$2:$O$2000,MATCH($A28,MASTER!$A$2:$A$2000,0))="","",INDEX(MASTER!$O$2:$O$2000,MATCH($A28,MASTER!$A$2:$A$2000,0))),"")</f>
        <v/>
      </c>
      <c r="J28" s="31">
        <f>IFERROR(INDEX(MASTER!$P$2:$P$2000,MATCH($A28,MASTER!$A$2:$A$2000,0))&amp;"","")</f>
        <v/>
      </c>
      <c r="K28" s="31">
        <f>IFERROR(INDEX(MASTER!$Q$2:$Q$2000,MATCH($A28,MASTER!$A$2:$A$2000,0))&amp;"","")</f>
        <v/>
      </c>
      <c r="L28" s="31">
        <f>IFERROR(INDEX(MASTER!$R$2:$R$2000,MATCH($A28,MASTER!$A$2:$A$2000,0))&amp;"","")</f>
        <v/>
      </c>
    </row>
    <row r="29">
      <c r="A29" s="34" t="inlineStr">
        <is>
          <t>DOCX-021</t>
        </is>
      </c>
      <c r="B29" s="31">
        <f>IFERROR(INDEX(MASTER!$C$2:$C$2000,MATCH($A29,MASTER!$A$2:$A$2000,0))&amp;"","")</f>
        <v/>
      </c>
      <c r="C29" s="35">
        <f>IFERROR(INDEX(MASTER!$B$2:$B$2000,MATCH($A29,MASTER!$A$2:$A$2000,0)),"")</f>
        <v/>
      </c>
      <c r="D29" s="31">
        <f>IFERROR(INDEX(MASTER!$D$2:$D$2000,MATCH($A29,MASTER!$A$2:$A$2000,0))&amp;"","")</f>
        <v/>
      </c>
      <c r="E29" s="31">
        <f>IFERROR(INDEX(MASTER!$F$2:$F$2000,MATCH($A29,MASTER!$A$2:$A$2000,0))&amp;"","")</f>
        <v/>
      </c>
      <c r="F29" s="31">
        <f>IFERROR(INDEX(MASTER!$G$2:$G$2000,MATCH($A29,MASTER!$A$2:$A$2000,0))&amp;"","NOT IN MASTER")</f>
        <v/>
      </c>
      <c r="G29" s="31">
        <f>IFERROR(INDEX(MASTER!$H$2:$H$2000,MATCH($A29,MASTER!$A$2:$A$2000,0))&amp;"","")</f>
        <v/>
      </c>
      <c r="H29" s="31">
        <f>IFERROR(INDEX(MASTER!$I$2:$I$2000,MATCH($A29,MASTER!$A$2:$A$2000,0))&amp;"","")</f>
        <v/>
      </c>
      <c r="I29" s="41">
        <f>IFERROR(IF(INDEX(MASTER!$O$2:$O$2000,MATCH($A29,MASTER!$A$2:$A$2000,0))="","",INDEX(MASTER!$O$2:$O$2000,MATCH($A29,MASTER!$A$2:$A$2000,0))),"")</f>
        <v/>
      </c>
      <c r="J29" s="31">
        <f>IFERROR(INDEX(MASTER!$P$2:$P$2000,MATCH($A29,MASTER!$A$2:$A$2000,0))&amp;"","")</f>
        <v/>
      </c>
      <c r="K29" s="31">
        <f>IFERROR(INDEX(MASTER!$Q$2:$Q$2000,MATCH($A29,MASTER!$A$2:$A$2000,0))&amp;"","")</f>
        <v/>
      </c>
      <c r="L29" s="31">
        <f>IFERROR(INDEX(MASTER!$R$2:$R$2000,MATCH($A29,MASTER!$A$2:$A$2000,0))&amp;"","")</f>
        <v/>
      </c>
    </row>
    <row r="30">
      <c r="A30" s="34" t="inlineStr">
        <is>
          <t>DOCX-022</t>
        </is>
      </c>
      <c r="B30" s="31">
        <f>IFERROR(INDEX(MASTER!$C$2:$C$2000,MATCH($A30,MASTER!$A$2:$A$2000,0))&amp;"","")</f>
        <v/>
      </c>
      <c r="C30" s="35">
        <f>IFERROR(INDEX(MASTER!$B$2:$B$2000,MATCH($A30,MASTER!$A$2:$A$2000,0)),"")</f>
        <v/>
      </c>
      <c r="D30" s="31">
        <f>IFERROR(INDEX(MASTER!$D$2:$D$2000,MATCH($A30,MASTER!$A$2:$A$2000,0))&amp;"","")</f>
        <v/>
      </c>
      <c r="E30" s="31">
        <f>IFERROR(INDEX(MASTER!$F$2:$F$2000,MATCH($A30,MASTER!$A$2:$A$2000,0))&amp;"","")</f>
        <v/>
      </c>
      <c r="F30" s="31">
        <f>IFERROR(INDEX(MASTER!$G$2:$G$2000,MATCH($A30,MASTER!$A$2:$A$2000,0))&amp;"","NOT IN MASTER")</f>
        <v/>
      </c>
      <c r="G30" s="31">
        <f>IFERROR(INDEX(MASTER!$H$2:$H$2000,MATCH($A30,MASTER!$A$2:$A$2000,0))&amp;"","")</f>
        <v/>
      </c>
      <c r="H30" s="31">
        <f>IFERROR(INDEX(MASTER!$I$2:$I$2000,MATCH($A30,MASTER!$A$2:$A$2000,0))&amp;"","")</f>
        <v/>
      </c>
      <c r="I30" s="41">
        <f>IFERROR(IF(INDEX(MASTER!$O$2:$O$2000,MATCH($A30,MASTER!$A$2:$A$2000,0))="","",INDEX(MASTER!$O$2:$O$2000,MATCH($A30,MASTER!$A$2:$A$2000,0))),"")</f>
        <v/>
      </c>
      <c r="J30" s="31">
        <f>IFERROR(INDEX(MASTER!$P$2:$P$2000,MATCH($A30,MASTER!$A$2:$A$2000,0))&amp;"","")</f>
        <v/>
      </c>
      <c r="K30" s="31">
        <f>IFERROR(INDEX(MASTER!$Q$2:$Q$2000,MATCH($A30,MASTER!$A$2:$A$2000,0))&amp;"","")</f>
        <v/>
      </c>
      <c r="L30" s="31">
        <f>IFERROR(INDEX(MASTER!$R$2:$R$2000,MATCH($A30,MASTER!$A$2:$A$2000,0))&amp;"","")</f>
        <v/>
      </c>
    </row>
    <row r="31">
      <c r="A31" s="34" t="inlineStr">
        <is>
          <t>DOCX-023</t>
        </is>
      </c>
      <c r="B31" s="31">
        <f>IFERROR(INDEX(MASTER!$C$2:$C$2000,MATCH($A31,MASTER!$A$2:$A$2000,0))&amp;"","")</f>
        <v/>
      </c>
      <c r="C31" s="35">
        <f>IFERROR(INDEX(MASTER!$B$2:$B$2000,MATCH($A31,MASTER!$A$2:$A$2000,0)),"")</f>
        <v/>
      </c>
      <c r="D31" s="31">
        <f>IFERROR(INDEX(MASTER!$D$2:$D$2000,MATCH($A31,MASTER!$A$2:$A$2000,0))&amp;"","")</f>
        <v/>
      </c>
      <c r="E31" s="31">
        <f>IFERROR(INDEX(MASTER!$F$2:$F$2000,MATCH($A31,MASTER!$A$2:$A$2000,0))&amp;"","")</f>
        <v/>
      </c>
      <c r="F31" s="31">
        <f>IFERROR(INDEX(MASTER!$G$2:$G$2000,MATCH($A31,MASTER!$A$2:$A$2000,0))&amp;"","NOT IN MASTER")</f>
        <v/>
      </c>
      <c r="G31" s="31">
        <f>IFERROR(INDEX(MASTER!$H$2:$H$2000,MATCH($A31,MASTER!$A$2:$A$2000,0))&amp;"","")</f>
        <v/>
      </c>
      <c r="H31" s="31">
        <f>IFERROR(INDEX(MASTER!$I$2:$I$2000,MATCH($A31,MASTER!$A$2:$A$2000,0))&amp;"","")</f>
        <v/>
      </c>
      <c r="I31" s="41">
        <f>IFERROR(IF(INDEX(MASTER!$O$2:$O$2000,MATCH($A31,MASTER!$A$2:$A$2000,0))="","",INDEX(MASTER!$O$2:$O$2000,MATCH($A31,MASTER!$A$2:$A$2000,0))),"")</f>
        <v/>
      </c>
      <c r="J31" s="31">
        <f>IFERROR(INDEX(MASTER!$P$2:$P$2000,MATCH($A31,MASTER!$A$2:$A$2000,0))&amp;"","")</f>
        <v/>
      </c>
      <c r="K31" s="31">
        <f>IFERROR(INDEX(MASTER!$Q$2:$Q$2000,MATCH($A31,MASTER!$A$2:$A$2000,0))&amp;"","")</f>
        <v/>
      </c>
      <c r="L31" s="31">
        <f>IFERROR(INDEX(MASTER!$R$2:$R$2000,MATCH($A31,MASTER!$A$2:$A$2000,0))&amp;"","")</f>
        <v/>
      </c>
    </row>
    <row r="32">
      <c r="A32" s="34" t="inlineStr">
        <is>
          <t>DOCX-024</t>
        </is>
      </c>
      <c r="B32" s="31">
        <f>IFERROR(INDEX(MASTER!$C$2:$C$2000,MATCH($A32,MASTER!$A$2:$A$2000,0))&amp;"","")</f>
        <v/>
      </c>
      <c r="C32" s="35">
        <f>IFERROR(INDEX(MASTER!$B$2:$B$2000,MATCH($A32,MASTER!$A$2:$A$2000,0)),"")</f>
        <v/>
      </c>
      <c r="D32" s="31">
        <f>IFERROR(INDEX(MASTER!$D$2:$D$2000,MATCH($A32,MASTER!$A$2:$A$2000,0))&amp;"","")</f>
        <v/>
      </c>
      <c r="E32" s="31">
        <f>IFERROR(INDEX(MASTER!$F$2:$F$2000,MATCH($A32,MASTER!$A$2:$A$2000,0))&amp;"","")</f>
        <v/>
      </c>
      <c r="F32" s="31">
        <f>IFERROR(INDEX(MASTER!$G$2:$G$2000,MATCH($A32,MASTER!$A$2:$A$2000,0))&amp;"","NOT IN MASTER")</f>
        <v/>
      </c>
      <c r="G32" s="31">
        <f>IFERROR(INDEX(MASTER!$H$2:$H$2000,MATCH($A32,MASTER!$A$2:$A$2000,0))&amp;"","")</f>
        <v/>
      </c>
      <c r="H32" s="31">
        <f>IFERROR(INDEX(MASTER!$I$2:$I$2000,MATCH($A32,MASTER!$A$2:$A$2000,0))&amp;"","")</f>
        <v/>
      </c>
      <c r="I32" s="41">
        <f>IFERROR(IF(INDEX(MASTER!$O$2:$O$2000,MATCH($A32,MASTER!$A$2:$A$2000,0))="","",INDEX(MASTER!$O$2:$O$2000,MATCH($A32,MASTER!$A$2:$A$2000,0))),"")</f>
        <v/>
      </c>
      <c r="J32" s="31">
        <f>IFERROR(INDEX(MASTER!$P$2:$P$2000,MATCH($A32,MASTER!$A$2:$A$2000,0))&amp;"","")</f>
        <v/>
      </c>
      <c r="K32" s="31">
        <f>IFERROR(INDEX(MASTER!$Q$2:$Q$2000,MATCH($A32,MASTER!$A$2:$A$2000,0))&amp;"","")</f>
        <v/>
      </c>
      <c r="L32" s="31">
        <f>IFERROR(INDEX(MASTER!$R$2:$R$2000,MATCH($A32,MASTER!$A$2:$A$2000,0))&amp;"","")</f>
        <v/>
      </c>
    </row>
    <row r="33">
      <c r="A33" s="34" t="inlineStr">
        <is>
          <t>DOCX-025</t>
        </is>
      </c>
      <c r="B33" s="31">
        <f>IFERROR(INDEX(MASTER!$C$2:$C$2000,MATCH($A33,MASTER!$A$2:$A$2000,0))&amp;"","")</f>
        <v/>
      </c>
      <c r="C33" s="35">
        <f>IFERROR(INDEX(MASTER!$B$2:$B$2000,MATCH($A33,MASTER!$A$2:$A$2000,0)),"")</f>
        <v/>
      </c>
      <c r="D33" s="31">
        <f>IFERROR(INDEX(MASTER!$D$2:$D$2000,MATCH($A33,MASTER!$A$2:$A$2000,0))&amp;"","")</f>
        <v/>
      </c>
      <c r="E33" s="31">
        <f>IFERROR(INDEX(MASTER!$F$2:$F$2000,MATCH($A33,MASTER!$A$2:$A$2000,0))&amp;"","")</f>
        <v/>
      </c>
      <c r="F33" s="31">
        <f>IFERROR(INDEX(MASTER!$G$2:$G$2000,MATCH($A33,MASTER!$A$2:$A$2000,0))&amp;"","NOT IN MASTER")</f>
        <v/>
      </c>
      <c r="G33" s="31">
        <f>IFERROR(INDEX(MASTER!$H$2:$H$2000,MATCH($A33,MASTER!$A$2:$A$2000,0))&amp;"","")</f>
        <v/>
      </c>
      <c r="H33" s="31">
        <f>IFERROR(INDEX(MASTER!$I$2:$I$2000,MATCH($A33,MASTER!$A$2:$A$2000,0))&amp;"","")</f>
        <v/>
      </c>
      <c r="I33" s="41">
        <f>IFERROR(IF(INDEX(MASTER!$O$2:$O$2000,MATCH($A33,MASTER!$A$2:$A$2000,0))="","",INDEX(MASTER!$O$2:$O$2000,MATCH($A33,MASTER!$A$2:$A$2000,0))),"")</f>
        <v/>
      </c>
      <c r="J33" s="31">
        <f>IFERROR(INDEX(MASTER!$P$2:$P$2000,MATCH($A33,MASTER!$A$2:$A$2000,0))&amp;"","")</f>
        <v/>
      </c>
      <c r="K33" s="31">
        <f>IFERROR(INDEX(MASTER!$Q$2:$Q$2000,MATCH($A33,MASTER!$A$2:$A$2000,0))&amp;"","")</f>
        <v/>
      </c>
      <c r="L33" s="31">
        <f>IFERROR(INDEX(MASTER!$R$2:$R$2000,MATCH($A33,MASTER!$A$2:$A$2000,0))&amp;"","")</f>
        <v/>
      </c>
    </row>
    <row r="34">
      <c r="A34" s="34" t="inlineStr">
        <is>
          <t>DOCX-026</t>
        </is>
      </c>
      <c r="B34" s="31">
        <f>IFERROR(INDEX(MASTER!$C$2:$C$2000,MATCH($A34,MASTER!$A$2:$A$2000,0))&amp;"","")</f>
        <v/>
      </c>
      <c r="C34" s="35">
        <f>IFERROR(INDEX(MASTER!$B$2:$B$2000,MATCH($A34,MASTER!$A$2:$A$2000,0)),"")</f>
        <v/>
      </c>
      <c r="D34" s="31">
        <f>IFERROR(INDEX(MASTER!$D$2:$D$2000,MATCH($A34,MASTER!$A$2:$A$2000,0))&amp;"","")</f>
        <v/>
      </c>
      <c r="E34" s="31">
        <f>IFERROR(INDEX(MASTER!$F$2:$F$2000,MATCH($A34,MASTER!$A$2:$A$2000,0))&amp;"","")</f>
        <v/>
      </c>
      <c r="F34" s="31">
        <f>IFERROR(INDEX(MASTER!$G$2:$G$2000,MATCH($A34,MASTER!$A$2:$A$2000,0))&amp;"","NOT IN MASTER")</f>
        <v/>
      </c>
      <c r="G34" s="31">
        <f>IFERROR(INDEX(MASTER!$H$2:$H$2000,MATCH($A34,MASTER!$A$2:$A$2000,0))&amp;"","")</f>
        <v/>
      </c>
      <c r="H34" s="31">
        <f>IFERROR(INDEX(MASTER!$I$2:$I$2000,MATCH($A34,MASTER!$A$2:$A$2000,0))&amp;"","")</f>
        <v/>
      </c>
      <c r="I34" s="41">
        <f>IFERROR(IF(INDEX(MASTER!$O$2:$O$2000,MATCH($A34,MASTER!$A$2:$A$2000,0))="","",INDEX(MASTER!$O$2:$O$2000,MATCH($A34,MASTER!$A$2:$A$2000,0))),"")</f>
        <v/>
      </c>
      <c r="J34" s="31">
        <f>IFERROR(INDEX(MASTER!$P$2:$P$2000,MATCH($A34,MASTER!$A$2:$A$2000,0))&amp;"","")</f>
        <v/>
      </c>
      <c r="K34" s="31">
        <f>IFERROR(INDEX(MASTER!$Q$2:$Q$2000,MATCH($A34,MASTER!$A$2:$A$2000,0))&amp;"","")</f>
        <v/>
      </c>
      <c r="L34" s="31">
        <f>IFERROR(INDEX(MASTER!$R$2:$R$2000,MATCH($A34,MASTER!$A$2:$A$2000,0))&amp;"","")</f>
        <v/>
      </c>
    </row>
    <row r="35">
      <c r="A35" s="34" t="inlineStr">
        <is>
          <t>DOCX-027</t>
        </is>
      </c>
      <c r="B35" s="31">
        <f>IFERROR(INDEX(MASTER!$C$2:$C$2000,MATCH($A35,MASTER!$A$2:$A$2000,0))&amp;"","")</f>
        <v/>
      </c>
      <c r="C35" s="35">
        <f>IFERROR(INDEX(MASTER!$B$2:$B$2000,MATCH($A35,MASTER!$A$2:$A$2000,0)),"")</f>
        <v/>
      </c>
      <c r="D35" s="31">
        <f>IFERROR(INDEX(MASTER!$D$2:$D$2000,MATCH($A35,MASTER!$A$2:$A$2000,0))&amp;"","")</f>
        <v/>
      </c>
      <c r="E35" s="31">
        <f>IFERROR(INDEX(MASTER!$F$2:$F$2000,MATCH($A35,MASTER!$A$2:$A$2000,0))&amp;"","")</f>
        <v/>
      </c>
      <c r="F35" s="31">
        <f>IFERROR(INDEX(MASTER!$G$2:$G$2000,MATCH($A35,MASTER!$A$2:$A$2000,0))&amp;"","NOT IN MASTER")</f>
        <v/>
      </c>
      <c r="G35" s="31">
        <f>IFERROR(INDEX(MASTER!$H$2:$H$2000,MATCH($A35,MASTER!$A$2:$A$2000,0))&amp;"","")</f>
        <v/>
      </c>
      <c r="H35" s="31">
        <f>IFERROR(INDEX(MASTER!$I$2:$I$2000,MATCH($A35,MASTER!$A$2:$A$2000,0))&amp;"","")</f>
        <v/>
      </c>
      <c r="I35" s="41">
        <f>IFERROR(IF(INDEX(MASTER!$O$2:$O$2000,MATCH($A35,MASTER!$A$2:$A$2000,0))="","",INDEX(MASTER!$O$2:$O$2000,MATCH($A35,MASTER!$A$2:$A$2000,0))),"")</f>
        <v/>
      </c>
      <c r="J35" s="31">
        <f>IFERROR(INDEX(MASTER!$P$2:$P$2000,MATCH($A35,MASTER!$A$2:$A$2000,0))&amp;"","")</f>
        <v/>
      </c>
      <c r="K35" s="31">
        <f>IFERROR(INDEX(MASTER!$Q$2:$Q$2000,MATCH($A35,MASTER!$A$2:$A$2000,0))&amp;"","")</f>
        <v/>
      </c>
      <c r="L35" s="31">
        <f>IFERROR(INDEX(MASTER!$R$2:$R$2000,MATCH($A35,MASTER!$A$2:$A$2000,0))&amp;"","")</f>
        <v/>
      </c>
    </row>
    <row r="36">
      <c r="A36" s="34" t="inlineStr">
        <is>
          <t>DOCX-027A</t>
        </is>
      </c>
      <c r="B36" s="31">
        <f>IFERROR(INDEX(MASTER!$C$2:$C$2000,MATCH($A36,MASTER!$A$2:$A$2000,0))&amp;"","")</f>
        <v/>
      </c>
      <c r="C36" s="35">
        <f>IFERROR(INDEX(MASTER!$B$2:$B$2000,MATCH($A36,MASTER!$A$2:$A$2000,0)),"")</f>
        <v/>
      </c>
      <c r="D36" s="31">
        <f>IFERROR(INDEX(MASTER!$D$2:$D$2000,MATCH($A36,MASTER!$A$2:$A$2000,0))&amp;"","")</f>
        <v/>
      </c>
      <c r="E36" s="31">
        <f>IFERROR(INDEX(MASTER!$F$2:$F$2000,MATCH($A36,MASTER!$A$2:$A$2000,0))&amp;"","")</f>
        <v/>
      </c>
      <c r="F36" s="31">
        <f>IFERROR(INDEX(MASTER!$G$2:$G$2000,MATCH($A36,MASTER!$A$2:$A$2000,0))&amp;"","NOT IN MASTER")</f>
        <v/>
      </c>
      <c r="G36" s="31">
        <f>IFERROR(INDEX(MASTER!$H$2:$H$2000,MATCH($A36,MASTER!$A$2:$A$2000,0))&amp;"","")</f>
        <v/>
      </c>
      <c r="H36" s="31">
        <f>IFERROR(INDEX(MASTER!$I$2:$I$2000,MATCH($A36,MASTER!$A$2:$A$2000,0))&amp;"","")</f>
        <v/>
      </c>
      <c r="I36" s="41">
        <f>IFERROR(IF(INDEX(MASTER!$O$2:$O$2000,MATCH($A36,MASTER!$A$2:$A$2000,0))="","",INDEX(MASTER!$O$2:$O$2000,MATCH($A36,MASTER!$A$2:$A$2000,0))),"")</f>
        <v/>
      </c>
      <c r="J36" s="31">
        <f>IFERROR(INDEX(MASTER!$P$2:$P$2000,MATCH($A36,MASTER!$A$2:$A$2000,0))&amp;"","")</f>
        <v/>
      </c>
      <c r="K36" s="31">
        <f>IFERROR(INDEX(MASTER!$Q$2:$Q$2000,MATCH($A36,MASTER!$A$2:$A$2000,0))&amp;"","")</f>
        <v/>
      </c>
      <c r="L36" s="31">
        <f>IFERROR(INDEX(MASTER!$R$2:$R$2000,MATCH($A36,MASTER!$A$2:$A$2000,0))&amp;"","")</f>
        <v/>
      </c>
    </row>
    <row r="37">
      <c r="A37" s="34" t="inlineStr">
        <is>
          <t>DOCX-028</t>
        </is>
      </c>
      <c r="B37" s="31">
        <f>IFERROR(INDEX(MASTER!$C$2:$C$2000,MATCH($A37,MASTER!$A$2:$A$2000,0))&amp;"","")</f>
        <v/>
      </c>
      <c r="C37" s="35">
        <f>IFERROR(INDEX(MASTER!$B$2:$B$2000,MATCH($A37,MASTER!$A$2:$A$2000,0)),"")</f>
        <v/>
      </c>
      <c r="D37" s="31">
        <f>IFERROR(INDEX(MASTER!$D$2:$D$2000,MATCH($A37,MASTER!$A$2:$A$2000,0))&amp;"","")</f>
        <v/>
      </c>
      <c r="E37" s="31">
        <f>IFERROR(INDEX(MASTER!$F$2:$F$2000,MATCH($A37,MASTER!$A$2:$A$2000,0))&amp;"","")</f>
        <v/>
      </c>
      <c r="F37" s="31">
        <f>IFERROR(INDEX(MASTER!$G$2:$G$2000,MATCH($A37,MASTER!$A$2:$A$2000,0))&amp;"","NOT IN MASTER")</f>
        <v/>
      </c>
      <c r="G37" s="31">
        <f>IFERROR(INDEX(MASTER!$H$2:$H$2000,MATCH($A37,MASTER!$A$2:$A$2000,0))&amp;"","")</f>
        <v/>
      </c>
      <c r="H37" s="31">
        <f>IFERROR(INDEX(MASTER!$I$2:$I$2000,MATCH($A37,MASTER!$A$2:$A$2000,0))&amp;"","")</f>
        <v/>
      </c>
      <c r="I37" s="41">
        <f>IFERROR(IF(INDEX(MASTER!$O$2:$O$2000,MATCH($A37,MASTER!$A$2:$A$2000,0))="","",INDEX(MASTER!$O$2:$O$2000,MATCH($A37,MASTER!$A$2:$A$2000,0))),"")</f>
        <v/>
      </c>
      <c r="J37" s="31">
        <f>IFERROR(INDEX(MASTER!$P$2:$P$2000,MATCH($A37,MASTER!$A$2:$A$2000,0))&amp;"","")</f>
        <v/>
      </c>
      <c r="K37" s="31">
        <f>IFERROR(INDEX(MASTER!$Q$2:$Q$2000,MATCH($A37,MASTER!$A$2:$A$2000,0))&amp;"","")</f>
        <v/>
      </c>
      <c r="L37" s="31">
        <f>IFERROR(INDEX(MASTER!$R$2:$R$2000,MATCH($A37,MASTER!$A$2:$A$2000,0))&amp;"","")</f>
        <v/>
      </c>
    </row>
    <row r="38">
      <c r="A38" s="34" t="inlineStr">
        <is>
          <t>DOCX-028A</t>
        </is>
      </c>
      <c r="B38" s="31">
        <f>IFERROR(INDEX(MASTER!$C$2:$C$2000,MATCH($A38,MASTER!$A$2:$A$2000,0))&amp;"","")</f>
        <v/>
      </c>
      <c r="C38" s="35">
        <f>IFERROR(INDEX(MASTER!$B$2:$B$2000,MATCH($A38,MASTER!$A$2:$A$2000,0)),"")</f>
        <v/>
      </c>
      <c r="D38" s="31">
        <f>IFERROR(INDEX(MASTER!$D$2:$D$2000,MATCH($A38,MASTER!$A$2:$A$2000,0))&amp;"","")</f>
        <v/>
      </c>
      <c r="E38" s="31">
        <f>IFERROR(INDEX(MASTER!$F$2:$F$2000,MATCH($A38,MASTER!$A$2:$A$2000,0))&amp;"","")</f>
        <v/>
      </c>
      <c r="F38" s="31">
        <f>IFERROR(INDEX(MASTER!$G$2:$G$2000,MATCH($A38,MASTER!$A$2:$A$2000,0))&amp;"","NOT IN MASTER")</f>
        <v/>
      </c>
      <c r="G38" s="31">
        <f>IFERROR(INDEX(MASTER!$H$2:$H$2000,MATCH($A38,MASTER!$A$2:$A$2000,0))&amp;"","")</f>
        <v/>
      </c>
      <c r="H38" s="31">
        <f>IFERROR(INDEX(MASTER!$I$2:$I$2000,MATCH($A38,MASTER!$A$2:$A$2000,0))&amp;"","")</f>
        <v/>
      </c>
      <c r="I38" s="41">
        <f>IFERROR(IF(INDEX(MASTER!$O$2:$O$2000,MATCH($A38,MASTER!$A$2:$A$2000,0))="","",INDEX(MASTER!$O$2:$O$2000,MATCH($A38,MASTER!$A$2:$A$2000,0))),"")</f>
        <v/>
      </c>
      <c r="J38" s="31">
        <f>IFERROR(INDEX(MASTER!$P$2:$P$2000,MATCH($A38,MASTER!$A$2:$A$2000,0))&amp;"","")</f>
        <v/>
      </c>
      <c r="K38" s="31">
        <f>IFERROR(INDEX(MASTER!$Q$2:$Q$2000,MATCH($A38,MASTER!$A$2:$A$2000,0))&amp;"","")</f>
        <v/>
      </c>
      <c r="L38" s="31">
        <f>IFERROR(INDEX(MASTER!$R$2:$R$2000,MATCH($A38,MASTER!$A$2:$A$2000,0))&amp;"","")</f>
        <v/>
      </c>
    </row>
    <row r="39">
      <c r="A39" s="34" t="inlineStr">
        <is>
          <t>DOCX-028B</t>
        </is>
      </c>
      <c r="B39" s="31">
        <f>IFERROR(INDEX(MASTER!$C$2:$C$2000,MATCH($A39,MASTER!$A$2:$A$2000,0))&amp;"","")</f>
        <v/>
      </c>
      <c r="C39" s="35">
        <f>IFERROR(INDEX(MASTER!$B$2:$B$2000,MATCH($A39,MASTER!$A$2:$A$2000,0)),"")</f>
        <v/>
      </c>
      <c r="D39" s="31">
        <f>IFERROR(INDEX(MASTER!$D$2:$D$2000,MATCH($A39,MASTER!$A$2:$A$2000,0))&amp;"","")</f>
        <v/>
      </c>
      <c r="E39" s="31">
        <f>IFERROR(INDEX(MASTER!$F$2:$F$2000,MATCH($A39,MASTER!$A$2:$A$2000,0))&amp;"","")</f>
        <v/>
      </c>
      <c r="F39" s="31">
        <f>IFERROR(INDEX(MASTER!$G$2:$G$2000,MATCH($A39,MASTER!$A$2:$A$2000,0))&amp;"","NOT IN MASTER")</f>
        <v/>
      </c>
      <c r="G39" s="31">
        <f>IFERROR(INDEX(MASTER!$H$2:$H$2000,MATCH($A39,MASTER!$A$2:$A$2000,0))&amp;"","")</f>
        <v/>
      </c>
      <c r="H39" s="31">
        <f>IFERROR(INDEX(MASTER!$I$2:$I$2000,MATCH($A39,MASTER!$A$2:$A$2000,0))&amp;"","")</f>
        <v/>
      </c>
      <c r="I39" s="41">
        <f>IFERROR(IF(INDEX(MASTER!$O$2:$O$2000,MATCH($A39,MASTER!$A$2:$A$2000,0))="","",INDEX(MASTER!$O$2:$O$2000,MATCH($A39,MASTER!$A$2:$A$2000,0))),"")</f>
        <v/>
      </c>
      <c r="J39" s="31">
        <f>IFERROR(INDEX(MASTER!$P$2:$P$2000,MATCH($A39,MASTER!$A$2:$A$2000,0))&amp;"","")</f>
        <v/>
      </c>
      <c r="K39" s="31">
        <f>IFERROR(INDEX(MASTER!$Q$2:$Q$2000,MATCH($A39,MASTER!$A$2:$A$2000,0))&amp;"","")</f>
        <v/>
      </c>
      <c r="L39" s="31">
        <f>IFERROR(INDEX(MASTER!$R$2:$R$2000,MATCH($A39,MASTER!$A$2:$A$2000,0))&amp;"","")</f>
        <v/>
      </c>
    </row>
    <row r="40">
      <c r="A40" s="34" t="inlineStr">
        <is>
          <t>DOCX-029</t>
        </is>
      </c>
      <c r="B40" s="31">
        <f>IFERROR(INDEX(MASTER!$C$2:$C$2000,MATCH($A40,MASTER!$A$2:$A$2000,0))&amp;"","")</f>
        <v/>
      </c>
      <c r="C40" s="35">
        <f>IFERROR(INDEX(MASTER!$B$2:$B$2000,MATCH($A40,MASTER!$A$2:$A$2000,0)),"")</f>
        <v/>
      </c>
      <c r="D40" s="31">
        <f>IFERROR(INDEX(MASTER!$D$2:$D$2000,MATCH($A40,MASTER!$A$2:$A$2000,0))&amp;"","")</f>
        <v/>
      </c>
      <c r="E40" s="31">
        <f>IFERROR(INDEX(MASTER!$F$2:$F$2000,MATCH($A40,MASTER!$A$2:$A$2000,0))&amp;"","")</f>
        <v/>
      </c>
      <c r="F40" s="31">
        <f>IFERROR(INDEX(MASTER!$G$2:$G$2000,MATCH($A40,MASTER!$A$2:$A$2000,0))&amp;"","NOT IN MASTER")</f>
        <v/>
      </c>
      <c r="G40" s="31">
        <f>IFERROR(INDEX(MASTER!$H$2:$H$2000,MATCH($A40,MASTER!$A$2:$A$2000,0))&amp;"","")</f>
        <v/>
      </c>
      <c r="H40" s="31">
        <f>IFERROR(INDEX(MASTER!$I$2:$I$2000,MATCH($A40,MASTER!$A$2:$A$2000,0))&amp;"","")</f>
        <v/>
      </c>
      <c r="I40" s="41">
        <f>IFERROR(IF(INDEX(MASTER!$O$2:$O$2000,MATCH($A40,MASTER!$A$2:$A$2000,0))="","",INDEX(MASTER!$O$2:$O$2000,MATCH($A40,MASTER!$A$2:$A$2000,0))),"")</f>
        <v/>
      </c>
      <c r="J40" s="31">
        <f>IFERROR(INDEX(MASTER!$P$2:$P$2000,MATCH($A40,MASTER!$A$2:$A$2000,0))&amp;"","")</f>
        <v/>
      </c>
      <c r="K40" s="31">
        <f>IFERROR(INDEX(MASTER!$Q$2:$Q$2000,MATCH($A40,MASTER!$A$2:$A$2000,0))&amp;"","")</f>
        <v/>
      </c>
      <c r="L40" s="31">
        <f>IFERROR(INDEX(MASTER!$R$2:$R$2000,MATCH($A40,MASTER!$A$2:$A$2000,0))&amp;"","")</f>
        <v/>
      </c>
    </row>
  </sheetData>
  <autoFilter ref="A7:L40"/>
  <conditionalFormatting sqref="F8:F40">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40">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L13"/>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PDF — PDF engine</t>
        </is>
      </c>
    </row>
    <row r="2">
      <c r="A2" s="23" t="inlineStr">
        <is>
          <t>PDF export and PDF parsing. Categories: PDF.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COUNTIF(MASTER!$C$2:$C$2000,"PDF")</f>
        <v/>
      </c>
      <c r="B4" s="26">
        <f>COUNTIFS(MASTER!$C$2:$C$2000,"PDF",MASTER!$G$2:$G$2000,"DONE")</f>
        <v/>
      </c>
      <c r="C4" s="26">
        <f>COUNTIFS(MASTER!$C$2:$C$2000,"PDF",MASTER!$G$2:$G$2000,"VERIFIED")+B4</f>
        <v/>
      </c>
      <c r="D4" s="26">
        <f>COUNTIFS(MASTER!$C$2:$C$2000,"PDF",MASTER!$G$2:$G$2000,"IN_PROGRESS")+COUNTIFS(MASTER!$C$2:$C$2000,"PDF",MASTER!$G$2:$G$2000,"IMPLEMENTED")+COUNTIFS(MASTER!$C$2:$C$2000,"PDF",MASTER!$G$2:$G$2000,"TESTING")</f>
        <v/>
      </c>
      <c r="E4" s="26">
        <f>COUNTIFS(MASTER!$C$2:$C$2000,"PDF",MASTER!$G$2:$G$2000,"BLOCKED")</f>
        <v/>
      </c>
      <c r="F4" s="26">
        <f>COUNTIFS(MASTER!$C$2:$C$2000,"PDF",MASTER!$G$2:$G$2000,"FAILED")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PDF-001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PDF-013</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PDF-010</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PDF-011</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PDF-012</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PDF-020</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sheetData>
  <autoFilter ref="A7:L13"/>
  <conditionalFormatting sqref="F8:F13">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13">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L21"/>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EDITOR — Editor integrity</t>
        </is>
      </c>
    </row>
    <row r="2">
      <c r="A2" s="23" t="inlineStr">
        <is>
          <t>Tiptap mapping and save integrity. Categories: EDITOR.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COUNTIF(MASTER!$C$2:$C$2000,"EDITOR")</f>
        <v/>
      </c>
      <c r="B4" s="26">
        <f>COUNTIFS(MASTER!$C$2:$C$2000,"EDITOR",MASTER!$G$2:$G$2000,"DONE")</f>
        <v/>
      </c>
      <c r="C4" s="26">
        <f>COUNTIFS(MASTER!$C$2:$C$2000,"EDITOR",MASTER!$G$2:$G$2000,"VERIFIED")+B4</f>
        <v/>
      </c>
      <c r="D4" s="26">
        <f>COUNTIFS(MASTER!$C$2:$C$2000,"EDITOR",MASTER!$G$2:$G$2000,"IN_PROGRESS")+COUNTIFS(MASTER!$C$2:$C$2000,"EDITOR",MASTER!$G$2:$G$2000,"IMPLEMENTED")+COUNTIFS(MASTER!$C$2:$C$2000,"EDITOR",MASTER!$G$2:$G$2000,"TESTING")</f>
        <v/>
      </c>
      <c r="E4" s="26">
        <f>COUNTIFS(MASTER!$C$2:$C$2000,"EDITOR",MASTER!$G$2:$G$2000,"BLOCKED")</f>
        <v/>
      </c>
      <c r="F4" s="26">
        <f>COUNTIFS(MASTER!$C$2:$C$2000,"EDITOR",MASTER!$G$2:$G$2000,"FAILED")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EDIT-001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EDIT-002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EDIT-003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EDIT-004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EDIT-005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EDIT-008</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EDIT-009</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EDIT-010</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EDIT-011</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EDIT-012</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EDIT-006</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EDIT-007</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DOCX-015B</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DOCX-015C</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sheetData>
  <autoFilter ref="A7:L21"/>
  <conditionalFormatting sqref="F8:F21">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1">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L1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FORMATTING — Formatting and Document Health</t>
        </is>
      </c>
    </row>
    <row r="2">
      <c r="A2" s="23" t="inlineStr">
        <is>
          <t>Formatting engine, Format by Example, Document Health. Categories: FORMATTING, HEALTH.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COUNTIF(MASTER!$C$2:$C$2000,"FORMATTING")+COUNTIF(MASTER!$C$2:$C$2000,"HEALTH")</f>
        <v/>
      </c>
      <c r="B4" s="26">
        <f>COUNTIFS(MASTER!$C$2:$C$2000,"FORMATTING",MASTER!$G$2:$G$2000,"DONE")+COUNTIFS(MASTER!$C$2:$C$2000,"HEALTH",MASTER!$G$2:$G$2000,"DONE")</f>
        <v/>
      </c>
      <c r="C4" s="26">
        <f>COUNTIFS(MASTER!$C$2:$C$2000,"FORMATTING",MASTER!$G$2:$G$2000,"VERIFIED")+COUNTIFS(MASTER!$C$2:$C$2000,"HEALTH",MASTER!$G$2:$G$2000,"VERIFIED")+B4</f>
        <v/>
      </c>
      <c r="D4" s="26">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
      </c>
      <c r="E4" s="26">
        <f>COUNTIFS(MASTER!$C$2:$C$2000,"FORMATTING",MASTER!$G$2:$G$2000,"BLOCKED")+COUNTIFS(MASTER!$C$2:$C$2000,"HEALTH",MASTER!$G$2:$G$2000,"BLOCKED")</f>
        <v/>
      </c>
      <c r="F4" s="26">
        <f>COUNTIFS(MASTER!$C$2:$C$2000,"FORMATTING",MASTER!$G$2:$G$2000,"FAILED")+COUNTIFS(MASTER!$C$2:$C$2000,"HEALTH",MASTER!$G$2:$G$2000,"FAILED")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FMT-004</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FMT-001</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FMT-002</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FMT-003</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FMT-005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HLTH-001</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HLTH-002</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HLTH-003</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sheetData>
  <autoFilter ref="A7:L15"/>
  <conditionalFormatting sqref="F8:F15">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15">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L16"/>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AI — AI fidelity</t>
        </is>
      </c>
    </row>
    <row r="2">
      <c r="A2" s="23" t="inlineStr">
        <is>
          <t>Fidelity checks, proposals and review, budgets. Categories: AI.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COUNTIF(MASTER!$C$2:$C$2000,"AI")</f>
        <v/>
      </c>
      <c r="B4" s="26">
        <f>COUNTIFS(MASTER!$C$2:$C$2000,"AI",MASTER!$G$2:$G$2000,"DONE")</f>
        <v/>
      </c>
      <c r="C4" s="26">
        <f>COUNTIFS(MASTER!$C$2:$C$2000,"AI",MASTER!$G$2:$G$2000,"VERIFIED")+B4</f>
        <v/>
      </c>
      <c r="D4" s="26">
        <f>COUNTIFS(MASTER!$C$2:$C$2000,"AI",MASTER!$G$2:$G$2000,"IN_PROGRESS")+COUNTIFS(MASTER!$C$2:$C$2000,"AI",MASTER!$G$2:$G$2000,"IMPLEMENTED")+COUNTIFS(MASTER!$C$2:$C$2000,"AI",MASTER!$G$2:$G$2000,"TESTING")</f>
        <v/>
      </c>
      <c r="E4" s="26">
        <f>COUNTIFS(MASTER!$C$2:$C$2000,"AI",MASTER!$G$2:$G$2000,"BLOCKED")</f>
        <v/>
      </c>
      <c r="F4" s="26">
        <f>COUNTIFS(MASTER!$C$2:$C$2000,"AI",MASTER!$G$2:$G$2000,"FAILED")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AI-001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AI-002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AI-003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AI-004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AI-005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AI-006</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AI-007</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AI-008</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AI-009</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sheetData>
  <autoFilter ref="A7:L16"/>
  <conditionalFormatting sqref="F8:F16">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16">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L28"/>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SECURITY — Security and accounts</t>
        </is>
      </c>
    </row>
    <row r="2">
      <c r="A2" s="23" t="inlineStr">
        <is>
          <t>Security hardening and account essentials. Categories: SECURITY, ACCOUNT.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COUNTIF(MASTER!$C$2:$C$2000,"SECURITY")+COUNTIF(MASTER!$C$2:$C$2000,"ACCOUNT")</f>
        <v/>
      </c>
      <c r="B4" s="26">
        <f>COUNTIFS(MASTER!$C$2:$C$2000,"SECURITY",MASTER!$G$2:$G$2000,"DONE")+COUNTIFS(MASTER!$C$2:$C$2000,"ACCOUNT",MASTER!$G$2:$G$2000,"DONE")</f>
        <v/>
      </c>
      <c r="C4" s="26">
        <f>COUNTIFS(MASTER!$C$2:$C$2000,"SECURITY",MASTER!$G$2:$G$2000,"VERIFIED")+COUNTIFS(MASTER!$C$2:$C$2000,"ACCOUNT",MASTER!$G$2:$G$2000,"VERIFIED")+B4</f>
        <v/>
      </c>
      <c r="D4" s="26">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
      </c>
      <c r="E4" s="26">
        <f>COUNTIFS(MASTER!$C$2:$C$2000,"SECURITY",MASTER!$G$2:$G$2000,"BLOCKED")+COUNTIFS(MASTER!$C$2:$C$2000,"ACCOUNT",MASTER!$G$2:$G$2000,"BLOCKED")</f>
        <v/>
      </c>
      <c r="F4" s="26">
        <f>COUNTIFS(MASTER!$C$2:$C$2000,"SECURITY",MASTER!$G$2:$G$2000,"FAILED")+COUNTIFS(MASTER!$C$2:$C$2000,"ACCOUNT",MASTER!$G$2:$G$2000,"FAILED")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SEC-001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SEC-010</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SEC-011</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SEC-012</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SEC-013</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SEC-014</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SEC-015</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SEC-016</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SEC-017</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SEC-018</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SEC-019</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SEC-020</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SEC-021</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SEC-022</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ACCT-001</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row r="23">
      <c r="A23" s="34" t="inlineStr">
        <is>
          <t>ACCT-002</t>
        </is>
      </c>
      <c r="B23" s="31">
        <f>IFERROR(INDEX(MASTER!$C$2:$C$2000,MATCH($A23,MASTER!$A$2:$A$2000,0))&amp;"","")</f>
        <v/>
      </c>
      <c r="C23" s="35">
        <f>IFERROR(INDEX(MASTER!$B$2:$B$2000,MATCH($A23,MASTER!$A$2:$A$2000,0)),"")</f>
        <v/>
      </c>
      <c r="D23" s="31">
        <f>IFERROR(INDEX(MASTER!$D$2:$D$2000,MATCH($A23,MASTER!$A$2:$A$2000,0))&amp;"","")</f>
        <v/>
      </c>
      <c r="E23" s="31">
        <f>IFERROR(INDEX(MASTER!$F$2:$F$2000,MATCH($A23,MASTER!$A$2:$A$2000,0))&amp;"","")</f>
        <v/>
      </c>
      <c r="F23" s="31">
        <f>IFERROR(INDEX(MASTER!$G$2:$G$2000,MATCH($A23,MASTER!$A$2:$A$2000,0))&amp;"","NOT IN MASTER")</f>
        <v/>
      </c>
      <c r="G23" s="31">
        <f>IFERROR(INDEX(MASTER!$H$2:$H$2000,MATCH($A23,MASTER!$A$2:$A$2000,0))&amp;"","")</f>
        <v/>
      </c>
      <c r="H23" s="31">
        <f>IFERROR(INDEX(MASTER!$I$2:$I$2000,MATCH($A23,MASTER!$A$2:$A$2000,0))&amp;"","")</f>
        <v/>
      </c>
      <c r="I23" s="41">
        <f>IFERROR(IF(INDEX(MASTER!$O$2:$O$2000,MATCH($A23,MASTER!$A$2:$A$2000,0))="","",INDEX(MASTER!$O$2:$O$2000,MATCH($A23,MASTER!$A$2:$A$2000,0))),"")</f>
        <v/>
      </c>
      <c r="J23" s="31">
        <f>IFERROR(INDEX(MASTER!$P$2:$P$2000,MATCH($A23,MASTER!$A$2:$A$2000,0))&amp;"","")</f>
        <v/>
      </c>
      <c r="K23" s="31">
        <f>IFERROR(INDEX(MASTER!$Q$2:$Q$2000,MATCH($A23,MASTER!$A$2:$A$2000,0))&amp;"","")</f>
        <v/>
      </c>
      <c r="L23" s="31">
        <f>IFERROR(INDEX(MASTER!$R$2:$R$2000,MATCH($A23,MASTER!$A$2:$A$2000,0))&amp;"","")</f>
        <v/>
      </c>
    </row>
    <row r="24">
      <c r="A24" s="34" t="inlineStr">
        <is>
          <t>ACCT-003</t>
        </is>
      </c>
      <c r="B24" s="31">
        <f>IFERROR(INDEX(MASTER!$C$2:$C$2000,MATCH($A24,MASTER!$A$2:$A$2000,0))&amp;"","")</f>
        <v/>
      </c>
      <c r="C24" s="35">
        <f>IFERROR(INDEX(MASTER!$B$2:$B$2000,MATCH($A24,MASTER!$A$2:$A$2000,0)),"")</f>
        <v/>
      </c>
      <c r="D24" s="31">
        <f>IFERROR(INDEX(MASTER!$D$2:$D$2000,MATCH($A24,MASTER!$A$2:$A$2000,0))&amp;"","")</f>
        <v/>
      </c>
      <c r="E24" s="31">
        <f>IFERROR(INDEX(MASTER!$F$2:$F$2000,MATCH($A24,MASTER!$A$2:$A$2000,0))&amp;"","")</f>
        <v/>
      </c>
      <c r="F24" s="31">
        <f>IFERROR(INDEX(MASTER!$G$2:$G$2000,MATCH($A24,MASTER!$A$2:$A$2000,0))&amp;"","NOT IN MASTER")</f>
        <v/>
      </c>
      <c r="G24" s="31">
        <f>IFERROR(INDEX(MASTER!$H$2:$H$2000,MATCH($A24,MASTER!$A$2:$A$2000,0))&amp;"","")</f>
        <v/>
      </c>
      <c r="H24" s="31">
        <f>IFERROR(INDEX(MASTER!$I$2:$I$2000,MATCH($A24,MASTER!$A$2:$A$2000,0))&amp;"","")</f>
        <v/>
      </c>
      <c r="I24" s="41">
        <f>IFERROR(IF(INDEX(MASTER!$O$2:$O$2000,MATCH($A24,MASTER!$A$2:$A$2000,0))="","",INDEX(MASTER!$O$2:$O$2000,MATCH($A24,MASTER!$A$2:$A$2000,0))),"")</f>
        <v/>
      </c>
      <c r="J24" s="31">
        <f>IFERROR(INDEX(MASTER!$P$2:$P$2000,MATCH($A24,MASTER!$A$2:$A$2000,0))&amp;"","")</f>
        <v/>
      </c>
      <c r="K24" s="31">
        <f>IFERROR(INDEX(MASTER!$Q$2:$Q$2000,MATCH($A24,MASTER!$A$2:$A$2000,0))&amp;"","")</f>
        <v/>
      </c>
      <c r="L24" s="31">
        <f>IFERROR(INDEX(MASTER!$R$2:$R$2000,MATCH($A24,MASTER!$A$2:$A$2000,0))&amp;"","")</f>
        <v/>
      </c>
    </row>
    <row r="25">
      <c r="A25" s="34" t="inlineStr">
        <is>
          <t>ACCT-004</t>
        </is>
      </c>
      <c r="B25" s="31">
        <f>IFERROR(INDEX(MASTER!$C$2:$C$2000,MATCH($A25,MASTER!$A$2:$A$2000,0))&amp;"","")</f>
        <v/>
      </c>
      <c r="C25" s="35">
        <f>IFERROR(INDEX(MASTER!$B$2:$B$2000,MATCH($A25,MASTER!$A$2:$A$2000,0)),"")</f>
        <v/>
      </c>
      <c r="D25" s="31">
        <f>IFERROR(INDEX(MASTER!$D$2:$D$2000,MATCH($A25,MASTER!$A$2:$A$2000,0))&amp;"","")</f>
        <v/>
      </c>
      <c r="E25" s="31">
        <f>IFERROR(INDEX(MASTER!$F$2:$F$2000,MATCH($A25,MASTER!$A$2:$A$2000,0))&amp;"","")</f>
        <v/>
      </c>
      <c r="F25" s="31">
        <f>IFERROR(INDEX(MASTER!$G$2:$G$2000,MATCH($A25,MASTER!$A$2:$A$2000,0))&amp;"","NOT IN MASTER")</f>
        <v/>
      </c>
      <c r="G25" s="31">
        <f>IFERROR(INDEX(MASTER!$H$2:$H$2000,MATCH($A25,MASTER!$A$2:$A$2000,0))&amp;"","")</f>
        <v/>
      </c>
      <c r="H25" s="31">
        <f>IFERROR(INDEX(MASTER!$I$2:$I$2000,MATCH($A25,MASTER!$A$2:$A$2000,0))&amp;"","")</f>
        <v/>
      </c>
      <c r="I25" s="41">
        <f>IFERROR(IF(INDEX(MASTER!$O$2:$O$2000,MATCH($A25,MASTER!$A$2:$A$2000,0))="","",INDEX(MASTER!$O$2:$O$2000,MATCH($A25,MASTER!$A$2:$A$2000,0))),"")</f>
        <v/>
      </c>
      <c r="J25" s="31">
        <f>IFERROR(INDEX(MASTER!$P$2:$P$2000,MATCH($A25,MASTER!$A$2:$A$2000,0))&amp;"","")</f>
        <v/>
      </c>
      <c r="K25" s="31">
        <f>IFERROR(INDEX(MASTER!$Q$2:$Q$2000,MATCH($A25,MASTER!$A$2:$A$2000,0))&amp;"","")</f>
        <v/>
      </c>
      <c r="L25" s="31">
        <f>IFERROR(INDEX(MASTER!$R$2:$R$2000,MATCH($A25,MASTER!$A$2:$A$2000,0))&amp;"","")</f>
        <v/>
      </c>
    </row>
    <row r="26">
      <c r="A26" s="34" t="inlineStr">
        <is>
          <t>ACCT-005</t>
        </is>
      </c>
      <c r="B26" s="31">
        <f>IFERROR(INDEX(MASTER!$C$2:$C$2000,MATCH($A26,MASTER!$A$2:$A$2000,0))&amp;"","")</f>
        <v/>
      </c>
      <c r="C26" s="35">
        <f>IFERROR(INDEX(MASTER!$B$2:$B$2000,MATCH($A26,MASTER!$A$2:$A$2000,0)),"")</f>
        <v/>
      </c>
      <c r="D26" s="31">
        <f>IFERROR(INDEX(MASTER!$D$2:$D$2000,MATCH($A26,MASTER!$A$2:$A$2000,0))&amp;"","")</f>
        <v/>
      </c>
      <c r="E26" s="31">
        <f>IFERROR(INDEX(MASTER!$F$2:$F$2000,MATCH($A26,MASTER!$A$2:$A$2000,0))&amp;"","")</f>
        <v/>
      </c>
      <c r="F26" s="31">
        <f>IFERROR(INDEX(MASTER!$G$2:$G$2000,MATCH($A26,MASTER!$A$2:$A$2000,0))&amp;"","NOT IN MASTER")</f>
        <v/>
      </c>
      <c r="G26" s="31">
        <f>IFERROR(INDEX(MASTER!$H$2:$H$2000,MATCH($A26,MASTER!$A$2:$A$2000,0))&amp;"","")</f>
        <v/>
      </c>
      <c r="H26" s="31">
        <f>IFERROR(INDEX(MASTER!$I$2:$I$2000,MATCH($A26,MASTER!$A$2:$A$2000,0))&amp;"","")</f>
        <v/>
      </c>
      <c r="I26" s="41">
        <f>IFERROR(IF(INDEX(MASTER!$O$2:$O$2000,MATCH($A26,MASTER!$A$2:$A$2000,0))="","",INDEX(MASTER!$O$2:$O$2000,MATCH($A26,MASTER!$A$2:$A$2000,0))),"")</f>
        <v/>
      </c>
      <c r="J26" s="31">
        <f>IFERROR(INDEX(MASTER!$P$2:$P$2000,MATCH($A26,MASTER!$A$2:$A$2000,0))&amp;"","")</f>
        <v/>
      </c>
      <c r="K26" s="31">
        <f>IFERROR(INDEX(MASTER!$Q$2:$Q$2000,MATCH($A26,MASTER!$A$2:$A$2000,0))&amp;"","")</f>
        <v/>
      </c>
      <c r="L26" s="31">
        <f>IFERROR(INDEX(MASTER!$R$2:$R$2000,MATCH($A26,MASTER!$A$2:$A$2000,0))&amp;"","")</f>
        <v/>
      </c>
    </row>
    <row r="27">
      <c r="A27" s="34" t="inlineStr">
        <is>
          <t>ACCT-006</t>
        </is>
      </c>
      <c r="B27" s="31">
        <f>IFERROR(INDEX(MASTER!$C$2:$C$2000,MATCH($A27,MASTER!$A$2:$A$2000,0))&amp;"","")</f>
        <v/>
      </c>
      <c r="C27" s="35">
        <f>IFERROR(INDEX(MASTER!$B$2:$B$2000,MATCH($A27,MASTER!$A$2:$A$2000,0)),"")</f>
        <v/>
      </c>
      <c r="D27" s="31">
        <f>IFERROR(INDEX(MASTER!$D$2:$D$2000,MATCH($A27,MASTER!$A$2:$A$2000,0))&amp;"","")</f>
        <v/>
      </c>
      <c r="E27" s="31">
        <f>IFERROR(INDEX(MASTER!$F$2:$F$2000,MATCH($A27,MASTER!$A$2:$A$2000,0))&amp;"","")</f>
        <v/>
      </c>
      <c r="F27" s="31">
        <f>IFERROR(INDEX(MASTER!$G$2:$G$2000,MATCH($A27,MASTER!$A$2:$A$2000,0))&amp;"","NOT IN MASTER")</f>
        <v/>
      </c>
      <c r="G27" s="31">
        <f>IFERROR(INDEX(MASTER!$H$2:$H$2000,MATCH($A27,MASTER!$A$2:$A$2000,0))&amp;"","")</f>
        <v/>
      </c>
      <c r="H27" s="31">
        <f>IFERROR(INDEX(MASTER!$I$2:$I$2000,MATCH($A27,MASTER!$A$2:$A$2000,0))&amp;"","")</f>
        <v/>
      </c>
      <c r="I27" s="41">
        <f>IFERROR(IF(INDEX(MASTER!$O$2:$O$2000,MATCH($A27,MASTER!$A$2:$A$2000,0))="","",INDEX(MASTER!$O$2:$O$2000,MATCH($A27,MASTER!$A$2:$A$2000,0))),"")</f>
        <v/>
      </c>
      <c r="J27" s="31">
        <f>IFERROR(INDEX(MASTER!$P$2:$P$2000,MATCH($A27,MASTER!$A$2:$A$2000,0))&amp;"","")</f>
        <v/>
      </c>
      <c r="K27" s="31">
        <f>IFERROR(INDEX(MASTER!$Q$2:$Q$2000,MATCH($A27,MASTER!$A$2:$A$2000,0))&amp;"","")</f>
        <v/>
      </c>
      <c r="L27" s="31">
        <f>IFERROR(INDEX(MASTER!$R$2:$R$2000,MATCH($A27,MASTER!$A$2:$A$2000,0))&amp;"","")</f>
        <v/>
      </c>
    </row>
    <row r="28">
      <c r="A28" s="34" t="inlineStr">
        <is>
          <t>ACCT-007</t>
        </is>
      </c>
      <c r="B28" s="31">
        <f>IFERROR(INDEX(MASTER!$C$2:$C$2000,MATCH($A28,MASTER!$A$2:$A$2000,0))&amp;"","")</f>
        <v/>
      </c>
      <c r="C28" s="35">
        <f>IFERROR(INDEX(MASTER!$B$2:$B$2000,MATCH($A28,MASTER!$A$2:$A$2000,0)),"")</f>
        <v/>
      </c>
      <c r="D28" s="31">
        <f>IFERROR(INDEX(MASTER!$D$2:$D$2000,MATCH($A28,MASTER!$A$2:$A$2000,0))&amp;"","")</f>
        <v/>
      </c>
      <c r="E28" s="31">
        <f>IFERROR(INDEX(MASTER!$F$2:$F$2000,MATCH($A28,MASTER!$A$2:$A$2000,0))&amp;"","")</f>
        <v/>
      </c>
      <c r="F28" s="31">
        <f>IFERROR(INDEX(MASTER!$G$2:$G$2000,MATCH($A28,MASTER!$A$2:$A$2000,0))&amp;"","NOT IN MASTER")</f>
        <v/>
      </c>
      <c r="G28" s="31">
        <f>IFERROR(INDEX(MASTER!$H$2:$H$2000,MATCH($A28,MASTER!$A$2:$A$2000,0))&amp;"","")</f>
        <v/>
      </c>
      <c r="H28" s="31">
        <f>IFERROR(INDEX(MASTER!$I$2:$I$2000,MATCH($A28,MASTER!$A$2:$A$2000,0))&amp;"","")</f>
        <v/>
      </c>
      <c r="I28" s="41">
        <f>IFERROR(IF(INDEX(MASTER!$O$2:$O$2000,MATCH($A28,MASTER!$A$2:$A$2000,0))="","",INDEX(MASTER!$O$2:$O$2000,MATCH($A28,MASTER!$A$2:$A$2000,0))),"")</f>
        <v/>
      </c>
      <c r="J28" s="31">
        <f>IFERROR(INDEX(MASTER!$P$2:$P$2000,MATCH($A28,MASTER!$A$2:$A$2000,0))&amp;"","")</f>
        <v/>
      </c>
      <c r="K28" s="31">
        <f>IFERROR(INDEX(MASTER!$Q$2:$Q$2000,MATCH($A28,MASTER!$A$2:$A$2000,0))&amp;"","")</f>
        <v/>
      </c>
      <c r="L28" s="31">
        <f>IFERROR(INDEX(MASTER!$R$2:$R$2000,MATCH($A28,MASTER!$A$2:$A$2000,0))&amp;"","")</f>
        <v/>
      </c>
    </row>
  </sheetData>
  <autoFilter ref="A7:L28"/>
  <conditionalFormatting sqref="F8:F28">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8">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L31"/>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50" customWidth="1" min="4" max="4"/>
    <col width="10" customWidth="1" min="5" max="5"/>
    <col width="16" customWidth="1" min="6" max="6"/>
    <col width="44" customWidth="1" min="7" max="7"/>
    <col width="34" customWidth="1" min="8" max="8"/>
    <col width="16" customWidth="1" min="9" max="9"/>
    <col width="10" customWidth="1" min="10" max="10"/>
    <col width="40" customWidth="1" min="11" max="11"/>
    <col width="11" customWidth="1" min="12" max="12"/>
  </cols>
  <sheetData>
    <row r="1">
      <c r="A1" s="22" t="inlineStr">
        <is>
          <t>PERFORMANCE — Performance</t>
        </is>
      </c>
    </row>
    <row r="2">
      <c r="A2" s="23" t="inlineStr">
        <is>
          <t>Measured benchmarks (baseline vs current) and performance tasks.</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COUNTIF(MASTER!$C$2:$C$2000,"PERFORMANCE")</f>
        <v/>
      </c>
      <c r="B4" s="26">
        <f>COUNTIFS(MASTER!$C$2:$C$2000,"PERFORMANCE",MASTER!$G$2:$G$2000,"DONE")</f>
        <v/>
      </c>
      <c r="C4" s="26">
        <f>COUNTIFS(MASTER!$C$2:$C$2000,"PERFORMANCE",MASTER!$G$2:$G$2000,"VERIFIED")+B4</f>
        <v/>
      </c>
      <c r="D4" s="26">
        <f>COUNTIFS(MASTER!$C$2:$C$2000,"PERFORMANCE",MASTER!$G$2:$G$2000,"IN_PROGRESS")+COUNTIFS(MASTER!$C$2:$C$2000,"PERFORMANCE",MASTER!$G$2:$G$2000,"IMPLEMENTED")+COUNTIFS(MASTER!$C$2:$C$2000,"PERFORMANCE",MASTER!$G$2:$G$2000,"TESTING")</f>
        <v/>
      </c>
      <c r="E4" s="26">
        <f>COUNTIFS(MASTER!$C$2:$C$2000,"PERFORMANCE",MASTER!$G$2:$G$2000,"BLOCKED")</f>
        <v/>
      </c>
      <c r="F4" s="26">
        <f>COUNTIFS(MASTER!$C$2:$C$2000,"PERFORMANCE",MASTER!$G$2:$G$2000,"FAILED")</f>
        <v/>
      </c>
      <c r="G4" s="28">
        <f>IF(A4=0,0,B4/A4)</f>
        <v/>
      </c>
      <c r="H4" s="28">
        <f>IF(A4=0,0,C4/A4)</f>
        <v/>
      </c>
    </row>
    <row r="6">
      <c r="A6" s="24" t="inlineStr">
        <is>
          <t>Measured results — brief §80-81: measure, then set regression thresholds relative to the baseline (no invented SLOs)</t>
        </is>
      </c>
    </row>
    <row r="7">
      <c r="A7" s="29" t="inlineStr">
        <is>
          <t>Bench ID</t>
        </is>
      </c>
      <c r="B7" s="29" t="inlineStr">
        <is>
          <t>Metric</t>
        </is>
      </c>
      <c r="C7" s="29" t="inlineStr">
        <is>
          <t>Unit</t>
        </is>
      </c>
      <c r="D7" s="29" t="inlineStr">
        <is>
          <t>Scenario</t>
        </is>
      </c>
      <c r="E7" s="29" t="inlineStr">
        <is>
          <t>Baseline</t>
        </is>
      </c>
      <c r="F7" s="29" t="inlineStr">
        <is>
          <t>Status</t>
        </is>
      </c>
      <c r="G7" s="29" t="inlineStr">
        <is>
          <t>Baseline Source</t>
        </is>
      </c>
      <c r="H7" s="29" t="inlineStr">
        <is>
          <t>Current</t>
        </is>
      </c>
      <c r="I7" s="29" t="inlineStr">
        <is>
          <t>Measured On</t>
        </is>
      </c>
      <c r="J7" s="29" t="inlineStr">
        <is>
          <t>Threshold</t>
        </is>
      </c>
      <c r="K7" s="29" t="inlineStr">
        <is>
          <t>Notes</t>
        </is>
      </c>
    </row>
    <row r="8">
      <c r="A8" s="34" t="inlineStr">
        <is>
          <t>BENCH-001</t>
        </is>
      </c>
      <c r="B8" s="31" t="inlineStr">
        <is>
          <t>duration</t>
        </is>
      </c>
      <c r="C8" s="31" t="inlineStr">
        <is>
          <t>s</t>
        </is>
      </c>
      <c r="D8" s="37" t="inlineStr">
        <is>
          <t>DOCX export: table 500x8 (4,000 cells)</t>
        </is>
      </c>
      <c r="E8" s="31" t="n">
        <v>321</v>
      </c>
      <c r="F8" s="31">
        <f>IF(H8="","NOT_REMEASURED",IF(J8="","NO_THRESHOLD",IF(H8&lt;=J8,"WITHIN","OVER")))</f>
        <v/>
      </c>
      <c r="G8" s="37" t="inlineStr">
        <is>
          <t>audit perf_table.py (400 cells 3.8 s; 1,600 cells 53.7 s; quadratic)</t>
        </is>
      </c>
      <c r="H8" s="31" t="n"/>
      <c r="I8" s="41" t="n"/>
      <c r="J8" s="31" t="n"/>
      <c r="K8" s="37" t="n"/>
    </row>
    <row r="9">
      <c r="A9" s="34" t="inlineStr">
        <is>
          <t>BENCH-002</t>
        </is>
      </c>
      <c r="B9" s="31" t="inlineStr">
        <is>
          <t>duration</t>
        </is>
      </c>
      <c r="C9" s="31" t="inlineStr">
        <is>
          <t>s</t>
        </is>
      </c>
      <c r="D9" s="37" t="inlineStr">
        <is>
          <t>PDF export: table 500x8</t>
        </is>
      </c>
      <c r="E9" s="31" t="n">
        <v>1.4</v>
      </c>
      <c r="F9" s="31">
        <f>IF(H9="","NOT_REMEASURED",IF(J9="","NO_THRESHOLD",IF(H9&lt;=J9,"WITHIN","OVER")))</f>
        <v/>
      </c>
      <c r="G9" s="37" t="inlineStr">
        <is>
          <t>audit perf_table.py (linear)</t>
        </is>
      </c>
      <c r="H9" s="31" t="n"/>
      <c r="I9" s="41" t="n"/>
      <c r="J9" s="31" t="n"/>
      <c r="K9" s="37" t="n"/>
    </row>
    <row r="10">
      <c r="A10" s="34" t="inlineStr">
        <is>
          <t>BENCH-003</t>
        </is>
      </c>
      <c r="B10" s="31" t="inlineStr">
        <is>
          <t>duration</t>
        </is>
      </c>
      <c r="C10" s="31" t="inlineStr">
        <is>
          <t>s</t>
        </is>
      </c>
      <c r="D10" s="37" t="inlineStr">
        <is>
          <t>Import: 300-page text DOCX (1,650 elements)</t>
        </is>
      </c>
      <c r="E10" s="31" t="n">
        <v>0.328</v>
      </c>
      <c r="F10" s="31">
        <f>IF(H10="","NOT_REMEASURED",IF(J10="","NO_THRESHOLD",IF(H10&lt;=J10,"WITHIN","OVER")))</f>
        <v/>
      </c>
      <c r="G10" s="37" t="inlineStr">
        <is>
          <t>audit perf_backend.py</t>
        </is>
      </c>
      <c r="H10" s="31" t="n"/>
      <c r="I10" s="41" t="n"/>
      <c r="J10" s="31" t="n"/>
      <c r="K10" s="37" t="n"/>
    </row>
    <row r="11">
      <c r="A11" s="34" t="inlineStr">
        <is>
          <t>BENCH-004</t>
        </is>
      </c>
      <c r="B11" s="31" t="inlineStr">
        <is>
          <t>duration</t>
        </is>
      </c>
      <c r="C11" s="31" t="inlineStr">
        <is>
          <t>s</t>
        </is>
      </c>
      <c r="D11" s="37" t="inlineStr">
        <is>
          <t>DOCX export: 300-page text document</t>
        </is>
      </c>
      <c r="E11" s="31" t="n">
        <v>0.669</v>
      </c>
      <c r="F11" s="31">
        <f>IF(H11="","NOT_REMEASURED",IF(J11="","NO_THRESHOLD",IF(H11&lt;=J11,"WITHIN","OVER")))</f>
        <v/>
      </c>
      <c r="G11" s="37" t="inlineStr">
        <is>
          <t>audit perf_backend.py</t>
        </is>
      </c>
      <c r="H11" s="31" t="n"/>
      <c r="I11" s="41" t="n"/>
      <c r="J11" s="31" t="n"/>
      <c r="K11" s="37" t="n"/>
    </row>
    <row r="12">
      <c r="A12" s="34" t="inlineStr">
        <is>
          <t>BENCH-005</t>
        </is>
      </c>
      <c r="B12" s="31" t="inlineStr">
        <is>
          <t>duration</t>
        </is>
      </c>
      <c r="C12" s="31" t="inlineStr">
        <is>
          <t>s</t>
        </is>
      </c>
      <c r="D12" s="37" t="inlineStr">
        <is>
          <t>PDF export: 300-page text document</t>
        </is>
      </c>
      <c r="E12" s="31" t="n">
        <v>1.8</v>
      </c>
      <c r="F12" s="31">
        <f>IF(H12="","NOT_REMEASURED",IF(J12="","NO_THRESHOLD",IF(H12&lt;=J12,"WITHIN","OVER")))</f>
        <v/>
      </c>
      <c r="G12" s="37" t="inlineStr">
        <is>
          <t>audit perf_backend.py</t>
        </is>
      </c>
      <c r="H12" s="31" t="n"/>
      <c r="I12" s="41" t="n"/>
      <c r="J12" s="31" t="n"/>
      <c r="K12" s="37" t="n"/>
    </row>
    <row r="13">
      <c r="A13" s="34" t="inlineStr">
        <is>
          <t>BENCH-006</t>
        </is>
      </c>
      <c r="B13" s="31" t="inlineStr">
        <is>
          <t>memory growth</t>
        </is>
      </c>
      <c r="C13" s="31" t="inlineStr">
        <is>
          <t>MB</t>
        </is>
      </c>
      <c r="D13" s="37" t="inlineStr">
        <is>
          <t>PDF export: 39 KB DOCX holding a 12000x12000 PNG</t>
        </is>
      </c>
      <c r="E13" s="31" t="n">
        <v>1382</v>
      </c>
      <c r="F13" s="31">
        <f>IF(H13="","NOT_REMEASURED",IF(J13="","NO_THRESHOLD",IF(H13&lt;=J13,"WITHIN","OVER")))</f>
        <v/>
      </c>
      <c r="G13" s="37" t="inlineStr">
        <is>
          <t>audit pixel_bomb.py (14000x14000 crashes the export)</t>
        </is>
      </c>
      <c r="H13" s="31" t="n"/>
      <c r="I13" s="41" t="n"/>
      <c r="J13" s="31" t="n"/>
      <c r="K13" s="37" t="n"/>
    </row>
    <row r="14">
      <c r="A14" s="34" t="inlineStr">
        <is>
          <t>BENCH-007</t>
        </is>
      </c>
      <c r="B14" s="31" t="inlineStr">
        <is>
          <t>memory growth</t>
        </is>
      </c>
      <c r="C14" s="31" t="inlineStr">
        <is>
          <t>MB</t>
        </is>
      </c>
      <c r="D14" s="37" t="inlineStr">
        <is>
          <t>PDF export: 4 JPEG images 2400x1800</t>
        </is>
      </c>
      <c r="E14" s="31" t="n">
        <v>180</v>
      </c>
      <c r="F14" s="31">
        <f>IF(H14="","NOT_REMEASURED",IF(J14="","NO_THRESHOLD",IF(H14&lt;=J14,"WITHIN","OVER")))</f>
        <v/>
      </c>
      <c r="G14" s="37" t="inlineStr">
        <is>
          <t>audit perf_backend.py (6.3 s)</t>
        </is>
      </c>
      <c r="H14" s="31" t="n"/>
      <c r="I14" s="41" t="n"/>
      <c r="J14" s="31" t="n"/>
      <c r="K14" s="37" t="n"/>
    </row>
    <row r="15">
      <c r="A15" s="34" t="inlineStr">
        <is>
          <t>BENCH-008</t>
        </is>
      </c>
      <c r="B15" s="31" t="inlineStr">
        <is>
          <t>duration</t>
        </is>
      </c>
      <c r="C15" s="31" t="inlineStr">
        <is>
          <t>s</t>
        </is>
      </c>
      <c r="D15" s="37" t="inlineStr">
        <is>
          <t>Editor: type 20 characters at 12,196 elements (1M-character paste)</t>
        </is>
      </c>
      <c r="E15" s="31" t="n">
        <v>9.4</v>
      </c>
      <c r="F15" s="31">
        <f>IF(H15="","NOT_REMEASURED",IF(J15="","NO_THRESHOLD",IF(H15&lt;=J15,"WITHIN","OVER")))</f>
        <v/>
      </c>
      <c r="G15" s="37" t="inlineStr">
        <is>
          <t>audit perf_browser.js (~470 ms per key)</t>
        </is>
      </c>
      <c r="H15" s="31" t="n"/>
      <c r="I15" s="41" t="n"/>
      <c r="J15" s="31" t="n"/>
      <c r="K15" s="37" t="n"/>
    </row>
    <row r="16">
      <c r="A16" s="34" t="inlineStr">
        <is>
          <t>BENCH-009</t>
        </is>
      </c>
      <c r="B16" s="31" t="inlineStr">
        <is>
          <t>duration</t>
        </is>
      </c>
      <c r="C16" s="31" t="inlineStr">
        <is>
          <t>s</t>
        </is>
      </c>
      <c r="D16" s="37" t="inlineStr">
        <is>
          <t>Editor: type 20 characters, 300-page document</t>
        </is>
      </c>
      <c r="E16" s="31" t="n">
        <v>0.62</v>
      </c>
      <c r="F16" s="31">
        <f>IF(H16="","NOT_REMEASURED",IF(J16="","NO_THRESHOLD",IF(H16&lt;=J16,"WITHIN","OVER")))</f>
        <v/>
      </c>
      <c r="G16" s="37" t="inlineStr">
        <is>
          <t>audit perf_browser.js</t>
        </is>
      </c>
      <c r="H16" s="31" t="n"/>
      <c r="I16" s="41" t="n"/>
      <c r="J16" s="31" t="n"/>
      <c r="K16" s="37" t="n"/>
    </row>
    <row r="17">
      <c r="A17" s="34" t="inlineStr">
        <is>
          <t>BENCH-010</t>
        </is>
      </c>
      <c r="B17" s="31" t="inlineStr">
        <is>
          <t>request size</t>
        </is>
      </c>
      <c r="C17" s="31" t="inlineStr">
        <is>
          <t>MB</t>
        </is>
      </c>
      <c r="D17" s="37" t="inlineStr">
        <is>
          <t>Autosave request: 300-page document</t>
        </is>
      </c>
      <c r="E17" s="31" t="n">
        <v>2.77</v>
      </c>
      <c r="F17" s="31">
        <f>IF(H17="","NOT_REMEASURED",IF(J17="","NO_THRESHOLD",IF(H17&lt;=J17,"WITHIN","OVER")))</f>
        <v/>
      </c>
      <c r="G17" s="37" t="inlineStr">
        <is>
          <t>audit perf_browser.js (whole elements list per save)</t>
        </is>
      </c>
      <c r="H17" s="31" t="n"/>
      <c r="I17" s="41" t="n"/>
      <c r="J17" s="31" t="n"/>
      <c r="K17" s="37" t="n"/>
    </row>
    <row r="18">
      <c r="A18" s="34" t="inlineStr">
        <is>
          <t>BENCH-011</t>
        </is>
      </c>
      <c r="B18" s="31" t="inlineStr">
        <is>
          <t>request size</t>
        </is>
      </c>
      <c r="C18" s="31" t="inlineStr">
        <is>
          <t>MB</t>
        </is>
      </c>
      <c r="D18" s="37" t="inlineStr">
        <is>
          <t>Autosave request: 1M-character paste</t>
        </is>
      </c>
      <c r="E18" s="31" t="n">
        <v>5.99</v>
      </c>
      <c r="F18" s="31">
        <f>IF(H18="","NOT_REMEASURED",IF(J18="","NO_THRESHOLD",IF(H18&lt;=J18,"WITHIN","OVER")))</f>
        <v/>
      </c>
      <c r="G18" s="37" t="inlineStr">
        <is>
          <t>audit perf_browser.js</t>
        </is>
      </c>
      <c r="H18" s="31" t="n"/>
      <c r="I18" s="41" t="n"/>
      <c r="J18" s="31" t="n"/>
      <c r="K18" s="37" t="n"/>
    </row>
    <row r="19">
      <c r="A19" s="34" t="inlineStr">
        <is>
          <t>BENCH-012</t>
        </is>
      </c>
      <c r="B19" s="31" t="inlineStr">
        <is>
          <t>storage</t>
        </is>
      </c>
      <c r="C19" s="31" t="inlineStr">
        <is>
          <t>MB</t>
        </is>
      </c>
      <c r="D19" s="37" t="inlineStr">
        <is>
          <t>Stored history: one 300-page document, 50 steps</t>
        </is>
      </c>
      <c r="E19" s="31" t="n">
        <v>140</v>
      </c>
      <c r="F19" s="31">
        <f>IF(H19="","NOT_REMEASURED",IF(J19="","NO_THRESHOLD",IF(H19&lt;=J19,"WITHIN","OVER")))</f>
        <v/>
      </c>
      <c r="G19" s="37" t="inlineStr">
        <is>
          <t>audit (2.8 MB per full copy; 7.2 MB when the JSON is ASCII-escaped)</t>
        </is>
      </c>
      <c r="H19" s="31" t="n"/>
      <c r="I19" s="41" t="n"/>
      <c r="J19" s="31" t="n"/>
      <c r="K19" s="37" t="n"/>
    </row>
    <row r="20">
      <c r="A20" s="34" t="inlineStr">
        <is>
          <t>BENCH-013</t>
        </is>
      </c>
      <c r="B20" s="31" t="inlineStr">
        <is>
          <t>duration</t>
        </is>
      </c>
      <c r="C20" s="31" t="inlineStr">
        <is>
          <t>s</t>
        </is>
      </c>
      <c r="D20" s="37" t="inlineStr">
        <is>
          <t>Paste: 2M characters (the cap)</t>
        </is>
      </c>
      <c r="E20" s="31" t="n">
        <v>0.65</v>
      </c>
      <c r="F20" s="31">
        <f>IF(H20="","NOT_REMEASURED",IF(J20="","NO_THRESHOLD",IF(H20&lt;=J20,"WITHIN","OVER")))</f>
        <v/>
      </c>
      <c r="G20" s="37" t="inlineStr">
        <is>
          <t>audit perf_backend.py (17.5k elements, 7.1 MB JSON)</t>
        </is>
      </c>
      <c r="H20" s="31" t="n"/>
      <c r="I20" s="41" t="n"/>
      <c r="J20" s="31" t="n"/>
      <c r="K20" s="37" t="n"/>
    </row>
    <row r="23">
      <c r="A23" s="24" t="inlineStr">
        <is>
          <t>Performance tasks (live from MASTER)</t>
        </is>
      </c>
    </row>
    <row r="24">
      <c r="A24" s="29" t="inlineStr">
        <is>
          <t>ID</t>
        </is>
      </c>
      <c r="B24" s="29" t="inlineStr">
        <is>
          <t>Category</t>
        </is>
      </c>
      <c r="C24" s="29" t="inlineStr">
        <is>
          <t>Phase</t>
        </is>
      </c>
      <c r="D24" s="29" t="inlineStr">
        <is>
          <t>Feature/Task</t>
        </is>
      </c>
      <c r="E24" s="29" t="inlineStr">
        <is>
          <t>Priority</t>
        </is>
      </c>
      <c r="F24" s="29" t="inlineStr">
        <is>
          <t>Status</t>
        </is>
      </c>
      <c r="G24" s="29" t="inlineStr">
        <is>
          <t>Evidence</t>
        </is>
      </c>
      <c r="H24" s="29" t="inlineStr">
        <is>
          <t>Tests</t>
        </is>
      </c>
      <c r="I24" s="29" t="inlineStr">
        <is>
          <t>Last Verified</t>
        </is>
      </c>
      <c r="J24" s="29" t="inlineStr">
        <is>
          <t>Commit</t>
        </is>
      </c>
      <c r="K24" s="29" t="inlineStr">
        <is>
          <t>Notes</t>
        </is>
      </c>
      <c r="L24" s="29" t="inlineStr">
        <is>
          <t>Parent ID</t>
        </is>
      </c>
    </row>
    <row r="25">
      <c r="A25" s="34" t="inlineStr">
        <is>
          <t>PERF-001</t>
        </is>
      </c>
      <c r="B25" s="31">
        <f>IFERROR(INDEX(MASTER!$C$2:$C$2000,MATCH($A25,MASTER!$A$2:$A$2000,0))&amp;"","")</f>
        <v/>
      </c>
      <c r="C25" s="35">
        <f>IFERROR(INDEX(MASTER!$B$2:$B$2000,MATCH($A25,MASTER!$A$2:$A$2000,0)),"")</f>
        <v/>
      </c>
      <c r="D25" s="31">
        <f>IFERROR(INDEX(MASTER!$D$2:$D$2000,MATCH($A25,MASTER!$A$2:$A$2000,0))&amp;"","")</f>
        <v/>
      </c>
      <c r="E25" s="31">
        <f>IFERROR(INDEX(MASTER!$F$2:$F$2000,MATCH($A25,MASTER!$A$2:$A$2000,0))&amp;"","")</f>
        <v/>
      </c>
      <c r="F25" s="31">
        <f>IFERROR(INDEX(MASTER!$G$2:$G$2000,MATCH($A25,MASTER!$A$2:$A$2000,0))&amp;"","NOT IN MASTER")</f>
        <v/>
      </c>
      <c r="G25" s="31">
        <f>IFERROR(INDEX(MASTER!$H$2:$H$2000,MATCH($A25,MASTER!$A$2:$A$2000,0))&amp;"","")</f>
        <v/>
      </c>
      <c r="H25" s="31">
        <f>IFERROR(INDEX(MASTER!$I$2:$I$2000,MATCH($A25,MASTER!$A$2:$A$2000,0))&amp;"","")</f>
        <v/>
      </c>
      <c r="I25" s="41">
        <f>IFERROR(IF(INDEX(MASTER!$O$2:$O$2000,MATCH($A25,MASTER!$A$2:$A$2000,0))="","",INDEX(MASTER!$O$2:$O$2000,MATCH($A25,MASTER!$A$2:$A$2000,0))),"")</f>
        <v/>
      </c>
      <c r="J25" s="31">
        <f>IFERROR(INDEX(MASTER!$P$2:$P$2000,MATCH($A25,MASTER!$A$2:$A$2000,0))&amp;"","")</f>
        <v/>
      </c>
      <c r="K25" s="31">
        <f>IFERROR(INDEX(MASTER!$Q$2:$Q$2000,MATCH($A25,MASTER!$A$2:$A$2000,0))&amp;"","")</f>
        <v/>
      </c>
      <c r="L25" s="31">
        <f>IFERROR(INDEX(MASTER!$R$2:$R$2000,MATCH($A25,MASTER!$A$2:$A$2000,0))&amp;"","")</f>
        <v/>
      </c>
    </row>
    <row r="26">
      <c r="A26" s="34" t="inlineStr">
        <is>
          <t>PERF-002</t>
        </is>
      </c>
      <c r="B26" s="31">
        <f>IFERROR(INDEX(MASTER!$C$2:$C$2000,MATCH($A26,MASTER!$A$2:$A$2000,0))&amp;"","")</f>
        <v/>
      </c>
      <c r="C26" s="35">
        <f>IFERROR(INDEX(MASTER!$B$2:$B$2000,MATCH($A26,MASTER!$A$2:$A$2000,0)),"")</f>
        <v/>
      </c>
      <c r="D26" s="31">
        <f>IFERROR(INDEX(MASTER!$D$2:$D$2000,MATCH($A26,MASTER!$A$2:$A$2000,0))&amp;"","")</f>
        <v/>
      </c>
      <c r="E26" s="31">
        <f>IFERROR(INDEX(MASTER!$F$2:$F$2000,MATCH($A26,MASTER!$A$2:$A$2000,0))&amp;"","")</f>
        <v/>
      </c>
      <c r="F26" s="31">
        <f>IFERROR(INDEX(MASTER!$G$2:$G$2000,MATCH($A26,MASTER!$A$2:$A$2000,0))&amp;"","NOT IN MASTER")</f>
        <v/>
      </c>
      <c r="G26" s="31">
        <f>IFERROR(INDEX(MASTER!$H$2:$H$2000,MATCH($A26,MASTER!$A$2:$A$2000,0))&amp;"","")</f>
        <v/>
      </c>
      <c r="H26" s="31">
        <f>IFERROR(INDEX(MASTER!$I$2:$I$2000,MATCH($A26,MASTER!$A$2:$A$2000,0))&amp;"","")</f>
        <v/>
      </c>
      <c r="I26" s="41">
        <f>IFERROR(IF(INDEX(MASTER!$O$2:$O$2000,MATCH($A26,MASTER!$A$2:$A$2000,0))="","",INDEX(MASTER!$O$2:$O$2000,MATCH($A26,MASTER!$A$2:$A$2000,0))),"")</f>
        <v/>
      </c>
      <c r="J26" s="31">
        <f>IFERROR(INDEX(MASTER!$P$2:$P$2000,MATCH($A26,MASTER!$A$2:$A$2000,0))&amp;"","")</f>
        <v/>
      </c>
      <c r="K26" s="31">
        <f>IFERROR(INDEX(MASTER!$Q$2:$Q$2000,MATCH($A26,MASTER!$A$2:$A$2000,0))&amp;"","")</f>
        <v/>
      </c>
      <c r="L26" s="31">
        <f>IFERROR(INDEX(MASTER!$R$2:$R$2000,MATCH($A26,MASTER!$A$2:$A$2000,0))&amp;"","")</f>
        <v/>
      </c>
    </row>
    <row r="27">
      <c r="A27" s="34" t="inlineStr">
        <is>
          <t>PERF-003</t>
        </is>
      </c>
      <c r="B27" s="31">
        <f>IFERROR(INDEX(MASTER!$C$2:$C$2000,MATCH($A27,MASTER!$A$2:$A$2000,0))&amp;"","")</f>
        <v/>
      </c>
      <c r="C27" s="35">
        <f>IFERROR(INDEX(MASTER!$B$2:$B$2000,MATCH($A27,MASTER!$A$2:$A$2000,0)),"")</f>
        <v/>
      </c>
      <c r="D27" s="31">
        <f>IFERROR(INDEX(MASTER!$D$2:$D$2000,MATCH($A27,MASTER!$A$2:$A$2000,0))&amp;"","")</f>
        <v/>
      </c>
      <c r="E27" s="31">
        <f>IFERROR(INDEX(MASTER!$F$2:$F$2000,MATCH($A27,MASTER!$A$2:$A$2000,0))&amp;"","")</f>
        <v/>
      </c>
      <c r="F27" s="31">
        <f>IFERROR(INDEX(MASTER!$G$2:$G$2000,MATCH($A27,MASTER!$A$2:$A$2000,0))&amp;"","NOT IN MASTER")</f>
        <v/>
      </c>
      <c r="G27" s="31">
        <f>IFERROR(INDEX(MASTER!$H$2:$H$2000,MATCH($A27,MASTER!$A$2:$A$2000,0))&amp;"","")</f>
        <v/>
      </c>
      <c r="H27" s="31">
        <f>IFERROR(INDEX(MASTER!$I$2:$I$2000,MATCH($A27,MASTER!$A$2:$A$2000,0))&amp;"","")</f>
        <v/>
      </c>
      <c r="I27" s="41">
        <f>IFERROR(IF(INDEX(MASTER!$O$2:$O$2000,MATCH($A27,MASTER!$A$2:$A$2000,0))="","",INDEX(MASTER!$O$2:$O$2000,MATCH($A27,MASTER!$A$2:$A$2000,0))),"")</f>
        <v/>
      </c>
      <c r="J27" s="31">
        <f>IFERROR(INDEX(MASTER!$P$2:$P$2000,MATCH($A27,MASTER!$A$2:$A$2000,0))&amp;"","")</f>
        <v/>
      </c>
      <c r="K27" s="31">
        <f>IFERROR(INDEX(MASTER!$Q$2:$Q$2000,MATCH($A27,MASTER!$A$2:$A$2000,0))&amp;"","")</f>
        <v/>
      </c>
      <c r="L27" s="31">
        <f>IFERROR(INDEX(MASTER!$R$2:$R$2000,MATCH($A27,MASTER!$A$2:$A$2000,0))&amp;"","")</f>
        <v/>
      </c>
    </row>
    <row r="28">
      <c r="A28" s="34" t="inlineStr">
        <is>
          <t>PERF-004</t>
        </is>
      </c>
      <c r="B28" s="31">
        <f>IFERROR(INDEX(MASTER!$C$2:$C$2000,MATCH($A28,MASTER!$A$2:$A$2000,0))&amp;"","")</f>
        <v/>
      </c>
      <c r="C28" s="35">
        <f>IFERROR(INDEX(MASTER!$B$2:$B$2000,MATCH($A28,MASTER!$A$2:$A$2000,0)),"")</f>
        <v/>
      </c>
      <c r="D28" s="31">
        <f>IFERROR(INDEX(MASTER!$D$2:$D$2000,MATCH($A28,MASTER!$A$2:$A$2000,0))&amp;"","")</f>
        <v/>
      </c>
      <c r="E28" s="31">
        <f>IFERROR(INDEX(MASTER!$F$2:$F$2000,MATCH($A28,MASTER!$A$2:$A$2000,0))&amp;"","")</f>
        <v/>
      </c>
      <c r="F28" s="31">
        <f>IFERROR(INDEX(MASTER!$G$2:$G$2000,MATCH($A28,MASTER!$A$2:$A$2000,0))&amp;"","NOT IN MASTER")</f>
        <v/>
      </c>
      <c r="G28" s="31">
        <f>IFERROR(INDEX(MASTER!$H$2:$H$2000,MATCH($A28,MASTER!$A$2:$A$2000,0))&amp;"","")</f>
        <v/>
      </c>
      <c r="H28" s="31">
        <f>IFERROR(INDEX(MASTER!$I$2:$I$2000,MATCH($A28,MASTER!$A$2:$A$2000,0))&amp;"","")</f>
        <v/>
      </c>
      <c r="I28" s="41">
        <f>IFERROR(IF(INDEX(MASTER!$O$2:$O$2000,MATCH($A28,MASTER!$A$2:$A$2000,0))="","",INDEX(MASTER!$O$2:$O$2000,MATCH($A28,MASTER!$A$2:$A$2000,0))),"")</f>
        <v/>
      </c>
      <c r="J28" s="31">
        <f>IFERROR(INDEX(MASTER!$P$2:$P$2000,MATCH($A28,MASTER!$A$2:$A$2000,0))&amp;"","")</f>
        <v/>
      </c>
      <c r="K28" s="31">
        <f>IFERROR(INDEX(MASTER!$Q$2:$Q$2000,MATCH($A28,MASTER!$A$2:$A$2000,0))&amp;"","")</f>
        <v/>
      </c>
      <c r="L28" s="31">
        <f>IFERROR(INDEX(MASTER!$R$2:$R$2000,MATCH($A28,MASTER!$A$2:$A$2000,0))&amp;"","")</f>
        <v/>
      </c>
    </row>
    <row r="29">
      <c r="A29" s="34" t="inlineStr">
        <is>
          <t>PERF-005</t>
        </is>
      </c>
      <c r="B29" s="31">
        <f>IFERROR(INDEX(MASTER!$C$2:$C$2000,MATCH($A29,MASTER!$A$2:$A$2000,0))&amp;"","")</f>
        <v/>
      </c>
      <c r="C29" s="35">
        <f>IFERROR(INDEX(MASTER!$B$2:$B$2000,MATCH($A29,MASTER!$A$2:$A$2000,0)),"")</f>
        <v/>
      </c>
      <c r="D29" s="31">
        <f>IFERROR(INDEX(MASTER!$D$2:$D$2000,MATCH($A29,MASTER!$A$2:$A$2000,0))&amp;"","")</f>
        <v/>
      </c>
      <c r="E29" s="31">
        <f>IFERROR(INDEX(MASTER!$F$2:$F$2000,MATCH($A29,MASTER!$A$2:$A$2000,0))&amp;"","")</f>
        <v/>
      </c>
      <c r="F29" s="31">
        <f>IFERROR(INDEX(MASTER!$G$2:$G$2000,MATCH($A29,MASTER!$A$2:$A$2000,0))&amp;"","NOT IN MASTER")</f>
        <v/>
      </c>
      <c r="G29" s="31">
        <f>IFERROR(INDEX(MASTER!$H$2:$H$2000,MATCH($A29,MASTER!$A$2:$A$2000,0))&amp;"","")</f>
        <v/>
      </c>
      <c r="H29" s="31">
        <f>IFERROR(INDEX(MASTER!$I$2:$I$2000,MATCH($A29,MASTER!$A$2:$A$2000,0))&amp;"","")</f>
        <v/>
      </c>
      <c r="I29" s="41">
        <f>IFERROR(IF(INDEX(MASTER!$O$2:$O$2000,MATCH($A29,MASTER!$A$2:$A$2000,0))="","",INDEX(MASTER!$O$2:$O$2000,MATCH($A29,MASTER!$A$2:$A$2000,0))),"")</f>
        <v/>
      </c>
      <c r="J29" s="31">
        <f>IFERROR(INDEX(MASTER!$P$2:$P$2000,MATCH($A29,MASTER!$A$2:$A$2000,0))&amp;"","")</f>
        <v/>
      </c>
      <c r="K29" s="31">
        <f>IFERROR(INDEX(MASTER!$Q$2:$Q$2000,MATCH($A29,MASTER!$A$2:$A$2000,0))&amp;"","")</f>
        <v/>
      </c>
      <c r="L29" s="31">
        <f>IFERROR(INDEX(MASTER!$R$2:$R$2000,MATCH($A29,MASTER!$A$2:$A$2000,0))&amp;"","")</f>
        <v/>
      </c>
    </row>
    <row r="30">
      <c r="A30" s="34" t="inlineStr">
        <is>
          <t>PERF-006</t>
        </is>
      </c>
      <c r="B30" s="31">
        <f>IFERROR(INDEX(MASTER!$C$2:$C$2000,MATCH($A30,MASTER!$A$2:$A$2000,0))&amp;"","")</f>
        <v/>
      </c>
      <c r="C30" s="35">
        <f>IFERROR(INDEX(MASTER!$B$2:$B$2000,MATCH($A30,MASTER!$A$2:$A$2000,0)),"")</f>
        <v/>
      </c>
      <c r="D30" s="31">
        <f>IFERROR(INDEX(MASTER!$D$2:$D$2000,MATCH($A30,MASTER!$A$2:$A$2000,0))&amp;"","")</f>
        <v/>
      </c>
      <c r="E30" s="31">
        <f>IFERROR(INDEX(MASTER!$F$2:$F$2000,MATCH($A30,MASTER!$A$2:$A$2000,0))&amp;"","")</f>
        <v/>
      </c>
      <c r="F30" s="31">
        <f>IFERROR(INDEX(MASTER!$G$2:$G$2000,MATCH($A30,MASTER!$A$2:$A$2000,0))&amp;"","NOT IN MASTER")</f>
        <v/>
      </c>
      <c r="G30" s="31">
        <f>IFERROR(INDEX(MASTER!$H$2:$H$2000,MATCH($A30,MASTER!$A$2:$A$2000,0))&amp;"","")</f>
        <v/>
      </c>
      <c r="H30" s="31">
        <f>IFERROR(INDEX(MASTER!$I$2:$I$2000,MATCH($A30,MASTER!$A$2:$A$2000,0))&amp;"","")</f>
        <v/>
      </c>
      <c r="I30" s="41">
        <f>IFERROR(IF(INDEX(MASTER!$O$2:$O$2000,MATCH($A30,MASTER!$A$2:$A$2000,0))="","",INDEX(MASTER!$O$2:$O$2000,MATCH($A30,MASTER!$A$2:$A$2000,0))),"")</f>
        <v/>
      </c>
      <c r="J30" s="31">
        <f>IFERROR(INDEX(MASTER!$P$2:$P$2000,MATCH($A30,MASTER!$A$2:$A$2000,0))&amp;"","")</f>
        <v/>
      </c>
      <c r="K30" s="31">
        <f>IFERROR(INDEX(MASTER!$Q$2:$Q$2000,MATCH($A30,MASTER!$A$2:$A$2000,0))&amp;"","")</f>
        <v/>
      </c>
      <c r="L30" s="31">
        <f>IFERROR(INDEX(MASTER!$R$2:$R$2000,MATCH($A30,MASTER!$A$2:$A$2000,0))&amp;"","")</f>
        <v/>
      </c>
    </row>
    <row r="31">
      <c r="A31" s="34" t="inlineStr">
        <is>
          <t>PERF-007</t>
        </is>
      </c>
      <c r="B31" s="31">
        <f>IFERROR(INDEX(MASTER!$C$2:$C$2000,MATCH($A31,MASTER!$A$2:$A$2000,0))&amp;"","")</f>
        <v/>
      </c>
      <c r="C31" s="35">
        <f>IFERROR(INDEX(MASTER!$B$2:$B$2000,MATCH($A31,MASTER!$A$2:$A$2000,0)),"")</f>
        <v/>
      </c>
      <c r="D31" s="31">
        <f>IFERROR(INDEX(MASTER!$D$2:$D$2000,MATCH($A31,MASTER!$A$2:$A$2000,0))&amp;"","")</f>
        <v/>
      </c>
      <c r="E31" s="31">
        <f>IFERROR(INDEX(MASTER!$F$2:$F$2000,MATCH($A31,MASTER!$A$2:$A$2000,0))&amp;"","")</f>
        <v/>
      </c>
      <c r="F31" s="31">
        <f>IFERROR(INDEX(MASTER!$G$2:$G$2000,MATCH($A31,MASTER!$A$2:$A$2000,0))&amp;"","NOT IN MASTER")</f>
        <v/>
      </c>
      <c r="G31" s="31">
        <f>IFERROR(INDEX(MASTER!$H$2:$H$2000,MATCH($A31,MASTER!$A$2:$A$2000,0))&amp;"","")</f>
        <v/>
      </c>
      <c r="H31" s="31">
        <f>IFERROR(INDEX(MASTER!$I$2:$I$2000,MATCH($A31,MASTER!$A$2:$A$2000,0))&amp;"","")</f>
        <v/>
      </c>
      <c r="I31" s="41">
        <f>IFERROR(IF(INDEX(MASTER!$O$2:$O$2000,MATCH($A31,MASTER!$A$2:$A$2000,0))="","",INDEX(MASTER!$O$2:$O$2000,MATCH($A31,MASTER!$A$2:$A$2000,0))),"")</f>
        <v/>
      </c>
      <c r="J31" s="31">
        <f>IFERROR(INDEX(MASTER!$P$2:$P$2000,MATCH($A31,MASTER!$A$2:$A$2000,0))&amp;"","")</f>
        <v/>
      </c>
      <c r="K31" s="31">
        <f>IFERROR(INDEX(MASTER!$Q$2:$Q$2000,MATCH($A31,MASTER!$A$2:$A$2000,0))&amp;"","")</f>
        <v/>
      </c>
      <c r="L31" s="31">
        <f>IFERROR(INDEX(MASTER!$R$2:$R$2000,MATCH($A31,MASTER!$A$2:$A$2000,0))&amp;"","")</f>
        <v/>
      </c>
    </row>
  </sheetData>
  <autoFilter ref="A24:L31"/>
  <conditionalFormatting sqref="F8:F20">
    <cfRule type="cellIs" priority="1" operator="equal" dxfId="347">
      <formula>"WITHIN"</formula>
    </cfRule>
    <cfRule type="cellIs" priority="2" operator="equal" dxfId="341">
      <formula>"OVER"</formula>
    </cfRule>
  </conditionalFormatting>
  <conditionalFormatting sqref="F25:F31">
    <cfRule type="cellIs" priority="3" operator="equal" dxfId="347">
      <formula>"DONE"</formula>
    </cfRule>
    <cfRule type="cellIs" priority="4" operator="equal" dxfId="346">
      <formula>"VERIFIED"</formula>
    </cfRule>
    <cfRule type="cellIs" priority="5" operator="equal" dxfId="342">
      <formula>"IN_PROGRESS"</formula>
    </cfRule>
    <cfRule type="cellIs" priority="6" operator="equal" dxfId="344">
      <formula>"IMPLEMENTED"</formula>
    </cfRule>
    <cfRule type="cellIs" priority="7" operator="equal" dxfId="345">
      <formula>"TESTING"</formula>
    </cfRule>
    <cfRule type="cellIs" priority="8" operator="equal" dxfId="343">
      <formula>"BLOCKED"</formula>
    </cfRule>
    <cfRule type="cellIs" priority="9" operator="equal" dxfId="341">
      <formula>"FAILED"</formula>
    </cfRule>
    <cfRule type="cellIs" priority="10" operator="equal" dxfId="348">
      <formula>"DEFERRED"</formula>
    </cfRule>
    <cfRule type="cellIs" priority="11" operator="equal" dxfId="349">
      <formula>"UNKNOWN"</formula>
    </cfRule>
    <cfRule type="cellIs" priority="12" operator="equal" dxfId="347">
      <formula>"PASS"</formula>
    </cfRule>
    <cfRule type="cellIs" priority="13" operator="equal" dxfId="341">
      <formula>"FAIL"</formula>
    </cfRule>
    <cfRule type="cellIs" priority="14" operator="equal" dxfId="342">
      <formula>"PARTIAL"</formula>
    </cfRule>
    <cfRule type="cellIs" priority="15" operator="equal" dxfId="347">
      <formula>"RESOLVED"</formula>
    </cfRule>
    <cfRule type="cellIs" priority="16" operator="equal" dxfId="351">
      <formula>"OPEN"</formula>
    </cfRule>
    <cfRule type="cellIs" priority="17" operator="equal" dxfId="347">
      <formula>"WITHIN"</formula>
    </cfRule>
    <cfRule type="cellIs" priority="18" operator="equal" dxfId="341">
      <formula>"OVER"</formula>
    </cfRule>
    <cfRule type="cellIs" priority="19" operator="equal" dxfId="352">
      <formula>"NOW"</formula>
    </cfRule>
    <cfRule type="cellIs" priority="20" operator="equal" dxfId="353">
      <formula>"NOT IN MASTER"</formula>
    </cfRule>
  </conditionalFormatting>
  <conditionalFormatting sqref="E25:E31">
    <cfRule type="cellIs" priority="21" operator="equal" dxfId="341">
      <formula>"P0"</formula>
    </cfRule>
    <cfRule type="cellIs" priority="22" operator="equal" dxfId="350">
      <formula>"P1"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L150"/>
  <sheetViews>
    <sheetView workbookViewId="0">
      <pane ySplit="4" topLeftCell="A5" activePane="bottomLeft" state="frozen"/>
      <selection pane="bottomLeft" activeCell="A1" sqref="A1"/>
    </sheetView>
  </sheetViews>
  <sheetFormatPr baseColWidth="8" defaultRowHeight="15"/>
  <cols>
    <col width="12" customWidth="1" min="1" max="1"/>
    <col width="16" customWidth="1" min="2" max="2"/>
    <col width="9" customWidth="1" min="3" max="3"/>
    <col width="50" customWidth="1" min="4" max="4"/>
    <col width="9" customWidth="1" min="5" max="5"/>
    <col width="14" customWidth="1" min="6" max="6"/>
    <col width="40" customWidth="1" min="7" max="7"/>
    <col width="34" customWidth="1" min="8" max="8"/>
    <col width="16" customWidth="1" min="9" max="9"/>
    <col width="11" customWidth="1" min="10" max="10"/>
    <col width="40" customWidth="1" min="11" max="11"/>
    <col width="11" customWidth="1" min="12" max="12"/>
  </cols>
  <sheetData>
    <row r="1">
      <c r="A1" s="22" t="inlineStr">
        <is>
          <t>TESTING — Testing</t>
        </is>
      </c>
    </row>
    <row r="2">
      <c r="A2" s="23" t="inlineStr">
        <is>
          <t>Test runs and testing tasks.</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COUNTIF(MASTER!$C$2:$C$2000,"TESTING")</f>
        <v/>
      </c>
      <c r="B4" s="26">
        <f>COUNTIFS(MASTER!$C$2:$C$2000,"TESTING",MASTER!$G$2:$G$2000,"DONE")</f>
        <v/>
      </c>
      <c r="C4" s="26">
        <f>COUNTIFS(MASTER!$C$2:$C$2000,"TESTING",MASTER!$G$2:$G$2000,"VERIFIED")+B4</f>
        <v/>
      </c>
      <c r="D4" s="26">
        <f>COUNTIFS(MASTER!$C$2:$C$2000,"TESTING",MASTER!$G$2:$G$2000,"IN_PROGRESS")+COUNTIFS(MASTER!$C$2:$C$2000,"TESTING",MASTER!$G$2:$G$2000,"IMPLEMENTED")+COUNTIFS(MASTER!$C$2:$C$2000,"TESTING",MASTER!$G$2:$G$2000,"TESTING")</f>
        <v/>
      </c>
      <c r="E4" s="26">
        <f>COUNTIFS(MASTER!$C$2:$C$2000,"TESTING",MASTER!$G$2:$G$2000,"BLOCKED")</f>
        <v/>
      </c>
      <c r="F4" s="26">
        <f>COUNTIFS(MASTER!$C$2:$C$2000,"TESTING",MASTER!$G$2:$G$2000,"FAILED")</f>
        <v/>
      </c>
      <c r="G4" s="28">
        <f>IF(A4=0,0,B4/A4)</f>
        <v/>
      </c>
      <c r="H4" s="28">
        <f>IF(A4=0,0,C4/A4)</f>
        <v/>
      </c>
    </row>
    <row r="6">
      <c r="A6" s="24" t="inlineStr">
        <is>
          <t>Test runs (oldest first)</t>
        </is>
      </c>
    </row>
    <row r="7">
      <c r="A7" s="29" t="inlineStr">
        <is>
          <t>Run ID</t>
        </is>
      </c>
      <c r="B7" s="29" t="inlineStr">
        <is>
          <t>Suite</t>
        </is>
      </c>
      <c r="C7" s="29" t="inlineStr">
        <is>
          <t>Result</t>
        </is>
      </c>
      <c r="D7" s="29" t="inlineStr">
        <is>
          <t>Command</t>
        </is>
      </c>
      <c r="E7" s="29" t="inlineStr">
        <is>
          <t>Passed</t>
        </is>
      </c>
      <c r="F7" s="29" t="inlineStr">
        <is>
          <t>Failed</t>
        </is>
      </c>
      <c r="G7" s="29" t="inlineStr">
        <is>
          <t>Notes</t>
        </is>
      </c>
      <c r="H7" s="29" t="inlineStr">
        <is>
          <t>Skipped</t>
        </is>
      </c>
      <c r="I7" s="29" t="inlineStr">
        <is>
          <t>Date</t>
        </is>
      </c>
      <c r="J7" s="29" t="inlineStr">
        <is>
          <t>Duration (s)</t>
        </is>
      </c>
      <c r="K7" s="29" t="inlineStr">
        <is>
          <t>Commit</t>
        </is>
      </c>
    </row>
    <row r="8">
      <c r="A8" s="34" t="inlineStr">
        <is>
          <t>RUN-0001</t>
        </is>
      </c>
      <c r="B8" s="31" t="inlineStr">
        <is>
          <t>backend-pytest</t>
        </is>
      </c>
      <c r="C8" s="31" t="inlineStr">
        <is>
          <t>PASS</t>
        </is>
      </c>
      <c r="D8" s="37" t="inlineStr">
        <is>
          <t>cd backend &amp;&amp; venv/Scripts/python -m pytest -q -p no:cacheprovider</t>
        </is>
      </c>
      <c r="E8" s="31" t="n">
        <v>643</v>
      </c>
      <c r="F8" s="31" t="n">
        <v>0</v>
      </c>
      <c r="G8" s="37" t="inlineStr">
        <is>
          <t>Skip: optional real-Word check (SMARTDOC_REAL_DOCX unset). 1 DeprecationWarning (starlette/anyio). Audit measured 93% line coverage on 2026-09-26.</t>
        </is>
      </c>
      <c r="H8" s="31" t="n">
        <v>1</v>
      </c>
      <c r="I8" s="41" t="n">
        <v>46292.16672453703</v>
      </c>
      <c r="J8" s="31" t="n">
        <v>88</v>
      </c>
      <c r="K8" s="31" t="inlineStr">
        <is>
          <t>ea69829</t>
        </is>
      </c>
    </row>
    <row r="9">
      <c r="A9" s="34" t="inlineStr">
        <is>
          <t>RUN-0002</t>
        </is>
      </c>
      <c r="B9" s="31" t="inlineStr">
        <is>
          <t>frontend-lint</t>
        </is>
      </c>
      <c r="C9" s="31" t="inlineStr">
        <is>
          <t>PASS</t>
        </is>
      </c>
      <c r="D9" s="37" t="inlineStr">
        <is>
          <t>cd frontend &amp;&amp; npm run lint</t>
        </is>
      </c>
      <c r="E9" s="31" t="n">
        <v>0</v>
      </c>
      <c r="F9" s="31" t="n">
        <v>0</v>
      </c>
      <c r="G9" s="37" t="inlineStr">
        <is>
          <t>eslint: 0 problems</t>
        </is>
      </c>
      <c r="H9" s="31" t="n">
        <v>0</v>
      </c>
      <c r="I9" s="41" t="n">
        <v>46292.16675925926</v>
      </c>
      <c r="J9" s="31" t="n">
        <v>53</v>
      </c>
      <c r="K9" s="31" t="inlineStr">
        <is>
          <t>ea69829</t>
        </is>
      </c>
    </row>
    <row r="10">
      <c r="A10" s="34" t="inlineStr">
        <is>
          <t>RUN-0003</t>
        </is>
      </c>
      <c r="B10" s="31" t="inlineStr">
        <is>
          <t>frontend-tsc</t>
        </is>
      </c>
      <c r="C10" s="31" t="inlineStr">
        <is>
          <t>PASS</t>
        </is>
      </c>
      <c r="D10" s="37" t="inlineStr">
        <is>
          <t>cd frontend &amp;&amp; npx tsc --noEmit</t>
        </is>
      </c>
      <c r="E10" s="31" t="n">
        <v>0</v>
      </c>
      <c r="F10" s="31" t="n">
        <v>0</v>
      </c>
      <c r="G10" s="37" t="inlineStr">
        <is>
          <t>0 type errors</t>
        </is>
      </c>
      <c r="H10" s="31" t="n">
        <v>0</v>
      </c>
      <c r="I10" s="41" t="n">
        <v>46292.16679398148</v>
      </c>
      <c r="J10" s="31" t="n">
        <v>7</v>
      </c>
      <c r="K10" s="31" t="inlineStr">
        <is>
          <t>ea69829</t>
        </is>
      </c>
    </row>
    <row r="11">
      <c r="A11" s="34" t="inlineStr">
        <is>
          <t>RUN-0004</t>
        </is>
      </c>
      <c r="B11" s="31" t="inlineStr">
        <is>
          <t>frontend-vitest</t>
        </is>
      </c>
      <c r="C11" s="31" t="inlineStr">
        <is>
          <t>PASS</t>
        </is>
      </c>
      <c r="D11" s="37" t="inlineStr">
        <is>
          <t>cd frontend &amp;&amp; npm test</t>
        </is>
      </c>
      <c r="E11" s="31" t="n">
        <v>46</v>
      </c>
      <c r="F11" s="31" t="n">
        <v>0</v>
      </c>
      <c r="G11" s="37" t="inlineStr">
        <is>
          <t>6 test files</t>
        </is>
      </c>
      <c r="H11" s="31" t="n">
        <v>0</v>
      </c>
      <c r="I11" s="41" t="n">
        <v>46292.1668287037</v>
      </c>
      <c r="J11" s="31" t="n">
        <v>30</v>
      </c>
      <c r="K11" s="31" t="inlineStr">
        <is>
          <t>ea69829</t>
        </is>
      </c>
    </row>
    <row r="12">
      <c r="A12" s="34" t="inlineStr">
        <is>
          <t>RUN-0005</t>
        </is>
      </c>
      <c r="B12" s="31" t="inlineStr">
        <is>
          <t>frontend-build</t>
        </is>
      </c>
      <c r="C12" s="31" t="inlineStr">
        <is>
          <t>PASS</t>
        </is>
      </c>
      <c r="D12" s="37" t="inlineStr">
        <is>
          <t>cd frontend &amp;&amp; npm run build</t>
        </is>
      </c>
      <c r="E12" s="31" t="n">
        <v>0</v>
      </c>
      <c r="F12" s="31" t="n">
        <v>0</v>
      </c>
      <c r="G12" s="37" t="inlineStr">
        <is>
          <t>Next.js production build, 11 routes</t>
        </is>
      </c>
      <c r="H12" s="31" t="n">
        <v>0</v>
      </c>
      <c r="I12" s="41" t="n">
        <v>46292.16686342593</v>
      </c>
      <c r="J12" s="31" t="n">
        <v>20</v>
      </c>
      <c r="K12" s="31" t="inlineStr">
        <is>
          <t>ea69829</t>
        </is>
      </c>
    </row>
    <row r="13">
      <c r="A13" s="34" t="inlineStr">
        <is>
          <t>RUN-0006</t>
        </is>
      </c>
      <c r="B13" s="31" t="inlineStr">
        <is>
          <t>e2e-playwright</t>
        </is>
      </c>
      <c r="C13" s="31" t="inlineStr">
        <is>
          <t>PASS</t>
        </is>
      </c>
      <c r="D13" s="37" t="inlineStr">
        <is>
          <t>cd frontend &amp;&amp; npm run test:e2e</t>
        </is>
      </c>
      <c r="E13" s="31" t="n">
        <v>16</v>
      </c>
      <c r="F13" s="31" t="n">
        <v>0</v>
      </c>
      <c r="G13" s="37" t="inlineStr">
        <is>
          <t>Edge; throwaway backend on SQLite (:8100) + production build (:3100). 16 workflows in 5 spec files; the brief asks for 24 (TEST-040). Leaves %TEMP%/smartdoc-e2e-* dirs behind (TEST-006).</t>
        </is>
      </c>
      <c r="H13" s="31" t="n">
        <v>0</v>
      </c>
      <c r="I13" s="41" t="n">
        <v>46292.16689814815</v>
      </c>
      <c r="J13" s="31" t="n">
        <v>67</v>
      </c>
      <c r="K13" s="31" t="inlineStr">
        <is>
          <t>ea69829</t>
        </is>
      </c>
    </row>
    <row r="14">
      <c r="A14" s="34" t="inlineStr">
        <is>
          <t>RUN-0007</t>
        </is>
      </c>
      <c r="B14" s="31" t="inlineStr">
        <is>
          <t>migrations</t>
        </is>
      </c>
      <c r="C14" s="31" t="inlineStr">
        <is>
          <t>PASS</t>
        </is>
      </c>
      <c r="D14" s="37" t="inlineStr">
        <is>
          <t>alembic upgrade head &amp;&amp; alembic check &amp;&amp; alembic downgrade base &amp;&amp; alembic upgrade head (scratch SQLite); alembic upgrade head --sql (PostgreSQL dialect)</t>
        </is>
      </c>
      <c r="E14" s="31" t="n">
        <v>4</v>
      </c>
      <c r="F14" s="31" t="n">
        <v>0</v>
      </c>
      <c r="G14" s="37" t="inlineStr">
        <is>
          <t>head 85211092fe4c; 'No new upgrade operations detected'; offline SQL: 14 tables at head, RLS enabled on every table</t>
        </is>
      </c>
      <c r="H14" s="31" t="n">
        <v>0</v>
      </c>
      <c r="I14" s="41" t="n">
        <v>46292.16693287037</v>
      </c>
      <c r="J14" s="31" t="n"/>
      <c r="K14" s="31" t="inlineStr">
        <is>
          <t>ea69829</t>
        </is>
      </c>
    </row>
    <row r="15">
      <c r="A15" s="34" t="inlineStr">
        <is>
          <t>RUN-0008</t>
        </is>
      </c>
      <c r="B15" s="31" t="inlineStr">
        <is>
          <t>supabase</t>
        </is>
      </c>
      <c r="C15" s="31" t="inlineStr">
        <is>
          <t>PASS</t>
        </is>
      </c>
      <c r="D15" s="37" t="inlineStr">
        <is>
          <t>Supabase MCP: list_migrations, get_advisors security+performance, list_tables (project edmmjmsynjziahwtjuke)</t>
        </is>
      </c>
      <c r="E15" s="31" t="n">
        <v>8</v>
      </c>
      <c r="F15" s="31" t="n">
        <v>0</v>
      </c>
      <c r="G15" s="37" t="inlineStr">
        <is>
          <t>8/8 migrations applied; 14 tables, RLS on all; advisors only INFO: 14x rls_enabled_no_policy (by design: the API connects as owner, PostgREST roles see nothing), 8x unused_index (low traffic)</t>
        </is>
      </c>
      <c r="H15" s="31" t="n">
        <v>0</v>
      </c>
      <c r="I15" s="41" t="n">
        <v>46292.16697916666</v>
      </c>
      <c r="J15" s="31" t="n"/>
      <c r="K15" s="31" t="inlineStr">
        <is>
          <t>ea69829</t>
        </is>
      </c>
    </row>
    <row r="16">
      <c r="A16" s="34" t="inlineStr">
        <is>
          <t>RUN-0009</t>
        </is>
      </c>
      <c r="B16" s="31" t="inlineStr">
        <is>
          <t>pip-audit</t>
        </is>
      </c>
      <c r="C16" s="31" t="inlineStr">
        <is>
          <t>PASS</t>
        </is>
      </c>
      <c r="D16" s="37" t="inlineStr">
        <is>
          <t>uvx pip-audit --disable-pip -r backend/requirements.lock; same for requirements-dev.lock</t>
        </is>
      </c>
      <c r="E16" s="31" t="n">
        <v>2</v>
      </c>
      <c r="F16" s="31" t="n">
        <v>0</v>
      </c>
      <c r="G16" s="37" t="inlineStr">
        <is>
          <t>No known vulnerabilities in either lock file</t>
        </is>
      </c>
      <c r="H16" s="31" t="n">
        <v>0</v>
      </c>
      <c r="I16" s="41" t="n">
        <v>46292.16701388889</v>
      </c>
      <c r="J16" s="31" t="n"/>
      <c r="K16" s="31" t="inlineStr">
        <is>
          <t>ea69829</t>
        </is>
      </c>
    </row>
    <row r="17">
      <c r="A17" s="34" t="inlineStr">
        <is>
          <t>RUN-0010</t>
        </is>
      </c>
      <c r="B17" s="31" t="inlineStr">
        <is>
          <t>npm-audit</t>
        </is>
      </c>
      <c r="C17" s="31" t="inlineStr">
        <is>
          <t>PASS</t>
        </is>
      </c>
      <c r="D17" s="37" t="inlineStr">
        <is>
          <t>cd frontend &amp;&amp; npm audit; npm audit --omit=dev</t>
        </is>
      </c>
      <c r="E17" s="31" t="n">
        <v>1</v>
      </c>
      <c r="F17" s="31" t="n">
        <v>0</v>
      </c>
      <c r="G17" s="37" t="inlineStr">
        <is>
          <t>0 vulnerabilities across 633 dependencies</t>
        </is>
      </c>
      <c r="H17" s="31" t="n">
        <v>0</v>
      </c>
      <c r="I17" s="41" t="n">
        <v>46292.16704861111</v>
      </c>
      <c r="J17" s="31" t="n"/>
      <c r="K17" s="31" t="inlineStr">
        <is>
          <t>ea69829</t>
        </is>
      </c>
    </row>
    <row r="18">
      <c r="A18" s="34" t="inlineStr">
        <is>
          <t>RUN-0011</t>
        </is>
      </c>
      <c r="B18" s="31" t="inlineStr">
        <is>
          <t>docker-compose</t>
        </is>
      </c>
      <c r="C18" s="31" t="inlineStr">
        <is>
          <t>PARTIAL</t>
        </is>
      </c>
      <c r="D18" s="37" t="inlineStr">
        <is>
          <t>docker compose config --quiet</t>
        </is>
      </c>
      <c r="E18" s="31" t="n">
        <v>1</v>
      </c>
      <c r="F18" s="31" t="n">
        <v>0</v>
      </c>
      <c r="G18" s="37" t="inlineStr">
        <is>
          <t>compose file valid (8 services: postgres, redis, minio, minio-bucket, migrate, worker, backend, frontend); images NOT built: Docker daemon not running on this machine (CI builds them on main)</t>
        </is>
      </c>
      <c r="H18" s="31" t="n">
        <v>0</v>
      </c>
      <c r="I18" s="41" t="n">
        <v>46292.16708333333</v>
      </c>
      <c r="J18" s="31" t="n"/>
      <c r="K18" s="31" t="inlineStr">
        <is>
          <t>ea69829</t>
        </is>
      </c>
    </row>
    <row r="19">
      <c r="A19" s="34" t="inlineStr">
        <is>
          <t>RUN-0012</t>
        </is>
      </c>
      <c r="B19" s="31" t="inlineStr">
        <is>
          <t>backend-pytest</t>
        </is>
      </c>
      <c r="C19" s="31" t="inlineStr">
        <is>
          <t>PASS</t>
        </is>
      </c>
      <c r="D19" s="37" t="inlineStr">
        <is>
          <t>cd backend &amp;&amp; venv/Scripts/python -m pytest -q -p no:cacheprovider</t>
        </is>
      </c>
      <c r="E19" s="31" t="n">
        <v>659</v>
      </c>
      <c r="F19" s="31" t="n">
        <v>0</v>
      </c>
      <c r="G19" s="37" t="inlineStr">
        <is>
          <t>Phase 1 editor integrity: +16 tests (nesting model, nested API/exports, health links)</t>
        </is>
      </c>
      <c r="H19" s="31" t="n">
        <v>1</v>
      </c>
      <c r="I19" s="41" t="n">
        <v>46292.19481481481</v>
      </c>
      <c r="J19" s="31" t="n">
        <v>85</v>
      </c>
      <c r="K19" s="31" t="inlineStr">
        <is>
          <t>4da4ecb</t>
        </is>
      </c>
    </row>
    <row r="20">
      <c r="A20" s="34" t="inlineStr">
        <is>
          <t>RUN-0013</t>
        </is>
      </c>
      <c r="B20" s="31" t="inlineStr">
        <is>
          <t>frontend-vitest</t>
        </is>
      </c>
      <c r="C20" s="31" t="inlineStr">
        <is>
          <t>PASS</t>
        </is>
      </c>
      <c r="D20" s="37" t="inlineStr">
        <is>
          <t>cd frontend &amp;&amp; npx vitest run</t>
        </is>
      </c>
      <c r="E20" s="31" t="n">
        <v>77</v>
      </c>
      <c r="F20" s="31" t="n">
        <v>0</v>
      </c>
      <c r="G20" s="37" t="inlineStr">
        <is>
          <t>+31: nestedBlocks.test.ts (28), useAutoSave.test.tsx (3); tsc and eslint clean</t>
        </is>
      </c>
      <c r="H20" s="31" t="n">
        <v>0</v>
      </c>
      <c r="I20" s="41" t="n">
        <v>46292.19484953704</v>
      </c>
      <c r="J20" s="31" t="n">
        <v>4</v>
      </c>
      <c r="K20" s="31" t="inlineStr">
        <is>
          <t>4da4ecb</t>
        </is>
      </c>
    </row>
    <row r="21">
      <c r="A21" s="34" t="inlineStr">
        <is>
          <t>RUN-0014</t>
        </is>
      </c>
      <c r="B21" s="31" t="inlineStr">
        <is>
          <t>e2e-playwright</t>
        </is>
      </c>
      <c r="C21" s="31" t="inlineStr">
        <is>
          <t>PASS</t>
        </is>
      </c>
      <c r="D21" s="37" t="inlineStr">
        <is>
          <t>cd frontend &amp;&amp; npx playwright test</t>
        </is>
      </c>
      <c r="E21" s="31" t="n">
        <v>17</v>
      </c>
      <c r="F21" s="31" t="n">
        <v>0</v>
      </c>
      <c r="G21" s="37" t="inlineStr">
        <is>
          <t>+1: e2e/nested.spec.ts (paste, autosave, reload)</t>
        </is>
      </c>
      <c r="H21" s="31" t="n">
        <v>0</v>
      </c>
      <c r="I21" s="41" t="n">
        <v>46292.19488425926</v>
      </c>
      <c r="J21" s="31" t="n">
        <v>71</v>
      </c>
      <c r="K21" s="31" t="inlineStr">
        <is>
          <t>4da4ecb</t>
        </is>
      </c>
    </row>
    <row r="22">
      <c r="A22" s="34" t="inlineStr">
        <is>
          <t>RUN-0015</t>
        </is>
      </c>
      <c r="B22" s="31" t="inlineStr">
        <is>
          <t>backend-pytest</t>
        </is>
      </c>
      <c r="C22" s="31" t="inlineStr">
        <is>
          <t>PASS</t>
        </is>
      </c>
      <c r="D22" s="37" t="inlineStr">
        <is>
          <t>cd backend &amp;&amp; venv/Scripts/python -m pytest -q -p no:cacheprovider</t>
        </is>
      </c>
      <c r="E22" s="31" t="n">
        <v>688</v>
      </c>
      <c r="F22" s="31" t="n">
        <v>0</v>
      </c>
      <c r="G22" s="37" t="inlineStr">
        <is>
          <t>+29 test_fidelity_report.py</t>
        </is>
      </c>
      <c r="H22" s="31" t="n">
        <v>1</v>
      </c>
      <c r="I22" s="41" t="n">
        <v>46292.2181712963</v>
      </c>
      <c r="J22" s="31" t="n">
        <v>102</v>
      </c>
      <c r="K22" s="31" t="inlineStr">
        <is>
          <t>1fe27a9</t>
        </is>
      </c>
    </row>
    <row r="23">
      <c r="A23" s="34" t="inlineStr">
        <is>
          <t>RUN-0016</t>
        </is>
      </c>
      <c r="B23" s="31" t="inlineStr">
        <is>
          <t>frontend-vitest</t>
        </is>
      </c>
      <c r="C23" s="31" t="inlineStr">
        <is>
          <t>PASS</t>
        </is>
      </c>
      <c r="D23" s="37" t="inlineStr">
        <is>
          <t>cd frontend &amp;&amp; npx vitest run</t>
        </is>
      </c>
      <c r="E23" s="31" t="n">
        <v>80</v>
      </c>
      <c r="F23" s="31" t="n">
        <v>0</v>
      </c>
      <c r="G23" s="37" t="inlineStr">
        <is>
          <t>+3 FidelityPanel.test.tsx</t>
        </is>
      </c>
      <c r="H23" s="31" t="n">
        <v>0</v>
      </c>
      <c r="I23" s="41" t="n">
        <v>46292.21820601852</v>
      </c>
      <c r="J23" s="31" t="n">
        <v>5</v>
      </c>
      <c r="K23" s="31" t="inlineStr">
        <is>
          <t>1fe27a9</t>
        </is>
      </c>
    </row>
    <row r="24">
      <c r="A24" s="34" t="inlineStr">
        <is>
          <t>RUN-0017</t>
        </is>
      </c>
      <c r="B24" s="31" t="inlineStr">
        <is>
          <t>e2e-playwright</t>
        </is>
      </c>
      <c r="C24" s="31" t="inlineStr">
        <is>
          <t>PASS</t>
        </is>
      </c>
      <c r="D24" s="37" t="inlineStr">
        <is>
          <t>cd frontend &amp;&amp; npx playwright test</t>
        </is>
      </c>
      <c r="E24" s="31" t="n">
        <v>18</v>
      </c>
      <c r="F24" s="31" t="n">
        <v>0</v>
      </c>
      <c r="G24" s="37" t="inlineStr">
        <is>
          <t>+fidelity.spec.ts; nested.spec.ts made deterministic (focus check, Ctrl+End) after one run pasted at the document start</t>
        </is>
      </c>
      <c r="H24" s="31" t="n">
        <v>0</v>
      </c>
      <c r="I24" s="41" t="n">
        <v>46292.21824074074</v>
      </c>
      <c r="J24" s="31" t="n">
        <v>72</v>
      </c>
      <c r="K24" s="31" t="inlineStr">
        <is>
          <t>1fe27a9</t>
        </is>
      </c>
    </row>
    <row r="25">
      <c r="A25" s="34" t="inlineStr">
        <is>
          <t>RUN-0018</t>
        </is>
      </c>
      <c r="B25" s="31" t="inlineStr">
        <is>
          <t>backend-pytest</t>
        </is>
      </c>
      <c r="C25" s="31" t="inlineStr">
        <is>
          <t>PASS</t>
        </is>
      </c>
      <c r="D25" s="37" t="inlineStr">
        <is>
          <t>cd backend &amp;&amp; venv/Scripts/python -m pytest -q -p no:cacheprovider</t>
        </is>
      </c>
      <c r="E25" s="31" t="n">
        <v>694</v>
      </c>
      <c r="F25" s="31" t="n">
        <v>0</v>
      </c>
      <c r="G25" s="37" t="inlineStr">
        <is>
          <t>+6 test_export_fidelity.py</t>
        </is>
      </c>
      <c r="H25" s="31" t="n">
        <v>1</v>
      </c>
      <c r="I25" s="41" t="n">
        <v>46292.35068287037</v>
      </c>
      <c r="J25" s="31" t="n">
        <v>107</v>
      </c>
      <c r="K25" s="31" t="inlineStr">
        <is>
          <t>8a330be</t>
        </is>
      </c>
    </row>
    <row r="26">
      <c r="A26" s="34" t="inlineStr">
        <is>
          <t>RUN-0019</t>
        </is>
      </c>
      <c r="B26" s="31" t="inlineStr">
        <is>
          <t>frontend-vitest</t>
        </is>
      </c>
      <c r="C26" s="31" t="inlineStr">
        <is>
          <t>PASS</t>
        </is>
      </c>
      <c r="D26" s="37" t="inlineStr">
        <is>
          <t>cd frontend &amp;&amp; npx vitest run</t>
        </is>
      </c>
      <c r="E26" s="31" t="n">
        <v>84</v>
      </c>
      <c r="F26" s="31" t="n">
        <v>0</v>
      </c>
      <c r="G26" s="37" t="inlineStr">
        <is>
          <t>+4 ExportResult.test.tsx</t>
        </is>
      </c>
      <c r="H26" s="31" t="n">
        <v>0</v>
      </c>
      <c r="I26" s="41" t="n">
        <v>46292.35071759259</v>
      </c>
      <c r="J26" s="31" t="n">
        <v>5</v>
      </c>
      <c r="K26" s="31" t="inlineStr">
        <is>
          <t>8a330be</t>
        </is>
      </c>
    </row>
    <row r="27">
      <c r="A27" s="34" t="inlineStr">
        <is>
          <t>RUN-0020</t>
        </is>
      </c>
      <c r="B27" s="31" t="inlineStr">
        <is>
          <t>e2e-playwright</t>
        </is>
      </c>
      <c r="C27" s="31" t="inlineStr">
        <is>
          <t>PASS</t>
        </is>
      </c>
      <c r="D27" s="37" t="inlineStr">
        <is>
          <t>cd frontend &amp;&amp; npx playwright test</t>
        </is>
      </c>
      <c r="E27" s="31" t="n">
        <v>18</v>
      </c>
      <c r="F27" s="31" t="n">
        <v>0</v>
      </c>
      <c r="G27" s="37" t="inlineStr">
        <is>
          <t>export test checks the export's content message</t>
        </is>
      </c>
      <c r="H27" s="31" t="n">
        <v>0</v>
      </c>
      <c r="I27" s="41" t="n">
        <v>46292.35076388889</v>
      </c>
      <c r="J27" s="31" t="n">
        <v>72</v>
      </c>
      <c r="K27" s="31" t="inlineStr">
        <is>
          <t>8a330be</t>
        </is>
      </c>
    </row>
    <row r="28">
      <c r="A28" s="34" t="inlineStr">
        <is>
          <t>RUN-0021</t>
        </is>
      </c>
      <c r="B28" s="31" t="inlineStr">
        <is>
          <t>backend-pytest</t>
        </is>
      </c>
      <c r="C28" s="31" t="inlineStr">
        <is>
          <t>PASS</t>
        </is>
      </c>
      <c r="D28" s="37" t="inlineStr">
        <is>
          <t>cd backend &amp;&amp; venv/Scripts/python -m pytest -q -p no:cacheprovider</t>
        </is>
      </c>
      <c r="E28" s="31" t="n">
        <v>700</v>
      </c>
      <c r="F28" s="31" t="n">
        <v>0</v>
      </c>
      <c r="G28" s="37" t="inlineStr">
        <is>
          <t>+6 test_capabilities.py</t>
        </is>
      </c>
      <c r="H28" s="31" t="n">
        <v>1</v>
      </c>
      <c r="I28" s="41" t="n">
        <v>46292.35662037037</v>
      </c>
      <c r="J28" s="31" t="n">
        <v>89</v>
      </c>
      <c r="K28" s="31" t="inlineStr">
        <is>
          <t>e55412f</t>
        </is>
      </c>
    </row>
    <row r="29">
      <c r="A29" s="34" t="inlineStr">
        <is>
          <t>RUN-0022</t>
        </is>
      </c>
      <c r="B29" s="31" t="inlineStr">
        <is>
          <t>backend</t>
        </is>
      </c>
      <c r="C29" s="31" t="inlineStr">
        <is>
          <t>PASS</t>
        </is>
      </c>
      <c r="D29" s="37" t="inlineStr">
        <is>
          <t>venv/Scripts/python -m pytest -q</t>
        </is>
      </c>
      <c r="E29" s="31" t="n">
        <v>713</v>
      </c>
      <c r="F29" s="31" t="n">
        <v>0</v>
      </c>
      <c r="G29" s="37" t="inlineStr">
        <is>
          <t>after FID-002 detections + section break fix</t>
        </is>
      </c>
      <c r="H29" s="31" t="n">
        <v>1</v>
      </c>
      <c r="I29" s="41" t="n">
        <v>46292.37425925926</v>
      </c>
      <c r="J29" s="31" t="n">
        <v>92</v>
      </c>
      <c r="K29" s="31" t="inlineStr">
        <is>
          <t>fcf30d7</t>
        </is>
      </c>
    </row>
    <row r="30">
      <c r="A30" s="34" t="inlineStr">
        <is>
          <t>RUN-0023</t>
        </is>
      </c>
      <c r="B30" s="31" t="inlineStr">
        <is>
          <t>frontend-vitest</t>
        </is>
      </c>
      <c r="C30" s="31" t="inlineStr">
        <is>
          <t>PASS</t>
        </is>
      </c>
      <c r="D30" s="37" t="inlineStr">
        <is>
          <t>npx vitest run</t>
        </is>
      </c>
      <c r="E30" s="31" t="n">
        <v>84</v>
      </c>
      <c r="F30" s="31" t="n">
        <v>0</v>
      </c>
      <c r="G30" s="37" t="inlineStr">
        <is>
          <t>tsc --noEmit and eslint clean too</t>
        </is>
      </c>
      <c r="H30" s="31" t="n">
        <v>0</v>
      </c>
      <c r="I30" s="41" t="n">
        <v>46292.37430555555</v>
      </c>
      <c r="J30" s="31" t="n"/>
      <c r="K30" s="31" t="inlineStr">
        <is>
          <t>fcf30d7</t>
        </is>
      </c>
    </row>
    <row r="31">
      <c r="A31" s="34" t="inlineStr">
        <is>
          <t>RUN-0024</t>
        </is>
      </c>
      <c r="B31" s="31" t="inlineStr">
        <is>
          <t>backend</t>
        </is>
      </c>
      <c r="C31" s="31" t="inlineStr">
        <is>
          <t>PASS</t>
        </is>
      </c>
      <c r="D31" s="37" t="inlineStr">
        <is>
          <t>venv/Scripts/python -m pytest -q</t>
        </is>
      </c>
      <c r="E31" s="31" t="n">
        <v>749</v>
      </c>
      <c r="F31" s="31" t="n">
        <v>0</v>
      </c>
      <c r="G31" s="37" t="inlineStr">
        <is>
          <t>rule values (SEC-022) + editor direct styles</t>
        </is>
      </c>
      <c r="H31" s="31" t="n">
        <v>1</v>
      </c>
      <c r="I31" s="41" t="n">
        <v>46292.39811342592</v>
      </c>
      <c r="J31" s="31" t="n">
        <v>95</v>
      </c>
      <c r="K31" s="31" t="inlineStr">
        <is>
          <t>622d9c1</t>
        </is>
      </c>
    </row>
    <row r="32">
      <c r="A32" s="34" t="inlineStr">
        <is>
          <t>RUN-0025</t>
        </is>
      </c>
      <c r="B32" s="31" t="inlineStr">
        <is>
          <t>frontend-vitest</t>
        </is>
      </c>
      <c r="C32" s="31" t="inlineStr">
        <is>
          <t>PASS</t>
        </is>
      </c>
      <c r="D32" s="37" t="inlineStr">
        <is>
          <t>npx vitest run</t>
        </is>
      </c>
      <c r="E32" s="31" t="n">
        <v>109</v>
      </c>
      <c r="F32" s="31" t="n">
        <v>0</v>
      </c>
      <c r="G32" s="37" t="inlineStr">
        <is>
          <t>tsc + eslint clean</t>
        </is>
      </c>
      <c r="H32" s="31" t="n">
        <v>0</v>
      </c>
      <c r="I32" s="41" t="n">
        <v>46292.39814814815</v>
      </c>
      <c r="J32" s="31" t="n"/>
      <c r="K32" s="31" t="inlineStr">
        <is>
          <t>622d9c1</t>
        </is>
      </c>
    </row>
    <row r="33">
      <c r="A33" s="34" t="inlineStr">
        <is>
          <t>RUN-0026</t>
        </is>
      </c>
      <c r="B33" s="31" t="inlineStr">
        <is>
          <t>e2e</t>
        </is>
      </c>
      <c r="C33" s="31" t="inlineStr">
        <is>
          <t>PASS</t>
        </is>
      </c>
      <c r="D33" s="37" t="inlineStr">
        <is>
          <t>npx playwright test</t>
        </is>
      </c>
      <c r="E33" s="31" t="n">
        <v>19</v>
      </c>
      <c r="F33" s="31" t="n">
        <v>0</v>
      </c>
      <c r="G33" s="37" t="inlineStr">
        <is>
          <t>incl. e2e/direct-formatting.spec.ts</t>
        </is>
      </c>
      <c r="H33" s="31" t="n">
        <v>0</v>
      </c>
      <c r="I33" s="41" t="n">
        <v>46292.39819444445</v>
      </c>
      <c r="J33" s="31" t="n">
        <v>72</v>
      </c>
      <c r="K33" s="31" t="inlineStr">
        <is>
          <t>622d9c1</t>
        </is>
      </c>
    </row>
    <row r="34">
      <c r="A34" s="34" t="inlineStr">
        <is>
          <t>RUN-0027</t>
        </is>
      </c>
      <c r="B34" s="31" t="inlineStr">
        <is>
          <t>backend</t>
        </is>
      </c>
      <c r="C34" s="31" t="inlineStr">
        <is>
          <t>PASS</t>
        </is>
      </c>
      <c r="D34" s="37" t="inlineStr">
        <is>
          <t>venv/Scripts/python -m pytest -q</t>
        </is>
      </c>
      <c r="E34" s="31" t="n">
        <v>754</v>
      </c>
      <c r="F34" s="31" t="n">
        <v>0</v>
      </c>
      <c r="G34" s="37" t="inlineStr">
        <is>
          <t>Phase 1 gate: link titles, mark order, Markdown pictures/rules</t>
        </is>
      </c>
      <c r="H34" s="31" t="n">
        <v>1</v>
      </c>
      <c r="I34" s="41" t="n">
        <v>46292.41394675926</v>
      </c>
      <c r="J34" s="31" t="n">
        <v>113</v>
      </c>
      <c r="K34" s="31" t="inlineStr">
        <is>
          <t>53c84e4</t>
        </is>
      </c>
    </row>
    <row r="35">
      <c r="A35" s="34" t="inlineStr">
        <is>
          <t>RUN-0028</t>
        </is>
      </c>
      <c r="B35" s="31" t="inlineStr">
        <is>
          <t>frontend-vitest</t>
        </is>
      </c>
      <c r="C35" s="31" t="inlineStr">
        <is>
          <t>PASS</t>
        </is>
      </c>
      <c r="D35" s="37" t="inlineStr">
        <is>
          <t>npx vitest run</t>
        </is>
      </c>
      <c r="E35" s="31" t="n">
        <v>113</v>
      </c>
      <c r="F35" s="31" t="n">
        <v>0</v>
      </c>
      <c r="G35" s="37" t="inlineStr">
        <is>
          <t>Phase 1 gate; tsc + eslint clean</t>
        </is>
      </c>
      <c r="H35" s="31" t="n">
        <v>0</v>
      </c>
      <c r="I35" s="41" t="n">
        <v>46292.41398148148</v>
      </c>
      <c r="J35" s="31" t="n"/>
      <c r="K35" s="31" t="inlineStr">
        <is>
          <t>53c84e4</t>
        </is>
      </c>
    </row>
    <row r="36">
      <c r="A36" s="34" t="inlineStr">
        <is>
          <t>RUN-0029</t>
        </is>
      </c>
      <c r="B36" s="31" t="inlineStr">
        <is>
          <t>e2e</t>
        </is>
      </c>
      <c r="C36" s="31" t="inlineStr">
        <is>
          <t>PASS</t>
        </is>
      </c>
      <c r="D36" s="37" t="inlineStr">
        <is>
          <t>npx playwright test</t>
        </is>
      </c>
      <c r="E36" s="31" t="n">
        <v>19</v>
      </c>
      <c r="F36" s="31" t="n">
        <v>0</v>
      </c>
      <c r="G36" s="37" t="inlineStr">
        <is>
          <t>Phase 1 gate</t>
        </is>
      </c>
      <c r="H36" s="31" t="n">
        <v>0</v>
      </c>
      <c r="I36" s="41" t="n">
        <v>46292.41402777778</v>
      </c>
      <c r="J36" s="31" t="n">
        <v>96</v>
      </c>
      <c r="K36" s="31" t="inlineStr">
        <is>
          <t>53c84e4</t>
        </is>
      </c>
    </row>
    <row r="37">
      <c r="A37" s="34" t="inlineStr">
        <is>
          <t>RUN-0030</t>
        </is>
      </c>
      <c r="B37" s="31" t="inlineStr">
        <is>
          <t>backend</t>
        </is>
      </c>
      <c r="C37" s="31" t="inlineStr">
        <is>
          <t>PASS</t>
        </is>
      </c>
      <c r="D37" s="37" t="inlineStr">
        <is>
          <t>venv/Scripts/python -m pytest -q</t>
        </is>
      </c>
      <c r="E37" s="31" t="n">
        <v>789</v>
      </c>
      <c r="F37" s="31" t="n">
        <v>0</v>
      </c>
      <c r="G37" s="37" t="inlineStr">
        <is>
          <t>AI fidelity check (AI-001..004)</t>
        </is>
      </c>
      <c r="H37" s="31" t="n">
        <v>1</v>
      </c>
      <c r="I37" s="41" t="n">
        <v>46292.60590277778</v>
      </c>
      <c r="J37" s="31" t="n">
        <v>96</v>
      </c>
      <c r="K37" s="31" t="inlineStr">
        <is>
          <t>de23961</t>
        </is>
      </c>
    </row>
    <row r="38">
      <c r="A38" s="34" t="inlineStr">
        <is>
          <t>RUN-0031</t>
        </is>
      </c>
      <c r="B38" s="31" t="inlineStr">
        <is>
          <t>backend</t>
        </is>
      </c>
      <c r="C38" s="31" t="inlineStr">
        <is>
          <t>PASS</t>
        </is>
      </c>
      <c r="D38" s="37" t="inlineStr">
        <is>
          <t>venv/Scripts/python -m pytest -q</t>
        </is>
      </c>
      <c r="E38" s="31" t="n">
        <v>799</v>
      </c>
      <c r="F38" s="31" t="n">
        <v>0</v>
      </c>
      <c r="G38" s="37" t="inlineStr">
        <is>
          <t>AI proposals</t>
        </is>
      </c>
      <c r="H38" s="31" t="n">
        <v>1</v>
      </c>
      <c r="I38" s="41" t="n">
        <v>46292.60637731481</v>
      </c>
      <c r="J38" s="31" t="n">
        <v>93</v>
      </c>
      <c r="K38" s="31" t="inlineStr">
        <is>
          <t>de23961</t>
        </is>
      </c>
    </row>
    <row r="39">
      <c r="A39" s="34" t="inlineStr">
        <is>
          <t>RUN-0032</t>
        </is>
      </c>
      <c r="B39" s="31" t="inlineStr">
        <is>
          <t>frontend-vitest</t>
        </is>
      </c>
      <c r="C39" s="31" t="inlineStr">
        <is>
          <t>PASS</t>
        </is>
      </c>
      <c r="D39" s="37" t="inlineStr">
        <is>
          <t>npx vitest run</t>
        </is>
      </c>
      <c r="E39" s="31" t="n">
        <v>117</v>
      </c>
      <c r="F39" s="31" t="n">
        <v>0</v>
      </c>
      <c r="G39" s="37" t="inlineStr">
        <is>
          <t>tsc + eslint clean</t>
        </is>
      </c>
      <c r="H39" s="31" t="n">
        <v>0</v>
      </c>
      <c r="I39" s="41" t="n">
        <v>46292.60642361111</v>
      </c>
      <c r="J39" s="31" t="n"/>
      <c r="K39" s="31" t="inlineStr">
        <is>
          <t>de23961</t>
        </is>
      </c>
    </row>
    <row r="40">
      <c r="A40" s="34" t="inlineStr">
        <is>
          <t>RUN-0033</t>
        </is>
      </c>
      <c r="B40" s="31" t="inlineStr">
        <is>
          <t>e2e</t>
        </is>
      </c>
      <c r="C40" s="31" t="inlineStr">
        <is>
          <t>PASS</t>
        </is>
      </c>
      <c r="D40" s="37" t="inlineStr">
        <is>
          <t>npx playwright test</t>
        </is>
      </c>
      <c r="E40" s="31" t="n">
        <v>20</v>
      </c>
      <c r="F40" s="31" t="n">
        <v>0</v>
      </c>
      <c r="G40" s="37" t="inlineStr">
        <is>
          <t>incl. e2e/proposals.spec.ts</t>
        </is>
      </c>
      <c r="H40" s="31" t="n">
        <v>0</v>
      </c>
      <c r="I40" s="41" t="n">
        <v>46292.60645833334</v>
      </c>
      <c r="J40" s="31" t="n">
        <v>78</v>
      </c>
      <c r="K40" s="31" t="inlineStr">
        <is>
          <t>de23961</t>
        </is>
      </c>
    </row>
    <row r="41">
      <c r="A41" s="34" t="inlineStr">
        <is>
          <t>RUN-0034</t>
        </is>
      </c>
      <c r="B41" s="31" t="inlineStr">
        <is>
          <t>backend</t>
        </is>
      </c>
      <c r="C41" s="31" t="inlineStr">
        <is>
          <t>PASS</t>
        </is>
      </c>
      <c r="D41" s="37" t="inlineStr">
        <is>
          <t>venv/Scripts/python -m pytest -q</t>
        </is>
      </c>
      <c r="E41" s="31" t="n">
        <v>805</v>
      </c>
      <c r="F41" s="31" t="n">
        <v>0</v>
      </c>
      <c r="G41" s="37" t="inlineStr">
        <is>
          <t>AI budget</t>
        </is>
      </c>
      <c r="H41" s="31" t="n">
        <v>1</v>
      </c>
      <c r="I41" s="41" t="n">
        <v>46292.60673611111</v>
      </c>
      <c r="J41" s="31" t="n">
        <v>94</v>
      </c>
      <c r="K41" s="31" t="inlineStr">
        <is>
          <t>de23961</t>
        </is>
      </c>
    </row>
    <row r="42">
      <c r="A42" s="34" t="inlineStr">
        <is>
          <t>RUN-0035</t>
        </is>
      </c>
      <c r="B42" s="31" t="inlineStr">
        <is>
          <t>backend</t>
        </is>
      </c>
      <c r="C42" s="31" t="inlineStr">
        <is>
          <t>PASS</t>
        </is>
      </c>
      <c r="D42" s="37" t="inlineStr">
        <is>
          <t>venv/Scripts/python -m pytest -q</t>
        </is>
      </c>
      <c r="E42" s="31" t="n">
        <v>817</v>
      </c>
      <c r="F42" s="31" t="n">
        <v>0</v>
      </c>
      <c r="G42" s="37" t="inlineStr">
        <is>
          <t>prompt-injection review</t>
        </is>
      </c>
      <c r="H42" s="31" t="n">
        <v>1</v>
      </c>
      <c r="I42" s="41" t="n">
        <v>46292.60693287037</v>
      </c>
      <c r="J42" s="31" t="n">
        <v>97</v>
      </c>
      <c r="K42" s="31" t="inlineStr">
        <is>
          <t>de23961</t>
        </is>
      </c>
    </row>
    <row r="43">
      <c r="A43" s="34" t="inlineStr">
        <is>
          <t>RUN-0036</t>
        </is>
      </c>
      <c r="B43" s="31" t="inlineStr">
        <is>
          <t>e2e</t>
        </is>
      </c>
      <c r="C43" s="31" t="inlineStr">
        <is>
          <t>PASS</t>
        </is>
      </c>
      <c r="D43" s="37" t="inlineStr">
        <is>
          <t>npx playwright test</t>
        </is>
      </c>
      <c r="E43" s="31" t="n">
        <v>20</v>
      </c>
      <c r="F43" s="31" t="n">
        <v>0</v>
      </c>
      <c r="G43" s="37" t="inlineStr">
        <is>
          <t>Phase 2 gate</t>
        </is>
      </c>
      <c r="H43" s="31" t="n">
        <v>0</v>
      </c>
      <c r="I43" s="41" t="n">
        <v>46292.60714120371</v>
      </c>
      <c r="J43" s="31" t="n">
        <v>78</v>
      </c>
      <c r="K43" s="31" t="inlineStr">
        <is>
          <t>de23961</t>
        </is>
      </c>
    </row>
    <row r="44">
      <c r="A44" s="34" t="inlineStr">
        <is>
          <t>RUN-0037</t>
        </is>
      </c>
      <c r="B44" s="31" t="inlineStr">
        <is>
          <t>frontend-vitest</t>
        </is>
      </c>
      <c r="C44" s="31" t="inlineStr">
        <is>
          <t>PASS</t>
        </is>
      </c>
      <c r="D44" s="37" t="inlineStr">
        <is>
          <t>npx vitest run</t>
        </is>
      </c>
      <c r="E44" s="31" t="n">
        <v>117</v>
      </c>
      <c r="F44" s="31" t="n">
        <v>0</v>
      </c>
      <c r="G44" s="37" t="inlineStr">
        <is>
          <t>Phase 2 gate</t>
        </is>
      </c>
      <c r="H44" s="31" t="n">
        <v>0</v>
      </c>
      <c r="I44" s="41" t="n">
        <v>46292.6071875</v>
      </c>
      <c r="J44" s="31" t="n"/>
      <c r="K44" s="31" t="inlineStr">
        <is>
          <t>de23961</t>
        </is>
      </c>
    </row>
    <row r="45">
      <c r="A45" s="34" t="inlineStr">
        <is>
          <t>RUN-0038</t>
        </is>
      </c>
      <c r="B45" s="31" t="inlineStr">
        <is>
          <t>backend</t>
        </is>
      </c>
      <c r="C45" s="31" t="inlineStr">
        <is>
          <t>PASS</t>
        </is>
      </c>
      <c r="D45" s="37" t="inlineStr">
        <is>
          <t>venv/Scripts/python -m pytest -q</t>
        </is>
      </c>
      <c r="E45" s="31" t="n">
        <v>838</v>
      </c>
      <c r="F45" s="31" t="n">
        <v>0</v>
      </c>
      <c r="G45" s="37" t="inlineStr">
        <is>
          <t>source package + patch writer</t>
        </is>
      </c>
      <c r="H45" s="31" t="n">
        <v>1</v>
      </c>
      <c r="I45" s="41" t="n">
        <v>46292.60746527778</v>
      </c>
      <c r="J45" s="31" t="n">
        <v>104</v>
      </c>
      <c r="K45" s="31" t="inlineStr">
        <is>
          <t>de23961</t>
        </is>
      </c>
    </row>
    <row r="46">
      <c r="A46" s="34" t="inlineStr">
        <is>
          <t>RUN-0039</t>
        </is>
      </c>
      <c r="B46" s="31" t="inlineStr">
        <is>
          <t>e2e</t>
        </is>
      </c>
      <c r="C46" s="31" t="inlineStr">
        <is>
          <t>PASS</t>
        </is>
      </c>
      <c r="D46" s="37" t="inlineStr">
        <is>
          <t>npx playwright test</t>
        </is>
      </c>
      <c r="E46" s="31" t="n">
        <v>20</v>
      </c>
      <c r="F46" s="31" t="n">
        <v>0</v>
      </c>
      <c r="G46" s="37" t="inlineStr">
        <is>
          <t>after the patch writer</t>
        </is>
      </c>
      <c r="H46" s="31" t="n">
        <v>0</v>
      </c>
      <c r="I46" s="41" t="n">
        <v>46292.6075</v>
      </c>
      <c r="J46" s="31" t="n">
        <v>84</v>
      </c>
      <c r="K46" s="31" t="inlineStr">
        <is>
          <t>de23961</t>
        </is>
      </c>
    </row>
    <row r="47">
      <c r="A47" s="34" t="inlineStr">
        <is>
          <t>RUN-0040</t>
        </is>
      </c>
      <c r="B47" s="31" t="inlineStr">
        <is>
          <t>backend pytest</t>
        </is>
      </c>
      <c r="C47" s="31" t="inlineStr">
        <is>
          <t>PASS</t>
        </is>
      </c>
      <c r="D47" s="37" t="inlineStr">
        <is>
          <t>cd backend &amp;&amp; venv/Scripts/python -m pytest -q -p no:cacheprovider</t>
        </is>
      </c>
      <c r="E47" s="31" t="n">
        <v>869</v>
      </c>
      <c r="F47" s="31" t="n">
        <v>0</v>
      </c>
      <c r="G47" s="37" t="inlineStr">
        <is>
          <t>DOCX-028: test_original_blocks.py (26), golden set of 13</t>
        </is>
      </c>
      <c r="H47" s="31" t="n">
        <v>1</v>
      </c>
      <c r="I47" s="41" t="n">
        <v>46292.78037037037</v>
      </c>
      <c r="J47" s="31" t="n">
        <v>112</v>
      </c>
      <c r="K47" s="31" t="inlineStr">
        <is>
          <t>7f22bf9</t>
        </is>
      </c>
    </row>
    <row r="48">
      <c r="A48" s="34" t="inlineStr">
        <is>
          <t>RUN-0041</t>
        </is>
      </c>
      <c r="B48" s="31" t="inlineStr">
        <is>
          <t>frontend vitest</t>
        </is>
      </c>
      <c r="C48" s="31" t="inlineStr">
        <is>
          <t>PASS</t>
        </is>
      </c>
      <c r="D48" s="37" t="inlineStr">
        <is>
          <t>cd frontend &amp;&amp; npx vitest run</t>
        </is>
      </c>
      <c r="E48" s="31" t="n">
        <v>119</v>
      </c>
      <c r="F48" s="31" t="n">
        <v>0</v>
      </c>
      <c r="G48" s="37" t="inlineStr">
        <is>
          <t>editor round trip includes 13-kept-blocks</t>
        </is>
      </c>
      <c r="H48" s="31" t="n">
        <v>0</v>
      </c>
      <c r="I48" s="41" t="n">
        <v>46292.78040509259</v>
      </c>
      <c r="J48" s="31" t="n"/>
      <c r="K48" s="31" t="inlineStr">
        <is>
          <t>7f22bf9</t>
        </is>
      </c>
    </row>
    <row r="49">
      <c r="A49" s="34" t="inlineStr">
        <is>
          <t>RUN-0042</t>
        </is>
      </c>
      <c r="B49" s="31" t="inlineStr">
        <is>
          <t>playwright</t>
        </is>
      </c>
      <c r="C49" s="31" t="inlineStr">
        <is>
          <t>PASS</t>
        </is>
      </c>
      <c r="D49" s="37" t="inlineStr">
        <is>
          <t>cd frontend &amp;&amp; npx playwright test</t>
        </is>
      </c>
      <c r="E49" s="31" t="n">
        <v>21</v>
      </c>
      <c r="F49" s="31" t="n">
        <v>0</v>
      </c>
      <c r="G49" s="37" t="inlineStr">
        <is>
          <t>new e2e/kept-blocks.spec.ts</t>
        </is>
      </c>
      <c r="H49" s="31" t="n">
        <v>0</v>
      </c>
      <c r="I49" s="41" t="n">
        <v>46292.78045138889</v>
      </c>
      <c r="J49" s="31" t="n">
        <v>102</v>
      </c>
      <c r="K49" s="31" t="inlineStr">
        <is>
          <t>7f22bf9</t>
        </is>
      </c>
    </row>
    <row r="50">
      <c r="A50" s="34" t="inlineStr">
        <is>
          <t>RUN-0043</t>
        </is>
      </c>
      <c r="B50" s="31" t="inlineStr">
        <is>
          <t>tsc + eslint</t>
        </is>
      </c>
      <c r="C50" s="31" t="inlineStr">
        <is>
          <t>PASS</t>
        </is>
      </c>
      <c r="D50" s="37" t="inlineStr">
        <is>
          <t>cd frontend &amp;&amp; npx tsc --noEmit &amp;&amp; npx eslint .</t>
        </is>
      </c>
      <c r="E50" s="31" t="n">
        <v>2</v>
      </c>
      <c r="F50" s="31" t="n">
        <v>0</v>
      </c>
      <c r="G50" s="37" t="inlineStr">
        <is>
          <t>0 type errors, 0 lint problems</t>
        </is>
      </c>
      <c r="H50" s="31" t="n">
        <v>0</v>
      </c>
      <c r="I50" s="41" t="n">
        <v>46292.78048611111</v>
      </c>
      <c r="J50" s="31" t="n"/>
      <c r="K50" s="31" t="inlineStr">
        <is>
          <t>7f22bf9</t>
        </is>
      </c>
    </row>
    <row r="51">
      <c r="A51" s="34" t="inlineStr">
        <is>
          <t>RUN-0044</t>
        </is>
      </c>
      <c r="B51" s="31" t="inlineStr">
        <is>
          <t>backend pytest</t>
        </is>
      </c>
      <c r="C51" s="31" t="inlineStr">
        <is>
          <t>PASS</t>
        </is>
      </c>
      <c r="D51" s="37" t="inlineStr">
        <is>
          <t>cd backend &amp;&amp; venv/Scripts/python -m pytest -q -p no:cacheprovider</t>
        </is>
      </c>
      <c r="E51" s="31" t="n">
        <v>876</v>
      </c>
      <c r="F51" s="31" t="n">
        <v>0</v>
      </c>
      <c r="G51" s="37" t="inlineStr">
        <is>
          <t>DOCX-025: tests/test_hidden_text.py (7)</t>
        </is>
      </c>
      <c r="H51" s="31" t="n">
        <v>1</v>
      </c>
      <c r="I51" s="41" t="n">
        <v>46292.79247685185</v>
      </c>
      <c r="J51" s="31" t="n">
        <v>114</v>
      </c>
      <c r="K51" s="31" t="inlineStr">
        <is>
          <t>fada4d7</t>
        </is>
      </c>
    </row>
    <row r="52">
      <c r="A52" s="34" t="inlineStr">
        <is>
          <t>RUN-0045</t>
        </is>
      </c>
      <c r="B52" s="31" t="inlineStr">
        <is>
          <t>frontend vitest</t>
        </is>
      </c>
      <c r="C52" s="31" t="inlineStr">
        <is>
          <t>PASS</t>
        </is>
      </c>
      <c r="D52" s="37" t="inlineStr">
        <is>
          <t>cd frontend &amp;&amp; npx vitest run</t>
        </is>
      </c>
      <c r="E52" s="31" t="n">
        <v>125</v>
      </c>
      <c r="F52" s="31" t="n">
        <v>0</v>
      </c>
      <c r="G52" s="37" t="inlineStr">
        <is>
          <t>editor/hiddenText.test.tsx (6)</t>
        </is>
      </c>
      <c r="H52" s="31" t="n">
        <v>0</v>
      </c>
      <c r="I52" s="41" t="n">
        <v>46292.79251157407</v>
      </c>
      <c r="J52" s="31" t="n"/>
      <c r="K52" s="31" t="inlineStr">
        <is>
          <t>fada4d7</t>
        </is>
      </c>
    </row>
    <row r="53">
      <c r="A53" s="34" t="inlineStr">
        <is>
          <t>RUN-0046</t>
        </is>
      </c>
      <c r="B53" s="31" t="inlineStr">
        <is>
          <t>playwright</t>
        </is>
      </c>
      <c r="C53" s="31" t="inlineStr">
        <is>
          <t>PASS</t>
        </is>
      </c>
      <c r="D53" s="37" t="inlineStr">
        <is>
          <t>cd frontend &amp;&amp; npx playwright test</t>
        </is>
      </c>
      <c r="E53" s="31" t="n">
        <v>22</v>
      </c>
      <c r="F53" s="31" t="n">
        <v>0</v>
      </c>
      <c r="G53" s="37" t="inlineStr">
        <is>
          <t>new e2e/hidden-text.spec.ts</t>
        </is>
      </c>
      <c r="H53" s="31" t="n">
        <v>0</v>
      </c>
      <c r="I53" s="41" t="n">
        <v>46292.79255787037</v>
      </c>
      <c r="J53" s="31" t="n">
        <v>90</v>
      </c>
      <c r="K53" s="31" t="inlineStr">
        <is>
          <t>fada4d7</t>
        </is>
      </c>
    </row>
    <row r="54">
      <c r="A54" s="34" t="inlineStr">
        <is>
          <t>RUN-0047</t>
        </is>
      </c>
      <c r="B54" s="31" t="inlineStr">
        <is>
          <t>tsc + eslint</t>
        </is>
      </c>
      <c r="C54" s="31" t="inlineStr">
        <is>
          <t>PASS</t>
        </is>
      </c>
      <c r="D54" s="37" t="inlineStr">
        <is>
          <t>cd frontend &amp;&amp; npx tsc --noEmit &amp;&amp; npx eslint .</t>
        </is>
      </c>
      <c r="E54" s="31" t="n">
        <v>2</v>
      </c>
      <c r="F54" s="31" t="n">
        <v>0</v>
      </c>
      <c r="G54" s="37" t="inlineStr">
        <is>
          <t>0 type errors, 0 lint problems</t>
        </is>
      </c>
      <c r="H54" s="31" t="n">
        <v>0</v>
      </c>
      <c r="I54" s="41" t="n">
        <v>46292.7925925926</v>
      </c>
      <c r="J54" s="31" t="n"/>
      <c r="K54" s="31" t="inlineStr">
        <is>
          <t>fada4d7</t>
        </is>
      </c>
    </row>
    <row r="55">
      <c r="A55" s="34" t="inlineStr">
        <is>
          <t>RUN-0048</t>
        </is>
      </c>
      <c r="B55" s="31" t="inlineStr">
        <is>
          <t>backend pytest</t>
        </is>
      </c>
      <c r="C55" s="31" t="inlineStr">
        <is>
          <t>PASS</t>
        </is>
      </c>
      <c r="D55" s="37" t="inlineStr">
        <is>
          <t>cd backend &amp;&amp; venv/Scripts/python -m pytest -q -p no:cacheprovider</t>
        </is>
      </c>
      <c r="E55" s="31" t="n">
        <v>888</v>
      </c>
      <c r="F55" s="31" t="n">
        <v>0</v>
      </c>
      <c r="G55" s="37" t="inlineStr">
        <is>
          <t>DOCX-013 part 1: tests/test_character_formatting.py (12)</t>
        </is>
      </c>
      <c r="H55" s="31" t="n">
        <v>1</v>
      </c>
      <c r="I55" s="41" t="n">
        <v>46292.80722222223</v>
      </c>
      <c r="J55" s="31" t="n">
        <v>114</v>
      </c>
      <c r="K55" s="31" t="inlineStr">
        <is>
          <t>c51b1bf</t>
        </is>
      </c>
    </row>
    <row r="56">
      <c r="A56" s="34" t="inlineStr">
        <is>
          <t>RUN-0049</t>
        </is>
      </c>
      <c r="B56" s="31" t="inlineStr">
        <is>
          <t>frontend vitest</t>
        </is>
      </c>
      <c r="C56" s="31" t="inlineStr">
        <is>
          <t>PASS</t>
        </is>
      </c>
      <c r="D56" s="37" t="inlineStr">
        <is>
          <t>cd frontend &amp;&amp; npx vitest run</t>
        </is>
      </c>
      <c r="E56" s="31" t="n">
        <v>128</v>
      </c>
      <c r="F56" s="31" t="n">
        <v>0</v>
      </c>
      <c r="G56" s="37" t="inlineStr">
        <is>
          <t>editor/characterFormatting.test.ts (3)</t>
        </is>
      </c>
      <c r="H56" s="31" t="n">
        <v>0</v>
      </c>
      <c r="I56" s="41" t="n">
        <v>46292.80726851852</v>
      </c>
      <c r="J56" s="31" t="n"/>
      <c r="K56" s="31" t="inlineStr">
        <is>
          <t>c51b1bf</t>
        </is>
      </c>
    </row>
    <row r="57">
      <c r="A57" s="34" t="inlineStr">
        <is>
          <t>RUN-0050</t>
        </is>
      </c>
      <c r="B57" s="31" t="inlineStr">
        <is>
          <t>playwright</t>
        </is>
      </c>
      <c r="C57" s="31" t="inlineStr">
        <is>
          <t>PASS</t>
        </is>
      </c>
      <c r="D57" s="37" t="inlineStr">
        <is>
          <t>cd frontend &amp;&amp; npx playwright test</t>
        </is>
      </c>
      <c r="E57" s="31" t="n">
        <v>22</v>
      </c>
      <c r="F57" s="31" t="n">
        <v>0</v>
      </c>
      <c r="G57" s="37" t="inlineStr">
        <is>
          <t>after DOCX-013 part 1</t>
        </is>
      </c>
      <c r="H57" s="31" t="n">
        <v>0</v>
      </c>
      <c r="I57" s="41" t="n">
        <v>46292.80730324074</v>
      </c>
      <c r="J57" s="31" t="n">
        <v>90</v>
      </c>
      <c r="K57" s="31" t="inlineStr">
        <is>
          <t>c51b1bf</t>
        </is>
      </c>
    </row>
    <row r="58">
      <c r="A58" s="34" t="inlineStr">
        <is>
          <t>RUN-0051</t>
        </is>
      </c>
      <c r="B58" s="31" t="inlineStr">
        <is>
          <t>tsc + eslint</t>
        </is>
      </c>
      <c r="C58" s="31" t="inlineStr">
        <is>
          <t>PASS</t>
        </is>
      </c>
      <c r="D58" s="37" t="inlineStr">
        <is>
          <t>cd frontend &amp;&amp; npx tsc --noEmit &amp;&amp; npx eslint .</t>
        </is>
      </c>
      <c r="E58" s="31" t="n">
        <v>2</v>
      </c>
      <c r="F58" s="31" t="n">
        <v>0</v>
      </c>
      <c r="G58" s="37" t="inlineStr">
        <is>
          <t>0 type errors, 0 lint problems</t>
        </is>
      </c>
      <c r="H58" s="31" t="n">
        <v>0</v>
      </c>
      <c r="I58" s="41" t="n">
        <v>46292.80733796296</v>
      </c>
      <c r="J58" s="31" t="n"/>
      <c r="K58" s="31" t="inlineStr">
        <is>
          <t>c51b1bf</t>
        </is>
      </c>
    </row>
    <row r="59">
      <c r="A59" s="34" t="inlineStr">
        <is>
          <t>RUN-0052</t>
        </is>
      </c>
      <c r="B59" s="31" t="inlineStr">
        <is>
          <t>backend pytest</t>
        </is>
      </c>
      <c r="C59" s="31" t="inlineStr">
        <is>
          <t>PASS</t>
        </is>
      </c>
      <c r="D59" s="37" t="inlineStr">
        <is>
          <t>cd backend &amp;&amp; venv/Scripts/python -m pytest -q -p no:cacheprovider</t>
        </is>
      </c>
      <c r="E59" s="31" t="n">
        <v>894</v>
      </c>
      <c r="F59" s="31" t="n">
        <v>0</v>
      </c>
      <c r="G59" s="37" t="inlineStr">
        <is>
          <t>DOCX-013 part 2 + FID-007: tests/test_copy_reports.py (6)</t>
        </is>
      </c>
      <c r="H59" s="31" t="n">
        <v>1</v>
      </c>
      <c r="I59" s="41" t="n">
        <v>46292.8174537037</v>
      </c>
      <c r="J59" s="31" t="n">
        <v>117</v>
      </c>
      <c r="K59" s="31" t="inlineStr">
        <is>
          <t>309f9d6</t>
        </is>
      </c>
    </row>
    <row r="60">
      <c r="A60" s="34" t="inlineStr">
        <is>
          <t>RUN-0053</t>
        </is>
      </c>
      <c r="B60" s="31" t="inlineStr">
        <is>
          <t>frontend vitest</t>
        </is>
      </c>
      <c r="C60" s="31" t="inlineStr">
        <is>
          <t>PASS</t>
        </is>
      </c>
      <c r="D60" s="37" t="inlineStr">
        <is>
          <t>cd frontend &amp;&amp; npx vitest run</t>
        </is>
      </c>
      <c r="E60" s="31" t="n">
        <v>129</v>
      </c>
      <c r="F60" s="31" t="n">
        <v>0</v>
      </c>
      <c r="G60" s="37" t="inlineStr">
        <is>
          <t>characterFormatting.test.ts (4)</t>
        </is>
      </c>
      <c r="H60" s="31" t="n">
        <v>0</v>
      </c>
      <c r="I60" s="41" t="n">
        <v>46292.81748842593</v>
      </c>
      <c r="J60" s="31" t="n"/>
      <c r="K60" s="31" t="inlineStr">
        <is>
          <t>309f9d6</t>
        </is>
      </c>
    </row>
    <row r="61">
      <c r="A61" s="34" t="inlineStr">
        <is>
          <t>RUN-0054</t>
        </is>
      </c>
      <c r="B61" s="31" t="inlineStr">
        <is>
          <t>playwright</t>
        </is>
      </c>
      <c r="C61" s="31" t="inlineStr">
        <is>
          <t>PASS</t>
        </is>
      </c>
      <c r="D61" s="37" t="inlineStr">
        <is>
          <t>cd frontend &amp;&amp; npx playwright test</t>
        </is>
      </c>
      <c r="E61" s="31" t="n">
        <v>22</v>
      </c>
      <c r="F61" s="31" t="n">
        <v>0</v>
      </c>
      <c r="G61" s="37" t="inlineStr">
        <is>
          <t>after DOCX-013 part 2</t>
        </is>
      </c>
      <c r="H61" s="31" t="n">
        <v>0</v>
      </c>
      <c r="I61" s="41" t="n">
        <v>46292.81752314815</v>
      </c>
      <c r="J61" s="31" t="n">
        <v>90</v>
      </c>
      <c r="K61" s="31" t="inlineStr">
        <is>
          <t>309f9d6</t>
        </is>
      </c>
    </row>
    <row r="62">
      <c r="A62" s="34" t="inlineStr">
        <is>
          <t>RUN-0055</t>
        </is>
      </c>
      <c r="B62" s="31" t="inlineStr">
        <is>
          <t>tsc + eslint</t>
        </is>
      </c>
      <c r="C62" s="31" t="inlineStr">
        <is>
          <t>PASS</t>
        </is>
      </c>
      <c r="D62" s="37" t="inlineStr">
        <is>
          <t>cd frontend &amp;&amp; npx tsc --noEmit &amp;&amp; npx eslint .</t>
        </is>
      </c>
      <c r="E62" s="31" t="n">
        <v>2</v>
      </c>
      <c r="F62" s="31" t="n">
        <v>0</v>
      </c>
      <c r="G62" s="37" t="inlineStr">
        <is>
          <t>0 type errors, 0 lint problems</t>
        </is>
      </c>
      <c r="H62" s="31" t="n">
        <v>0</v>
      </c>
      <c r="I62" s="41" t="n">
        <v>46292.81756944444</v>
      </c>
      <c r="J62" s="31" t="n"/>
      <c r="K62" s="31" t="inlineStr">
        <is>
          <t>309f9d6</t>
        </is>
      </c>
    </row>
    <row r="63">
      <c r="A63" s="34" t="inlineStr">
        <is>
          <t>RUN-0056</t>
        </is>
      </c>
      <c r="B63" s="31" t="inlineStr">
        <is>
          <t>backend pytest</t>
        </is>
      </c>
      <c r="C63" s="31" t="inlineStr">
        <is>
          <t>PASS</t>
        </is>
      </c>
      <c r="D63" s="37" t="inlineStr">
        <is>
          <t>cd backend &amp;&amp; venv/Scripts/python -m pytest -q -p no:cacheprovider</t>
        </is>
      </c>
      <c r="E63" s="31" t="n">
        <v>903</v>
      </c>
      <c r="F63" s="31" t="n">
        <v>0</v>
      </c>
      <c r="G63" s="37" t="inlineStr">
        <is>
          <t>DOCX-014 part 1: tests/test_paragraph_formatting.py (9)</t>
        </is>
      </c>
      <c r="H63" s="31" t="n">
        <v>1</v>
      </c>
      <c r="I63" s="41" t="n">
        <v>46292.82694444444</v>
      </c>
      <c r="J63" s="31" t="n">
        <v>117</v>
      </c>
      <c r="K63" s="31" t="inlineStr">
        <is>
          <t>597275a</t>
        </is>
      </c>
    </row>
    <row r="64">
      <c r="A64" s="34" t="inlineStr">
        <is>
          <t>RUN-0057</t>
        </is>
      </c>
      <c r="B64" s="31" t="inlineStr">
        <is>
          <t>frontend vitest</t>
        </is>
      </c>
      <c r="C64" s="31" t="inlineStr">
        <is>
          <t>PASS</t>
        </is>
      </c>
      <c r="D64" s="37" t="inlineStr">
        <is>
          <t>cd frontend &amp;&amp; npx vitest run</t>
        </is>
      </c>
      <c r="E64" s="31" t="n">
        <v>129</v>
      </c>
      <c r="F64" s="31" t="n">
        <v>0</v>
      </c>
      <c r="G64" s="37" t="inlineStr">
        <is>
          <t>after DOCX-014 part 1</t>
        </is>
      </c>
      <c r="H64" s="31" t="n">
        <v>0</v>
      </c>
      <c r="I64" s="41" t="n">
        <v>46292.82699074074</v>
      </c>
      <c r="J64" s="31" t="n"/>
      <c r="K64" s="31" t="inlineStr">
        <is>
          <t>597275a</t>
        </is>
      </c>
    </row>
    <row r="65">
      <c r="A65" s="34" t="inlineStr">
        <is>
          <t>RUN-0058</t>
        </is>
      </c>
      <c r="B65" s="31" t="inlineStr">
        <is>
          <t>playwright</t>
        </is>
      </c>
      <c r="C65" s="31" t="inlineStr">
        <is>
          <t>PASS</t>
        </is>
      </c>
      <c r="D65" s="37" t="inlineStr">
        <is>
          <t>cd frontend &amp;&amp; npx playwright test</t>
        </is>
      </c>
      <c r="E65" s="31" t="n">
        <v>22</v>
      </c>
      <c r="F65" s="31" t="n">
        <v>0</v>
      </c>
      <c r="G65" s="37" t="inlineStr">
        <is>
          <t>after DOCX-014 part 1</t>
        </is>
      </c>
      <c r="H65" s="31" t="n">
        <v>0</v>
      </c>
      <c r="I65" s="41" t="n">
        <v>46292.82702546296</v>
      </c>
      <c r="J65" s="31" t="n">
        <v>90</v>
      </c>
      <c r="K65" s="31" t="inlineStr">
        <is>
          <t>597275a</t>
        </is>
      </c>
    </row>
    <row r="66">
      <c r="A66" s="34" t="inlineStr">
        <is>
          <t>RUN-0059</t>
        </is>
      </c>
      <c r="B66" s="31" t="inlineStr">
        <is>
          <t>tsc + eslint</t>
        </is>
      </c>
      <c r="C66" s="31" t="inlineStr">
        <is>
          <t>PASS</t>
        </is>
      </c>
      <c r="D66" s="37" t="inlineStr">
        <is>
          <t>cd frontend &amp;&amp; npx tsc --noEmit &amp;&amp; npx eslint .</t>
        </is>
      </c>
      <c r="E66" s="31" t="n">
        <v>2</v>
      </c>
      <c r="F66" s="31" t="n">
        <v>0</v>
      </c>
      <c r="G66" s="37" t="inlineStr">
        <is>
          <t>0 type errors, 0 lint problems</t>
        </is>
      </c>
      <c r="H66" s="31" t="n">
        <v>0</v>
      </c>
      <c r="I66" s="41" t="n">
        <v>46292.82707175926</v>
      </c>
      <c r="J66" s="31" t="n"/>
      <c r="K66" s="31" t="inlineStr">
        <is>
          <t>597275a</t>
        </is>
      </c>
    </row>
    <row r="67">
      <c r="A67" s="34" t="inlineStr">
        <is>
          <t>RUN-0060</t>
        </is>
      </c>
      <c r="B67" s="31" t="inlineStr">
        <is>
          <t>backend pytest</t>
        </is>
      </c>
      <c r="C67" s="31" t="inlineStr">
        <is>
          <t>PASS</t>
        </is>
      </c>
      <c r="D67" s="37" t="inlineStr">
        <is>
          <t>cd backend &amp;&amp; venv/Scripts/python -m pytest -q -p no:cacheprovider</t>
        </is>
      </c>
      <c r="E67" s="31" t="n">
        <v>913</v>
      </c>
      <c r="F67" s="31" t="n">
        <v>0</v>
      </c>
      <c r="G67" s="37" t="inlineStr">
        <is>
          <t>DOCX-014 part 2: tests/test_paragraph_formatting.py (19)</t>
        </is>
      </c>
      <c r="H67" s="31" t="n">
        <v>1</v>
      </c>
      <c r="I67" s="41" t="n">
        <v>46292.83399305555</v>
      </c>
      <c r="J67" s="31" t="n">
        <v>116</v>
      </c>
      <c r="K67" s="31" t="inlineStr">
        <is>
          <t>9f1c5b4</t>
        </is>
      </c>
    </row>
    <row r="68">
      <c r="A68" s="34" t="inlineStr">
        <is>
          <t>RUN-0061</t>
        </is>
      </c>
      <c r="B68" s="31" t="inlineStr">
        <is>
          <t>frontend vitest</t>
        </is>
      </c>
      <c r="C68" s="31" t="inlineStr">
        <is>
          <t>PASS</t>
        </is>
      </c>
      <c r="D68" s="37" t="inlineStr">
        <is>
          <t>cd frontend &amp;&amp; npx vitest run</t>
        </is>
      </c>
      <c r="E68" s="31" t="n">
        <v>129</v>
      </c>
      <c r="F68" s="31" t="n">
        <v>0</v>
      </c>
      <c r="G68" s="37" t="inlineStr">
        <is>
          <t>after DOCX-014 part 2</t>
        </is>
      </c>
      <c r="H68" s="31" t="n">
        <v>0</v>
      </c>
      <c r="I68" s="41" t="n">
        <v>46292.83402777778</v>
      </c>
      <c r="J68" s="31" t="n"/>
      <c r="K68" s="31" t="inlineStr">
        <is>
          <t>9f1c5b4</t>
        </is>
      </c>
    </row>
    <row r="69">
      <c r="A69" s="34" t="inlineStr">
        <is>
          <t>RUN-0062</t>
        </is>
      </c>
      <c r="B69" s="31" t="inlineStr">
        <is>
          <t>playwright</t>
        </is>
      </c>
      <c r="C69" s="31" t="inlineStr">
        <is>
          <t>PASS</t>
        </is>
      </c>
      <c r="D69" s="37" t="inlineStr">
        <is>
          <t>cd frontend &amp;&amp; npx playwright test</t>
        </is>
      </c>
      <c r="E69" s="31" t="n">
        <v>22</v>
      </c>
      <c r="F69" s="31" t="n">
        <v>0</v>
      </c>
      <c r="G69" s="37" t="inlineStr">
        <is>
          <t>after DOCX-014 part 2</t>
        </is>
      </c>
      <c r="H69" s="31" t="n">
        <v>0</v>
      </c>
      <c r="I69" s="41" t="n">
        <v>46292.83407407408</v>
      </c>
      <c r="J69" s="31" t="n">
        <v>90</v>
      </c>
      <c r="K69" s="31" t="inlineStr">
        <is>
          <t>9f1c5b4</t>
        </is>
      </c>
    </row>
    <row r="70">
      <c r="A70" s="34" t="inlineStr">
        <is>
          <t>RUN-0063</t>
        </is>
      </c>
      <c r="B70" s="31" t="inlineStr">
        <is>
          <t>tsc + eslint</t>
        </is>
      </c>
      <c r="C70" s="31" t="inlineStr">
        <is>
          <t>PASS</t>
        </is>
      </c>
      <c r="D70" s="37" t="inlineStr">
        <is>
          <t>cd frontend &amp;&amp; npx tsc --noEmit &amp;&amp; npx eslint .</t>
        </is>
      </c>
      <c r="E70" s="31" t="n">
        <v>2</v>
      </c>
      <c r="F70" s="31" t="n">
        <v>0</v>
      </c>
      <c r="G70" s="37" t="inlineStr">
        <is>
          <t>0 type errors, 0 lint problems</t>
        </is>
      </c>
      <c r="H70" s="31" t="n">
        <v>0</v>
      </c>
      <c r="I70" s="41" t="n">
        <v>46292.8341087963</v>
      </c>
      <c r="J70" s="31" t="n"/>
      <c r="K70" s="31" t="inlineStr">
        <is>
          <t>9f1c5b4</t>
        </is>
      </c>
    </row>
    <row r="71">
      <c r="A71" s="34" t="inlineStr">
        <is>
          <t>RUN-0064</t>
        </is>
      </c>
      <c r="B71" s="31" t="inlineStr">
        <is>
          <t>backend pytest</t>
        </is>
      </c>
      <c r="C71" s="31" t="inlineStr">
        <is>
          <t>PASS</t>
        </is>
      </c>
      <c r="D71" s="37" t="inlineStr">
        <is>
          <t>cd backend &amp;&amp; venv/Scripts/python -m pytest -q -p no:cacheprovider</t>
        </is>
      </c>
      <c r="E71" s="31" t="n">
        <v>919</v>
      </c>
      <c r="F71" s="31" t="n">
        <v>0</v>
      </c>
      <c r="G71" s="37" t="inlineStr">
        <is>
          <t>DOCX-015 part 1a: tests/test_sections.py (6)</t>
        </is>
      </c>
      <c r="H71" s="31" t="n">
        <v>1</v>
      </c>
      <c r="I71" s="41" t="n">
        <v>46292.84699074074</v>
      </c>
      <c r="J71" s="31" t="n">
        <v>144</v>
      </c>
      <c r="K71" s="31" t="inlineStr">
        <is>
          <t>49d54e5</t>
        </is>
      </c>
    </row>
    <row r="72">
      <c r="A72" s="34" t="inlineStr">
        <is>
          <t>RUN-0065</t>
        </is>
      </c>
      <c r="B72" s="31" t="inlineStr">
        <is>
          <t>frontend vitest</t>
        </is>
      </c>
      <c r="C72" s="31" t="inlineStr">
        <is>
          <t>PASS</t>
        </is>
      </c>
      <c r="D72" s="37" t="inlineStr">
        <is>
          <t>cd frontend &amp;&amp; npx vitest run</t>
        </is>
      </c>
      <c r="E72" s="31" t="n">
        <v>132</v>
      </c>
      <c r="F72" s="31" t="n">
        <v>0</v>
      </c>
      <c r="G72" s="37" t="inlineStr">
        <is>
          <t>sectionBreak.test.ts (3)</t>
        </is>
      </c>
      <c r="H72" s="31" t="n">
        <v>0</v>
      </c>
      <c r="I72" s="41" t="n">
        <v>46292.84702546296</v>
      </c>
      <c r="J72" s="31" t="n"/>
      <c r="K72" s="31" t="inlineStr">
        <is>
          <t>49d54e5</t>
        </is>
      </c>
    </row>
    <row r="73">
      <c r="A73" s="34" t="inlineStr">
        <is>
          <t>RUN-0066</t>
        </is>
      </c>
      <c r="B73" s="31" t="inlineStr">
        <is>
          <t>playwright</t>
        </is>
      </c>
      <c r="C73" s="31" t="inlineStr">
        <is>
          <t>PASS</t>
        </is>
      </c>
      <c r="D73" s="37" t="inlineStr">
        <is>
          <t>cd frontend &amp;&amp; npx playwright test</t>
        </is>
      </c>
      <c r="E73" s="31" t="n">
        <v>22</v>
      </c>
      <c r="F73" s="31" t="n">
        <v>0</v>
      </c>
      <c r="G73" s="37" t="inlineStr">
        <is>
          <t>after DOCX-015 part 1a</t>
        </is>
      </c>
      <c r="H73" s="31" t="n">
        <v>0</v>
      </c>
      <c r="I73" s="41" t="n">
        <v>46292.84707175926</v>
      </c>
      <c r="J73" s="31" t="n">
        <v>90</v>
      </c>
      <c r="K73" s="31" t="inlineStr">
        <is>
          <t>49d54e5</t>
        </is>
      </c>
    </row>
    <row r="74">
      <c r="A74" s="34" t="inlineStr">
        <is>
          <t>RUN-0067</t>
        </is>
      </c>
      <c r="B74" s="31" t="inlineStr">
        <is>
          <t>tsc + eslint</t>
        </is>
      </c>
      <c r="C74" s="31" t="inlineStr">
        <is>
          <t>PASS</t>
        </is>
      </c>
      <c r="D74" s="37" t="inlineStr">
        <is>
          <t>cd frontend &amp;&amp; npx tsc --noEmit &amp;&amp; npx eslint .</t>
        </is>
      </c>
      <c r="E74" s="31" t="n">
        <v>2</v>
      </c>
      <c r="F74" s="31" t="n">
        <v>0</v>
      </c>
      <c r="G74" s="37" t="inlineStr">
        <is>
          <t>0 type errors, 0 lint problems</t>
        </is>
      </c>
      <c r="H74" s="31" t="n">
        <v>0</v>
      </c>
      <c r="I74" s="41" t="n">
        <v>46292.84710648148</v>
      </c>
      <c r="J74" s="31" t="n"/>
      <c r="K74" s="31" t="inlineStr">
        <is>
          <t>49d54e5</t>
        </is>
      </c>
    </row>
    <row r="75">
      <c r="A75" s="34" t="inlineStr">
        <is>
          <t>RUN-0068</t>
        </is>
      </c>
      <c r="B75" s="31" t="inlineStr">
        <is>
          <t>backend pytest</t>
        </is>
      </c>
      <c r="C75" s="31" t="inlineStr">
        <is>
          <t>PASS</t>
        </is>
      </c>
      <c r="D75" s="37" t="inlineStr">
        <is>
          <t>cd backend &amp;&amp; venv/Scripts/python -m pytest -q -p no:cacheprovider</t>
        </is>
      </c>
      <c r="E75" s="31" t="n">
        <v>920</v>
      </c>
      <c r="F75" s="31" t="n">
        <v>0</v>
      </c>
      <c r="G75" s="37" t="inlineStr">
        <is>
          <t>DOCX-015 part 1b: tests/test_sections.py (7)</t>
        </is>
      </c>
      <c r="H75" s="31" t="n">
        <v>1</v>
      </c>
      <c r="I75" s="41" t="n">
        <v>46292.9808449074</v>
      </c>
      <c r="J75" s="31" t="n">
        <v>124</v>
      </c>
      <c r="K75" s="31" t="inlineStr">
        <is>
          <t>cb75ebd</t>
        </is>
      </c>
    </row>
    <row r="76">
      <c r="A76" s="34" t="inlineStr">
        <is>
          <t>RUN-0069</t>
        </is>
      </c>
      <c r="B76" s="31" t="inlineStr">
        <is>
          <t>frontend vitest</t>
        </is>
      </c>
      <c r="C76" s="31" t="inlineStr">
        <is>
          <t>PASS</t>
        </is>
      </c>
      <c r="D76" s="37" t="inlineStr">
        <is>
          <t>cd frontend &amp;&amp; npx vitest run</t>
        </is>
      </c>
      <c r="E76" s="31" t="n">
        <v>132</v>
      </c>
      <c r="F76" s="31" t="n">
        <v>0</v>
      </c>
      <c r="G76" s="37" t="inlineStr">
        <is>
          <t>after DOCX-015 part 1b</t>
        </is>
      </c>
      <c r="H76" s="31" t="n">
        <v>0</v>
      </c>
      <c r="I76" s="41" t="n">
        <v>46292.9808912037</v>
      </c>
      <c r="J76" s="31" t="n"/>
      <c r="K76" s="31" t="inlineStr">
        <is>
          <t>cb75ebd</t>
        </is>
      </c>
    </row>
    <row r="77">
      <c r="A77" s="34" t="inlineStr">
        <is>
          <t>RUN-0070</t>
        </is>
      </c>
      <c r="B77" s="31" t="inlineStr">
        <is>
          <t>playwright</t>
        </is>
      </c>
      <c r="C77" s="31" t="inlineStr">
        <is>
          <t>PASS</t>
        </is>
      </c>
      <c r="D77" s="37" t="inlineStr">
        <is>
          <t>cd frontend &amp;&amp; npx playwright test</t>
        </is>
      </c>
      <c r="E77" s="31" t="n">
        <v>22</v>
      </c>
      <c r="F77" s="31" t="n">
        <v>0</v>
      </c>
      <c r="G77" s="37" t="inlineStr">
        <is>
          <t>after DOCX-015 part 1b</t>
        </is>
      </c>
      <c r="H77" s="31" t="n">
        <v>0</v>
      </c>
      <c r="I77" s="41" t="n">
        <v>46292.98092592593</v>
      </c>
      <c r="J77" s="31" t="n">
        <v>90</v>
      </c>
      <c r="K77" s="31" t="inlineStr">
        <is>
          <t>cb75ebd</t>
        </is>
      </c>
    </row>
    <row r="78">
      <c r="A78" s="34" t="inlineStr">
        <is>
          <t>RUN-0071</t>
        </is>
      </c>
      <c r="B78" s="31" t="inlineStr">
        <is>
          <t>tsc + eslint</t>
        </is>
      </c>
      <c r="C78" s="31" t="inlineStr">
        <is>
          <t>PASS</t>
        </is>
      </c>
      <c r="D78" s="37" t="inlineStr">
        <is>
          <t>cd frontend &amp;&amp; npx tsc --noEmit &amp;&amp; npx eslint .</t>
        </is>
      </c>
      <c r="E78" s="31" t="n">
        <v>2</v>
      </c>
      <c r="F78" s="31" t="n">
        <v>0</v>
      </c>
      <c r="G78" s="37" t="inlineStr">
        <is>
          <t>0 type errors, 0 lint problems</t>
        </is>
      </c>
      <c r="H78" s="31" t="n">
        <v>0</v>
      </c>
      <c r="I78" s="41" t="n">
        <v>46292.98097222222</v>
      </c>
      <c r="J78" s="31" t="n"/>
      <c r="K78" s="31" t="inlineStr">
        <is>
          <t>cb75ebd</t>
        </is>
      </c>
    </row>
    <row r="79">
      <c r="A79" s="34" t="inlineStr">
        <is>
          <t>RUN-0072</t>
        </is>
      </c>
      <c r="B79" s="31" t="inlineStr">
        <is>
          <t>backend</t>
        </is>
      </c>
      <c r="C79" s="31" t="inlineStr">
        <is>
          <t>PASS</t>
        </is>
      </c>
      <c r="D79" s="37" t="inlineStr">
        <is>
          <t>cd backend &amp;&amp; venv/Scripts/python -m pytest -q -p no:cacheprovider</t>
        </is>
      </c>
      <c r="E79" s="31" t="n">
        <v>936</v>
      </c>
      <c r="F79" s="31" t="n">
        <v>0</v>
      </c>
      <c r="G79" s="37" t="n"/>
      <c r="H79" s="31" t="n">
        <v>0</v>
      </c>
      <c r="I79" s="41" t="n">
        <v>46294.63298611111</v>
      </c>
      <c r="J79" s="31" t="n">
        <v>128</v>
      </c>
      <c r="K79" s="31" t="inlineStr">
        <is>
          <t>bc138f5</t>
        </is>
      </c>
    </row>
    <row r="80">
      <c r="A80" s="34" t="inlineStr">
        <is>
          <t>RUN-0073</t>
        </is>
      </c>
      <c r="B80" s="31" t="inlineStr">
        <is>
          <t>vitest</t>
        </is>
      </c>
      <c r="C80" s="31" t="inlineStr">
        <is>
          <t>PASS</t>
        </is>
      </c>
      <c r="D80" s="37" t="inlineStr">
        <is>
          <t>cd frontend &amp;&amp; npx vitest run</t>
        </is>
      </c>
      <c r="E80" s="31" t="n">
        <v>140</v>
      </c>
      <c r="F80" s="31" t="n">
        <v>0</v>
      </c>
      <c r="G80" s="37" t="n"/>
      <c r="H80" s="31" t="n">
        <v>0</v>
      </c>
      <c r="I80" s="41" t="n">
        <v>46294.63302083333</v>
      </c>
      <c r="J80" s="31" t="n">
        <v>10</v>
      </c>
      <c r="K80" s="31" t="inlineStr">
        <is>
          <t>bc138f5</t>
        </is>
      </c>
    </row>
    <row r="81">
      <c r="A81" s="34" t="inlineStr">
        <is>
          <t>RUN-0074</t>
        </is>
      </c>
      <c r="B81" s="31" t="inlineStr">
        <is>
          <t>playwright</t>
        </is>
      </c>
      <c r="C81" s="31" t="inlineStr">
        <is>
          <t>PASS</t>
        </is>
      </c>
      <c r="D81" s="37" t="inlineStr">
        <is>
          <t>cd frontend &amp;&amp; npx playwright test</t>
        </is>
      </c>
      <c r="E81" s="31" t="n">
        <v>23</v>
      </c>
      <c r="F81" s="31" t="n">
        <v>0</v>
      </c>
      <c r="G81" s="37" t="n"/>
      <c r="H81" s="31" t="n">
        <v>0</v>
      </c>
      <c r="I81" s="41" t="n">
        <v>46294.63306712963</v>
      </c>
      <c r="J81" s="31" t="n">
        <v>90</v>
      </c>
      <c r="K81" s="31" t="inlineStr">
        <is>
          <t>bc138f5</t>
        </is>
      </c>
    </row>
    <row r="82">
      <c r="A82" s="34" t="inlineStr">
        <is>
          <t>RUN-0075</t>
        </is>
      </c>
      <c r="B82" s="31" t="inlineStr">
        <is>
          <t>backend</t>
        </is>
      </c>
      <c r="C82" s="31" t="inlineStr">
        <is>
          <t>PASS</t>
        </is>
      </c>
      <c r="D82" s="37" t="inlineStr">
        <is>
          <t>cd backend &amp;&amp; venv/Scripts/python -m pytest -q -p no:cacheprovider</t>
        </is>
      </c>
      <c r="E82" s="31" t="n">
        <v>937</v>
      </c>
      <c r="F82" s="31" t="n">
        <v>0</v>
      </c>
      <c r="G82" s="37" t="n"/>
      <c r="H82" s="31" t="n">
        <v>0</v>
      </c>
      <c r="I82" s="41" t="n">
        <v>46294.6400462963</v>
      </c>
      <c r="J82" s="31" t="n">
        <v>128</v>
      </c>
      <c r="K82" s="31" t="inlineStr">
        <is>
          <t>95329a4</t>
        </is>
      </c>
    </row>
    <row r="83">
      <c r="A83" s="34" t="inlineStr">
        <is>
          <t>RUN-0076</t>
        </is>
      </c>
      <c r="B83" s="31" t="inlineStr">
        <is>
          <t>playwright</t>
        </is>
      </c>
      <c r="C83" s="31" t="inlineStr">
        <is>
          <t>PASS</t>
        </is>
      </c>
      <c r="D83" s="37" t="inlineStr">
        <is>
          <t>cd frontend &amp;&amp; npx playwright test</t>
        </is>
      </c>
      <c r="E83" s="31" t="n">
        <v>23</v>
      </c>
      <c r="F83" s="31" t="n">
        <v>0</v>
      </c>
      <c r="G83" s="37" t="n"/>
      <c r="H83" s="31" t="n">
        <v>0</v>
      </c>
      <c r="I83" s="41" t="n">
        <v>46294.64008101852</v>
      </c>
      <c r="J83" s="31" t="n">
        <v>90</v>
      </c>
      <c r="K83" s="31" t="inlineStr">
        <is>
          <t>95329a4</t>
        </is>
      </c>
    </row>
    <row r="84">
      <c r="A84" s="34" t="inlineStr">
        <is>
          <t>RUN-0077</t>
        </is>
      </c>
      <c r="B84" s="31" t="inlineStr">
        <is>
          <t>backend</t>
        </is>
      </c>
      <c r="C84" s="31" t="inlineStr">
        <is>
          <t>PASS</t>
        </is>
      </c>
      <c r="D84" s="37" t="inlineStr">
        <is>
          <t>cd backend &amp;&amp; venv/Scripts/python -m pytest -q -p no:cacheprovider</t>
        </is>
      </c>
      <c r="E84" s="31" t="n">
        <v>937</v>
      </c>
      <c r="F84" s="31" t="n">
        <v>0</v>
      </c>
      <c r="G84" s="37" t="n"/>
      <c r="H84" s="31" t="n">
        <v>0</v>
      </c>
      <c r="I84" s="41" t="n">
        <v>46294.65172453703</v>
      </c>
      <c r="J84" s="31" t="n">
        <v>133</v>
      </c>
      <c r="K84" s="31" t="inlineStr">
        <is>
          <t>30a9bb7</t>
        </is>
      </c>
    </row>
    <row r="85">
      <c r="A85" s="34" t="inlineStr">
        <is>
          <t>RUN-0078</t>
        </is>
      </c>
      <c r="B85" s="31" t="inlineStr">
        <is>
          <t>vitest</t>
        </is>
      </c>
      <c r="C85" s="31" t="inlineStr">
        <is>
          <t>PASS</t>
        </is>
      </c>
      <c r="D85" s="37" t="inlineStr">
        <is>
          <t>cd frontend &amp;&amp; npx vitest run</t>
        </is>
      </c>
      <c r="E85" s="31" t="n">
        <v>144</v>
      </c>
      <c r="F85" s="31" t="n">
        <v>0</v>
      </c>
      <c r="G85" s="37" t="n"/>
      <c r="H85" s="31" t="n">
        <v>0</v>
      </c>
      <c r="I85" s="41" t="n">
        <v>46294.65177083333</v>
      </c>
      <c r="J85" s="31" t="n">
        <v>8</v>
      </c>
      <c r="K85" s="31" t="inlineStr">
        <is>
          <t>30a9bb7</t>
        </is>
      </c>
    </row>
    <row r="86">
      <c r="A86" s="34" t="inlineStr">
        <is>
          <t>RUN-0079</t>
        </is>
      </c>
      <c r="B86" s="31" t="inlineStr">
        <is>
          <t>playwright</t>
        </is>
      </c>
      <c r="C86" s="31" t="inlineStr">
        <is>
          <t>PASS</t>
        </is>
      </c>
      <c r="D86" s="37" t="inlineStr">
        <is>
          <t>cd frontend &amp;&amp; npx playwright test</t>
        </is>
      </c>
      <c r="E86" s="31" t="n">
        <v>24</v>
      </c>
      <c r="F86" s="31" t="n">
        <v>0</v>
      </c>
      <c r="G86" s="37" t="n"/>
      <c r="H86" s="31" t="n">
        <v>0</v>
      </c>
      <c r="I86" s="41" t="n">
        <v>46294.65180555556</v>
      </c>
      <c r="J86" s="31" t="n">
        <v>100</v>
      </c>
      <c r="K86" s="31" t="inlineStr">
        <is>
          <t>30a9bb7</t>
        </is>
      </c>
    </row>
    <row r="87">
      <c r="A87" s="34" t="inlineStr">
        <is>
          <t>RUN-0080</t>
        </is>
      </c>
      <c r="B87" s="31" t="inlineStr">
        <is>
          <t>backend</t>
        </is>
      </c>
      <c r="C87" s="31" t="inlineStr">
        <is>
          <t>PASS</t>
        </is>
      </c>
      <c r="D87" s="37" t="inlineStr">
        <is>
          <t>cd backend &amp;&amp; venv/Scripts/python -m pytest -q -p no:cacheprovider</t>
        </is>
      </c>
      <c r="E87" s="31" t="n">
        <v>951</v>
      </c>
      <c r="F87" s="31" t="n">
        <v>0</v>
      </c>
      <c r="G87" s="37" t="n"/>
      <c r="H87" s="31" t="n">
        <v>0</v>
      </c>
      <c r="I87" s="41" t="n">
        <v>46294.67537037037</v>
      </c>
      <c r="J87" s="31" t="n">
        <v>124</v>
      </c>
      <c r="K87" s="31" t="inlineStr">
        <is>
          <t>633c1d6</t>
        </is>
      </c>
    </row>
    <row r="88">
      <c r="A88" s="34" t="inlineStr">
        <is>
          <t>RUN-0081</t>
        </is>
      </c>
      <c r="B88" s="31" t="inlineStr">
        <is>
          <t>vitest</t>
        </is>
      </c>
      <c r="C88" s="31" t="inlineStr">
        <is>
          <t>PASS</t>
        </is>
      </c>
      <c r="D88" s="37" t="inlineStr">
        <is>
          <t>cd frontend &amp;&amp; npx vitest run</t>
        </is>
      </c>
      <c r="E88" s="31" t="n">
        <v>148</v>
      </c>
      <c r="F88" s="31" t="n">
        <v>0</v>
      </c>
      <c r="G88" s="37" t="n"/>
      <c r="H88" s="31" t="n">
        <v>0</v>
      </c>
      <c r="I88" s="41" t="n">
        <v>46294.67541666667</v>
      </c>
      <c r="J88" s="31" t="n">
        <v>9</v>
      </c>
      <c r="K88" s="31" t="inlineStr">
        <is>
          <t>633c1d6</t>
        </is>
      </c>
    </row>
    <row r="89">
      <c r="A89" s="34" t="inlineStr">
        <is>
          <t>RUN-0082</t>
        </is>
      </c>
      <c r="B89" s="31" t="inlineStr">
        <is>
          <t>playwright</t>
        </is>
      </c>
      <c r="C89" s="31" t="inlineStr">
        <is>
          <t>PASS</t>
        </is>
      </c>
      <c r="D89" s="37" t="inlineStr">
        <is>
          <t>cd frontend &amp;&amp; npx playwright test</t>
        </is>
      </c>
      <c r="E89" s="31" t="n">
        <v>24</v>
      </c>
      <c r="F89" s="31" t="n">
        <v>0</v>
      </c>
      <c r="G89" s="37" t="n"/>
      <c r="H89" s="31" t="n">
        <v>0</v>
      </c>
      <c r="I89" s="41" t="n">
        <v>46294.67545138889</v>
      </c>
      <c r="J89" s="31" t="n">
        <v>96</v>
      </c>
      <c r="K89" s="31" t="inlineStr">
        <is>
          <t>633c1d6</t>
        </is>
      </c>
    </row>
    <row r="90">
      <c r="A90" s="34" t="inlineStr">
        <is>
          <t>RUN-0083</t>
        </is>
      </c>
      <c r="B90" s="31" t="inlineStr">
        <is>
          <t>backend</t>
        </is>
      </c>
      <c r="C90" s="31" t="inlineStr">
        <is>
          <t>PASS</t>
        </is>
      </c>
      <c r="D90" s="37" t="inlineStr">
        <is>
          <t>cd backend &amp;&amp; venv/Scripts/python -m pytest -q -p no:cacheprovider</t>
        </is>
      </c>
      <c r="E90" s="31" t="n">
        <v>953</v>
      </c>
      <c r="F90" s="31" t="n">
        <v>0</v>
      </c>
      <c r="G90" s="37" t="n"/>
      <c r="H90" s="31" t="n">
        <v>0</v>
      </c>
      <c r="I90" s="41" t="n">
        <v>46294.68277777778</v>
      </c>
      <c r="J90" s="31" t="n">
        <v>125</v>
      </c>
      <c r="K90" s="31" t="inlineStr">
        <is>
          <t>3bb348a</t>
        </is>
      </c>
    </row>
    <row r="91">
      <c r="A91" s="34" t="inlineStr">
        <is>
          <t>RUN-0084</t>
        </is>
      </c>
      <c r="B91" s="31" t="inlineStr">
        <is>
          <t>playwright</t>
        </is>
      </c>
      <c r="C91" s="31" t="inlineStr">
        <is>
          <t>PASS</t>
        </is>
      </c>
      <c r="D91" s="37" t="inlineStr">
        <is>
          <t>cd frontend &amp;&amp; npx playwright test</t>
        </is>
      </c>
      <c r="E91" s="31" t="n">
        <v>24</v>
      </c>
      <c r="F91" s="31" t="n">
        <v>0</v>
      </c>
      <c r="G91" s="37" t="n"/>
      <c r="H91" s="31" t="n">
        <v>0</v>
      </c>
      <c r="I91" s="41" t="n">
        <v>46294.6828125</v>
      </c>
      <c r="J91" s="31" t="n">
        <v>90</v>
      </c>
      <c r="K91" s="31" t="inlineStr">
        <is>
          <t>3bb348a</t>
        </is>
      </c>
    </row>
    <row r="92">
      <c r="A92" s="34" t="inlineStr">
        <is>
          <t>RUN-0085</t>
        </is>
      </c>
      <c r="B92" s="31" t="inlineStr">
        <is>
          <t>backend</t>
        </is>
      </c>
      <c r="C92" s="31" t="inlineStr">
        <is>
          <t>PASS</t>
        </is>
      </c>
      <c r="D92" s="37" t="inlineStr">
        <is>
          <t>cd backend &amp;&amp; venv/Scripts/python -m pytest -q -p no:cacheprovider</t>
        </is>
      </c>
      <c r="E92" s="31" t="n">
        <v>953</v>
      </c>
      <c r="F92" s="31" t="n">
        <v>0</v>
      </c>
      <c r="G92" s="37" t="n"/>
      <c r="H92" s="31" t="n">
        <v>0</v>
      </c>
      <c r="I92" s="41" t="n">
        <v>46294.69501157408</v>
      </c>
      <c r="J92" s="31" t="n">
        <v>127</v>
      </c>
      <c r="K92" s="31" t="inlineStr">
        <is>
          <t>aa132b4</t>
        </is>
      </c>
    </row>
    <row r="93">
      <c r="A93" s="34" t="inlineStr">
        <is>
          <t>RUN-0086</t>
        </is>
      </c>
      <c r="B93" s="31" t="inlineStr">
        <is>
          <t>vitest</t>
        </is>
      </c>
      <c r="C93" s="31" t="inlineStr">
        <is>
          <t>PASS</t>
        </is>
      </c>
      <c r="D93" s="37" t="inlineStr">
        <is>
          <t>cd frontend &amp;&amp; npx vitest run</t>
        </is>
      </c>
      <c r="E93" s="31" t="n">
        <v>152</v>
      </c>
      <c r="F93" s="31" t="n">
        <v>0</v>
      </c>
      <c r="G93" s="37" t="n"/>
      <c r="H93" s="31" t="n">
        <v>0</v>
      </c>
      <c r="I93" s="41" t="n">
        <v>46294.6950462963</v>
      </c>
      <c r="J93" s="31" t="n">
        <v>9</v>
      </c>
      <c r="K93" s="31" t="inlineStr">
        <is>
          <t>aa132b4</t>
        </is>
      </c>
    </row>
    <row r="94">
      <c r="A94" s="34" t="inlineStr">
        <is>
          <t>RUN-0087</t>
        </is>
      </c>
      <c r="B94" s="31" t="inlineStr">
        <is>
          <t>playwright</t>
        </is>
      </c>
      <c r="C94" s="31" t="inlineStr">
        <is>
          <t>PASS</t>
        </is>
      </c>
      <c r="D94" s="37" t="inlineStr">
        <is>
          <t>cd frontend &amp;&amp; npx playwright test</t>
        </is>
      </c>
      <c r="E94" s="31" t="n">
        <v>25</v>
      </c>
      <c r="F94" s="31" t="n">
        <v>0</v>
      </c>
      <c r="G94" s="37" t="n"/>
      <c r="H94" s="31" t="n">
        <v>0</v>
      </c>
      <c r="I94" s="41" t="n">
        <v>46294.69509259259</v>
      </c>
      <c r="J94" s="31" t="n">
        <v>96</v>
      </c>
      <c r="K94" s="31" t="inlineStr">
        <is>
          <t>aa132b4</t>
        </is>
      </c>
    </row>
    <row r="95">
      <c r="A95" s="34" t="inlineStr">
        <is>
          <t>RUN-0088</t>
        </is>
      </c>
      <c r="B95" s="31" t="inlineStr">
        <is>
          <t>backend</t>
        </is>
      </c>
      <c r="C95" s="31" t="inlineStr">
        <is>
          <t>PASS</t>
        </is>
      </c>
      <c r="D95" s="37" t="inlineStr">
        <is>
          <t>cd backend &amp;&amp; venv/Scripts/python -m pytest -q -p no:cacheprovider</t>
        </is>
      </c>
      <c r="E95" s="31" t="n">
        <v>959</v>
      </c>
      <c r="F95" s="31" t="n">
        <v>0</v>
      </c>
      <c r="G95" s="37" t="n"/>
      <c r="H95" s="31" t="n">
        <v>0</v>
      </c>
      <c r="I95" s="41" t="n">
        <v>46294.90646990741</v>
      </c>
      <c r="J95" s="31" t="n">
        <v>128</v>
      </c>
      <c r="K95" s="31" t="inlineStr">
        <is>
          <t>bcdc9af</t>
        </is>
      </c>
    </row>
    <row r="96">
      <c r="A96" s="34" t="inlineStr">
        <is>
          <t>RUN-0089</t>
        </is>
      </c>
      <c r="B96" s="31" t="inlineStr">
        <is>
          <t>vitest</t>
        </is>
      </c>
      <c r="C96" s="31" t="inlineStr">
        <is>
          <t>PASS</t>
        </is>
      </c>
      <c r="D96" s="37" t="inlineStr">
        <is>
          <t>cd frontend &amp;&amp; npx vitest run</t>
        </is>
      </c>
      <c r="E96" s="31" t="n">
        <v>155</v>
      </c>
      <c r="F96" s="31" t="n">
        <v>0</v>
      </c>
      <c r="G96" s="37" t="n"/>
      <c r="H96" s="31" t="n">
        <v>0</v>
      </c>
      <c r="I96" s="41" t="n">
        <v>46294.90650462963</v>
      </c>
      <c r="J96" s="31" t="n">
        <v>9</v>
      </c>
      <c r="K96" s="31" t="inlineStr">
        <is>
          <t>bcdc9af</t>
        </is>
      </c>
    </row>
    <row r="97">
      <c r="A97" s="34" t="inlineStr">
        <is>
          <t>RUN-0090</t>
        </is>
      </c>
      <c r="B97" s="31" t="inlineStr">
        <is>
          <t>playwright</t>
        </is>
      </c>
      <c r="C97" s="31" t="inlineStr">
        <is>
          <t>PASS</t>
        </is>
      </c>
      <c r="D97" s="37" t="inlineStr">
        <is>
          <t>cd frontend &amp;&amp; npx playwright test</t>
        </is>
      </c>
      <c r="E97" s="31" t="n">
        <v>25</v>
      </c>
      <c r="F97" s="31" t="n">
        <v>0</v>
      </c>
      <c r="G97" s="37" t="n"/>
      <c r="H97" s="31" t="n">
        <v>0</v>
      </c>
      <c r="I97" s="41" t="n">
        <v>46294.90655092592</v>
      </c>
      <c r="J97" s="31" t="n">
        <v>108</v>
      </c>
      <c r="K97" s="31" t="inlineStr">
        <is>
          <t>bcdc9af</t>
        </is>
      </c>
    </row>
    <row r="98">
      <c r="A98" s="34" t="inlineStr">
        <is>
          <t>RUN-0091</t>
        </is>
      </c>
      <c r="B98" s="31" t="inlineStr">
        <is>
          <t>backend</t>
        </is>
      </c>
      <c r="C98" s="31" t="inlineStr">
        <is>
          <t>PASS</t>
        </is>
      </c>
      <c r="D98" s="37" t="inlineStr">
        <is>
          <t>cd backend &amp;&amp; venv/Scripts/python -m pytest -q -p no:cacheprovider</t>
        </is>
      </c>
      <c r="E98" s="31" t="n">
        <v>968</v>
      </c>
      <c r="F98" s="31" t="n">
        <v>0</v>
      </c>
      <c r="G98" s="37" t="n"/>
      <c r="H98" s="31" t="n">
        <v>0</v>
      </c>
      <c r="I98" s="41" t="n">
        <v>46294.92318287037</v>
      </c>
      <c r="J98" s="31" t="n">
        <v>133</v>
      </c>
      <c r="K98" s="31" t="inlineStr">
        <is>
          <t>49c5a78</t>
        </is>
      </c>
    </row>
    <row r="99">
      <c r="A99" s="34" t="inlineStr">
        <is>
          <t>RUN-0092</t>
        </is>
      </c>
      <c r="B99" s="31" t="inlineStr">
        <is>
          <t>vitest</t>
        </is>
      </c>
      <c r="C99" s="31" t="inlineStr">
        <is>
          <t>PASS</t>
        </is>
      </c>
      <c r="D99" s="37" t="inlineStr">
        <is>
          <t>cd frontend &amp;&amp; npx vitest run</t>
        </is>
      </c>
      <c r="E99" s="31" t="n">
        <v>158</v>
      </c>
      <c r="F99" s="31" t="n">
        <v>0</v>
      </c>
      <c r="G99" s="37" t="n"/>
      <c r="H99" s="31" t="n">
        <v>0</v>
      </c>
      <c r="I99" s="41" t="n">
        <v>46294.92322916666</v>
      </c>
      <c r="J99" s="31" t="n">
        <v>9</v>
      </c>
      <c r="K99" s="31" t="inlineStr">
        <is>
          <t>49c5a78</t>
        </is>
      </c>
    </row>
    <row r="100">
      <c r="A100" s="34" t="inlineStr">
        <is>
          <t>RUN-0093</t>
        </is>
      </c>
      <c r="B100" s="31" t="inlineStr">
        <is>
          <t>playwright</t>
        </is>
      </c>
      <c r="C100" s="31" t="inlineStr">
        <is>
          <t>PASS</t>
        </is>
      </c>
      <c r="D100" s="37" t="inlineStr">
        <is>
          <t>cd frontend &amp;&amp; npx playwright test</t>
        </is>
      </c>
      <c r="E100" s="31" t="n">
        <v>26</v>
      </c>
      <c r="F100" s="31" t="n">
        <v>0</v>
      </c>
      <c r="G100" s="37" t="n"/>
      <c r="H100" s="31" t="n">
        <v>0</v>
      </c>
      <c r="I100" s="41" t="n">
        <v>46294.92327546296</v>
      </c>
      <c r="J100" s="31" t="n">
        <v>114</v>
      </c>
      <c r="K100" s="31" t="inlineStr">
        <is>
          <t>49c5a78</t>
        </is>
      </c>
    </row>
    <row r="101">
      <c r="A101" s="34" t="inlineStr">
        <is>
          <t>RUN-0094</t>
        </is>
      </c>
      <c r="B101" s="31" t="inlineStr">
        <is>
          <t>backend</t>
        </is>
      </c>
      <c r="C101" s="31" t="inlineStr">
        <is>
          <t>PASS</t>
        </is>
      </c>
      <c r="D101" s="37" t="inlineStr">
        <is>
          <t>cd backend &amp;&amp; venv/Scripts/python -m pytest -q -p no:cacheprovider</t>
        </is>
      </c>
      <c r="E101" s="31" t="n">
        <v>987</v>
      </c>
      <c r="F101" s="31" t="n">
        <v>0</v>
      </c>
      <c r="G101" s="37" t="n"/>
      <c r="H101" s="31" t="n">
        <v>0</v>
      </c>
      <c r="I101" s="41" t="n">
        <v>46294.95628472222</v>
      </c>
      <c r="J101" s="31" t="n">
        <v>183</v>
      </c>
      <c r="K101" s="31" t="inlineStr">
        <is>
          <t>62e7957</t>
        </is>
      </c>
    </row>
    <row r="102">
      <c r="A102" s="34" t="inlineStr">
        <is>
          <t>RUN-0095</t>
        </is>
      </c>
      <c r="B102" s="31" t="inlineStr">
        <is>
          <t>vitest</t>
        </is>
      </c>
      <c r="C102" s="31" t="inlineStr">
        <is>
          <t>PASS</t>
        </is>
      </c>
      <c r="D102" s="37" t="inlineStr">
        <is>
          <t>cd frontend &amp;&amp; npx vitest run</t>
        </is>
      </c>
      <c r="E102" s="31" t="n">
        <v>164</v>
      </c>
      <c r="F102" s="31" t="n">
        <v>0</v>
      </c>
      <c r="G102" s="37" t="n"/>
      <c r="H102" s="31" t="n">
        <v>0</v>
      </c>
      <c r="I102" s="41" t="n">
        <v>46294.95631944444</v>
      </c>
      <c r="J102" s="31" t="n"/>
      <c r="K102" s="31" t="inlineStr">
        <is>
          <t>62e7957</t>
        </is>
      </c>
    </row>
    <row r="103">
      <c r="A103" s="34" t="inlineStr">
        <is>
          <t>RUN-0096</t>
        </is>
      </c>
      <c r="B103" s="31" t="inlineStr">
        <is>
          <t>playwright</t>
        </is>
      </c>
      <c r="C103" s="31" t="inlineStr">
        <is>
          <t>PASS</t>
        </is>
      </c>
      <c r="D103" s="37" t="inlineStr">
        <is>
          <t>cd frontend &amp;&amp; npx playwright test</t>
        </is>
      </c>
      <c r="E103" s="31" t="n">
        <v>27</v>
      </c>
      <c r="F103" s="31" t="n">
        <v>0</v>
      </c>
      <c r="G103" s="37" t="n"/>
      <c r="H103" s="31" t="n">
        <v>0</v>
      </c>
      <c r="I103" s="41" t="n">
        <v>46294.95636574074</v>
      </c>
      <c r="J103" s="31" t="n">
        <v>114</v>
      </c>
      <c r="K103" s="31" t="inlineStr">
        <is>
          <t>62e7957</t>
        </is>
      </c>
    </row>
    <row r="104">
      <c r="A104" s="34" t="inlineStr">
        <is>
          <t>RUN-0097</t>
        </is>
      </c>
      <c r="B104" s="31" t="inlineStr">
        <is>
          <t>typecheck</t>
        </is>
      </c>
      <c r="C104" s="31" t="inlineStr">
        <is>
          <t>PASS</t>
        </is>
      </c>
      <c r="D104" s="37" t="inlineStr">
        <is>
          <t>cd frontend &amp;&amp; npx tsc --noEmit &amp;&amp; npx eslint .</t>
        </is>
      </c>
      <c r="E104" s="31" t="n">
        <v>1</v>
      </c>
      <c r="F104" s="31" t="n">
        <v>0</v>
      </c>
      <c r="G104" s="37" t="n"/>
      <c r="H104" s="31" t="n">
        <v>0</v>
      </c>
      <c r="I104" s="41" t="n">
        <v>46294.95641203703</v>
      </c>
      <c r="J104" s="31" t="n"/>
      <c r="K104" s="31" t="inlineStr">
        <is>
          <t>62e7957</t>
        </is>
      </c>
    </row>
    <row r="105">
      <c r="A105" s="34" t="inlineStr">
        <is>
          <t>RUN-0098</t>
        </is>
      </c>
      <c r="B105" s="31" t="inlineStr">
        <is>
          <t>backend</t>
        </is>
      </c>
      <c r="C105" s="31" t="inlineStr">
        <is>
          <t>PASS</t>
        </is>
      </c>
      <c r="D105" s="37" t="inlineStr">
        <is>
          <t>cd backend &amp;&amp; venv/Scripts/python -m pytest -q -p no:cacheprovider</t>
        </is>
      </c>
      <c r="E105" s="31" t="n">
        <v>990</v>
      </c>
      <c r="F105" s="31" t="n">
        <v>0</v>
      </c>
      <c r="G105" s="37" t="n"/>
      <c r="H105" s="31" t="n">
        <v>0</v>
      </c>
      <c r="I105" s="41" t="n">
        <v>46294.96520833333</v>
      </c>
      <c r="J105" s="31" t="n">
        <v>166</v>
      </c>
      <c r="K105" s="31" t="inlineStr">
        <is>
          <t>17dfd4d</t>
        </is>
      </c>
    </row>
    <row r="106">
      <c r="A106" s="34" t="inlineStr">
        <is>
          <t>RUN-0099</t>
        </is>
      </c>
      <c r="B106" s="31" t="inlineStr">
        <is>
          <t>vitest</t>
        </is>
      </c>
      <c r="C106" s="31" t="inlineStr">
        <is>
          <t>PASS</t>
        </is>
      </c>
      <c r="D106" s="37" t="inlineStr">
        <is>
          <t>cd frontend &amp;&amp; npx vitest run</t>
        </is>
      </c>
      <c r="E106" s="31" t="n">
        <v>164</v>
      </c>
      <c r="F106" s="31" t="n">
        <v>0</v>
      </c>
      <c r="G106" s="37" t="n"/>
      <c r="H106" s="31" t="n">
        <v>0</v>
      </c>
      <c r="I106" s="41" t="n">
        <v>46294.96525462963</v>
      </c>
      <c r="J106" s="31" t="n"/>
      <c r="K106" s="31" t="inlineStr">
        <is>
          <t>17dfd4d</t>
        </is>
      </c>
    </row>
    <row r="107">
      <c r="A107" s="34" t="inlineStr">
        <is>
          <t>RUN-0100</t>
        </is>
      </c>
      <c r="B107" s="31" t="inlineStr">
        <is>
          <t>playwright</t>
        </is>
      </c>
      <c r="C107" s="31" t="inlineStr">
        <is>
          <t>PASS</t>
        </is>
      </c>
      <c r="D107" s="37" t="inlineStr">
        <is>
          <t>cd frontend &amp;&amp; npx playwright test</t>
        </is>
      </c>
      <c r="E107" s="31" t="n">
        <v>27</v>
      </c>
      <c r="F107" s="31" t="n">
        <v>0</v>
      </c>
      <c r="G107" s="37" t="n"/>
      <c r="H107" s="31" t="n">
        <v>0</v>
      </c>
      <c r="I107" s="41" t="n">
        <v>46294.96528935185</v>
      </c>
      <c r="J107" s="31" t="n">
        <v>108</v>
      </c>
      <c r="K107" s="31" t="inlineStr">
        <is>
          <t>17dfd4d</t>
        </is>
      </c>
    </row>
    <row r="108">
      <c r="A108" s="34" t="inlineStr">
        <is>
          <t>RUN-0101</t>
        </is>
      </c>
      <c r="B108" s="31" t="inlineStr">
        <is>
          <t>typecheck</t>
        </is>
      </c>
      <c r="C108" s="31" t="inlineStr">
        <is>
          <t>PASS</t>
        </is>
      </c>
      <c r="D108" s="37" t="inlineStr">
        <is>
          <t>cd frontend &amp;&amp; npx tsc --noEmit &amp;&amp; npx eslint .</t>
        </is>
      </c>
      <c r="E108" s="31" t="n">
        <v>1</v>
      </c>
      <c r="F108" s="31" t="n">
        <v>0</v>
      </c>
      <c r="G108" s="37" t="n"/>
      <c r="H108" s="31" t="n">
        <v>0</v>
      </c>
      <c r="I108" s="41" t="n">
        <v>46294.96533564815</v>
      </c>
      <c r="J108" s="31" t="n"/>
      <c r="K108" s="31" t="inlineStr">
        <is>
          <t>17dfd4d</t>
        </is>
      </c>
    </row>
    <row r="109">
      <c r="A109" s="34" t="inlineStr">
        <is>
          <t>RUN-0102</t>
        </is>
      </c>
      <c r="B109" s="31" t="inlineStr">
        <is>
          <t>backend</t>
        </is>
      </c>
      <c r="C109" s="31" t="inlineStr">
        <is>
          <t>PASS</t>
        </is>
      </c>
      <c r="D109" s="37" t="inlineStr">
        <is>
          <t>cd backend &amp;&amp; venv/Scripts/python -m pytest -q -p no:cacheprovider</t>
        </is>
      </c>
      <c r="E109" s="31" t="n">
        <v>993</v>
      </c>
      <c r="F109" s="31" t="n">
        <v>0</v>
      </c>
      <c r="G109" s="37" t="n"/>
      <c r="H109" s="31" t="n">
        <v>0</v>
      </c>
      <c r="I109" s="41" t="n">
        <v>46295.10591435185</v>
      </c>
      <c r="J109" s="31" t="n">
        <v>144</v>
      </c>
      <c r="K109" s="31" t="inlineStr">
        <is>
          <t>a6c0b98</t>
        </is>
      </c>
    </row>
    <row r="110">
      <c r="A110" s="34" t="inlineStr">
        <is>
          <t>RUN-0103</t>
        </is>
      </c>
      <c r="B110" s="31" t="inlineStr">
        <is>
          <t>vitest</t>
        </is>
      </c>
      <c r="C110" s="31" t="inlineStr">
        <is>
          <t>PASS</t>
        </is>
      </c>
      <c r="D110" s="37" t="inlineStr">
        <is>
          <t>cd frontend &amp;&amp; npx vitest run</t>
        </is>
      </c>
      <c r="E110" s="31" t="n">
        <v>164</v>
      </c>
      <c r="F110" s="31" t="n">
        <v>0</v>
      </c>
      <c r="G110" s="37" t="n"/>
      <c r="H110" s="31" t="n">
        <v>0</v>
      </c>
      <c r="I110" s="41" t="n">
        <v>46295.10596064815</v>
      </c>
      <c r="J110" s="31" t="n"/>
      <c r="K110" s="31" t="inlineStr">
        <is>
          <t>a6c0b98</t>
        </is>
      </c>
    </row>
    <row r="111">
      <c r="A111" s="34" t="inlineStr">
        <is>
          <t>RUN-0104</t>
        </is>
      </c>
      <c r="B111" s="31" t="inlineStr">
        <is>
          <t>playwright</t>
        </is>
      </c>
      <c r="C111" s="31" t="inlineStr">
        <is>
          <t>PASS</t>
        </is>
      </c>
      <c r="D111" s="37" t="inlineStr">
        <is>
          <t>cd frontend &amp;&amp; npx playwright test</t>
        </is>
      </c>
      <c r="E111" s="31" t="n">
        <v>27</v>
      </c>
      <c r="F111" s="31" t="n">
        <v>0</v>
      </c>
      <c r="G111" s="37" t="n"/>
      <c r="H111" s="31" t="n">
        <v>0</v>
      </c>
      <c r="I111" s="41" t="n">
        <v>46295.10599537037</v>
      </c>
      <c r="J111" s="31" t="n">
        <v>114</v>
      </c>
      <c r="K111" s="31" t="inlineStr">
        <is>
          <t>a6c0b98</t>
        </is>
      </c>
    </row>
    <row r="112">
      <c r="A112" s="34" t="inlineStr">
        <is>
          <t>RUN-0105</t>
        </is>
      </c>
      <c r="B112" s="31" t="inlineStr">
        <is>
          <t>typecheck</t>
        </is>
      </c>
      <c r="C112" s="31" t="inlineStr">
        <is>
          <t>PASS</t>
        </is>
      </c>
      <c r="D112" s="37" t="inlineStr">
        <is>
          <t>cd frontend &amp;&amp; npx tsc --noEmit &amp;&amp; npx eslint .</t>
        </is>
      </c>
      <c r="E112" s="31" t="n">
        <v>1</v>
      </c>
      <c r="F112" s="31" t="n">
        <v>0</v>
      </c>
      <c r="G112" s="37" t="n"/>
      <c r="H112" s="31" t="n">
        <v>0</v>
      </c>
      <c r="I112" s="41" t="n">
        <v>46295.10604166667</v>
      </c>
      <c r="J112" s="31" t="n"/>
      <c r="K112" s="31" t="inlineStr">
        <is>
          <t>a6c0b98</t>
        </is>
      </c>
    </row>
    <row r="113">
      <c r="A113" s="34" t="inlineStr">
        <is>
          <t>RUN-0106</t>
        </is>
      </c>
      <c r="B113" s="31" t="inlineStr">
        <is>
          <t>backend</t>
        </is>
      </c>
      <c r="C113" s="31" t="inlineStr">
        <is>
          <t>PASS</t>
        </is>
      </c>
      <c r="D113" s="37" t="inlineStr">
        <is>
          <t>cd backend &amp;&amp; venv/Scripts/python -m pytest -q -p no:cacheprovider</t>
        </is>
      </c>
      <c r="E113" s="31" t="n">
        <v>996</v>
      </c>
      <c r="F113" s="31" t="n">
        <v>0</v>
      </c>
      <c r="G113" s="37" t="n"/>
      <c r="H113" s="31" t="n">
        <v>0</v>
      </c>
      <c r="I113" s="41" t="n">
        <v>46295.11461805556</v>
      </c>
      <c r="J113" s="31" t="n">
        <v>160</v>
      </c>
      <c r="K113" s="31" t="inlineStr">
        <is>
          <t>54a36e4</t>
        </is>
      </c>
    </row>
    <row r="114">
      <c r="A114" s="34" t="inlineStr">
        <is>
          <t>RUN-0107</t>
        </is>
      </c>
      <c r="B114" s="31" t="inlineStr">
        <is>
          <t>vitest</t>
        </is>
      </c>
      <c r="C114" s="31" t="inlineStr">
        <is>
          <t>PASS</t>
        </is>
      </c>
      <c r="D114" s="37" t="inlineStr">
        <is>
          <t>cd frontend &amp;&amp; npx vitest run</t>
        </is>
      </c>
      <c r="E114" s="31" t="n">
        <v>166</v>
      </c>
      <c r="F114" s="31" t="n">
        <v>0</v>
      </c>
      <c r="G114" s="37" t="n"/>
      <c r="H114" s="31" t="n">
        <v>0</v>
      </c>
      <c r="I114" s="41" t="n">
        <v>46295.11466435185</v>
      </c>
      <c r="J114" s="31" t="n"/>
      <c r="K114" s="31" t="inlineStr">
        <is>
          <t>54a36e4</t>
        </is>
      </c>
    </row>
    <row r="115">
      <c r="A115" s="34" t="inlineStr">
        <is>
          <t>RUN-0108</t>
        </is>
      </c>
      <c r="B115" s="31" t="inlineStr">
        <is>
          <t>playwright</t>
        </is>
      </c>
      <c r="C115" s="31" t="inlineStr">
        <is>
          <t>PASS</t>
        </is>
      </c>
      <c r="D115" s="37" t="inlineStr">
        <is>
          <t>cd frontend &amp;&amp; npx playwright test</t>
        </is>
      </c>
      <c r="E115" s="31" t="n">
        <v>28</v>
      </c>
      <c r="F115" s="31" t="n">
        <v>0</v>
      </c>
      <c r="G115" s="37" t="n"/>
      <c r="H115" s="31" t="n">
        <v>0</v>
      </c>
      <c r="I115" s="41" t="n">
        <v>46295.11469907407</v>
      </c>
      <c r="J115" s="31" t="n">
        <v>108</v>
      </c>
      <c r="K115" s="31" t="inlineStr">
        <is>
          <t>54a36e4</t>
        </is>
      </c>
    </row>
    <row r="116">
      <c r="A116" s="34" t="inlineStr">
        <is>
          <t>RUN-0109</t>
        </is>
      </c>
      <c r="B116" s="31" t="inlineStr">
        <is>
          <t>typecheck</t>
        </is>
      </c>
      <c r="C116" s="31" t="inlineStr">
        <is>
          <t>PASS</t>
        </is>
      </c>
      <c r="D116" s="37" t="inlineStr">
        <is>
          <t>cd frontend &amp;&amp; npx tsc --noEmit &amp;&amp; npx eslint .</t>
        </is>
      </c>
      <c r="E116" s="31" t="n">
        <v>1</v>
      </c>
      <c r="F116" s="31" t="n">
        <v>0</v>
      </c>
      <c r="G116" s="37" t="n"/>
      <c r="H116" s="31" t="n">
        <v>0</v>
      </c>
      <c r="I116" s="41" t="n">
        <v>46295.11474537037</v>
      </c>
      <c r="J116" s="31" t="n"/>
      <c r="K116" s="31" t="inlineStr">
        <is>
          <t>54a36e4</t>
        </is>
      </c>
    </row>
    <row r="117">
      <c r="A117" s="34" t="inlineStr">
        <is>
          <t>RUN-0110</t>
        </is>
      </c>
      <c r="B117" s="31" t="inlineStr">
        <is>
          <t>backend</t>
        </is>
      </c>
      <c r="C117" s="31" t="inlineStr">
        <is>
          <t>PASS</t>
        </is>
      </c>
      <c r="D117" s="37" t="inlineStr">
        <is>
          <t>cd backend &amp;&amp; venv/Scripts/python -m pytest -q -p no:cacheprovider</t>
        </is>
      </c>
      <c r="E117" s="31" t="n">
        <v>1037</v>
      </c>
      <c r="F117" s="31" t="n">
        <v>0</v>
      </c>
      <c r="G117" s="37" t="n"/>
      <c r="H117" s="31" t="n">
        <v>0</v>
      </c>
      <c r="I117" s="41" t="n">
        <v>46295.12202546297</v>
      </c>
      <c r="J117" s="31" t="n">
        <v>139</v>
      </c>
      <c r="K117" s="31" t="inlineStr">
        <is>
          <t>914476f</t>
        </is>
      </c>
    </row>
    <row r="118">
      <c r="A118" s="34" t="inlineStr">
        <is>
          <t>RUN-0111</t>
        </is>
      </c>
      <c r="B118" s="31" t="inlineStr">
        <is>
          <t>backend</t>
        </is>
      </c>
      <c r="C118" s="31" t="inlineStr">
        <is>
          <t>PASS</t>
        </is>
      </c>
      <c r="D118" s="37" t="inlineStr">
        <is>
          <t>cd backend &amp;&amp; venv/Scripts/python -m pytest -q -p no:cacheprovider</t>
        </is>
      </c>
      <c r="E118" s="31" t="n">
        <v>1075</v>
      </c>
      <c r="F118" s="31" t="n">
        <v>0</v>
      </c>
      <c r="G118" s="37" t="n"/>
      <c r="H118" s="31" t="n">
        <v>0</v>
      </c>
      <c r="I118" s="41" t="n">
        <v>46295.12666666666</v>
      </c>
      <c r="J118" s="31" t="n">
        <v>145</v>
      </c>
      <c r="K118" s="31" t="inlineStr">
        <is>
          <t>505d97f</t>
        </is>
      </c>
    </row>
    <row r="119">
      <c r="A119" s="34" t="inlineStr">
        <is>
          <t>RUN-0112</t>
        </is>
      </c>
      <c r="B119" s="31" t="inlineStr">
        <is>
          <t>backend</t>
        </is>
      </c>
      <c r="C119" s="31" t="inlineStr">
        <is>
          <t>PASS</t>
        </is>
      </c>
      <c r="D119" s="37" t="inlineStr">
        <is>
          <t>cd backend &amp;&amp; venv/Scripts/python -m pytest -q -p no:cacheprovider</t>
        </is>
      </c>
      <c r="E119" s="31" t="n">
        <v>1224</v>
      </c>
      <c r="F119" s="31" t="n">
        <v>0</v>
      </c>
      <c r="G119" s="37" t="n"/>
      <c r="H119" s="31" t="n">
        <v>0</v>
      </c>
      <c r="I119" s="41" t="n">
        <v>46295.1365162037</v>
      </c>
      <c r="J119" s="31" t="n">
        <v>182</v>
      </c>
      <c r="K119" s="31" t="inlineStr">
        <is>
          <t>05c6c69</t>
        </is>
      </c>
    </row>
    <row r="120">
      <c r="A120" s="34" t="inlineStr">
        <is>
          <t>RUN-0113</t>
        </is>
      </c>
      <c r="B120" s="31" t="inlineStr">
        <is>
          <t>vitest</t>
        </is>
      </c>
      <c r="C120" s="31" t="inlineStr">
        <is>
          <t>PASS</t>
        </is>
      </c>
      <c r="D120" s="37" t="inlineStr">
        <is>
          <t>cd frontend &amp;&amp; npx vitest run</t>
        </is>
      </c>
      <c r="E120" s="31" t="n">
        <v>166</v>
      </c>
      <c r="F120" s="31" t="n">
        <v>0</v>
      </c>
      <c r="G120" s="37" t="n"/>
      <c r="H120" s="31" t="n">
        <v>0</v>
      </c>
      <c r="I120" s="41" t="n">
        <v>46295.1365625</v>
      </c>
      <c r="J120" s="31" t="n"/>
      <c r="K120" s="31" t="inlineStr">
        <is>
          <t>05c6c69</t>
        </is>
      </c>
    </row>
    <row r="121">
      <c r="A121" s="34" t="inlineStr">
        <is>
          <t>RUN-0114</t>
        </is>
      </c>
      <c r="B121" s="31" t="inlineStr">
        <is>
          <t>playwright</t>
        </is>
      </c>
      <c r="C121" s="31" t="inlineStr">
        <is>
          <t>PASS</t>
        </is>
      </c>
      <c r="D121" s="37" t="inlineStr">
        <is>
          <t>cd frontend &amp;&amp; npx playwright test</t>
        </is>
      </c>
      <c r="E121" s="31" t="n">
        <v>28</v>
      </c>
      <c r="F121" s="31" t="n">
        <v>0</v>
      </c>
      <c r="G121" s="37" t="n"/>
      <c r="H121" s="31" t="n">
        <v>0</v>
      </c>
      <c r="I121" s="41" t="n">
        <v>46295.1366087963</v>
      </c>
      <c r="J121" s="31" t="n">
        <v>114</v>
      </c>
      <c r="K121" s="31" t="inlineStr">
        <is>
          <t>05c6c69</t>
        </is>
      </c>
    </row>
    <row r="122">
      <c r="A122" s="34" t="inlineStr">
        <is>
          <t>RUN-0115</t>
        </is>
      </c>
      <c r="B122" s="31" t="inlineStr">
        <is>
          <t>typecheck</t>
        </is>
      </c>
      <c r="C122" s="31" t="inlineStr">
        <is>
          <t>PASS</t>
        </is>
      </c>
      <c r="D122" s="37" t="inlineStr">
        <is>
          <t>cd frontend &amp;&amp; npx tsc --noEmit &amp;&amp; npx eslint .</t>
        </is>
      </c>
      <c r="E122" s="31" t="n">
        <v>1</v>
      </c>
      <c r="F122" s="31" t="n">
        <v>0</v>
      </c>
      <c r="G122" s="37" t="n"/>
      <c r="H122" s="31" t="n">
        <v>0</v>
      </c>
      <c r="I122" s="41" t="n">
        <v>46295.1366550926</v>
      </c>
      <c r="J122" s="31" t="n"/>
      <c r="K122" s="31" t="inlineStr">
        <is>
          <t>05c6c69</t>
        </is>
      </c>
    </row>
    <row r="123">
      <c r="A123" s="34" t="inlineStr">
        <is>
          <t>RUN-0116</t>
        </is>
      </c>
      <c r="B123" s="31" t="inlineStr">
        <is>
          <t>backend</t>
        </is>
      </c>
      <c r="C123" s="31" t="inlineStr">
        <is>
          <t>PASS</t>
        </is>
      </c>
      <c r="D123" s="37" t="inlineStr">
        <is>
          <t>cd backend &amp;&amp; venv/Scripts/python -m pytest -q -p no:cacheprovider</t>
        </is>
      </c>
      <c r="E123" s="31" t="n">
        <v>1227</v>
      </c>
      <c r="F123" s="31" t="n">
        <v>0</v>
      </c>
      <c r="G123" s="37" t="n"/>
      <c r="H123" s="31" t="n">
        <v>0</v>
      </c>
      <c r="I123" s="41" t="n">
        <v>46295.14872685185</v>
      </c>
      <c r="J123" s="31" t="n">
        <v>186</v>
      </c>
      <c r="K123" s="31" t="inlineStr">
        <is>
          <t>6869d5c</t>
        </is>
      </c>
    </row>
    <row r="124">
      <c r="A124" s="34" t="inlineStr">
        <is>
          <t>RUN-0117</t>
        </is>
      </c>
      <c r="B124" s="31" t="inlineStr">
        <is>
          <t>vitest</t>
        </is>
      </c>
      <c r="C124" s="31" t="inlineStr">
        <is>
          <t>PASS</t>
        </is>
      </c>
      <c r="D124" s="37" t="inlineStr">
        <is>
          <t>cd frontend &amp;&amp; npx vitest run</t>
        </is>
      </c>
      <c r="E124" s="31" t="n">
        <v>166</v>
      </c>
      <c r="F124" s="31" t="n">
        <v>0</v>
      </c>
      <c r="G124" s="37" t="n"/>
      <c r="H124" s="31" t="n">
        <v>0</v>
      </c>
      <c r="I124" s="41" t="n">
        <v>46295.14876157408</v>
      </c>
      <c r="J124" s="31" t="n"/>
      <c r="K124" s="31" t="inlineStr">
        <is>
          <t>6869d5c</t>
        </is>
      </c>
    </row>
    <row r="125">
      <c r="A125" s="34" t="inlineStr">
        <is>
          <t>RUN-0118</t>
        </is>
      </c>
      <c r="B125" s="31" t="inlineStr">
        <is>
          <t>playwright</t>
        </is>
      </c>
      <c r="C125" s="31" t="inlineStr">
        <is>
          <t>PASS</t>
        </is>
      </c>
      <c r="D125" s="37" t="inlineStr">
        <is>
          <t>cd frontend &amp;&amp; npx playwright test</t>
        </is>
      </c>
      <c r="E125" s="31" t="n">
        <v>28</v>
      </c>
      <c r="F125" s="31" t="n">
        <v>0</v>
      </c>
      <c r="G125" s="37" t="n"/>
      <c r="H125" s="31" t="n">
        <v>0</v>
      </c>
      <c r="I125" s="41" t="n">
        <v>46295.14880787037</v>
      </c>
      <c r="J125" s="31" t="n">
        <v>120</v>
      </c>
      <c r="K125" s="31" t="inlineStr">
        <is>
          <t>6869d5c</t>
        </is>
      </c>
    </row>
    <row r="126">
      <c r="A126" s="34" t="inlineStr">
        <is>
          <t>RUN-0119</t>
        </is>
      </c>
      <c r="B126" s="31" t="inlineStr">
        <is>
          <t>typecheck</t>
        </is>
      </c>
      <c r="C126" s="31" t="inlineStr">
        <is>
          <t>PASS</t>
        </is>
      </c>
      <c r="D126" s="37" t="inlineStr">
        <is>
          <t>cd frontend &amp;&amp; npx tsc --noEmit &amp;&amp; npx eslint .</t>
        </is>
      </c>
      <c r="E126" s="31" t="n">
        <v>1</v>
      </c>
      <c r="F126" s="31" t="n">
        <v>0</v>
      </c>
      <c r="G126" s="37" t="n"/>
      <c r="H126" s="31" t="n">
        <v>0</v>
      </c>
      <c r="I126" s="41" t="n">
        <v>46295.14885416667</v>
      </c>
      <c r="J126" s="31" t="n"/>
      <c r="K126" s="31" t="inlineStr">
        <is>
          <t>6869d5c</t>
        </is>
      </c>
    </row>
    <row r="127">
      <c r="A127" s="34" t="inlineStr">
        <is>
          <t>RUN-0120</t>
        </is>
      </c>
      <c r="B127" s="31" t="inlineStr">
        <is>
          <t>backend</t>
        </is>
      </c>
      <c r="C127" s="31" t="inlineStr">
        <is>
          <t>PASS</t>
        </is>
      </c>
      <c r="D127" s="37" t="inlineStr">
        <is>
          <t>cd backend &amp;&amp; venv/Scripts/python -m pytest -q -p no:cacheprovider</t>
        </is>
      </c>
      <c r="E127" s="31" t="n">
        <v>1233</v>
      </c>
      <c r="F127" s="31" t="n">
        <v>0</v>
      </c>
      <c r="G127" s="37" t="n"/>
      <c r="H127" s="31" t="n">
        <v>0</v>
      </c>
      <c r="I127" s="41" t="n">
        <v>46295.31461805556</v>
      </c>
      <c r="J127" s="31" t="n">
        <v>184</v>
      </c>
      <c r="K127" s="31" t="inlineStr">
        <is>
          <t>9b2249d</t>
        </is>
      </c>
    </row>
    <row r="128">
      <c r="A128" s="34" t="inlineStr">
        <is>
          <t>RUN-0121</t>
        </is>
      </c>
      <c r="B128" s="31" t="inlineStr">
        <is>
          <t>vitest</t>
        </is>
      </c>
      <c r="C128" s="31" t="inlineStr">
        <is>
          <t>PASS</t>
        </is>
      </c>
      <c r="D128" s="37" t="inlineStr">
        <is>
          <t>cd frontend &amp;&amp; npx vitest run</t>
        </is>
      </c>
      <c r="E128" s="31" t="n">
        <v>166</v>
      </c>
      <c r="F128" s="31" t="n">
        <v>0</v>
      </c>
      <c r="G128" s="37" t="n"/>
      <c r="H128" s="31" t="n">
        <v>0</v>
      </c>
      <c r="I128" s="41" t="n">
        <v>46295.31465277778</v>
      </c>
      <c r="J128" s="31" t="n"/>
      <c r="K128" s="31" t="inlineStr">
        <is>
          <t>9b2249d</t>
        </is>
      </c>
    </row>
    <row r="129">
      <c r="A129" s="34" t="inlineStr">
        <is>
          <t>RUN-0122</t>
        </is>
      </c>
      <c r="B129" s="31" t="inlineStr">
        <is>
          <t>playwright</t>
        </is>
      </c>
      <c r="C129" s="31" t="inlineStr">
        <is>
          <t>PASS</t>
        </is>
      </c>
      <c r="D129" s="37" t="inlineStr">
        <is>
          <t>cd frontend &amp;&amp; npx playwright test</t>
        </is>
      </c>
      <c r="E129" s="31" t="n">
        <v>28</v>
      </c>
      <c r="F129" s="31" t="n">
        <v>0</v>
      </c>
      <c r="G129" s="37" t="n"/>
      <c r="H129" s="31" t="n">
        <v>0</v>
      </c>
      <c r="I129" s="41" t="n">
        <v>46295.31469907407</v>
      </c>
      <c r="J129" s="31" t="n">
        <v>120</v>
      </c>
      <c r="K129" s="31" t="inlineStr">
        <is>
          <t>9b2249d</t>
        </is>
      </c>
    </row>
    <row r="130">
      <c r="A130" s="34" t="inlineStr">
        <is>
          <t>RUN-0123</t>
        </is>
      </c>
      <c r="B130" s="31" t="inlineStr">
        <is>
          <t>typecheck</t>
        </is>
      </c>
      <c r="C130" s="31" t="inlineStr">
        <is>
          <t>PASS</t>
        </is>
      </c>
      <c r="D130" s="37" t="inlineStr">
        <is>
          <t>cd frontend &amp;&amp; npx tsc --noEmit &amp;&amp; npx eslint .</t>
        </is>
      </c>
      <c r="E130" s="31" t="n">
        <v>1</v>
      </c>
      <c r="F130" s="31" t="n">
        <v>0</v>
      </c>
      <c r="G130" s="37" t="n"/>
      <c r="H130" s="31" t="n">
        <v>0</v>
      </c>
      <c r="I130" s="41" t="n">
        <v>46295.31474537037</v>
      </c>
      <c r="J130" s="31" t="n"/>
      <c r="K130" s="31" t="inlineStr">
        <is>
          <t>9b2249d</t>
        </is>
      </c>
    </row>
    <row r="133">
      <c r="A133" s="24" t="inlineStr">
        <is>
          <t>Testing tasks (live from MASTER)</t>
        </is>
      </c>
    </row>
    <row r="134">
      <c r="A134" s="29" t="inlineStr">
        <is>
          <t>ID</t>
        </is>
      </c>
      <c r="B134" s="29" t="inlineStr">
        <is>
          <t>Category</t>
        </is>
      </c>
      <c r="C134" s="29" t="inlineStr">
        <is>
          <t>Phase</t>
        </is>
      </c>
      <c r="D134" s="29" t="inlineStr">
        <is>
          <t>Feature/Task</t>
        </is>
      </c>
      <c r="E134" s="29" t="inlineStr">
        <is>
          <t>Priority</t>
        </is>
      </c>
      <c r="F134" s="29" t="inlineStr">
        <is>
          <t>Status</t>
        </is>
      </c>
      <c r="G134" s="29" t="inlineStr">
        <is>
          <t>Evidence</t>
        </is>
      </c>
      <c r="H134" s="29" t="inlineStr">
        <is>
          <t>Tests</t>
        </is>
      </c>
      <c r="I134" s="29" t="inlineStr">
        <is>
          <t>Last Verified</t>
        </is>
      </c>
      <c r="J134" s="29" t="inlineStr">
        <is>
          <t>Commit</t>
        </is>
      </c>
      <c r="K134" s="29" t="inlineStr">
        <is>
          <t>Notes</t>
        </is>
      </c>
      <c r="L134" s="29" t="inlineStr">
        <is>
          <t>Parent ID</t>
        </is>
      </c>
    </row>
    <row r="135">
      <c r="A135" s="34" t="inlineStr">
        <is>
          <t>TEST-001</t>
        </is>
      </c>
      <c r="B135" s="31">
        <f>IFERROR(INDEX(MASTER!$C$2:$C$2000,MATCH($A135,MASTER!$A$2:$A$2000,0))&amp;"","")</f>
        <v/>
      </c>
      <c r="C135" s="35">
        <f>IFERROR(INDEX(MASTER!$B$2:$B$2000,MATCH($A135,MASTER!$A$2:$A$2000,0)),"")</f>
        <v/>
      </c>
      <c r="D135" s="31">
        <f>IFERROR(INDEX(MASTER!$D$2:$D$2000,MATCH($A135,MASTER!$A$2:$A$2000,0))&amp;"","")</f>
        <v/>
      </c>
      <c r="E135" s="31">
        <f>IFERROR(INDEX(MASTER!$F$2:$F$2000,MATCH($A135,MASTER!$A$2:$A$2000,0))&amp;"","")</f>
        <v/>
      </c>
      <c r="F135" s="31">
        <f>IFERROR(INDEX(MASTER!$G$2:$G$2000,MATCH($A135,MASTER!$A$2:$A$2000,0))&amp;"","NOT IN MASTER")</f>
        <v/>
      </c>
      <c r="G135" s="31">
        <f>IFERROR(INDEX(MASTER!$H$2:$H$2000,MATCH($A135,MASTER!$A$2:$A$2000,0))&amp;"","")</f>
        <v/>
      </c>
      <c r="H135" s="31">
        <f>IFERROR(INDEX(MASTER!$I$2:$I$2000,MATCH($A135,MASTER!$A$2:$A$2000,0))&amp;"","")</f>
        <v/>
      </c>
      <c r="I135" s="41">
        <f>IFERROR(IF(INDEX(MASTER!$O$2:$O$2000,MATCH($A135,MASTER!$A$2:$A$2000,0))="","",INDEX(MASTER!$O$2:$O$2000,MATCH($A135,MASTER!$A$2:$A$2000,0))),"")</f>
        <v/>
      </c>
      <c r="J135" s="31">
        <f>IFERROR(INDEX(MASTER!$P$2:$P$2000,MATCH($A135,MASTER!$A$2:$A$2000,0))&amp;"","")</f>
        <v/>
      </c>
      <c r="K135" s="31">
        <f>IFERROR(INDEX(MASTER!$Q$2:$Q$2000,MATCH($A135,MASTER!$A$2:$A$2000,0))&amp;"","")</f>
        <v/>
      </c>
      <c r="L135" s="31">
        <f>IFERROR(INDEX(MASTER!$R$2:$R$2000,MATCH($A135,MASTER!$A$2:$A$2000,0))&amp;"","")</f>
        <v/>
      </c>
    </row>
    <row r="136">
      <c r="A136" s="34" t="inlineStr">
        <is>
          <t>TEST-002</t>
        </is>
      </c>
      <c r="B136" s="31">
        <f>IFERROR(INDEX(MASTER!$C$2:$C$2000,MATCH($A136,MASTER!$A$2:$A$2000,0))&amp;"","")</f>
        <v/>
      </c>
      <c r="C136" s="35">
        <f>IFERROR(INDEX(MASTER!$B$2:$B$2000,MATCH($A136,MASTER!$A$2:$A$2000,0)),"")</f>
        <v/>
      </c>
      <c r="D136" s="31">
        <f>IFERROR(INDEX(MASTER!$D$2:$D$2000,MATCH($A136,MASTER!$A$2:$A$2000,0))&amp;"","")</f>
        <v/>
      </c>
      <c r="E136" s="31">
        <f>IFERROR(INDEX(MASTER!$F$2:$F$2000,MATCH($A136,MASTER!$A$2:$A$2000,0))&amp;"","")</f>
        <v/>
      </c>
      <c r="F136" s="31">
        <f>IFERROR(INDEX(MASTER!$G$2:$G$2000,MATCH($A136,MASTER!$A$2:$A$2000,0))&amp;"","NOT IN MASTER")</f>
        <v/>
      </c>
      <c r="G136" s="31">
        <f>IFERROR(INDEX(MASTER!$H$2:$H$2000,MATCH($A136,MASTER!$A$2:$A$2000,0))&amp;"","")</f>
        <v/>
      </c>
      <c r="H136" s="31">
        <f>IFERROR(INDEX(MASTER!$I$2:$I$2000,MATCH($A136,MASTER!$A$2:$A$2000,0))&amp;"","")</f>
        <v/>
      </c>
      <c r="I136" s="41">
        <f>IFERROR(IF(INDEX(MASTER!$O$2:$O$2000,MATCH($A136,MASTER!$A$2:$A$2000,0))="","",INDEX(MASTER!$O$2:$O$2000,MATCH($A136,MASTER!$A$2:$A$2000,0))),"")</f>
        <v/>
      </c>
      <c r="J136" s="31">
        <f>IFERROR(INDEX(MASTER!$P$2:$P$2000,MATCH($A136,MASTER!$A$2:$A$2000,0))&amp;"","")</f>
        <v/>
      </c>
      <c r="K136" s="31">
        <f>IFERROR(INDEX(MASTER!$Q$2:$Q$2000,MATCH($A136,MASTER!$A$2:$A$2000,0))&amp;"","")</f>
        <v/>
      </c>
      <c r="L136" s="31">
        <f>IFERROR(INDEX(MASTER!$R$2:$R$2000,MATCH($A136,MASTER!$A$2:$A$2000,0))&amp;"","")</f>
        <v/>
      </c>
    </row>
    <row r="137">
      <c r="A137" s="34" t="inlineStr">
        <is>
          <t>TEST-003</t>
        </is>
      </c>
      <c r="B137" s="31">
        <f>IFERROR(INDEX(MASTER!$C$2:$C$2000,MATCH($A137,MASTER!$A$2:$A$2000,0))&amp;"","")</f>
        <v/>
      </c>
      <c r="C137" s="35">
        <f>IFERROR(INDEX(MASTER!$B$2:$B$2000,MATCH($A137,MASTER!$A$2:$A$2000,0)),"")</f>
        <v/>
      </c>
      <c r="D137" s="31">
        <f>IFERROR(INDEX(MASTER!$D$2:$D$2000,MATCH($A137,MASTER!$A$2:$A$2000,0))&amp;"","")</f>
        <v/>
      </c>
      <c r="E137" s="31">
        <f>IFERROR(INDEX(MASTER!$F$2:$F$2000,MATCH($A137,MASTER!$A$2:$A$2000,0))&amp;"","")</f>
        <v/>
      </c>
      <c r="F137" s="31">
        <f>IFERROR(INDEX(MASTER!$G$2:$G$2000,MATCH($A137,MASTER!$A$2:$A$2000,0))&amp;"","NOT IN MASTER")</f>
        <v/>
      </c>
      <c r="G137" s="31">
        <f>IFERROR(INDEX(MASTER!$H$2:$H$2000,MATCH($A137,MASTER!$A$2:$A$2000,0))&amp;"","")</f>
        <v/>
      </c>
      <c r="H137" s="31">
        <f>IFERROR(INDEX(MASTER!$I$2:$I$2000,MATCH($A137,MASTER!$A$2:$A$2000,0))&amp;"","")</f>
        <v/>
      </c>
      <c r="I137" s="41">
        <f>IFERROR(IF(INDEX(MASTER!$O$2:$O$2000,MATCH($A137,MASTER!$A$2:$A$2000,0))="","",INDEX(MASTER!$O$2:$O$2000,MATCH($A137,MASTER!$A$2:$A$2000,0))),"")</f>
        <v/>
      </c>
      <c r="J137" s="31">
        <f>IFERROR(INDEX(MASTER!$P$2:$P$2000,MATCH($A137,MASTER!$A$2:$A$2000,0))&amp;"","")</f>
        <v/>
      </c>
      <c r="K137" s="31">
        <f>IFERROR(INDEX(MASTER!$Q$2:$Q$2000,MATCH($A137,MASTER!$A$2:$A$2000,0))&amp;"","")</f>
        <v/>
      </c>
      <c r="L137" s="31">
        <f>IFERROR(INDEX(MASTER!$R$2:$R$2000,MATCH($A137,MASTER!$A$2:$A$2000,0))&amp;"","")</f>
        <v/>
      </c>
    </row>
    <row r="138">
      <c r="A138" s="34" t="inlineStr">
        <is>
          <t>TEST-004</t>
        </is>
      </c>
      <c r="B138" s="31">
        <f>IFERROR(INDEX(MASTER!$C$2:$C$2000,MATCH($A138,MASTER!$A$2:$A$2000,0))&amp;"","")</f>
        <v/>
      </c>
      <c r="C138" s="35">
        <f>IFERROR(INDEX(MASTER!$B$2:$B$2000,MATCH($A138,MASTER!$A$2:$A$2000,0)),"")</f>
        <v/>
      </c>
      <c r="D138" s="31">
        <f>IFERROR(INDEX(MASTER!$D$2:$D$2000,MATCH($A138,MASTER!$A$2:$A$2000,0))&amp;"","")</f>
        <v/>
      </c>
      <c r="E138" s="31">
        <f>IFERROR(INDEX(MASTER!$F$2:$F$2000,MATCH($A138,MASTER!$A$2:$A$2000,0))&amp;"","")</f>
        <v/>
      </c>
      <c r="F138" s="31">
        <f>IFERROR(INDEX(MASTER!$G$2:$G$2000,MATCH($A138,MASTER!$A$2:$A$2000,0))&amp;"","NOT IN MASTER")</f>
        <v/>
      </c>
      <c r="G138" s="31">
        <f>IFERROR(INDEX(MASTER!$H$2:$H$2000,MATCH($A138,MASTER!$A$2:$A$2000,0))&amp;"","")</f>
        <v/>
      </c>
      <c r="H138" s="31">
        <f>IFERROR(INDEX(MASTER!$I$2:$I$2000,MATCH($A138,MASTER!$A$2:$A$2000,0))&amp;"","")</f>
        <v/>
      </c>
      <c r="I138" s="41">
        <f>IFERROR(IF(INDEX(MASTER!$O$2:$O$2000,MATCH($A138,MASTER!$A$2:$A$2000,0))="","",INDEX(MASTER!$O$2:$O$2000,MATCH($A138,MASTER!$A$2:$A$2000,0))),"")</f>
        <v/>
      </c>
      <c r="J138" s="31">
        <f>IFERROR(INDEX(MASTER!$P$2:$P$2000,MATCH($A138,MASTER!$A$2:$A$2000,0))&amp;"","")</f>
        <v/>
      </c>
      <c r="K138" s="31">
        <f>IFERROR(INDEX(MASTER!$Q$2:$Q$2000,MATCH($A138,MASTER!$A$2:$A$2000,0))&amp;"","")</f>
        <v/>
      </c>
      <c r="L138" s="31">
        <f>IFERROR(INDEX(MASTER!$R$2:$R$2000,MATCH($A138,MASTER!$A$2:$A$2000,0))&amp;"","")</f>
        <v/>
      </c>
    </row>
    <row r="139">
      <c r="A139" s="34" t="inlineStr">
        <is>
          <t>TEST-005</t>
        </is>
      </c>
      <c r="B139" s="31">
        <f>IFERROR(INDEX(MASTER!$C$2:$C$2000,MATCH($A139,MASTER!$A$2:$A$2000,0))&amp;"","")</f>
        <v/>
      </c>
      <c r="C139" s="35">
        <f>IFERROR(INDEX(MASTER!$B$2:$B$2000,MATCH($A139,MASTER!$A$2:$A$2000,0)),"")</f>
        <v/>
      </c>
      <c r="D139" s="31">
        <f>IFERROR(INDEX(MASTER!$D$2:$D$2000,MATCH($A139,MASTER!$A$2:$A$2000,0))&amp;"","")</f>
        <v/>
      </c>
      <c r="E139" s="31">
        <f>IFERROR(INDEX(MASTER!$F$2:$F$2000,MATCH($A139,MASTER!$A$2:$A$2000,0))&amp;"","")</f>
        <v/>
      </c>
      <c r="F139" s="31">
        <f>IFERROR(INDEX(MASTER!$G$2:$G$2000,MATCH($A139,MASTER!$A$2:$A$2000,0))&amp;"","NOT IN MASTER")</f>
        <v/>
      </c>
      <c r="G139" s="31">
        <f>IFERROR(INDEX(MASTER!$H$2:$H$2000,MATCH($A139,MASTER!$A$2:$A$2000,0))&amp;"","")</f>
        <v/>
      </c>
      <c r="H139" s="31">
        <f>IFERROR(INDEX(MASTER!$I$2:$I$2000,MATCH($A139,MASTER!$A$2:$A$2000,0))&amp;"","")</f>
        <v/>
      </c>
      <c r="I139" s="41">
        <f>IFERROR(IF(INDEX(MASTER!$O$2:$O$2000,MATCH($A139,MASTER!$A$2:$A$2000,0))="","",INDEX(MASTER!$O$2:$O$2000,MATCH($A139,MASTER!$A$2:$A$2000,0))),"")</f>
        <v/>
      </c>
      <c r="J139" s="31">
        <f>IFERROR(INDEX(MASTER!$P$2:$P$2000,MATCH($A139,MASTER!$A$2:$A$2000,0))&amp;"","")</f>
        <v/>
      </c>
      <c r="K139" s="31">
        <f>IFERROR(INDEX(MASTER!$Q$2:$Q$2000,MATCH($A139,MASTER!$A$2:$A$2000,0))&amp;"","")</f>
        <v/>
      </c>
      <c r="L139" s="31">
        <f>IFERROR(INDEX(MASTER!$R$2:$R$2000,MATCH($A139,MASTER!$A$2:$A$2000,0))&amp;"","")</f>
        <v/>
      </c>
    </row>
    <row r="140">
      <c r="A140" s="34" t="inlineStr">
        <is>
          <t>TEST-010</t>
        </is>
      </c>
      <c r="B140" s="31">
        <f>IFERROR(INDEX(MASTER!$C$2:$C$2000,MATCH($A140,MASTER!$A$2:$A$2000,0))&amp;"","")</f>
        <v/>
      </c>
      <c r="C140" s="35">
        <f>IFERROR(INDEX(MASTER!$B$2:$B$2000,MATCH($A140,MASTER!$A$2:$A$2000,0)),"")</f>
        <v/>
      </c>
      <c r="D140" s="31">
        <f>IFERROR(INDEX(MASTER!$D$2:$D$2000,MATCH($A140,MASTER!$A$2:$A$2000,0))&amp;"","")</f>
        <v/>
      </c>
      <c r="E140" s="31">
        <f>IFERROR(INDEX(MASTER!$F$2:$F$2000,MATCH($A140,MASTER!$A$2:$A$2000,0))&amp;"","")</f>
        <v/>
      </c>
      <c r="F140" s="31">
        <f>IFERROR(INDEX(MASTER!$G$2:$G$2000,MATCH($A140,MASTER!$A$2:$A$2000,0))&amp;"","NOT IN MASTER")</f>
        <v/>
      </c>
      <c r="G140" s="31">
        <f>IFERROR(INDEX(MASTER!$H$2:$H$2000,MATCH($A140,MASTER!$A$2:$A$2000,0))&amp;"","")</f>
        <v/>
      </c>
      <c r="H140" s="31">
        <f>IFERROR(INDEX(MASTER!$I$2:$I$2000,MATCH($A140,MASTER!$A$2:$A$2000,0))&amp;"","")</f>
        <v/>
      </c>
      <c r="I140" s="41">
        <f>IFERROR(IF(INDEX(MASTER!$O$2:$O$2000,MATCH($A140,MASTER!$A$2:$A$2000,0))="","",INDEX(MASTER!$O$2:$O$2000,MATCH($A140,MASTER!$A$2:$A$2000,0))),"")</f>
        <v/>
      </c>
      <c r="J140" s="31">
        <f>IFERROR(INDEX(MASTER!$P$2:$P$2000,MATCH($A140,MASTER!$A$2:$A$2000,0))&amp;"","")</f>
        <v/>
      </c>
      <c r="K140" s="31">
        <f>IFERROR(INDEX(MASTER!$Q$2:$Q$2000,MATCH($A140,MASTER!$A$2:$A$2000,0))&amp;"","")</f>
        <v/>
      </c>
      <c r="L140" s="31">
        <f>IFERROR(INDEX(MASTER!$R$2:$R$2000,MATCH($A140,MASTER!$A$2:$A$2000,0))&amp;"","")</f>
        <v/>
      </c>
    </row>
    <row r="141">
      <c r="A141" s="34" t="inlineStr">
        <is>
          <t>TEST-020</t>
        </is>
      </c>
      <c r="B141" s="31">
        <f>IFERROR(INDEX(MASTER!$C$2:$C$2000,MATCH($A141,MASTER!$A$2:$A$2000,0))&amp;"","")</f>
        <v/>
      </c>
      <c r="C141" s="35">
        <f>IFERROR(INDEX(MASTER!$B$2:$B$2000,MATCH($A141,MASTER!$A$2:$A$2000,0)),"")</f>
        <v/>
      </c>
      <c r="D141" s="31">
        <f>IFERROR(INDEX(MASTER!$D$2:$D$2000,MATCH($A141,MASTER!$A$2:$A$2000,0))&amp;"","")</f>
        <v/>
      </c>
      <c r="E141" s="31">
        <f>IFERROR(INDEX(MASTER!$F$2:$F$2000,MATCH($A141,MASTER!$A$2:$A$2000,0))&amp;"","")</f>
        <v/>
      </c>
      <c r="F141" s="31">
        <f>IFERROR(INDEX(MASTER!$G$2:$G$2000,MATCH($A141,MASTER!$A$2:$A$2000,0))&amp;"","NOT IN MASTER")</f>
        <v/>
      </c>
      <c r="G141" s="31">
        <f>IFERROR(INDEX(MASTER!$H$2:$H$2000,MATCH($A141,MASTER!$A$2:$A$2000,0))&amp;"","")</f>
        <v/>
      </c>
      <c r="H141" s="31">
        <f>IFERROR(INDEX(MASTER!$I$2:$I$2000,MATCH($A141,MASTER!$A$2:$A$2000,0))&amp;"","")</f>
        <v/>
      </c>
      <c r="I141" s="41">
        <f>IFERROR(IF(INDEX(MASTER!$O$2:$O$2000,MATCH($A141,MASTER!$A$2:$A$2000,0))="","",INDEX(MASTER!$O$2:$O$2000,MATCH($A141,MASTER!$A$2:$A$2000,0))),"")</f>
        <v/>
      </c>
      <c r="J141" s="31">
        <f>IFERROR(INDEX(MASTER!$P$2:$P$2000,MATCH($A141,MASTER!$A$2:$A$2000,0))&amp;"","")</f>
        <v/>
      </c>
      <c r="K141" s="31">
        <f>IFERROR(INDEX(MASTER!$Q$2:$Q$2000,MATCH($A141,MASTER!$A$2:$A$2000,0))&amp;"","")</f>
        <v/>
      </c>
      <c r="L141" s="31">
        <f>IFERROR(INDEX(MASTER!$R$2:$R$2000,MATCH($A141,MASTER!$A$2:$A$2000,0))&amp;"","")</f>
        <v/>
      </c>
    </row>
    <row r="142">
      <c r="A142" s="34" t="inlineStr">
        <is>
          <t>TEST-021</t>
        </is>
      </c>
      <c r="B142" s="31">
        <f>IFERROR(INDEX(MASTER!$C$2:$C$2000,MATCH($A142,MASTER!$A$2:$A$2000,0))&amp;"","")</f>
        <v/>
      </c>
      <c r="C142" s="35">
        <f>IFERROR(INDEX(MASTER!$B$2:$B$2000,MATCH($A142,MASTER!$A$2:$A$2000,0)),"")</f>
        <v/>
      </c>
      <c r="D142" s="31">
        <f>IFERROR(INDEX(MASTER!$D$2:$D$2000,MATCH($A142,MASTER!$A$2:$A$2000,0))&amp;"","")</f>
        <v/>
      </c>
      <c r="E142" s="31">
        <f>IFERROR(INDEX(MASTER!$F$2:$F$2000,MATCH($A142,MASTER!$A$2:$A$2000,0))&amp;"","")</f>
        <v/>
      </c>
      <c r="F142" s="31">
        <f>IFERROR(INDEX(MASTER!$G$2:$G$2000,MATCH($A142,MASTER!$A$2:$A$2000,0))&amp;"","NOT IN MASTER")</f>
        <v/>
      </c>
      <c r="G142" s="31">
        <f>IFERROR(INDEX(MASTER!$H$2:$H$2000,MATCH($A142,MASTER!$A$2:$A$2000,0))&amp;"","")</f>
        <v/>
      </c>
      <c r="H142" s="31">
        <f>IFERROR(INDEX(MASTER!$I$2:$I$2000,MATCH($A142,MASTER!$A$2:$A$2000,0))&amp;"","")</f>
        <v/>
      </c>
      <c r="I142" s="41">
        <f>IFERROR(IF(INDEX(MASTER!$O$2:$O$2000,MATCH($A142,MASTER!$A$2:$A$2000,0))="","",INDEX(MASTER!$O$2:$O$2000,MATCH($A142,MASTER!$A$2:$A$2000,0))),"")</f>
        <v/>
      </c>
      <c r="J142" s="31">
        <f>IFERROR(INDEX(MASTER!$P$2:$P$2000,MATCH($A142,MASTER!$A$2:$A$2000,0))&amp;"","")</f>
        <v/>
      </c>
      <c r="K142" s="31">
        <f>IFERROR(INDEX(MASTER!$Q$2:$Q$2000,MATCH($A142,MASTER!$A$2:$A$2000,0))&amp;"","")</f>
        <v/>
      </c>
      <c r="L142" s="31">
        <f>IFERROR(INDEX(MASTER!$R$2:$R$2000,MATCH($A142,MASTER!$A$2:$A$2000,0))&amp;"","")</f>
        <v/>
      </c>
    </row>
    <row r="143">
      <c r="A143" s="34" t="inlineStr">
        <is>
          <t>TEST-021A</t>
        </is>
      </c>
      <c r="B143" s="31">
        <f>IFERROR(INDEX(MASTER!$C$2:$C$2000,MATCH($A143,MASTER!$A$2:$A$2000,0))&amp;"","")</f>
        <v/>
      </c>
      <c r="C143" s="35">
        <f>IFERROR(INDEX(MASTER!$B$2:$B$2000,MATCH($A143,MASTER!$A$2:$A$2000,0)),"")</f>
        <v/>
      </c>
      <c r="D143" s="31">
        <f>IFERROR(INDEX(MASTER!$D$2:$D$2000,MATCH($A143,MASTER!$A$2:$A$2000,0))&amp;"","")</f>
        <v/>
      </c>
      <c r="E143" s="31">
        <f>IFERROR(INDEX(MASTER!$F$2:$F$2000,MATCH($A143,MASTER!$A$2:$A$2000,0))&amp;"","")</f>
        <v/>
      </c>
      <c r="F143" s="31">
        <f>IFERROR(INDEX(MASTER!$G$2:$G$2000,MATCH($A143,MASTER!$A$2:$A$2000,0))&amp;"","NOT IN MASTER")</f>
        <v/>
      </c>
      <c r="G143" s="31">
        <f>IFERROR(INDEX(MASTER!$H$2:$H$2000,MATCH($A143,MASTER!$A$2:$A$2000,0))&amp;"","")</f>
        <v/>
      </c>
      <c r="H143" s="31">
        <f>IFERROR(INDEX(MASTER!$I$2:$I$2000,MATCH($A143,MASTER!$A$2:$A$2000,0))&amp;"","")</f>
        <v/>
      </c>
      <c r="I143" s="41">
        <f>IFERROR(IF(INDEX(MASTER!$O$2:$O$2000,MATCH($A143,MASTER!$A$2:$A$2000,0))="","",INDEX(MASTER!$O$2:$O$2000,MATCH($A143,MASTER!$A$2:$A$2000,0))),"")</f>
        <v/>
      </c>
      <c r="J143" s="31">
        <f>IFERROR(INDEX(MASTER!$P$2:$P$2000,MATCH($A143,MASTER!$A$2:$A$2000,0))&amp;"","")</f>
        <v/>
      </c>
      <c r="K143" s="31">
        <f>IFERROR(INDEX(MASTER!$Q$2:$Q$2000,MATCH($A143,MASTER!$A$2:$A$2000,0))&amp;"","")</f>
        <v/>
      </c>
      <c r="L143" s="31">
        <f>IFERROR(INDEX(MASTER!$R$2:$R$2000,MATCH($A143,MASTER!$A$2:$A$2000,0))&amp;"","")</f>
        <v/>
      </c>
    </row>
    <row r="144">
      <c r="A144" s="34" t="inlineStr">
        <is>
          <t>TEST-022</t>
        </is>
      </c>
      <c r="B144" s="31">
        <f>IFERROR(INDEX(MASTER!$C$2:$C$2000,MATCH($A144,MASTER!$A$2:$A$2000,0))&amp;"","")</f>
        <v/>
      </c>
      <c r="C144" s="35">
        <f>IFERROR(INDEX(MASTER!$B$2:$B$2000,MATCH($A144,MASTER!$A$2:$A$2000,0)),"")</f>
        <v/>
      </c>
      <c r="D144" s="31">
        <f>IFERROR(INDEX(MASTER!$D$2:$D$2000,MATCH($A144,MASTER!$A$2:$A$2000,0))&amp;"","")</f>
        <v/>
      </c>
      <c r="E144" s="31">
        <f>IFERROR(INDEX(MASTER!$F$2:$F$2000,MATCH($A144,MASTER!$A$2:$A$2000,0))&amp;"","")</f>
        <v/>
      </c>
      <c r="F144" s="31">
        <f>IFERROR(INDEX(MASTER!$G$2:$G$2000,MATCH($A144,MASTER!$A$2:$A$2000,0))&amp;"","NOT IN MASTER")</f>
        <v/>
      </c>
      <c r="G144" s="31">
        <f>IFERROR(INDEX(MASTER!$H$2:$H$2000,MATCH($A144,MASTER!$A$2:$A$2000,0))&amp;"","")</f>
        <v/>
      </c>
      <c r="H144" s="31">
        <f>IFERROR(INDEX(MASTER!$I$2:$I$2000,MATCH($A144,MASTER!$A$2:$A$2000,0))&amp;"","")</f>
        <v/>
      </c>
      <c r="I144" s="41">
        <f>IFERROR(IF(INDEX(MASTER!$O$2:$O$2000,MATCH($A144,MASTER!$A$2:$A$2000,0))="","",INDEX(MASTER!$O$2:$O$2000,MATCH($A144,MASTER!$A$2:$A$2000,0))),"")</f>
        <v/>
      </c>
      <c r="J144" s="31">
        <f>IFERROR(INDEX(MASTER!$P$2:$P$2000,MATCH($A144,MASTER!$A$2:$A$2000,0))&amp;"","")</f>
        <v/>
      </c>
      <c r="K144" s="31">
        <f>IFERROR(INDEX(MASTER!$Q$2:$Q$2000,MATCH($A144,MASTER!$A$2:$A$2000,0))&amp;"","")</f>
        <v/>
      </c>
      <c r="L144" s="31">
        <f>IFERROR(INDEX(MASTER!$R$2:$R$2000,MATCH($A144,MASTER!$A$2:$A$2000,0))&amp;"","")</f>
        <v/>
      </c>
    </row>
    <row r="145">
      <c r="A145" s="34" t="inlineStr">
        <is>
          <t>TEST-023</t>
        </is>
      </c>
      <c r="B145" s="31">
        <f>IFERROR(INDEX(MASTER!$C$2:$C$2000,MATCH($A145,MASTER!$A$2:$A$2000,0))&amp;"","")</f>
        <v/>
      </c>
      <c r="C145" s="35">
        <f>IFERROR(INDEX(MASTER!$B$2:$B$2000,MATCH($A145,MASTER!$A$2:$A$2000,0)),"")</f>
        <v/>
      </c>
      <c r="D145" s="31">
        <f>IFERROR(INDEX(MASTER!$D$2:$D$2000,MATCH($A145,MASTER!$A$2:$A$2000,0))&amp;"","")</f>
        <v/>
      </c>
      <c r="E145" s="31">
        <f>IFERROR(INDEX(MASTER!$F$2:$F$2000,MATCH($A145,MASTER!$A$2:$A$2000,0))&amp;"","")</f>
        <v/>
      </c>
      <c r="F145" s="31">
        <f>IFERROR(INDEX(MASTER!$G$2:$G$2000,MATCH($A145,MASTER!$A$2:$A$2000,0))&amp;"","NOT IN MASTER")</f>
        <v/>
      </c>
      <c r="G145" s="31">
        <f>IFERROR(INDEX(MASTER!$H$2:$H$2000,MATCH($A145,MASTER!$A$2:$A$2000,0))&amp;"","")</f>
        <v/>
      </c>
      <c r="H145" s="31">
        <f>IFERROR(INDEX(MASTER!$I$2:$I$2000,MATCH($A145,MASTER!$A$2:$A$2000,0))&amp;"","")</f>
        <v/>
      </c>
      <c r="I145" s="41">
        <f>IFERROR(IF(INDEX(MASTER!$O$2:$O$2000,MATCH($A145,MASTER!$A$2:$A$2000,0))="","",INDEX(MASTER!$O$2:$O$2000,MATCH($A145,MASTER!$A$2:$A$2000,0))),"")</f>
        <v/>
      </c>
      <c r="J145" s="31">
        <f>IFERROR(INDEX(MASTER!$P$2:$P$2000,MATCH($A145,MASTER!$A$2:$A$2000,0))&amp;"","")</f>
        <v/>
      </c>
      <c r="K145" s="31">
        <f>IFERROR(INDEX(MASTER!$Q$2:$Q$2000,MATCH($A145,MASTER!$A$2:$A$2000,0))&amp;"","")</f>
        <v/>
      </c>
      <c r="L145" s="31">
        <f>IFERROR(INDEX(MASTER!$R$2:$R$2000,MATCH($A145,MASTER!$A$2:$A$2000,0))&amp;"","")</f>
        <v/>
      </c>
    </row>
    <row r="146">
      <c r="A146" s="34" t="inlineStr">
        <is>
          <t>TEST-030</t>
        </is>
      </c>
      <c r="B146" s="31">
        <f>IFERROR(INDEX(MASTER!$C$2:$C$2000,MATCH($A146,MASTER!$A$2:$A$2000,0))&amp;"","")</f>
        <v/>
      </c>
      <c r="C146" s="35">
        <f>IFERROR(INDEX(MASTER!$B$2:$B$2000,MATCH($A146,MASTER!$A$2:$A$2000,0)),"")</f>
        <v/>
      </c>
      <c r="D146" s="31">
        <f>IFERROR(INDEX(MASTER!$D$2:$D$2000,MATCH($A146,MASTER!$A$2:$A$2000,0))&amp;"","")</f>
        <v/>
      </c>
      <c r="E146" s="31">
        <f>IFERROR(INDEX(MASTER!$F$2:$F$2000,MATCH($A146,MASTER!$A$2:$A$2000,0))&amp;"","")</f>
        <v/>
      </c>
      <c r="F146" s="31">
        <f>IFERROR(INDEX(MASTER!$G$2:$G$2000,MATCH($A146,MASTER!$A$2:$A$2000,0))&amp;"","NOT IN MASTER")</f>
        <v/>
      </c>
      <c r="G146" s="31">
        <f>IFERROR(INDEX(MASTER!$H$2:$H$2000,MATCH($A146,MASTER!$A$2:$A$2000,0))&amp;"","")</f>
        <v/>
      </c>
      <c r="H146" s="31">
        <f>IFERROR(INDEX(MASTER!$I$2:$I$2000,MATCH($A146,MASTER!$A$2:$A$2000,0))&amp;"","")</f>
        <v/>
      </c>
      <c r="I146" s="41">
        <f>IFERROR(IF(INDEX(MASTER!$O$2:$O$2000,MATCH($A146,MASTER!$A$2:$A$2000,0))="","",INDEX(MASTER!$O$2:$O$2000,MATCH($A146,MASTER!$A$2:$A$2000,0))),"")</f>
        <v/>
      </c>
      <c r="J146" s="31">
        <f>IFERROR(INDEX(MASTER!$P$2:$P$2000,MATCH($A146,MASTER!$A$2:$A$2000,0))&amp;"","")</f>
        <v/>
      </c>
      <c r="K146" s="31">
        <f>IFERROR(INDEX(MASTER!$Q$2:$Q$2000,MATCH($A146,MASTER!$A$2:$A$2000,0))&amp;"","")</f>
        <v/>
      </c>
      <c r="L146" s="31">
        <f>IFERROR(INDEX(MASTER!$R$2:$R$2000,MATCH($A146,MASTER!$A$2:$A$2000,0))&amp;"","")</f>
        <v/>
      </c>
    </row>
    <row r="147">
      <c r="A147" s="34" t="inlineStr">
        <is>
          <t>TEST-040</t>
        </is>
      </c>
      <c r="B147" s="31">
        <f>IFERROR(INDEX(MASTER!$C$2:$C$2000,MATCH($A147,MASTER!$A$2:$A$2000,0))&amp;"","")</f>
        <v/>
      </c>
      <c r="C147" s="35">
        <f>IFERROR(INDEX(MASTER!$B$2:$B$2000,MATCH($A147,MASTER!$A$2:$A$2000,0)),"")</f>
        <v/>
      </c>
      <c r="D147" s="31">
        <f>IFERROR(INDEX(MASTER!$D$2:$D$2000,MATCH($A147,MASTER!$A$2:$A$2000,0))&amp;"","")</f>
        <v/>
      </c>
      <c r="E147" s="31">
        <f>IFERROR(INDEX(MASTER!$F$2:$F$2000,MATCH($A147,MASTER!$A$2:$A$2000,0))&amp;"","")</f>
        <v/>
      </c>
      <c r="F147" s="31">
        <f>IFERROR(INDEX(MASTER!$G$2:$G$2000,MATCH($A147,MASTER!$A$2:$A$2000,0))&amp;"","NOT IN MASTER")</f>
        <v/>
      </c>
      <c r="G147" s="31">
        <f>IFERROR(INDEX(MASTER!$H$2:$H$2000,MATCH($A147,MASTER!$A$2:$A$2000,0))&amp;"","")</f>
        <v/>
      </c>
      <c r="H147" s="31">
        <f>IFERROR(INDEX(MASTER!$I$2:$I$2000,MATCH($A147,MASTER!$A$2:$A$2000,0))&amp;"","")</f>
        <v/>
      </c>
      <c r="I147" s="41">
        <f>IFERROR(IF(INDEX(MASTER!$O$2:$O$2000,MATCH($A147,MASTER!$A$2:$A$2000,0))="","",INDEX(MASTER!$O$2:$O$2000,MATCH($A147,MASTER!$A$2:$A$2000,0))),"")</f>
        <v/>
      </c>
      <c r="J147" s="31">
        <f>IFERROR(INDEX(MASTER!$P$2:$P$2000,MATCH($A147,MASTER!$A$2:$A$2000,0))&amp;"","")</f>
        <v/>
      </c>
      <c r="K147" s="31">
        <f>IFERROR(INDEX(MASTER!$Q$2:$Q$2000,MATCH($A147,MASTER!$A$2:$A$2000,0))&amp;"","")</f>
        <v/>
      </c>
      <c r="L147" s="31">
        <f>IFERROR(INDEX(MASTER!$R$2:$R$2000,MATCH($A147,MASTER!$A$2:$A$2000,0))&amp;"","")</f>
        <v/>
      </c>
    </row>
    <row r="148">
      <c r="A148" s="34" t="inlineStr">
        <is>
          <t>TEST-041</t>
        </is>
      </c>
      <c r="B148" s="31">
        <f>IFERROR(INDEX(MASTER!$C$2:$C$2000,MATCH($A148,MASTER!$A$2:$A$2000,0))&amp;"","")</f>
        <v/>
      </c>
      <c r="C148" s="35">
        <f>IFERROR(INDEX(MASTER!$B$2:$B$2000,MATCH($A148,MASTER!$A$2:$A$2000,0)),"")</f>
        <v/>
      </c>
      <c r="D148" s="31">
        <f>IFERROR(INDEX(MASTER!$D$2:$D$2000,MATCH($A148,MASTER!$A$2:$A$2000,0))&amp;"","")</f>
        <v/>
      </c>
      <c r="E148" s="31">
        <f>IFERROR(INDEX(MASTER!$F$2:$F$2000,MATCH($A148,MASTER!$A$2:$A$2000,0))&amp;"","")</f>
        <v/>
      </c>
      <c r="F148" s="31">
        <f>IFERROR(INDEX(MASTER!$G$2:$G$2000,MATCH($A148,MASTER!$A$2:$A$2000,0))&amp;"","NOT IN MASTER")</f>
        <v/>
      </c>
      <c r="G148" s="31">
        <f>IFERROR(INDEX(MASTER!$H$2:$H$2000,MATCH($A148,MASTER!$A$2:$A$2000,0))&amp;"","")</f>
        <v/>
      </c>
      <c r="H148" s="31">
        <f>IFERROR(INDEX(MASTER!$I$2:$I$2000,MATCH($A148,MASTER!$A$2:$A$2000,0))&amp;"","")</f>
        <v/>
      </c>
      <c r="I148" s="41">
        <f>IFERROR(IF(INDEX(MASTER!$O$2:$O$2000,MATCH($A148,MASTER!$A$2:$A$2000,0))="","",INDEX(MASTER!$O$2:$O$2000,MATCH($A148,MASTER!$A$2:$A$2000,0))),"")</f>
        <v/>
      </c>
      <c r="J148" s="31">
        <f>IFERROR(INDEX(MASTER!$P$2:$P$2000,MATCH($A148,MASTER!$A$2:$A$2000,0))&amp;"","")</f>
        <v/>
      </c>
      <c r="K148" s="31">
        <f>IFERROR(INDEX(MASTER!$Q$2:$Q$2000,MATCH($A148,MASTER!$A$2:$A$2000,0))&amp;"","")</f>
        <v/>
      </c>
      <c r="L148" s="31">
        <f>IFERROR(INDEX(MASTER!$R$2:$R$2000,MATCH($A148,MASTER!$A$2:$A$2000,0))&amp;"","")</f>
        <v/>
      </c>
    </row>
    <row r="149">
      <c r="A149" s="34" t="inlineStr">
        <is>
          <t>TEST-043</t>
        </is>
      </c>
      <c r="B149" s="31">
        <f>IFERROR(INDEX(MASTER!$C$2:$C$2000,MATCH($A149,MASTER!$A$2:$A$2000,0))&amp;"","")</f>
        <v/>
      </c>
      <c r="C149" s="35">
        <f>IFERROR(INDEX(MASTER!$B$2:$B$2000,MATCH($A149,MASTER!$A$2:$A$2000,0)),"")</f>
        <v/>
      </c>
      <c r="D149" s="31">
        <f>IFERROR(INDEX(MASTER!$D$2:$D$2000,MATCH($A149,MASTER!$A$2:$A$2000,0))&amp;"","")</f>
        <v/>
      </c>
      <c r="E149" s="31">
        <f>IFERROR(INDEX(MASTER!$F$2:$F$2000,MATCH($A149,MASTER!$A$2:$A$2000,0))&amp;"","")</f>
        <v/>
      </c>
      <c r="F149" s="31">
        <f>IFERROR(INDEX(MASTER!$G$2:$G$2000,MATCH($A149,MASTER!$A$2:$A$2000,0))&amp;"","NOT IN MASTER")</f>
        <v/>
      </c>
      <c r="G149" s="31">
        <f>IFERROR(INDEX(MASTER!$H$2:$H$2000,MATCH($A149,MASTER!$A$2:$A$2000,0))&amp;"","")</f>
        <v/>
      </c>
      <c r="H149" s="31">
        <f>IFERROR(INDEX(MASTER!$I$2:$I$2000,MATCH($A149,MASTER!$A$2:$A$2000,0))&amp;"","")</f>
        <v/>
      </c>
      <c r="I149" s="41">
        <f>IFERROR(IF(INDEX(MASTER!$O$2:$O$2000,MATCH($A149,MASTER!$A$2:$A$2000,0))="","",INDEX(MASTER!$O$2:$O$2000,MATCH($A149,MASTER!$A$2:$A$2000,0))),"")</f>
        <v/>
      </c>
      <c r="J149" s="31">
        <f>IFERROR(INDEX(MASTER!$P$2:$P$2000,MATCH($A149,MASTER!$A$2:$A$2000,0))&amp;"","")</f>
        <v/>
      </c>
      <c r="K149" s="31">
        <f>IFERROR(INDEX(MASTER!$Q$2:$Q$2000,MATCH($A149,MASTER!$A$2:$A$2000,0))&amp;"","")</f>
        <v/>
      </c>
      <c r="L149" s="31">
        <f>IFERROR(INDEX(MASTER!$R$2:$R$2000,MATCH($A149,MASTER!$A$2:$A$2000,0))&amp;"","")</f>
        <v/>
      </c>
    </row>
    <row r="150">
      <c r="A150" s="34" t="inlineStr">
        <is>
          <t>TEST-006</t>
        </is>
      </c>
      <c r="B150" s="31">
        <f>IFERROR(INDEX(MASTER!$C$2:$C$2000,MATCH($A150,MASTER!$A$2:$A$2000,0))&amp;"","")</f>
        <v/>
      </c>
      <c r="C150" s="35">
        <f>IFERROR(INDEX(MASTER!$B$2:$B$2000,MATCH($A150,MASTER!$A$2:$A$2000,0)),"")</f>
        <v/>
      </c>
      <c r="D150" s="31">
        <f>IFERROR(INDEX(MASTER!$D$2:$D$2000,MATCH($A150,MASTER!$A$2:$A$2000,0))&amp;"","")</f>
        <v/>
      </c>
      <c r="E150" s="31">
        <f>IFERROR(INDEX(MASTER!$F$2:$F$2000,MATCH($A150,MASTER!$A$2:$A$2000,0))&amp;"","")</f>
        <v/>
      </c>
      <c r="F150" s="31">
        <f>IFERROR(INDEX(MASTER!$G$2:$G$2000,MATCH($A150,MASTER!$A$2:$A$2000,0))&amp;"","NOT IN MASTER")</f>
        <v/>
      </c>
      <c r="G150" s="31">
        <f>IFERROR(INDEX(MASTER!$H$2:$H$2000,MATCH($A150,MASTER!$A$2:$A$2000,0))&amp;"","")</f>
        <v/>
      </c>
      <c r="H150" s="31">
        <f>IFERROR(INDEX(MASTER!$I$2:$I$2000,MATCH($A150,MASTER!$A$2:$A$2000,0))&amp;"","")</f>
        <v/>
      </c>
      <c r="I150" s="41">
        <f>IFERROR(IF(INDEX(MASTER!$O$2:$O$2000,MATCH($A150,MASTER!$A$2:$A$2000,0))="","",INDEX(MASTER!$O$2:$O$2000,MATCH($A150,MASTER!$A$2:$A$2000,0))),"")</f>
        <v/>
      </c>
      <c r="J150" s="31">
        <f>IFERROR(INDEX(MASTER!$P$2:$P$2000,MATCH($A150,MASTER!$A$2:$A$2000,0))&amp;"","")</f>
        <v/>
      </c>
      <c r="K150" s="31">
        <f>IFERROR(INDEX(MASTER!$Q$2:$Q$2000,MATCH($A150,MASTER!$A$2:$A$2000,0))&amp;"","")</f>
        <v/>
      </c>
      <c r="L150" s="31">
        <f>IFERROR(INDEX(MASTER!$R$2:$R$2000,MATCH($A150,MASTER!$A$2:$A$2000,0))&amp;"","")</f>
        <v/>
      </c>
    </row>
  </sheetData>
  <autoFilter ref="A134:L150"/>
  <conditionalFormatting sqref="C8:C130">
    <cfRule type="cellIs" priority="1" operator="equal" dxfId="347">
      <formula>"PASS"</formula>
    </cfRule>
    <cfRule type="cellIs" priority="2" operator="equal" dxfId="341">
      <formula>"FAIL"</formula>
    </cfRule>
    <cfRule type="cellIs" priority="3" operator="equal" dxfId="342">
      <formula>"PARTIAL"</formula>
    </cfRule>
  </conditionalFormatting>
  <conditionalFormatting sqref="F135:F150">
    <cfRule type="cellIs" priority="4" operator="equal" dxfId="347">
      <formula>"DONE"</formula>
    </cfRule>
    <cfRule type="cellIs" priority="5" operator="equal" dxfId="346">
      <formula>"VERIFIED"</formula>
    </cfRule>
    <cfRule type="cellIs" priority="6" operator="equal" dxfId="342">
      <formula>"IN_PROGRESS"</formula>
    </cfRule>
    <cfRule type="cellIs" priority="7" operator="equal" dxfId="344">
      <formula>"IMPLEMENTED"</formula>
    </cfRule>
    <cfRule type="cellIs" priority="8" operator="equal" dxfId="345">
      <formula>"TESTING"</formula>
    </cfRule>
    <cfRule type="cellIs" priority="9" operator="equal" dxfId="343">
      <formula>"BLOCKED"</formula>
    </cfRule>
    <cfRule type="cellIs" priority="10" operator="equal" dxfId="341">
      <formula>"FAILED"</formula>
    </cfRule>
    <cfRule type="cellIs" priority="11" operator="equal" dxfId="348">
      <formula>"DEFERRED"</formula>
    </cfRule>
    <cfRule type="cellIs" priority="12" operator="equal" dxfId="349">
      <formula>"UNKNOWN"</formula>
    </cfRule>
    <cfRule type="cellIs" priority="13" operator="equal" dxfId="347">
      <formula>"PASS"</formula>
    </cfRule>
    <cfRule type="cellIs" priority="14" operator="equal" dxfId="341">
      <formula>"FAIL"</formula>
    </cfRule>
    <cfRule type="cellIs" priority="15" operator="equal" dxfId="342">
      <formula>"PARTIAL"</formula>
    </cfRule>
    <cfRule type="cellIs" priority="16" operator="equal" dxfId="347">
      <formula>"RESOLVED"</formula>
    </cfRule>
    <cfRule type="cellIs" priority="17" operator="equal" dxfId="351">
      <formula>"OPEN"</formula>
    </cfRule>
    <cfRule type="cellIs" priority="18" operator="equal" dxfId="347">
      <formula>"WITHIN"</formula>
    </cfRule>
    <cfRule type="cellIs" priority="19" operator="equal" dxfId="341">
      <formula>"OVER"</formula>
    </cfRule>
    <cfRule type="cellIs" priority="20" operator="equal" dxfId="352">
      <formula>"NOW"</formula>
    </cfRule>
    <cfRule type="cellIs" priority="21" operator="equal" dxfId="353">
      <formula>"NOT IN MASTER"</formula>
    </cfRule>
  </conditionalFormatting>
  <conditionalFormatting sqref="E135:E150">
    <cfRule type="cellIs" priority="22" operator="equal" dxfId="341">
      <formula>"P0"</formula>
    </cfRule>
    <cfRule type="cellIs" priority="23" operator="equal" dxfId="350">
      <formula>"P1"</formula>
    </cfRule>
  </conditionalFormatting>
  <dataValidations count="1">
    <dataValidation sqref="C8:C130" showDropDown="0" showInputMessage="0" showErrorMessage="1" allowBlank="1" errorTitle="Invalid result" error="Pick a result from the list." type="list" errorStyle="stop">
      <formula1>"PASS,FAIL,PARTIAL,N/A"</formula1>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L74"/>
  <sheetViews>
    <sheetView workbookViewId="0">
      <pane ySplit="4" topLeftCell="A5" activePane="bottomLeft" state="frozen"/>
      <selection pane="bottomLeft" activeCell="A1" sqref="A1"/>
    </sheetView>
  </sheetViews>
  <sheetFormatPr baseColWidth="8" defaultRowHeight="15"/>
  <cols>
    <col width="44" customWidth="1" min="1" max="1"/>
    <col width="19" customWidth="1" min="2" max="2"/>
    <col width="34" customWidth="1" min="3" max="3"/>
    <col width="44" customWidth="1" min="4" max="4"/>
    <col width="12" customWidth="1" min="5" max="5"/>
    <col width="50"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PRODUCT_FEATURES — Product features</t>
        </is>
      </c>
    </row>
    <row r="2">
      <c r="A2" s="23" t="inlineStr">
        <is>
          <t>Feature backlog (NOW / NEXT / LATER / ARCHITECTURE_ONLY) and product tasks.</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COUNTIF(MASTER!$C$2:$C$2000,"PRODUCT")</f>
        <v/>
      </c>
      <c r="B4" s="26">
        <f>COUNTIFS(MASTER!$C$2:$C$2000,"PRODUCT",MASTER!$G$2:$G$2000,"DONE")</f>
        <v/>
      </c>
      <c r="C4" s="26">
        <f>COUNTIFS(MASTER!$C$2:$C$2000,"PRODUCT",MASTER!$G$2:$G$2000,"VERIFIED")+B4</f>
        <v/>
      </c>
      <c r="D4" s="26">
        <f>COUNTIFS(MASTER!$C$2:$C$2000,"PRODUCT",MASTER!$G$2:$G$2000,"IN_PROGRESS")+COUNTIFS(MASTER!$C$2:$C$2000,"PRODUCT",MASTER!$G$2:$G$2000,"IMPLEMENTED")+COUNTIFS(MASTER!$C$2:$C$2000,"PRODUCT",MASTER!$G$2:$G$2000,"TESTING")</f>
        <v/>
      </c>
      <c r="E4" s="26">
        <f>COUNTIFS(MASTER!$C$2:$C$2000,"PRODUCT",MASTER!$G$2:$G$2000,"BLOCKED")</f>
        <v/>
      </c>
      <c r="F4" s="26">
        <f>COUNTIFS(MASTER!$C$2:$C$2000,"PRODUCT",MASTER!$G$2:$G$2000,"FAILED")</f>
        <v/>
      </c>
      <c r="G4" s="28">
        <f>IF(A4=0,0,B4/A4)</f>
        <v/>
      </c>
      <c r="H4" s="28">
        <f>IF(A4=0,0,C4/A4)</f>
        <v/>
      </c>
    </row>
    <row r="6">
      <c r="A6" s="24" t="inlineStr">
        <is>
          <t>Feature backlog — brief §61-62</t>
        </is>
      </c>
    </row>
    <row r="7">
      <c r="A7" s="29" t="inlineStr">
        <is>
          <t>Feature</t>
        </is>
      </c>
      <c r="B7" s="29" t="inlineStr">
        <is>
          <t>Bucket</t>
        </is>
      </c>
      <c r="C7" s="29" t="inlineStr">
        <is>
          <t>Linked Tasks</t>
        </is>
      </c>
      <c r="D7" s="29" t="inlineStr">
        <is>
          <t>Linked Done</t>
        </is>
      </c>
      <c r="E7" s="29" t="inlineStr">
        <is>
          <t>Linked Total</t>
        </is>
      </c>
      <c r="F7" s="29" t="inlineStr">
        <is>
          <t>Notes</t>
        </is>
      </c>
    </row>
    <row r="8">
      <c r="A8" s="34" t="inlineStr">
        <is>
          <t>Document integrity</t>
        </is>
      </c>
      <c r="B8" s="31" t="inlineStr">
        <is>
          <t>NOW</t>
        </is>
      </c>
      <c r="C8" s="37" t="inlineStr">
        <is>
          <t>EDIT-001,EDIT-005,FID-002</t>
        </is>
      </c>
      <c r="D8" s="35">
        <f>SUMPRODUCT(ISNUMBER(SEARCH(","&amp;MASTER!$A$2:$A$2000&amp;",",","&amp;SUBSTITUTE($C8," ","")&amp;","))*((MASTER!$G$2:$G$2000="DONE")))</f>
        <v/>
      </c>
      <c r="E8" s="35">
        <f>IF(LEN(SUBSTITUTE($C8," ",""))=0,0,LEN(SUBSTITUTE($C8," ",""))-LEN(SUBSTITUTE(SUBSTITUTE($C8," ",""),",",""))+1)</f>
        <v/>
      </c>
      <c r="F8" s="37" t="inlineStr">
        <is>
          <t>Brief 62: NOW #1</t>
        </is>
      </c>
    </row>
    <row r="9">
      <c r="A9" s="34" t="inlineStr">
        <is>
          <t>Fidelity</t>
        </is>
      </c>
      <c r="B9" s="31" t="inlineStr">
        <is>
          <t>NOW</t>
        </is>
      </c>
      <c r="C9" s="37" t="inlineStr">
        <is>
          <t>DOCX-011,TEST-022</t>
        </is>
      </c>
      <c r="D9" s="35">
        <f>SUMPRODUCT(ISNUMBER(SEARCH(","&amp;MASTER!$A$2:$A$2000&amp;",",","&amp;SUBSTITUTE($C9," ","")&amp;","))*((MASTER!$G$2:$G$2000="DONE")))</f>
        <v/>
      </c>
      <c r="E9" s="35">
        <f>IF(LEN(SUBSTITUTE($C9," ",""))=0,0,LEN(SUBSTITUTE($C9," ",""))-LEN(SUBSTITUTE(SUBSTITUTE($C9," ",""),",",""))+1)</f>
        <v/>
      </c>
      <c r="F9" s="37" t="inlineStr">
        <is>
          <t>Brief 62: NOW #2</t>
        </is>
      </c>
    </row>
    <row r="10">
      <c r="A10" s="34" t="inlineStr">
        <is>
          <t>Security</t>
        </is>
      </c>
      <c r="B10" s="31" t="inlineStr">
        <is>
          <t>NOW</t>
        </is>
      </c>
      <c r="C10" s="37" t="inlineStr">
        <is>
          <t>SEC-010,SEC-012,SEC-014</t>
        </is>
      </c>
      <c r="D10" s="35">
        <f>SUMPRODUCT(ISNUMBER(SEARCH(","&amp;MASTER!$A$2:$A$2000&amp;",",","&amp;SUBSTITUTE($C10," ","")&amp;","))*((MASTER!$G$2:$G$2000="DONE")))</f>
        <v/>
      </c>
      <c r="E10" s="35">
        <f>IF(LEN(SUBSTITUTE($C10," ",""))=0,0,LEN(SUBSTITUTE($C10," ",""))-LEN(SUBSTITUTE(SUBSTITUTE($C10," ",""),",",""))+1)</f>
        <v/>
      </c>
      <c r="F10" s="37" t="inlineStr">
        <is>
          <t>Brief 62: NOW #3</t>
        </is>
      </c>
    </row>
    <row r="11">
      <c r="A11" s="34" t="inlineStr">
        <is>
          <t>Performance</t>
        </is>
      </c>
      <c r="B11" s="31" t="inlineStr">
        <is>
          <t>NOW</t>
        </is>
      </c>
      <c r="C11" s="37" t="inlineStr">
        <is>
          <t>PERF-001,PERF-003,PERF-004</t>
        </is>
      </c>
      <c r="D11" s="35">
        <f>SUMPRODUCT(ISNUMBER(SEARCH(","&amp;MASTER!$A$2:$A$2000&amp;",",","&amp;SUBSTITUTE($C11," ","")&amp;","))*((MASTER!$G$2:$G$2000="DONE")))</f>
        <v/>
      </c>
      <c r="E11" s="35">
        <f>IF(LEN(SUBSTITUTE($C11," ",""))=0,0,LEN(SUBSTITUTE($C11," ",""))-LEN(SUBSTITUTE(SUBSTITUTE($C11," ",""),",",""))+1)</f>
        <v/>
      </c>
      <c r="F11" s="37" t="inlineStr">
        <is>
          <t>Brief 62: NOW #4</t>
        </is>
      </c>
    </row>
    <row r="12">
      <c r="A12" s="34" t="inlineStr">
        <is>
          <t>PDF -&gt; editable</t>
        </is>
      </c>
      <c r="B12" s="31" t="inlineStr">
        <is>
          <t>NOW</t>
        </is>
      </c>
      <c r="C12" s="37" t="inlineStr">
        <is>
          <t>P2E-002,P2E-005</t>
        </is>
      </c>
      <c r="D12" s="35">
        <f>SUMPRODUCT(ISNUMBER(SEARCH(","&amp;MASTER!$A$2:$A$2000&amp;",",","&amp;SUBSTITUTE($C12," ","")&amp;","))*((MASTER!$G$2:$G$2000="DONE")))</f>
        <v/>
      </c>
      <c r="E12" s="35">
        <f>IF(LEN(SUBSTITUTE($C12," ",""))=0,0,LEN(SUBSTITUTE($C12," ",""))-LEN(SUBSTITUTE(SUBSTITUTE($C12," ",""),",",""))+1)</f>
        <v/>
      </c>
      <c r="F12" s="37" t="inlineStr">
        <is>
          <t>Brief 62: NOW #5</t>
        </is>
      </c>
    </row>
    <row r="13">
      <c r="A13" s="34" t="inlineStr">
        <is>
          <t>Translation MVP</t>
        </is>
      </c>
      <c r="B13" s="31" t="inlineStr">
        <is>
          <t>NOW</t>
        </is>
      </c>
      <c r="C13" s="37" t="inlineStr">
        <is>
          <t>TRAN-001,TRAN-006</t>
        </is>
      </c>
      <c r="D13" s="35">
        <f>SUMPRODUCT(ISNUMBER(SEARCH(","&amp;MASTER!$A$2:$A$2000&amp;",",","&amp;SUBSTITUTE($C13," ","")&amp;","))*((MASTER!$G$2:$G$2000="DONE")))</f>
        <v/>
      </c>
      <c r="E13" s="35">
        <f>IF(LEN(SUBSTITUTE($C13," ",""))=0,0,LEN(SUBSTITUTE($C13," ",""))-LEN(SUBSTITUTE(SUBSTITUTE($C13," ",""),",",""))+1)</f>
        <v/>
      </c>
      <c r="F13" s="37" t="inlineStr">
        <is>
          <t>Brief 62: NOW #6</t>
        </is>
      </c>
    </row>
    <row r="14">
      <c r="A14" s="34" t="inlineStr">
        <is>
          <t>FontResolver</t>
        </is>
      </c>
      <c r="B14" s="31" t="inlineStr">
        <is>
          <t>NOW</t>
        </is>
      </c>
      <c r="C14" s="37" t="inlineStr">
        <is>
          <t>FONT-002,FONT-003</t>
        </is>
      </c>
      <c r="D14" s="35">
        <f>SUMPRODUCT(ISNUMBER(SEARCH(","&amp;MASTER!$A$2:$A$2000&amp;",",","&amp;SUBSTITUTE($C14," ","")&amp;","))*((MASTER!$G$2:$G$2000="DONE")))</f>
        <v/>
      </c>
      <c r="E14" s="35">
        <f>IF(LEN(SUBSTITUTE($C14," ",""))=0,0,LEN(SUBSTITUTE($C14," ",""))-LEN(SUBSTITUTE(SUBSTITUTE($C14," ",""),",",""))+1)</f>
        <v/>
      </c>
      <c r="F14" s="37" t="inlineStr">
        <is>
          <t>Brief 62: NOW #7</t>
        </is>
      </c>
    </row>
    <row r="15">
      <c r="A15" s="34" t="inlineStr">
        <is>
          <t>Review Changes</t>
        </is>
      </c>
      <c r="B15" s="31" t="inlineStr">
        <is>
          <t>NOW</t>
        </is>
      </c>
      <c r="C15" s="37" t="inlineStr">
        <is>
          <t>REV-001,REV-002</t>
        </is>
      </c>
      <c r="D15" s="35">
        <f>SUMPRODUCT(ISNUMBER(SEARCH(","&amp;MASTER!$A$2:$A$2000&amp;",",","&amp;SUBSTITUTE($C15," ","")&amp;","))*((MASTER!$G$2:$G$2000="DONE")))</f>
        <v/>
      </c>
      <c r="E15" s="35">
        <f>IF(LEN(SUBSTITUTE($C15," ",""))=0,0,LEN(SUBSTITUTE($C15," ",""))-LEN(SUBSTITUTE(SUBSTITUTE($C15," ",""),",",""))+1)</f>
        <v/>
      </c>
      <c r="F15" s="37" t="inlineStr">
        <is>
          <t>Brief 62: NOW #8</t>
        </is>
      </c>
    </row>
    <row r="16">
      <c r="A16" s="34" t="inlineStr">
        <is>
          <t>Document Health 2.0</t>
        </is>
      </c>
      <c r="B16" s="31" t="inlineStr">
        <is>
          <t>NOW</t>
        </is>
      </c>
      <c r="C16" s="37" t="inlineStr">
        <is>
          <t>HLTH-001,HLTH-002</t>
        </is>
      </c>
      <c r="D16" s="35">
        <f>SUMPRODUCT(ISNUMBER(SEARCH(","&amp;MASTER!$A$2:$A$2000&amp;",",","&amp;SUBSTITUTE($C16," ","")&amp;","))*((MASTER!$G$2:$G$2000="DONE")))</f>
        <v/>
      </c>
      <c r="E16" s="35">
        <f>IF(LEN(SUBSTITUTE($C16," ",""))=0,0,LEN(SUBSTITUTE($C16," ",""))-LEN(SUBSTITUTE(SUBSTITUTE($C16," ",""),",",""))+1)</f>
        <v/>
      </c>
      <c r="F16" s="37" t="inlineStr">
        <is>
          <t>Brief 62: NOW #9</t>
        </is>
      </c>
    </row>
    <row r="17">
      <c r="A17" s="34" t="inlineStr">
        <is>
          <t>Format by Example hardening</t>
        </is>
      </c>
      <c r="B17" s="31" t="inlineStr">
        <is>
          <t>NOW</t>
        </is>
      </c>
      <c r="C17" s="37" t="inlineStr">
        <is>
          <t>FMT-001,FMT-002,FMT-003</t>
        </is>
      </c>
      <c r="D17" s="35">
        <f>SUMPRODUCT(ISNUMBER(SEARCH(","&amp;MASTER!$A$2:$A$2000&amp;",",","&amp;SUBSTITUTE($C17," ","")&amp;","))*((MASTER!$G$2:$G$2000="DONE")))</f>
        <v/>
      </c>
      <c r="E17" s="35">
        <f>IF(LEN(SUBSTITUTE($C17," ",""))=0,0,LEN(SUBSTITUTE($C17," ",""))-LEN(SUBSTITUTE(SUBSTITUTE($C17," ",""),",",""))+1)</f>
        <v/>
      </c>
      <c r="F17" s="37" t="inlineStr">
        <is>
          <t>Brief 62: NOW #10</t>
        </is>
      </c>
    </row>
    <row r="18">
      <c r="A18" s="34" t="inlineStr">
        <is>
          <t>OCR</t>
        </is>
      </c>
      <c r="B18" s="31" t="inlineStr">
        <is>
          <t>NOW</t>
        </is>
      </c>
      <c r="C18" s="37" t="inlineStr">
        <is>
          <t>P2E-006</t>
        </is>
      </c>
      <c r="D18" s="35">
        <f>SUMPRODUCT(ISNUMBER(SEARCH(","&amp;MASTER!$A$2:$A$2000&amp;",",","&amp;SUBSTITUTE($C18," ","")&amp;","))*((MASTER!$G$2:$G$2000="DONE")))</f>
        <v/>
      </c>
      <c r="E18" s="35">
        <f>IF(LEN(SUBSTITUTE($C18," ",""))=0,0,LEN(SUBSTITUTE($C18," ",""))-LEN(SUBSTITUTE(SUBSTITUTE($C18," ",""),",",""))+1)</f>
        <v/>
      </c>
      <c r="F18" s="37" t="inlineStr">
        <is>
          <t>Part of PDF -&gt; editable (brief 43)</t>
        </is>
      </c>
    </row>
    <row r="19">
      <c r="A19" s="34" t="inlineStr">
        <is>
          <t>Multilingual support</t>
        </is>
      </c>
      <c r="B19" s="31" t="inlineStr">
        <is>
          <t>NOW</t>
        </is>
      </c>
      <c r="C19" s="37" t="inlineStr">
        <is>
          <t>TRAN-007,FONT-003</t>
        </is>
      </c>
      <c r="D19" s="35">
        <f>SUMPRODUCT(ISNUMBER(SEARCH(","&amp;MASTER!$A$2:$A$2000&amp;",",","&amp;SUBSTITUTE($C19," ","")&amp;","))*((MASTER!$G$2:$G$2000="DONE")))</f>
        <v/>
      </c>
      <c r="E19" s="35">
        <f>IF(LEN(SUBSTITUTE($C19," ",""))=0,0,LEN(SUBSTITUTE($C19," ",""))-LEN(SUBSTITUTE(SUBSTITUTE($C19," ",""),",",""))+1)</f>
        <v/>
      </c>
      <c r="F19" s="37" t="inlineStr">
        <is>
          <t>Part of translation + FontResolver</t>
        </is>
      </c>
    </row>
    <row r="20">
      <c r="A20" s="34" t="inlineStr">
        <is>
          <t>RTL</t>
        </is>
      </c>
      <c r="B20" s="31" t="inlineStr">
        <is>
          <t>NOW</t>
        </is>
      </c>
      <c r="C20" s="37" t="inlineStr">
        <is>
          <t>FONT-003,FONT-004</t>
        </is>
      </c>
      <c r="D20" s="35">
        <f>SUMPRODUCT(ISNUMBER(SEARCH(","&amp;MASTER!$A$2:$A$2000&amp;",",","&amp;SUBSTITUTE($C20," ","")&amp;","))*((MASTER!$G$2:$G$2000="DONE")))</f>
        <v/>
      </c>
      <c r="E20" s="35">
        <f>IF(LEN(SUBSTITUTE($C20," ",""))=0,0,LEN(SUBSTITUTE($C20," ",""))-LEN(SUBSTITUTE(SUBSTITUTE($C20," ",""),",",""))+1)</f>
        <v/>
      </c>
      <c r="F20" s="37" t="inlineStr">
        <is>
          <t>Part of FontResolver</t>
        </is>
      </c>
    </row>
    <row r="21">
      <c r="A21" s="34" t="inlineStr">
        <is>
          <t>CJK</t>
        </is>
      </c>
      <c r="B21" s="31" t="inlineStr">
        <is>
          <t>NOW</t>
        </is>
      </c>
      <c r="C21" s="37" t="inlineStr">
        <is>
          <t>FONT-003</t>
        </is>
      </c>
      <c r="D21" s="35">
        <f>SUMPRODUCT(ISNUMBER(SEARCH(","&amp;MASTER!$A$2:$A$2000&amp;",",","&amp;SUBSTITUTE($C21," ","")&amp;","))*((MASTER!$G$2:$G$2000="DONE")))</f>
        <v/>
      </c>
      <c r="E21" s="35">
        <f>IF(LEN(SUBSTITUTE($C21," ",""))=0,0,LEN(SUBSTITUTE($C21," ",""))-LEN(SUBSTITUTE(SUBSTITUTE($C21," ",""),",",""))+1)</f>
        <v/>
      </c>
      <c r="F21" s="37" t="inlineStr">
        <is>
          <t>Part of FontResolver</t>
        </is>
      </c>
    </row>
    <row r="22">
      <c r="A22" s="34" t="inlineStr">
        <is>
          <t>Glossary</t>
        </is>
      </c>
      <c r="B22" s="31" t="inlineStr">
        <is>
          <t>NOW</t>
        </is>
      </c>
      <c r="C22" s="37" t="inlineStr">
        <is>
          <t>TRAN-004</t>
        </is>
      </c>
      <c r="D22" s="35">
        <f>SUMPRODUCT(ISNUMBER(SEARCH(","&amp;MASTER!$A$2:$A$2000&amp;",",","&amp;SUBSTITUTE($C22," ","")&amp;","))*((MASTER!$G$2:$G$2000="DONE")))</f>
        <v/>
      </c>
      <c r="E22" s="35">
        <f>IF(LEN(SUBSTITUTE($C22," ",""))=0,0,LEN(SUBSTITUTE($C22," ",""))-LEN(SUBSTITUTE(SUBSTITUTE($C22," ",""),",",""))+1)</f>
        <v/>
      </c>
      <c r="F22" s="37" t="inlineStr">
        <is>
          <t>Part of translation MVP (brief 49)</t>
        </is>
      </c>
    </row>
    <row r="23">
      <c r="A23" s="34" t="inlineStr">
        <is>
          <t>Terminology lock</t>
        </is>
      </c>
      <c r="B23" s="31" t="inlineStr">
        <is>
          <t>NOW</t>
        </is>
      </c>
      <c r="C23" s="37" t="inlineStr">
        <is>
          <t>TRAN-004</t>
        </is>
      </c>
      <c r="D23" s="35">
        <f>SUMPRODUCT(ISNUMBER(SEARCH(","&amp;MASTER!$A$2:$A$2000&amp;",",","&amp;SUBSTITUTE($C23," ","")&amp;","))*((MASTER!$G$2:$G$2000="DONE")))</f>
        <v/>
      </c>
      <c r="E23" s="35">
        <f>IF(LEN(SUBSTITUTE($C23," ",""))=0,0,LEN(SUBSTITUTE($C23," ",""))-LEN(SUBSTITUTE(SUBSTITUTE($C23," ",""),",",""))+1)</f>
        <v/>
      </c>
      <c r="F23" s="37" t="inlineStr">
        <is>
          <t>Part of translation MVP (brief 49)</t>
        </is>
      </c>
    </row>
    <row r="24">
      <c r="A24" s="34" t="inlineStr">
        <is>
          <t>Citation preservation</t>
        </is>
      </c>
      <c r="B24" s="31" t="inlineStr">
        <is>
          <t>NOW</t>
        </is>
      </c>
      <c r="C24" s="37" t="inlineStr">
        <is>
          <t>DOCX-020</t>
        </is>
      </c>
      <c r="D24" s="35">
        <f>SUMPRODUCT(ISNUMBER(SEARCH(","&amp;MASTER!$A$2:$A$2000&amp;",",","&amp;SUBSTITUTE($C24," ","")&amp;","))*((MASTER!$G$2:$G$2000="DONE")))</f>
        <v/>
      </c>
      <c r="E24" s="35">
        <f>IF(LEN(SUBSTITUTE($C24," ",""))=0,0,LEN(SUBSTITUTE($C24," ",""))-LEN(SUBSTITUTE(SUBSTITUTE($C24," ",""),",",""))+1)</f>
        <v/>
      </c>
      <c r="F24" s="37" t="inlineStr">
        <is>
          <t>Preservation is fidelity work; a citation editor is LATER</t>
        </is>
      </c>
    </row>
    <row r="25">
      <c r="A25" s="34" t="inlineStr">
        <is>
          <t>Bibliography preservation</t>
        </is>
      </c>
      <c r="B25" s="31" t="inlineStr">
        <is>
          <t>NOW</t>
        </is>
      </c>
      <c r="C25" s="37" t="inlineStr">
        <is>
          <t>DOCX-020</t>
        </is>
      </c>
      <c r="D25" s="35">
        <f>SUMPRODUCT(ISNUMBER(SEARCH(","&amp;MASTER!$A$2:$A$2000&amp;",",","&amp;SUBSTITUTE($C25," ","")&amp;","))*((MASTER!$G$2:$G$2000="DONE")))</f>
        <v/>
      </c>
      <c r="E25" s="35">
        <f>IF(LEN(SUBSTITUTE($C25," ",""))=0,0,LEN(SUBSTITUTE($C25," ",""))-LEN(SUBSTITUTE(SUBSTITUTE($C25," ",""),",",""))+1)</f>
        <v/>
      </c>
      <c r="F25" s="37" t="inlineStr">
        <is>
          <t>Preservation is fidelity work</t>
        </is>
      </c>
    </row>
    <row r="26">
      <c r="A26" s="34" t="inlineStr">
        <is>
          <t>Content controls</t>
        </is>
      </c>
      <c r="B26" s="31" t="inlineStr">
        <is>
          <t>NOW</t>
        </is>
      </c>
      <c r="C26" s="37" t="inlineStr">
        <is>
          <t>DOCX-023</t>
        </is>
      </c>
      <c r="D26" s="35">
        <f>SUMPRODUCT(ISNUMBER(SEARCH(","&amp;MASTER!$A$2:$A$2000&amp;",",","&amp;SUBSTITUTE($C26," ","")&amp;","))*((MASTER!$G$2:$G$2000="DONE")))</f>
        <v/>
      </c>
      <c r="E26" s="35">
        <f>IF(LEN(SUBSTITUTE($C26," ",""))=0,0,LEN(SUBSTITUTE($C26," ",""))-LEN(SUBSTITUTE(SUBSTITUTE($C26," ",""),",",""))+1)</f>
        <v/>
      </c>
      <c r="F26" s="37" t="inlineStr">
        <is>
          <t>Preserve now; editing content controls NEXT</t>
        </is>
      </c>
    </row>
    <row r="27">
      <c r="A27" s="34" t="inlineStr">
        <is>
          <t>Custom fields</t>
        </is>
      </c>
      <c r="B27" s="31" t="inlineStr">
        <is>
          <t>NOW</t>
        </is>
      </c>
      <c r="C27" s="37" t="inlineStr">
        <is>
          <t>DOCX-012,DOCX-020</t>
        </is>
      </c>
      <c r="D27" s="35">
        <f>SUMPRODUCT(ISNUMBER(SEARCH(","&amp;MASTER!$A$2:$A$2000&amp;",",","&amp;SUBSTITUTE($C27," ","")&amp;","))*((MASTER!$G$2:$G$2000="DONE")))</f>
        <v/>
      </c>
      <c r="E27" s="35">
        <f>IF(LEN(SUBSTITUTE($C27," ",""))=0,0,LEN(SUBSTITUTE($C27," ",""))-LEN(SUBSTITUTE(SUBSTITUTE($C27," ",""),",",""))+1)</f>
        <v/>
      </c>
      <c r="F27" s="37" t="inlineStr">
        <is>
          <t>Preserve custom properties and fields now; an editor NEXT</t>
        </is>
      </c>
    </row>
    <row r="28">
      <c r="A28" s="34" t="inlineStr">
        <is>
          <t>Document compare</t>
        </is>
      </c>
      <c r="B28" s="31" t="inlineStr">
        <is>
          <t>NEXT</t>
        </is>
      </c>
      <c r="C28" s="37" t="n"/>
      <c r="D28" s="35">
        <f>SUMPRODUCT(ISNUMBER(SEARCH(","&amp;MASTER!$A$2:$A$2000&amp;",",","&amp;SUBSTITUTE($C28," ","")&amp;","))*((MASTER!$G$2:$G$2000="DONE")))</f>
        <v/>
      </c>
      <c r="E28" s="35">
        <f>IF(LEN(SUBSTITUTE($C28," ",""))=0,0,LEN(SUBSTITUTE($C28," ",""))-LEN(SUBSTITUTE(SUBSTITUTE($C28," ",""),",",""))+1)</f>
        <v/>
      </c>
      <c r="F28" s="37" t="inlineStr">
        <is>
          <t>Brief 62: NEXT</t>
        </is>
      </c>
    </row>
    <row r="29">
      <c r="A29" s="34" t="inlineStr">
        <is>
          <t>Version compare</t>
        </is>
      </c>
      <c r="B29" s="31" t="inlineStr">
        <is>
          <t>NEXT</t>
        </is>
      </c>
      <c r="C29" s="37" t="n"/>
      <c r="D29" s="35">
        <f>SUMPRODUCT(ISNUMBER(SEARCH(","&amp;MASTER!$A$2:$A$2000&amp;",",","&amp;SUBSTITUTE($C29," ","")&amp;","))*((MASTER!$G$2:$G$2000="DONE")))</f>
        <v/>
      </c>
      <c r="E29" s="35">
        <f>IF(LEN(SUBSTITUTE($C29," ",""))=0,0,LEN(SUBSTITUTE($C29," ",""))-LEN(SUBSTITUTE(SUBSTITUTE($C29," ",""),",",""))+1)</f>
        <v/>
      </c>
      <c r="F29" s="37" t="n"/>
    </row>
    <row r="30">
      <c r="A30" s="34" t="inlineStr">
        <is>
          <t>Batch formatting</t>
        </is>
      </c>
      <c r="B30" s="31" t="inlineStr">
        <is>
          <t>NEXT</t>
        </is>
      </c>
      <c r="C30" s="37" t="inlineStr">
        <is>
          <t>FEAT-001</t>
        </is>
      </c>
      <c r="D30" s="35">
        <f>SUMPRODUCT(ISNUMBER(SEARCH(","&amp;MASTER!$A$2:$A$2000&amp;",",","&amp;SUBSTITUTE($C30," ","")&amp;","))*((MASTER!$G$2:$G$2000="DONE")))</f>
        <v/>
      </c>
      <c r="E30" s="35">
        <f>IF(LEN(SUBSTITUTE($C30," ",""))=0,0,LEN(SUBSTITUTE($C30," ",""))-LEN(SUBSTITUTE(SUBSTITUTE($C30," ",""),",",""))+1)</f>
        <v/>
      </c>
      <c r="F30" s="37" t="inlineStr">
        <is>
          <t>Brief 62: NEXT (batch processing)</t>
        </is>
      </c>
    </row>
    <row r="31">
      <c r="A31" s="34" t="inlineStr">
        <is>
          <t>Batch export</t>
        </is>
      </c>
      <c r="B31" s="31" t="inlineStr">
        <is>
          <t>NEXT</t>
        </is>
      </c>
      <c r="C31" s="37" t="inlineStr">
        <is>
          <t>FEAT-002</t>
        </is>
      </c>
      <c r="D31" s="35">
        <f>SUMPRODUCT(ISNUMBER(SEARCH(","&amp;MASTER!$A$2:$A$2000&amp;",",","&amp;SUBSTITUTE($C31," ","")&amp;","))*((MASTER!$G$2:$G$2000="DONE")))</f>
        <v/>
      </c>
      <c r="E31" s="35">
        <f>IF(LEN(SUBSTITUTE($C31," ",""))=0,0,LEN(SUBSTITUTE($C31," ",""))-LEN(SUBSTITUTE(SUBSTITUTE($C31," ",""),",",""))+1)</f>
        <v/>
      </c>
      <c r="F31" s="37" t="inlineStr">
        <is>
          <t>Brief 62: NEXT (batch processing)</t>
        </is>
      </c>
    </row>
    <row r="32">
      <c r="A32" s="34" t="inlineStr">
        <is>
          <t>Batch translation</t>
        </is>
      </c>
      <c r="B32" s="31" t="inlineStr">
        <is>
          <t>NEXT</t>
        </is>
      </c>
      <c r="C32" s="37" t="inlineStr">
        <is>
          <t>FEAT-003</t>
        </is>
      </c>
      <c r="D32" s="35">
        <f>SUMPRODUCT(ISNUMBER(SEARCH(","&amp;MASTER!$A$2:$A$2000&amp;",",","&amp;SUBSTITUTE($C32," ","")&amp;","))*((MASTER!$G$2:$G$2000="DONE")))</f>
        <v/>
      </c>
      <c r="E32" s="35">
        <f>IF(LEN(SUBSTITUTE($C32," ",""))=0,0,LEN(SUBSTITUTE($C32," ",""))-LEN(SUBSTITUTE(SUBSTITUTE($C32," ",""),",",""))+1)</f>
        <v/>
      </c>
      <c r="F32" s="37" t="inlineStr">
        <is>
          <t>After the translation MVP</t>
        </is>
      </c>
    </row>
    <row r="33">
      <c r="A33" s="34" t="inlineStr">
        <is>
          <t>Repair</t>
        </is>
      </c>
      <c r="B33" s="31" t="inlineStr">
        <is>
          <t>NEXT</t>
        </is>
      </c>
      <c r="C33" s="37" t="inlineStr">
        <is>
          <t>REV-004</t>
        </is>
      </c>
      <c r="D33" s="35">
        <f>SUMPRODUCT(ISNUMBER(SEARCH(","&amp;MASTER!$A$2:$A$2000&amp;",",","&amp;SUBSTITUTE($C33," ","")&amp;","))*((MASTER!$G$2:$G$2000="DONE")))</f>
        <v/>
      </c>
      <c r="E33" s="35">
        <f>IF(LEN(SUBSTITUTE($C33," ",""))=0,0,LEN(SUBSTITUTE($C33," ",""))-LEN(SUBSTITUTE(SUBSTITUTE($C33," ",""),",",""))+1)</f>
        <v/>
      </c>
      <c r="F33" s="37" t="inlineStr">
        <is>
          <t>Brief 62: NEXT</t>
        </is>
      </c>
    </row>
    <row r="34">
      <c r="A34" s="34" t="inlineStr">
        <is>
          <t>Table repair</t>
        </is>
      </c>
      <c r="B34" s="31" t="inlineStr">
        <is>
          <t>NEXT</t>
        </is>
      </c>
      <c r="C34" s="37" t="inlineStr">
        <is>
          <t>REV-004</t>
        </is>
      </c>
      <c r="D34" s="35">
        <f>SUMPRODUCT(ISNUMBER(SEARCH(","&amp;MASTER!$A$2:$A$2000&amp;",",","&amp;SUBSTITUTE($C34," ","")&amp;","))*((MASTER!$G$2:$G$2000="DONE")))</f>
        <v/>
      </c>
      <c r="E34" s="35">
        <f>IF(LEN(SUBSTITUTE($C34," ",""))=0,0,LEN(SUBSTITUTE($C34," ",""))-LEN(SUBSTITUTE(SUBSTITUTE($C34," ",""),",",""))+1)</f>
        <v/>
      </c>
      <c r="F34" s="37" t="n"/>
    </row>
    <row r="35">
      <c r="A35" s="34" t="inlineStr">
        <is>
          <t>List repair</t>
        </is>
      </c>
      <c r="B35" s="31" t="inlineStr">
        <is>
          <t>NEXT</t>
        </is>
      </c>
      <c r="C35" s="37" t="inlineStr">
        <is>
          <t>REV-004</t>
        </is>
      </c>
      <c r="D35" s="35">
        <f>SUMPRODUCT(ISNUMBER(SEARCH(","&amp;MASTER!$A$2:$A$2000&amp;",",","&amp;SUBSTITUTE($C35," ","")&amp;","))*((MASTER!$G$2:$G$2000="DONE")))</f>
        <v/>
      </c>
      <c r="E35" s="35">
        <f>IF(LEN(SUBSTITUTE($C35," ",""))=0,0,LEN(SUBSTITUTE($C35," ",""))-LEN(SUBSTITUTE(SUBSTITUTE($C35," ",""),",",""))+1)</f>
        <v/>
      </c>
      <c r="F35" s="37" t="n"/>
    </row>
    <row r="36">
      <c r="A36" s="34" t="inlineStr">
        <is>
          <t>Accessibility checker</t>
        </is>
      </c>
      <c r="B36" s="31" t="inlineStr">
        <is>
          <t>NEXT</t>
        </is>
      </c>
      <c r="C36" s="37" t="inlineStr">
        <is>
          <t>FEAT-010</t>
        </is>
      </c>
      <c r="D36" s="35">
        <f>SUMPRODUCT(ISNUMBER(SEARCH(","&amp;MASTER!$A$2:$A$2000&amp;",",","&amp;SUBSTITUTE($C36," ","")&amp;","))*((MASTER!$G$2:$G$2000="DONE")))</f>
        <v/>
      </c>
      <c r="E36" s="35">
        <f>IF(LEN(SUBSTITUTE($C36," ",""))=0,0,LEN(SUBSTITUTE($C36," ",""))-LEN(SUBSTITUTE(SUBSTITUTE($C36," ",""),",",""))+1)</f>
        <v/>
      </c>
      <c r="F36" s="37" t="inlineStr">
        <is>
          <t>Brief 62: NEXT (accessibility)</t>
        </is>
      </c>
    </row>
    <row r="37">
      <c r="A37" s="34" t="inlineStr">
        <is>
          <t>Heading hierarchy checker</t>
        </is>
      </c>
      <c r="B37" s="31" t="inlineStr">
        <is>
          <t>NEXT</t>
        </is>
      </c>
      <c r="C37" s="37" t="inlineStr">
        <is>
          <t>FEAT-010</t>
        </is>
      </c>
      <c r="D37" s="35">
        <f>SUMPRODUCT(ISNUMBER(SEARCH(","&amp;MASTER!$A$2:$A$2000&amp;",",","&amp;SUBSTITUTE($C37," ","")&amp;","))*((MASTER!$G$2:$G$2000="DONE")))</f>
        <v/>
      </c>
      <c r="E37" s="35">
        <f>IF(LEN(SUBSTITUTE($C37," ",""))=0,0,LEN(SUBSTITUTE($C37," ",""))-LEN(SUBSTITUTE(SUBSTITUTE($C37," ",""),",",""))+1)</f>
        <v/>
      </c>
      <c r="F37" s="37" t="n"/>
    </row>
    <row r="38">
      <c r="A38" s="34" t="inlineStr">
        <is>
          <t>Link checker</t>
        </is>
      </c>
      <c r="B38" s="31" t="inlineStr">
        <is>
          <t>NEXT</t>
        </is>
      </c>
      <c r="C38" s="37" t="inlineStr">
        <is>
          <t>HLTH-001</t>
        </is>
      </c>
      <c r="D38" s="35">
        <f>SUMPRODUCT(ISNUMBER(SEARCH(","&amp;MASTER!$A$2:$A$2000&amp;",",","&amp;SUBSTITUTE($C38," ","")&amp;","))*((MASTER!$G$2:$G$2000="DONE")))</f>
        <v/>
      </c>
      <c r="E38" s="35">
        <f>IF(LEN(SUBSTITUTE($C38," ",""))=0,0,LEN(SUBSTITUTE($C38," ",""))-LEN(SUBSTITUTE(SUBSTITUTE($C38," ",""),",",""))+1)</f>
        <v/>
      </c>
      <c r="F38" s="37" t="n"/>
    </row>
    <row r="39">
      <c r="A39" s="34" t="inlineStr">
        <is>
          <t>Alt-text checker</t>
        </is>
      </c>
      <c r="B39" s="31" t="inlineStr">
        <is>
          <t>NEXT</t>
        </is>
      </c>
      <c r="C39" s="37" t="inlineStr">
        <is>
          <t>HLTH-001,FEAT-010</t>
        </is>
      </c>
      <c r="D39" s="35">
        <f>SUMPRODUCT(ISNUMBER(SEARCH(","&amp;MASTER!$A$2:$A$2000&amp;",",","&amp;SUBSTITUTE($C39," ","")&amp;","))*((MASTER!$G$2:$G$2000="DONE")))</f>
        <v/>
      </c>
      <c r="E39" s="35">
        <f>IF(LEN(SUBSTITUTE($C39," ",""))=0,0,LEN(SUBSTITUTE($C39," ",""))-LEN(SUBSTITUTE(SUBSTITUTE($C39," ",""),",",""))+1)</f>
        <v/>
      </c>
      <c r="F39" s="37" t="n"/>
    </row>
    <row r="40">
      <c r="A40" s="34" t="inlineStr">
        <is>
          <t>Metadata editor</t>
        </is>
      </c>
      <c r="B40" s="31" t="inlineStr">
        <is>
          <t>NEXT</t>
        </is>
      </c>
      <c r="C40" s="37" t="n"/>
      <c r="D40" s="35">
        <f>SUMPRODUCT(ISNUMBER(SEARCH(","&amp;MASTER!$A$2:$A$2000&amp;",",","&amp;SUBSTITUTE($C40," ","")&amp;","))*((MASTER!$G$2:$G$2000="DONE")))</f>
        <v/>
      </c>
      <c r="E40" s="35">
        <f>IF(LEN(SUBSTITUTE($C40," ",""))=0,0,LEN(SUBSTITUTE($C40," ",""))-LEN(SUBSTITUTE(SUBSTITUTE($C40," ",""),",",""))+1)</f>
        <v/>
      </c>
      <c r="F40" s="37" t="n"/>
    </row>
    <row r="41">
      <c r="A41" s="34" t="inlineStr">
        <is>
          <t>Global style replacement</t>
        </is>
      </c>
      <c r="B41" s="31" t="inlineStr">
        <is>
          <t>NEXT</t>
        </is>
      </c>
      <c r="C41" s="37" t="n"/>
      <c r="D41" s="35">
        <f>SUMPRODUCT(ISNUMBER(SEARCH(","&amp;MASTER!$A$2:$A$2000&amp;",",","&amp;SUBSTITUTE($C41," ","")&amp;","))*((MASTER!$G$2:$G$2000="DONE")))</f>
        <v/>
      </c>
      <c r="E41" s="35">
        <f>IF(LEN(SUBSTITUTE($C41," ",""))=0,0,LEN(SUBSTITUTE($C41," ",""))-LEN(SUBSTITUTE(SUBSTITUTE($C41," ",""),",",""))+1)</f>
        <v/>
      </c>
      <c r="F41" s="37" t="n"/>
    </row>
    <row r="42">
      <c r="A42" s="34" t="inlineStr">
        <is>
          <t>Find/replace with formatting</t>
        </is>
      </c>
      <c r="B42" s="31" t="inlineStr">
        <is>
          <t>NEXT</t>
        </is>
      </c>
      <c r="C42" s="37" t="n"/>
      <c r="D42" s="35">
        <f>SUMPRODUCT(ISNUMBER(SEARCH(","&amp;MASTER!$A$2:$A$2000&amp;",",","&amp;SUBSTITUTE($C42," ","")&amp;","))*((MASTER!$G$2:$G$2000="DONE")))</f>
        <v/>
      </c>
      <c r="E42" s="35">
        <f>IF(LEN(SUBSTITUTE($C42," ",""))=0,0,LEN(SUBSTITUTE($C42," ",""))-LEN(SUBSTITUTE(SUBSTITUTE($C42," ",""),",",""))+1)</f>
        <v/>
      </c>
      <c r="F42" s="37" t="n"/>
    </row>
    <row r="43">
      <c r="A43" s="34" t="inlineStr">
        <is>
          <t>Clean copy</t>
        </is>
      </c>
      <c r="B43" s="31" t="inlineStr">
        <is>
          <t>NEXT</t>
        </is>
      </c>
      <c r="C43" s="37" t="inlineStr">
        <is>
          <t>REV-005</t>
        </is>
      </c>
      <c r="D43" s="35">
        <f>SUMPRODUCT(ISNUMBER(SEARCH(","&amp;MASTER!$A$2:$A$2000&amp;",",","&amp;SUBSTITUTE($C43," ","")&amp;","))*((MASTER!$G$2:$G$2000="DONE")))</f>
        <v/>
      </c>
      <c r="E43" s="35">
        <f>IF(LEN(SUBSTITUTE($C43," ",""))=0,0,LEN(SUBSTITUTE($C43," ",""))-LEN(SUBSTITUTE(SUBSTITUTE($C43," ",""),",",""))+1)</f>
        <v/>
      </c>
      <c r="F43" s="37" t="n"/>
    </row>
    <row r="44">
      <c r="A44" s="34" t="inlineStr">
        <is>
          <t>Tracked change cleanup</t>
        </is>
      </c>
      <c r="B44" s="31" t="inlineStr">
        <is>
          <t>NEXT</t>
        </is>
      </c>
      <c r="C44" s="37" t="inlineStr">
        <is>
          <t>REV-005</t>
        </is>
      </c>
      <c r="D44" s="35">
        <f>SUMPRODUCT(ISNUMBER(SEARCH(","&amp;MASTER!$A$2:$A$2000&amp;",",","&amp;SUBSTITUTE($C44," ","")&amp;","))*((MASTER!$G$2:$G$2000="DONE")))</f>
        <v/>
      </c>
      <c r="E44" s="35">
        <f>IF(LEN(SUBSTITUTE($C44," ",""))=0,0,LEN(SUBSTITUTE($C44," ",""))-LEN(SUBSTITUTE(SUBSTITUTE($C44," ",""),",",""))+1)</f>
        <v/>
      </c>
      <c r="F44" s="37" t="n"/>
    </row>
    <row r="45">
      <c r="A45" s="34" t="inlineStr">
        <is>
          <t>Template extraction</t>
        </is>
      </c>
      <c r="B45" s="31" t="inlineStr">
        <is>
          <t>NEXT</t>
        </is>
      </c>
      <c r="C45" s="37" t="inlineStr">
        <is>
          <t>FMT-001</t>
        </is>
      </c>
      <c r="D45" s="35">
        <f>SUMPRODUCT(ISNUMBER(SEARCH(","&amp;MASTER!$A$2:$A$2000&amp;",",","&amp;SUBSTITUTE($C45," ","")&amp;","))*((MASTER!$G$2:$G$2000="DONE")))</f>
        <v/>
      </c>
      <c r="E45" s="35">
        <f>IF(LEN(SUBSTITUTE($C45," ",""))=0,0,LEN(SUBSTITUTE($C45," ",""))-LEN(SUBSTITUTE(SUBSTITUTE($C45," ",""),",",""))+1)</f>
        <v/>
      </c>
      <c r="F45" s="37" t="n"/>
    </row>
    <row r="46">
      <c r="A46" s="34" t="inlineStr">
        <is>
          <t>Document-to-template</t>
        </is>
      </c>
      <c r="B46" s="31" t="inlineStr">
        <is>
          <t>NEXT</t>
        </is>
      </c>
      <c r="C46" s="37" t="inlineStr">
        <is>
          <t>FMT-001</t>
        </is>
      </c>
      <c r="D46" s="35">
        <f>SUMPRODUCT(ISNUMBER(SEARCH(","&amp;MASTER!$A$2:$A$2000&amp;",",","&amp;SUBSTITUTE($C46," ","")&amp;","))*((MASTER!$G$2:$G$2000="DONE")))</f>
        <v/>
      </c>
      <c r="E46" s="35">
        <f>IF(LEN(SUBSTITUTE($C46," ",""))=0,0,LEN(SUBSTITUTE($C46," ",""))-LEN(SUBSTITUTE(SUBSTITUTE($C46," ",""),",",""))+1)</f>
        <v/>
      </c>
      <c r="F46" s="37" t="n"/>
    </row>
    <row r="47">
      <c r="A47" s="34" t="inlineStr">
        <is>
          <t>Template matching</t>
        </is>
      </c>
      <c r="B47" s="31" t="inlineStr">
        <is>
          <t>NEXT</t>
        </is>
      </c>
      <c r="C47" s="37" t="n"/>
      <c r="D47" s="35">
        <f>SUMPRODUCT(ISNUMBER(SEARCH(","&amp;MASTER!$A$2:$A$2000&amp;",",","&amp;SUBSTITUTE($C47," ","")&amp;","))*((MASTER!$G$2:$G$2000="DONE")))</f>
        <v/>
      </c>
      <c r="E47" s="35">
        <f>IF(LEN(SUBSTITUTE($C47," ",""))=0,0,LEN(SUBSTITUTE($C47," ",""))-LEN(SUBSTITUTE(SUBSTITUTE($C47," ",""),",",""))+1)</f>
        <v/>
      </c>
      <c r="F47" s="37" t="n"/>
    </row>
    <row r="48">
      <c r="A48" s="34" t="inlineStr">
        <is>
          <t>Advanced template sharing</t>
        </is>
      </c>
      <c r="B48" s="31" t="inlineStr">
        <is>
          <t>NEXT</t>
        </is>
      </c>
      <c r="C48" s="37" t="n"/>
      <c r="D48" s="35">
        <f>SUMPRODUCT(ISNUMBER(SEARCH(","&amp;MASTER!$A$2:$A$2000&amp;",",","&amp;SUBSTITUTE($C48," ","")&amp;","))*((MASTER!$G$2:$G$2000="DONE")))</f>
        <v/>
      </c>
      <c r="E48" s="35">
        <f>IF(LEN(SUBSTITUTE($C48," ",""))=0,0,LEN(SUBSTITUTE($C48," ",""))-LEN(SUBSTITUTE(SUBSTITUTE($C48," ",""),",",""))+1)</f>
        <v/>
      </c>
      <c r="F48" s="37" t="inlineStr">
        <is>
          <t>Brief 62: NEXT</t>
        </is>
      </c>
    </row>
    <row r="49">
      <c r="A49" s="34" t="inlineStr">
        <is>
          <t>Teams</t>
        </is>
      </c>
      <c r="B49" s="31" t="inlineStr">
        <is>
          <t>NEXT</t>
        </is>
      </c>
      <c r="C49" s="37" t="n"/>
      <c r="D49" s="35">
        <f>SUMPRODUCT(ISNUMBER(SEARCH(","&amp;MASTER!$A$2:$A$2000&amp;",",","&amp;SUBSTITUTE($C49," ","")&amp;","))*((MASTER!$G$2:$G$2000="DONE")))</f>
        <v/>
      </c>
      <c r="E49" s="35">
        <f>IF(LEN(SUBSTITUTE($C49," ",""))=0,0,LEN(SUBSTITUTE($C49," ",""))-LEN(SUBSTITUTE(SUBSTITUTE($C49," ",""),",",""))+1)</f>
        <v/>
      </c>
      <c r="F49" s="37" t="inlineStr">
        <is>
          <t>Brief 62: NEXT</t>
        </is>
      </c>
    </row>
    <row r="50">
      <c r="A50" s="34" t="inlineStr">
        <is>
          <t>Translation memory</t>
        </is>
      </c>
      <c r="B50" s="31" t="inlineStr">
        <is>
          <t>NEXT</t>
        </is>
      </c>
      <c r="C50" s="37" t="n"/>
      <c r="D50" s="35">
        <f>SUMPRODUCT(ISNUMBER(SEARCH(","&amp;MASTER!$A$2:$A$2000&amp;",",","&amp;SUBSTITUTE($C50," ","")&amp;","))*((MASTER!$G$2:$G$2000="DONE")))</f>
        <v/>
      </c>
      <c r="E50" s="35">
        <f>IF(LEN(SUBSTITUTE($C50," ",""))=0,0,LEN(SUBSTITUTE($C50," ",""))-LEN(SUBSTITUTE(SUBSTITUTE($C50," ",""),",",""))+1)</f>
        <v/>
      </c>
      <c r="F50" s="37" t="inlineStr">
        <is>
          <t>Brief 62: NEXT</t>
        </is>
      </c>
    </row>
    <row r="51">
      <c r="A51" s="34" t="inlineStr">
        <is>
          <t>PDF merge/split</t>
        </is>
      </c>
      <c r="B51" s="31" t="inlineStr">
        <is>
          <t>NEXT</t>
        </is>
      </c>
      <c r="C51" s="37" t="inlineStr">
        <is>
          <t>PDF-020</t>
        </is>
      </c>
      <c r="D51" s="35">
        <f>SUMPRODUCT(ISNUMBER(SEARCH(","&amp;MASTER!$A$2:$A$2000&amp;",",","&amp;SUBSTITUTE($C51," ","")&amp;","))*((MASTER!$G$2:$G$2000="DONE")))</f>
        <v/>
      </c>
      <c r="E51" s="35">
        <f>IF(LEN(SUBSTITUTE($C51," ",""))=0,0,LEN(SUBSTITUTE($C51," ",""))-LEN(SUBSTITUTE(SUBSTITUTE($C51," ",""),",",""))+1)</f>
        <v/>
      </c>
      <c r="F51" s="37" t="n"/>
    </row>
    <row r="52">
      <c r="A52" s="34" t="inlineStr">
        <is>
          <t>Page reorder</t>
        </is>
      </c>
      <c r="B52" s="31" t="inlineStr">
        <is>
          <t>NEXT</t>
        </is>
      </c>
      <c r="C52" s="37" t="inlineStr">
        <is>
          <t>PDF-020</t>
        </is>
      </c>
      <c r="D52" s="35">
        <f>SUMPRODUCT(ISNUMBER(SEARCH(","&amp;MASTER!$A$2:$A$2000&amp;",",","&amp;SUBSTITUTE($C52," ","")&amp;","))*((MASTER!$G$2:$G$2000="DONE")))</f>
        <v/>
      </c>
      <c r="E52" s="35">
        <f>IF(LEN(SUBSTITUTE($C52," ",""))=0,0,LEN(SUBSTITUTE($C52," ",""))-LEN(SUBSTITUTE(SUBSTITUTE($C52," ",""),",",""))+1)</f>
        <v/>
      </c>
      <c r="F52" s="37" t="n"/>
    </row>
    <row r="53">
      <c r="A53" s="34" t="inlineStr">
        <is>
          <t>Page rotate</t>
        </is>
      </c>
      <c r="B53" s="31" t="inlineStr">
        <is>
          <t>NEXT</t>
        </is>
      </c>
      <c r="C53" s="37" t="inlineStr">
        <is>
          <t>PDF-020</t>
        </is>
      </c>
      <c r="D53" s="35">
        <f>SUMPRODUCT(ISNUMBER(SEARCH(","&amp;MASTER!$A$2:$A$2000&amp;",",","&amp;SUBSTITUTE($C53," ","")&amp;","))*((MASTER!$G$2:$G$2000="DONE")))</f>
        <v/>
      </c>
      <c r="E53" s="35">
        <f>IF(LEN(SUBSTITUTE($C53," ",""))=0,0,LEN(SUBSTITUTE($C53," ",""))-LEN(SUBSTITUTE(SUBSTITUTE($C53," ",""),",",""))+1)</f>
        <v/>
      </c>
      <c r="F53" s="37" t="n"/>
    </row>
    <row r="54">
      <c r="A54" s="34" t="inlineStr">
        <is>
          <t>Page delete</t>
        </is>
      </c>
      <c r="B54" s="31" t="inlineStr">
        <is>
          <t>NEXT</t>
        </is>
      </c>
      <c r="C54" s="37" t="inlineStr">
        <is>
          <t>PDF-020</t>
        </is>
      </c>
      <c r="D54" s="35">
        <f>SUMPRODUCT(ISNUMBER(SEARCH(","&amp;MASTER!$A$2:$A$2000&amp;",",","&amp;SUBSTITUTE($C54," ","")&amp;","))*((MASTER!$G$2:$G$2000="DONE")))</f>
        <v/>
      </c>
      <c r="E54" s="35">
        <f>IF(LEN(SUBSTITUTE($C54," ",""))=0,0,LEN(SUBSTITUTE($C54," ",""))-LEN(SUBSTITUTE(SUBSTITUTE($C54," ",""),",",""))+1)</f>
        <v/>
      </c>
      <c r="F54" s="37" t="n"/>
    </row>
    <row r="55">
      <c r="A55" s="34" t="inlineStr">
        <is>
          <t>Page extract</t>
        </is>
      </c>
      <c r="B55" s="31" t="inlineStr">
        <is>
          <t>NEXT</t>
        </is>
      </c>
      <c r="C55" s="37" t="inlineStr">
        <is>
          <t>PDF-020</t>
        </is>
      </c>
      <c r="D55" s="35">
        <f>SUMPRODUCT(ISNUMBER(SEARCH(","&amp;MASTER!$A$2:$A$2000&amp;",",","&amp;SUBSTITUTE($C55," ","")&amp;","))*((MASTER!$G$2:$G$2000="DONE")))</f>
        <v/>
      </c>
      <c r="E55" s="35">
        <f>IF(LEN(SUBSTITUTE($C55," ",""))=0,0,LEN(SUBSTITUTE($C55," ",""))-LEN(SUBSTITUTE(SUBSTITUTE($C55," ",""),",",""))+1)</f>
        <v/>
      </c>
      <c r="F55" s="37" t="n"/>
    </row>
    <row r="56">
      <c r="A56" s="34" t="inlineStr">
        <is>
          <t>Merge documents</t>
        </is>
      </c>
      <c r="B56" s="31" t="inlineStr">
        <is>
          <t>LATER</t>
        </is>
      </c>
      <c r="C56" s="37" t="n"/>
      <c r="D56" s="35">
        <f>SUMPRODUCT(ISNUMBER(SEARCH(","&amp;MASTER!$A$2:$A$2000&amp;",",","&amp;SUBSTITUTE($C56," ","")&amp;","))*((MASTER!$G$2:$G$2000="DONE")))</f>
        <v/>
      </c>
      <c r="E56" s="35">
        <f>IF(LEN(SUBSTITUTE($C56," ",""))=0,0,LEN(SUBSTITUTE($C56," ",""))-LEN(SUBSTITUTE(SUBSTITUTE($C56," ",""),",",""))+1)</f>
        <v/>
      </c>
      <c r="F56" s="37" t="n"/>
    </row>
    <row r="57">
      <c r="A57" s="34" t="inlineStr">
        <is>
          <t>Split documents</t>
        </is>
      </c>
      <c r="B57" s="31" t="inlineStr">
        <is>
          <t>LATER</t>
        </is>
      </c>
      <c r="C57" s="37" t="n"/>
      <c r="D57" s="35">
        <f>SUMPRODUCT(ISNUMBER(SEARCH(","&amp;MASTER!$A$2:$A$2000&amp;",",","&amp;SUBSTITUTE($C57," ","")&amp;","))*((MASTER!$G$2:$G$2000="DONE")))</f>
        <v/>
      </c>
      <c r="E57" s="35">
        <f>IF(LEN(SUBSTITUTE($C57," ",""))=0,0,LEN(SUBSTITUTE($C57," ",""))-LEN(SUBSTITUTE(SUBSTITUTE($C57," ",""),",",""))+1)</f>
        <v/>
      </c>
      <c r="F57" s="37" t="n"/>
    </row>
    <row r="58">
      <c r="A58" s="34" t="inlineStr">
        <is>
          <t>Watermark</t>
        </is>
      </c>
      <c r="B58" s="31" t="inlineStr">
        <is>
          <t>LATER</t>
        </is>
      </c>
      <c r="C58" s="37" t="n"/>
      <c r="D58" s="35">
        <f>SUMPRODUCT(ISNUMBER(SEARCH(","&amp;MASTER!$A$2:$A$2000&amp;",",","&amp;SUBSTITUTE($C58," ","")&amp;","))*((MASTER!$G$2:$G$2000="DONE")))</f>
        <v/>
      </c>
      <c r="E58" s="35">
        <f>IF(LEN(SUBSTITUTE($C58," ",""))=0,0,LEN(SUBSTITUTE($C58," ",""))-LEN(SUBSTITUTE(SUBSTITUTE($C58," ",""),",",""))+1)</f>
        <v/>
      </c>
      <c r="F58" s="37" t="n"/>
    </row>
    <row r="59">
      <c r="A59" s="34" t="inlineStr">
        <is>
          <t>Forms (advanced)</t>
        </is>
      </c>
      <c r="B59" s="31" t="inlineStr">
        <is>
          <t>LATER</t>
        </is>
      </c>
      <c r="C59" s="37" t="n"/>
      <c r="D59" s="35">
        <f>SUMPRODUCT(ISNUMBER(SEARCH(","&amp;MASTER!$A$2:$A$2000&amp;",",","&amp;SUBSTITUTE($C59," ","")&amp;","))*((MASTER!$G$2:$G$2000="DONE")))</f>
        <v/>
      </c>
      <c r="E59" s="35">
        <f>IF(LEN(SUBSTITUTE($C59," ",""))=0,0,LEN(SUBSTITUTE($C59," ",""))-LEN(SUBSTITUTE(SUBSTITUTE($C59," ",""),",",""))+1)</f>
        <v/>
      </c>
      <c r="F59" s="37" t="inlineStr">
        <is>
          <t>Brief 62: LATER</t>
        </is>
      </c>
    </row>
    <row r="60">
      <c r="A60" s="34" t="inlineStr">
        <is>
          <t>SmartArt editing</t>
        </is>
      </c>
      <c r="B60" s="31" t="inlineStr">
        <is>
          <t>LATER</t>
        </is>
      </c>
      <c r="C60" s="37" t="n"/>
      <c r="D60" s="35">
        <f>SUMPRODUCT(ISNUMBER(SEARCH(","&amp;MASTER!$A$2:$A$2000&amp;",",","&amp;SUBSTITUTE($C60," ","")&amp;","))*((MASTER!$G$2:$G$2000="DONE")))</f>
        <v/>
      </c>
      <c r="E60" s="35">
        <f>IF(LEN(SUBSTITUTE($C60," ",""))=0,0,LEN(SUBSTITUTE($C60," ",""))-LEN(SUBSTITUTE(SUBSTITUTE($C60," ",""),",",""))+1)</f>
        <v/>
      </c>
      <c r="F60" s="37" t="inlineStr">
        <is>
          <t>Brief 62: LATER; SmartArt is preserved, not edited</t>
        </is>
      </c>
    </row>
    <row r="61">
      <c r="A61" s="34" t="inlineStr">
        <is>
          <t>OLE</t>
        </is>
      </c>
      <c r="B61" s="31" t="inlineStr">
        <is>
          <t>LATER</t>
        </is>
      </c>
      <c r="C61" s="37" t="n"/>
      <c r="D61" s="35">
        <f>SUMPRODUCT(ISNUMBER(SEARCH(","&amp;MASTER!$A$2:$A$2000&amp;",",","&amp;SUBSTITUTE($C61," ","")&amp;","))*((MASTER!$G$2:$G$2000="DONE")))</f>
        <v/>
      </c>
      <c r="E61" s="35">
        <f>IF(LEN(SUBSTITUTE($C61," ",""))=0,0,LEN(SUBSTITUTE($C61," ",""))-LEN(SUBSTITUTE(SUBSTITUTE($C61," ",""),",",""))+1)</f>
        <v/>
      </c>
      <c r="F61" s="37" t="inlineStr">
        <is>
          <t>Brief 62: LATER; OLE objects preserved, not edited</t>
        </is>
      </c>
    </row>
    <row r="62">
      <c r="A62" s="34" t="inlineStr">
        <is>
          <t>Full tracked-change editor</t>
        </is>
      </c>
      <c r="B62" s="31" t="inlineStr">
        <is>
          <t>LATER</t>
        </is>
      </c>
      <c r="C62" s="37" t="n"/>
      <c r="D62" s="35">
        <f>SUMPRODUCT(ISNUMBER(SEARCH(","&amp;MASTER!$A$2:$A$2000&amp;",",","&amp;SUBSTITUTE($C62," ","")&amp;","))*((MASTER!$G$2:$G$2000="DONE")))</f>
        <v/>
      </c>
      <c r="E62" s="35">
        <f>IF(LEN(SUBSTITUTE($C62," ",""))=0,0,LEN(SUBSTITUTE($C62," ",""))-LEN(SUBSTITUTE(SUBSTITUTE($C62," ",""),",",""))+1)</f>
        <v/>
      </c>
      <c r="F62" s="37" t="inlineStr">
        <is>
          <t>Brief 62: LATER</t>
        </is>
      </c>
    </row>
    <row r="63">
      <c r="A63" s="34" t="inlineStr">
        <is>
          <t>Advanced citation manager</t>
        </is>
      </c>
      <c r="B63" s="31" t="inlineStr">
        <is>
          <t>LATER</t>
        </is>
      </c>
      <c r="C63" s="37" t="n"/>
      <c r="D63" s="35">
        <f>SUMPRODUCT(ISNUMBER(SEARCH(","&amp;MASTER!$A$2:$A$2000&amp;",",","&amp;SUBSTITUTE($C63," ","")&amp;","))*((MASTER!$G$2:$G$2000="DONE")))</f>
        <v/>
      </c>
      <c r="E63" s="35">
        <f>IF(LEN(SUBSTITUTE($C63," ",""))=0,0,LEN(SUBSTITUTE($C63," ",""))-LEN(SUBSTITUTE(SUBSTITUTE($C63," ",""),",",""))+1)</f>
        <v/>
      </c>
      <c r="F63" s="37" t="inlineStr">
        <is>
          <t>Brief 62: LATER</t>
        </is>
      </c>
    </row>
    <row r="64">
      <c r="A64" s="34" t="inlineStr">
        <is>
          <t>Advanced drawing editor</t>
        </is>
      </c>
      <c r="B64" s="31" t="inlineStr">
        <is>
          <t>LATER</t>
        </is>
      </c>
      <c r="C64" s="37" t="n"/>
      <c r="D64" s="35">
        <f>SUMPRODUCT(ISNUMBER(SEARCH(","&amp;MASTER!$A$2:$A$2000&amp;",",","&amp;SUBSTITUTE($C64," ","")&amp;","))*((MASTER!$G$2:$G$2000="DONE")))</f>
        <v/>
      </c>
      <c r="E64" s="35">
        <f>IF(LEN(SUBSTITUTE($C64," ",""))=0,0,LEN(SUBSTITUTE($C64," ",""))-LEN(SUBSTITUTE(SUBSTITUTE($C64," ",""),",",""))+1)</f>
        <v/>
      </c>
      <c r="F64" s="37" t="inlineStr">
        <is>
          <t>Brief 62: LATER</t>
        </is>
      </c>
    </row>
    <row r="65">
      <c r="A65" s="34" t="inlineStr">
        <is>
          <t>Layout-preserving PDF editing (frames/anchors)</t>
        </is>
      </c>
      <c r="B65" s="31" t="inlineStr">
        <is>
          <t>ARCHITECTURE_ONLY</t>
        </is>
      </c>
      <c r="C65" s="37" t="inlineStr">
        <is>
          <t>P2E-020</t>
        </is>
      </c>
      <c r="D65" s="35">
        <f>SUMPRODUCT(ISNUMBER(SEARCH(","&amp;MASTER!$A$2:$A$2000&amp;",",","&amp;SUBSTITUTE($C65," ","")&amp;","))*((MASTER!$G$2:$G$2000="DONE")))</f>
        <v/>
      </c>
      <c r="E65" s="35">
        <f>IF(LEN(SUBSTITUTE($C65," ",""))=0,0,LEN(SUBSTITUTE($C65," ",""))-LEN(SUBSTITUTE(SUBSTITUTE($C65," ",""),",",""))+1)</f>
        <v/>
      </c>
      <c r="F65" s="37" t="inlineStr">
        <is>
          <t>Phase 9: architecture and hooks only</t>
        </is>
      </c>
    </row>
    <row r="68">
      <c r="A68" s="24" t="inlineStr">
        <is>
          <t>Product tasks (live from MASTER)</t>
        </is>
      </c>
    </row>
    <row r="69">
      <c r="A69" s="29" t="inlineStr">
        <is>
          <t>ID</t>
        </is>
      </c>
      <c r="B69" s="29" t="inlineStr">
        <is>
          <t>Category</t>
        </is>
      </c>
      <c r="C69" s="29" t="inlineStr">
        <is>
          <t>Phase</t>
        </is>
      </c>
      <c r="D69" s="29" t="inlineStr">
        <is>
          <t>Feature/Task</t>
        </is>
      </c>
      <c r="E69" s="29" t="inlineStr">
        <is>
          <t>Priority</t>
        </is>
      </c>
      <c r="F69" s="29" t="inlineStr">
        <is>
          <t>Status</t>
        </is>
      </c>
      <c r="G69" s="29" t="inlineStr">
        <is>
          <t>Evidence</t>
        </is>
      </c>
      <c r="H69" s="29" t="inlineStr">
        <is>
          <t>Tests</t>
        </is>
      </c>
      <c r="I69" s="29" t="inlineStr">
        <is>
          <t>Last Verified</t>
        </is>
      </c>
      <c r="J69" s="29" t="inlineStr">
        <is>
          <t>Commit</t>
        </is>
      </c>
      <c r="K69" s="29" t="inlineStr">
        <is>
          <t>Notes</t>
        </is>
      </c>
      <c r="L69" s="29" t="inlineStr">
        <is>
          <t>Parent ID</t>
        </is>
      </c>
    </row>
    <row r="70">
      <c r="A70" s="34" t="inlineStr">
        <is>
          <t>FEAT-001</t>
        </is>
      </c>
      <c r="B70" s="31">
        <f>IFERROR(INDEX(MASTER!$C$2:$C$2000,MATCH($A70,MASTER!$A$2:$A$2000,0))&amp;"","")</f>
        <v/>
      </c>
      <c r="C70" s="35">
        <f>IFERROR(INDEX(MASTER!$B$2:$B$2000,MATCH($A70,MASTER!$A$2:$A$2000,0)),"")</f>
        <v/>
      </c>
      <c r="D70" s="31">
        <f>IFERROR(INDEX(MASTER!$D$2:$D$2000,MATCH($A70,MASTER!$A$2:$A$2000,0))&amp;"","")</f>
        <v/>
      </c>
      <c r="E70" s="31">
        <f>IFERROR(INDEX(MASTER!$F$2:$F$2000,MATCH($A70,MASTER!$A$2:$A$2000,0))&amp;"","")</f>
        <v/>
      </c>
      <c r="F70" s="31">
        <f>IFERROR(INDEX(MASTER!$G$2:$G$2000,MATCH($A70,MASTER!$A$2:$A$2000,0))&amp;"","NOT IN MASTER")</f>
        <v/>
      </c>
      <c r="G70" s="31">
        <f>IFERROR(INDEX(MASTER!$H$2:$H$2000,MATCH($A70,MASTER!$A$2:$A$2000,0))&amp;"","")</f>
        <v/>
      </c>
      <c r="H70" s="31">
        <f>IFERROR(INDEX(MASTER!$I$2:$I$2000,MATCH($A70,MASTER!$A$2:$A$2000,0))&amp;"","")</f>
        <v/>
      </c>
      <c r="I70" s="41">
        <f>IFERROR(IF(INDEX(MASTER!$O$2:$O$2000,MATCH($A70,MASTER!$A$2:$A$2000,0))="","",INDEX(MASTER!$O$2:$O$2000,MATCH($A70,MASTER!$A$2:$A$2000,0))),"")</f>
        <v/>
      </c>
      <c r="J70" s="31">
        <f>IFERROR(INDEX(MASTER!$P$2:$P$2000,MATCH($A70,MASTER!$A$2:$A$2000,0))&amp;"","")</f>
        <v/>
      </c>
      <c r="K70" s="31">
        <f>IFERROR(INDEX(MASTER!$Q$2:$Q$2000,MATCH($A70,MASTER!$A$2:$A$2000,0))&amp;"","")</f>
        <v/>
      </c>
      <c r="L70" s="31">
        <f>IFERROR(INDEX(MASTER!$R$2:$R$2000,MATCH($A70,MASTER!$A$2:$A$2000,0))&amp;"","")</f>
        <v/>
      </c>
    </row>
    <row r="71">
      <c r="A71" s="34" t="inlineStr">
        <is>
          <t>FEAT-002</t>
        </is>
      </c>
      <c r="B71" s="31">
        <f>IFERROR(INDEX(MASTER!$C$2:$C$2000,MATCH($A71,MASTER!$A$2:$A$2000,0))&amp;"","")</f>
        <v/>
      </c>
      <c r="C71" s="35">
        <f>IFERROR(INDEX(MASTER!$B$2:$B$2000,MATCH($A71,MASTER!$A$2:$A$2000,0)),"")</f>
        <v/>
      </c>
      <c r="D71" s="31">
        <f>IFERROR(INDEX(MASTER!$D$2:$D$2000,MATCH($A71,MASTER!$A$2:$A$2000,0))&amp;"","")</f>
        <v/>
      </c>
      <c r="E71" s="31">
        <f>IFERROR(INDEX(MASTER!$F$2:$F$2000,MATCH($A71,MASTER!$A$2:$A$2000,0))&amp;"","")</f>
        <v/>
      </c>
      <c r="F71" s="31">
        <f>IFERROR(INDEX(MASTER!$G$2:$G$2000,MATCH($A71,MASTER!$A$2:$A$2000,0))&amp;"","NOT IN MASTER")</f>
        <v/>
      </c>
      <c r="G71" s="31">
        <f>IFERROR(INDEX(MASTER!$H$2:$H$2000,MATCH($A71,MASTER!$A$2:$A$2000,0))&amp;"","")</f>
        <v/>
      </c>
      <c r="H71" s="31">
        <f>IFERROR(INDEX(MASTER!$I$2:$I$2000,MATCH($A71,MASTER!$A$2:$A$2000,0))&amp;"","")</f>
        <v/>
      </c>
      <c r="I71" s="41">
        <f>IFERROR(IF(INDEX(MASTER!$O$2:$O$2000,MATCH($A71,MASTER!$A$2:$A$2000,0))="","",INDEX(MASTER!$O$2:$O$2000,MATCH($A71,MASTER!$A$2:$A$2000,0))),"")</f>
        <v/>
      </c>
      <c r="J71" s="31">
        <f>IFERROR(INDEX(MASTER!$P$2:$P$2000,MATCH($A71,MASTER!$A$2:$A$2000,0))&amp;"","")</f>
        <v/>
      </c>
      <c r="K71" s="31">
        <f>IFERROR(INDEX(MASTER!$Q$2:$Q$2000,MATCH($A71,MASTER!$A$2:$A$2000,0))&amp;"","")</f>
        <v/>
      </c>
      <c r="L71" s="31">
        <f>IFERROR(INDEX(MASTER!$R$2:$R$2000,MATCH($A71,MASTER!$A$2:$A$2000,0))&amp;"","")</f>
        <v/>
      </c>
    </row>
    <row r="72">
      <c r="A72" s="34" t="inlineStr">
        <is>
          <t>FEAT-003</t>
        </is>
      </c>
      <c r="B72" s="31">
        <f>IFERROR(INDEX(MASTER!$C$2:$C$2000,MATCH($A72,MASTER!$A$2:$A$2000,0))&amp;"","")</f>
        <v/>
      </c>
      <c r="C72" s="35">
        <f>IFERROR(INDEX(MASTER!$B$2:$B$2000,MATCH($A72,MASTER!$A$2:$A$2000,0)),"")</f>
        <v/>
      </c>
      <c r="D72" s="31">
        <f>IFERROR(INDEX(MASTER!$D$2:$D$2000,MATCH($A72,MASTER!$A$2:$A$2000,0))&amp;"","")</f>
        <v/>
      </c>
      <c r="E72" s="31">
        <f>IFERROR(INDEX(MASTER!$F$2:$F$2000,MATCH($A72,MASTER!$A$2:$A$2000,0))&amp;"","")</f>
        <v/>
      </c>
      <c r="F72" s="31">
        <f>IFERROR(INDEX(MASTER!$G$2:$G$2000,MATCH($A72,MASTER!$A$2:$A$2000,0))&amp;"","NOT IN MASTER")</f>
        <v/>
      </c>
      <c r="G72" s="31">
        <f>IFERROR(INDEX(MASTER!$H$2:$H$2000,MATCH($A72,MASTER!$A$2:$A$2000,0))&amp;"","")</f>
        <v/>
      </c>
      <c r="H72" s="31">
        <f>IFERROR(INDEX(MASTER!$I$2:$I$2000,MATCH($A72,MASTER!$A$2:$A$2000,0))&amp;"","")</f>
        <v/>
      </c>
      <c r="I72" s="41">
        <f>IFERROR(IF(INDEX(MASTER!$O$2:$O$2000,MATCH($A72,MASTER!$A$2:$A$2000,0))="","",INDEX(MASTER!$O$2:$O$2000,MATCH($A72,MASTER!$A$2:$A$2000,0))),"")</f>
        <v/>
      </c>
      <c r="J72" s="31">
        <f>IFERROR(INDEX(MASTER!$P$2:$P$2000,MATCH($A72,MASTER!$A$2:$A$2000,0))&amp;"","")</f>
        <v/>
      </c>
      <c r="K72" s="31">
        <f>IFERROR(INDEX(MASTER!$Q$2:$Q$2000,MATCH($A72,MASTER!$A$2:$A$2000,0))&amp;"","")</f>
        <v/>
      </c>
      <c r="L72" s="31">
        <f>IFERROR(INDEX(MASTER!$R$2:$R$2000,MATCH($A72,MASTER!$A$2:$A$2000,0))&amp;"","")</f>
        <v/>
      </c>
    </row>
    <row r="73">
      <c r="A73" s="34" t="inlineStr">
        <is>
          <t>FEAT-010</t>
        </is>
      </c>
      <c r="B73" s="31">
        <f>IFERROR(INDEX(MASTER!$C$2:$C$2000,MATCH($A73,MASTER!$A$2:$A$2000,0))&amp;"","")</f>
        <v/>
      </c>
      <c r="C73" s="35">
        <f>IFERROR(INDEX(MASTER!$B$2:$B$2000,MATCH($A73,MASTER!$A$2:$A$2000,0)),"")</f>
        <v/>
      </c>
      <c r="D73" s="31">
        <f>IFERROR(INDEX(MASTER!$D$2:$D$2000,MATCH($A73,MASTER!$A$2:$A$2000,0))&amp;"","")</f>
        <v/>
      </c>
      <c r="E73" s="31">
        <f>IFERROR(INDEX(MASTER!$F$2:$F$2000,MATCH($A73,MASTER!$A$2:$A$2000,0))&amp;"","")</f>
        <v/>
      </c>
      <c r="F73" s="31">
        <f>IFERROR(INDEX(MASTER!$G$2:$G$2000,MATCH($A73,MASTER!$A$2:$A$2000,0))&amp;"","NOT IN MASTER")</f>
        <v/>
      </c>
      <c r="G73" s="31">
        <f>IFERROR(INDEX(MASTER!$H$2:$H$2000,MATCH($A73,MASTER!$A$2:$A$2000,0))&amp;"","")</f>
        <v/>
      </c>
      <c r="H73" s="31">
        <f>IFERROR(INDEX(MASTER!$I$2:$I$2000,MATCH($A73,MASTER!$A$2:$A$2000,0))&amp;"","")</f>
        <v/>
      </c>
      <c r="I73" s="41">
        <f>IFERROR(IF(INDEX(MASTER!$O$2:$O$2000,MATCH($A73,MASTER!$A$2:$A$2000,0))="","",INDEX(MASTER!$O$2:$O$2000,MATCH($A73,MASTER!$A$2:$A$2000,0))),"")</f>
        <v/>
      </c>
      <c r="J73" s="31">
        <f>IFERROR(INDEX(MASTER!$P$2:$P$2000,MATCH($A73,MASTER!$A$2:$A$2000,0))&amp;"","")</f>
        <v/>
      </c>
      <c r="K73" s="31">
        <f>IFERROR(INDEX(MASTER!$Q$2:$Q$2000,MATCH($A73,MASTER!$A$2:$A$2000,0))&amp;"","")</f>
        <v/>
      </c>
      <c r="L73" s="31">
        <f>IFERROR(INDEX(MASTER!$R$2:$R$2000,MATCH($A73,MASTER!$A$2:$A$2000,0))&amp;"","")</f>
        <v/>
      </c>
    </row>
    <row r="74">
      <c r="A74" s="34" t="inlineStr">
        <is>
          <t>FEAT-011</t>
        </is>
      </c>
      <c r="B74" s="31">
        <f>IFERROR(INDEX(MASTER!$C$2:$C$2000,MATCH($A74,MASTER!$A$2:$A$2000,0))&amp;"","")</f>
        <v/>
      </c>
      <c r="C74" s="35">
        <f>IFERROR(INDEX(MASTER!$B$2:$B$2000,MATCH($A74,MASTER!$A$2:$A$2000,0)),"")</f>
        <v/>
      </c>
      <c r="D74" s="31">
        <f>IFERROR(INDEX(MASTER!$D$2:$D$2000,MATCH($A74,MASTER!$A$2:$A$2000,0))&amp;"","")</f>
        <v/>
      </c>
      <c r="E74" s="31">
        <f>IFERROR(INDEX(MASTER!$F$2:$F$2000,MATCH($A74,MASTER!$A$2:$A$2000,0))&amp;"","")</f>
        <v/>
      </c>
      <c r="F74" s="31">
        <f>IFERROR(INDEX(MASTER!$G$2:$G$2000,MATCH($A74,MASTER!$A$2:$A$2000,0))&amp;"","NOT IN MASTER")</f>
        <v/>
      </c>
      <c r="G74" s="31">
        <f>IFERROR(INDEX(MASTER!$H$2:$H$2000,MATCH($A74,MASTER!$A$2:$A$2000,0))&amp;"","")</f>
        <v/>
      </c>
      <c r="H74" s="31">
        <f>IFERROR(INDEX(MASTER!$I$2:$I$2000,MATCH($A74,MASTER!$A$2:$A$2000,0))&amp;"","")</f>
        <v/>
      </c>
      <c r="I74" s="41">
        <f>IFERROR(IF(INDEX(MASTER!$O$2:$O$2000,MATCH($A74,MASTER!$A$2:$A$2000,0))="","",INDEX(MASTER!$O$2:$O$2000,MATCH($A74,MASTER!$A$2:$A$2000,0))),"")</f>
        <v/>
      </c>
      <c r="J74" s="31">
        <f>IFERROR(INDEX(MASTER!$P$2:$P$2000,MATCH($A74,MASTER!$A$2:$A$2000,0))&amp;"","")</f>
        <v/>
      </c>
      <c r="K74" s="31">
        <f>IFERROR(INDEX(MASTER!$Q$2:$Q$2000,MATCH($A74,MASTER!$A$2:$A$2000,0))&amp;"","")</f>
        <v/>
      </c>
      <c r="L74" s="31">
        <f>IFERROR(INDEX(MASTER!$R$2:$R$2000,MATCH($A74,MASTER!$A$2:$A$2000,0))&amp;"","")</f>
        <v/>
      </c>
    </row>
  </sheetData>
  <autoFilter ref="A69:L74"/>
  <conditionalFormatting sqref="B8:B65">
    <cfRule type="cellIs" priority="1" operator="equal" dxfId="352">
      <formula>"NOW"</formula>
    </cfRule>
  </conditionalFormatting>
  <conditionalFormatting sqref="F70:F74">
    <cfRule type="cellIs" priority="2" operator="equal" dxfId="347">
      <formula>"DONE"</formula>
    </cfRule>
    <cfRule type="cellIs" priority="3" operator="equal" dxfId="346">
      <formula>"VERIFIED"</formula>
    </cfRule>
    <cfRule type="cellIs" priority="4" operator="equal" dxfId="342">
      <formula>"IN_PROGRESS"</formula>
    </cfRule>
    <cfRule type="cellIs" priority="5" operator="equal" dxfId="344">
      <formula>"IMPLEMENTED"</formula>
    </cfRule>
    <cfRule type="cellIs" priority="6" operator="equal" dxfId="345">
      <formula>"TESTING"</formula>
    </cfRule>
    <cfRule type="cellIs" priority="7" operator="equal" dxfId="343">
      <formula>"BLOCKED"</formula>
    </cfRule>
    <cfRule type="cellIs" priority="8" operator="equal" dxfId="341">
      <formula>"FAILED"</formula>
    </cfRule>
    <cfRule type="cellIs" priority="9" operator="equal" dxfId="348">
      <formula>"DEFERRED"</formula>
    </cfRule>
    <cfRule type="cellIs" priority="10" operator="equal" dxfId="349">
      <formula>"UNKNOWN"</formula>
    </cfRule>
    <cfRule type="cellIs" priority="11" operator="equal" dxfId="347">
      <formula>"PASS"</formula>
    </cfRule>
    <cfRule type="cellIs" priority="12" operator="equal" dxfId="341">
      <formula>"FAIL"</formula>
    </cfRule>
    <cfRule type="cellIs" priority="13" operator="equal" dxfId="342">
      <formula>"PARTIAL"</formula>
    </cfRule>
    <cfRule type="cellIs" priority="14" operator="equal" dxfId="347">
      <formula>"RESOLVED"</formula>
    </cfRule>
    <cfRule type="cellIs" priority="15" operator="equal" dxfId="351">
      <formula>"OPEN"</formula>
    </cfRule>
    <cfRule type="cellIs" priority="16" operator="equal" dxfId="347">
      <formula>"WITHIN"</formula>
    </cfRule>
    <cfRule type="cellIs" priority="17" operator="equal" dxfId="341">
      <formula>"OVER"</formula>
    </cfRule>
    <cfRule type="cellIs" priority="18" operator="equal" dxfId="352">
      <formula>"NOW"</formula>
    </cfRule>
    <cfRule type="cellIs" priority="19" operator="equal" dxfId="353">
      <formula>"NOT IN MASTER"</formula>
    </cfRule>
  </conditionalFormatting>
  <conditionalFormatting sqref="E70:E74">
    <cfRule type="cellIs" priority="20" operator="equal" dxfId="341">
      <formula>"P0"</formula>
    </cfRule>
    <cfRule type="cellIs" priority="21" operator="equal" dxfId="350">
      <formula>"P1"</formula>
    </cfRule>
  </conditionalFormatting>
  <dataValidations count="1">
    <dataValidation sqref="B8:B65" showDropDown="0" showInputMessage="0" showErrorMessage="1" allowBlank="1" errorTitle="Invalid bucket" error="Pick a bucket from the list." type="list" errorStyle="stop">
      <formula1>"NOW,NEXT,LATER,ARCHITECTURE_ONLY"</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L23"/>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TRANSLATION — Translation and fonts</t>
        </is>
      </c>
    </row>
    <row r="2">
      <c r="A2" s="23" t="inlineStr">
        <is>
          <t>Translation MVP and FontResolver. Categories: TRANSLATION, FONT.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COUNTIF(MASTER!$C$2:$C$2000,"TRANSLATION")+COUNTIF(MASTER!$C$2:$C$2000,"FONT")</f>
        <v/>
      </c>
      <c r="B4" s="26">
        <f>COUNTIFS(MASTER!$C$2:$C$2000,"TRANSLATION",MASTER!$G$2:$G$2000,"DONE")+COUNTIFS(MASTER!$C$2:$C$2000,"FONT",MASTER!$G$2:$G$2000,"DONE")</f>
        <v/>
      </c>
      <c r="C4" s="26">
        <f>COUNTIFS(MASTER!$C$2:$C$2000,"TRANSLATION",MASTER!$G$2:$G$2000,"VERIFIED")+COUNTIFS(MASTER!$C$2:$C$2000,"FONT",MASTER!$G$2:$G$2000,"VERIFIED")+B4</f>
        <v/>
      </c>
      <c r="D4" s="26">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
      </c>
      <c r="E4" s="26">
        <f>COUNTIFS(MASTER!$C$2:$C$2000,"TRANSLATION",MASTER!$G$2:$G$2000,"BLOCKED")+COUNTIFS(MASTER!$C$2:$C$2000,"FONT",MASTER!$G$2:$G$2000,"BLOCKED")</f>
        <v/>
      </c>
      <c r="F4" s="26">
        <f>COUNTIFS(MASTER!$C$2:$C$2000,"TRANSLATION",MASTER!$G$2:$G$2000,"FAILED")+COUNTIFS(MASTER!$C$2:$C$2000,"FONT",MASTER!$G$2:$G$2000,"FAILED")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TRAN-001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TRAN-002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TRAN-003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TRAN-004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TRAN-005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TRAN-006</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TRAN-007</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TRAN-008</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TRAN-009</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TRAN-010</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FONT-001</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FONT-002</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FONT-003</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FONT-004</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FONT-005</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row r="23">
      <c r="A23" s="34" t="inlineStr">
        <is>
          <t>FONT-006</t>
        </is>
      </c>
      <c r="B23" s="31">
        <f>IFERROR(INDEX(MASTER!$C$2:$C$2000,MATCH($A23,MASTER!$A$2:$A$2000,0))&amp;"","")</f>
        <v/>
      </c>
      <c r="C23" s="35">
        <f>IFERROR(INDEX(MASTER!$B$2:$B$2000,MATCH($A23,MASTER!$A$2:$A$2000,0)),"")</f>
        <v/>
      </c>
      <c r="D23" s="31">
        <f>IFERROR(INDEX(MASTER!$D$2:$D$2000,MATCH($A23,MASTER!$A$2:$A$2000,0))&amp;"","")</f>
        <v/>
      </c>
      <c r="E23" s="31">
        <f>IFERROR(INDEX(MASTER!$F$2:$F$2000,MATCH($A23,MASTER!$A$2:$A$2000,0))&amp;"","")</f>
        <v/>
      </c>
      <c r="F23" s="31">
        <f>IFERROR(INDEX(MASTER!$G$2:$G$2000,MATCH($A23,MASTER!$A$2:$A$2000,0))&amp;"","NOT IN MASTER")</f>
        <v/>
      </c>
      <c r="G23" s="31">
        <f>IFERROR(INDEX(MASTER!$H$2:$H$2000,MATCH($A23,MASTER!$A$2:$A$2000,0))&amp;"","")</f>
        <v/>
      </c>
      <c r="H23" s="31">
        <f>IFERROR(INDEX(MASTER!$I$2:$I$2000,MATCH($A23,MASTER!$A$2:$A$2000,0))&amp;"","")</f>
        <v/>
      </c>
      <c r="I23" s="41">
        <f>IFERROR(IF(INDEX(MASTER!$O$2:$O$2000,MATCH($A23,MASTER!$A$2:$A$2000,0))="","",INDEX(MASTER!$O$2:$O$2000,MATCH($A23,MASTER!$A$2:$A$2000,0))),"")</f>
        <v/>
      </c>
      <c r="J23" s="31">
        <f>IFERROR(INDEX(MASTER!$P$2:$P$2000,MATCH($A23,MASTER!$A$2:$A$2000,0))&amp;"","")</f>
        <v/>
      </c>
      <c r="K23" s="31">
        <f>IFERROR(INDEX(MASTER!$Q$2:$Q$2000,MATCH($A23,MASTER!$A$2:$A$2000,0))&amp;"","")</f>
        <v/>
      </c>
      <c r="L23" s="31">
        <f>IFERROR(INDEX(MASTER!$R$2:$R$2000,MATCH($A23,MASTER!$A$2:$A$2000,0))&amp;"","")</f>
        <v/>
      </c>
    </row>
  </sheetData>
  <autoFilter ref="A7:L23"/>
  <conditionalFormatting sqref="F8:F23">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3">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L16"/>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PDF_TO_EDITABLE — PDF to editable</t>
        </is>
      </c>
    </row>
    <row r="2">
      <c r="A2" s="23" t="inlineStr">
        <is>
          <t>PDF to editable document conversion. Categories: P2E.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COUNTIF(MASTER!$C$2:$C$2000,"P2E")</f>
        <v/>
      </c>
      <c r="B4" s="26">
        <f>COUNTIFS(MASTER!$C$2:$C$2000,"P2E",MASTER!$G$2:$G$2000,"DONE")</f>
        <v/>
      </c>
      <c r="C4" s="26">
        <f>COUNTIFS(MASTER!$C$2:$C$2000,"P2E",MASTER!$G$2:$G$2000,"VERIFIED")+B4</f>
        <v/>
      </c>
      <c r="D4" s="26">
        <f>COUNTIFS(MASTER!$C$2:$C$2000,"P2E",MASTER!$G$2:$G$2000,"IN_PROGRESS")+COUNTIFS(MASTER!$C$2:$C$2000,"P2E",MASTER!$G$2:$G$2000,"IMPLEMENTED")+COUNTIFS(MASTER!$C$2:$C$2000,"P2E",MASTER!$G$2:$G$2000,"TESTING")</f>
        <v/>
      </c>
      <c r="E4" s="26">
        <f>COUNTIFS(MASTER!$C$2:$C$2000,"P2E",MASTER!$G$2:$G$2000,"BLOCKED")</f>
        <v/>
      </c>
      <c r="F4" s="26">
        <f>COUNTIFS(MASTER!$C$2:$C$2000,"P2E",MASTER!$G$2:$G$2000,"FAILED")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P2E-001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P2E-002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P2E-003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P2E-004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P2E-005</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P2E-006</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P2E-007</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P2E-008</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P2E-020</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sheetData>
  <autoFilter ref="A7:L16"/>
  <conditionalFormatting sqref="F8:F16">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16">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L30"/>
  <sheetViews>
    <sheetView workbookViewId="0">
      <pane ySplit="4" topLeftCell="A5" activePane="bottomLeft" state="frozen"/>
      <selection pane="bottomLeft" activeCell="A1" sqref="A1"/>
    </sheetView>
  </sheetViews>
  <sheetFormatPr baseColWidth="8" defaultRowHeight="15"/>
  <cols>
    <col width="34" customWidth="1" min="1" max="1"/>
    <col width="16" customWidth="1" min="2" max="2"/>
    <col width="20" customWidth="1" min="3" max="3"/>
    <col width="44" customWidth="1" min="4" max="4"/>
    <col width="40"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BILLING_PLANS — Plans and billing</t>
        </is>
      </c>
    </row>
    <row r="2">
      <c r="A2" s="23" t="inlineStr">
        <is>
          <t>Plan hypotheses, usage units, entitlements, Stripe.</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COUNTIF(MASTER!$C$2:$C$2000,"BILLING")</f>
        <v/>
      </c>
      <c r="B4" s="26">
        <f>COUNTIFS(MASTER!$C$2:$C$2000,"BILLING",MASTER!$G$2:$G$2000,"DONE")</f>
        <v/>
      </c>
      <c r="C4" s="26">
        <f>COUNTIFS(MASTER!$C$2:$C$2000,"BILLING",MASTER!$G$2:$G$2000,"VERIFIED")+B4</f>
        <v/>
      </c>
      <c r="D4" s="26">
        <f>COUNTIFS(MASTER!$C$2:$C$2000,"BILLING",MASTER!$G$2:$G$2000,"IN_PROGRESS")+COUNTIFS(MASTER!$C$2:$C$2000,"BILLING",MASTER!$G$2:$G$2000,"IMPLEMENTED")+COUNTIFS(MASTER!$C$2:$C$2000,"BILLING",MASTER!$G$2:$G$2000,"TESTING")</f>
        <v/>
      </c>
      <c r="E4" s="26">
        <f>COUNTIFS(MASTER!$C$2:$C$2000,"BILLING",MASTER!$G$2:$G$2000,"BLOCKED")</f>
        <v/>
      </c>
      <c r="F4" s="26">
        <f>COUNTIFS(MASTER!$C$2:$C$2000,"BILLING",MASTER!$G$2:$G$2000,"FAILED")</f>
        <v/>
      </c>
      <c r="G4" s="28">
        <f>IF(A4=0,0,B4/A4)</f>
        <v/>
      </c>
      <c r="H4" s="28">
        <f>IF(A4=0,0,C4/A4)</f>
        <v/>
      </c>
    </row>
    <row r="6">
      <c r="A6" s="24" t="inlineStr">
        <is>
          <t>Initial plan hypothesis — brief §64: configurable defaults, not final prices; confirm against measured AI and infrastructure cost. Blue = input.</t>
        </is>
      </c>
    </row>
    <row r="7">
      <c r="A7" s="29" t="inlineStr">
        <is>
          <t>Usage unit / feature</t>
        </is>
      </c>
      <c r="B7" s="29" t="inlineStr">
        <is>
          <t>FREE</t>
        </is>
      </c>
      <c r="C7" s="29" t="inlineStr">
        <is>
          <t>PRO</t>
        </is>
      </c>
      <c r="D7" s="29" t="inlineStr">
        <is>
          <t>BUSINESS</t>
        </is>
      </c>
      <c r="E7" s="29" t="inlineStr">
        <is>
          <t>Notes</t>
        </is>
      </c>
    </row>
    <row r="8">
      <c r="A8" s="34" t="inlineStr">
        <is>
          <t>Documents / month</t>
        </is>
      </c>
      <c r="B8" s="39" t="n">
        <v>5</v>
      </c>
      <c r="C8" s="39" t="n">
        <v>100</v>
      </c>
      <c r="D8" s="39" t="n">
        <v>1000</v>
      </c>
      <c r="E8" s="37" t="inlineStr">
        <is>
          <t>BUSINESS: per workspace</t>
        </is>
      </c>
    </row>
    <row r="9">
      <c r="A9" s="34" t="inlineStr">
        <is>
          <t>PDF conversion pages / month</t>
        </is>
      </c>
      <c r="B9" s="39" t="n">
        <v>20</v>
      </c>
      <c r="C9" s="39" t="n">
        <v>500</v>
      </c>
      <c r="D9" s="39" t="n">
        <v>5000</v>
      </c>
      <c r="E9" s="37" t="n"/>
    </row>
    <row r="10">
      <c r="A10" s="34" t="inlineStr">
        <is>
          <t>OCR pages / month</t>
        </is>
      </c>
      <c r="B10" s="39" t="n">
        <v>5</v>
      </c>
      <c r="C10" s="39" t="n">
        <v>100</v>
      </c>
      <c r="D10" s="39" t="n">
        <v>1000</v>
      </c>
      <c r="E10" s="37" t="n"/>
    </row>
    <row r="11">
      <c r="A11" s="34" t="inlineStr">
        <is>
          <t>Translation characters / month</t>
        </is>
      </c>
      <c r="B11" s="39" t="n">
        <v>10000</v>
      </c>
      <c r="C11" s="39" t="n">
        <v>500000</v>
      </c>
      <c r="D11" s="39" t="n">
        <v>5000000</v>
      </c>
      <c r="E11" s="37" t="n"/>
    </row>
    <row r="12">
      <c r="A12" s="34" t="inlineStr">
        <is>
          <t>AI operations / month</t>
        </is>
      </c>
      <c r="B12" s="39" t="n">
        <v>10</v>
      </c>
      <c r="C12" s="39" t="n">
        <v>300</v>
      </c>
      <c r="D12" s="39" t="n">
        <v>2000</v>
      </c>
      <c r="E12" s="37" t="n"/>
    </row>
    <row r="13">
      <c r="A13" s="34" t="inlineStr">
        <is>
          <t>Exports / month</t>
        </is>
      </c>
      <c r="B13" s="39" t="n">
        <v>25</v>
      </c>
      <c r="C13" s="39" t="n">
        <v>500</v>
      </c>
      <c r="D13" s="40" t="inlineStr">
        <is>
          <t>high</t>
        </is>
      </c>
      <c r="E13" s="37" t="inlineStr">
        <is>
          <t>BUSINESS: 'high export limits', no number given</t>
        </is>
      </c>
    </row>
    <row r="14">
      <c r="A14" s="34" t="inlineStr">
        <is>
          <t>Templates</t>
        </is>
      </c>
      <c r="B14" s="40" t="inlineStr">
        <is>
          <t>basic</t>
        </is>
      </c>
      <c r="C14" s="40" t="inlineStr">
        <is>
          <t>custom</t>
        </is>
      </c>
      <c r="D14" s="40" t="inlineStr">
        <is>
          <t>shared</t>
        </is>
      </c>
      <c r="E14" s="37" t="n"/>
    </row>
    <row r="15">
      <c r="A15" s="34" t="inlineStr">
        <is>
          <t>Formatting</t>
        </is>
      </c>
      <c r="B15" s="40" t="inlineStr">
        <is>
          <t>basic</t>
        </is>
      </c>
      <c r="C15" s="40" t="inlineStr">
        <is>
          <t>Format by Example</t>
        </is>
      </c>
      <c r="D15" s="40" t="inlineStr">
        <is>
          <t>-</t>
        </is>
      </c>
      <c r="E15" s="37" t="n"/>
    </row>
    <row r="16">
      <c r="A16" s="34" t="inlineStr">
        <is>
          <t>Advanced Document Health</t>
        </is>
      </c>
      <c r="B16" s="40" t="inlineStr">
        <is>
          <t>-</t>
        </is>
      </c>
      <c r="C16" s="40" t="inlineStr">
        <is>
          <t>yes</t>
        </is>
      </c>
      <c r="D16" s="40" t="inlineStr">
        <is>
          <t>-</t>
        </is>
      </c>
      <c r="E16" s="37" t="n"/>
    </row>
    <row r="17">
      <c r="A17" s="34" t="inlineStr">
        <is>
          <t>Version history</t>
        </is>
      </c>
      <c r="B17" s="40" t="inlineStr">
        <is>
          <t>-</t>
        </is>
      </c>
      <c r="C17" s="40" t="inlineStr">
        <is>
          <t>yes</t>
        </is>
      </c>
      <c r="D17" s="40" t="inlineStr">
        <is>
          <t>-</t>
        </is>
      </c>
      <c r="E17" s="37" t="n"/>
    </row>
    <row r="18">
      <c r="A18" s="34" t="inlineStr">
        <is>
          <t>Batch operations</t>
        </is>
      </c>
      <c r="B18" s="40" t="inlineStr">
        <is>
          <t>no</t>
        </is>
      </c>
      <c r="C18" s="40" t="inlineStr">
        <is>
          <t>reasonable limits</t>
        </is>
      </c>
      <c r="D18" s="40" t="inlineStr">
        <is>
          <t>yes</t>
        </is>
      </c>
      <c r="E18" s="37" t="n"/>
    </row>
    <row r="19">
      <c r="A19" s="34" t="inlineStr">
        <is>
          <t>Team workspace</t>
        </is>
      </c>
      <c r="B19" s="40" t="inlineStr">
        <is>
          <t>no</t>
        </is>
      </c>
      <c r="C19" s="40" t="inlineStr">
        <is>
          <t>-</t>
        </is>
      </c>
      <c r="D19" s="40" t="inlineStr">
        <is>
          <t>yes</t>
        </is>
      </c>
      <c r="E19" s="37" t="n"/>
    </row>
    <row r="20">
      <c r="A20" s="34" t="inlineStr">
        <is>
          <t>Priority processing</t>
        </is>
      </c>
      <c r="B20" s="40" t="inlineStr">
        <is>
          <t>-</t>
        </is>
      </c>
      <c r="C20" s="40" t="inlineStr">
        <is>
          <t>-</t>
        </is>
      </c>
      <c r="D20" s="40" t="inlineStr">
        <is>
          <t>yes</t>
        </is>
      </c>
      <c r="E20" s="37" t="n"/>
    </row>
    <row r="21">
      <c r="A21" s="34" t="inlineStr">
        <is>
          <t>Advanced controls</t>
        </is>
      </c>
      <c r="B21" s="40" t="inlineStr">
        <is>
          <t>-</t>
        </is>
      </c>
      <c r="C21" s="40" t="inlineStr">
        <is>
          <t>-</t>
        </is>
      </c>
      <c r="D21" s="40" t="inlineStr">
        <is>
          <t>yes</t>
        </is>
      </c>
      <c r="E21" s="37" t="n"/>
    </row>
    <row r="24">
      <c r="A24" s="24" t="inlineStr">
        <is>
          <t>Billing and plan tasks (live from MASTER)</t>
        </is>
      </c>
    </row>
    <row r="25">
      <c r="A25" s="29" t="inlineStr">
        <is>
          <t>ID</t>
        </is>
      </c>
      <c r="B25" s="29" t="inlineStr">
        <is>
          <t>Category</t>
        </is>
      </c>
      <c r="C25" s="29" t="inlineStr">
        <is>
          <t>Phase</t>
        </is>
      </c>
      <c r="D25" s="29" t="inlineStr">
        <is>
          <t>Feature/Task</t>
        </is>
      </c>
      <c r="E25" s="29" t="inlineStr">
        <is>
          <t>Priority</t>
        </is>
      </c>
      <c r="F25" s="29" t="inlineStr">
        <is>
          <t>Status</t>
        </is>
      </c>
      <c r="G25" s="29" t="inlineStr">
        <is>
          <t>Evidence</t>
        </is>
      </c>
      <c r="H25" s="29" t="inlineStr">
        <is>
          <t>Tests</t>
        </is>
      </c>
      <c r="I25" s="29" t="inlineStr">
        <is>
          <t>Last Verified</t>
        </is>
      </c>
      <c r="J25" s="29" t="inlineStr">
        <is>
          <t>Commit</t>
        </is>
      </c>
      <c r="K25" s="29" t="inlineStr">
        <is>
          <t>Notes</t>
        </is>
      </c>
      <c r="L25" s="29" t="inlineStr">
        <is>
          <t>Parent ID</t>
        </is>
      </c>
    </row>
    <row r="26">
      <c r="A26" s="34" t="inlineStr">
        <is>
          <t>PLAN-001</t>
        </is>
      </c>
      <c r="B26" s="31">
        <f>IFERROR(INDEX(MASTER!$C$2:$C$2000,MATCH($A26,MASTER!$A$2:$A$2000,0))&amp;"","")</f>
        <v/>
      </c>
      <c r="C26" s="35">
        <f>IFERROR(INDEX(MASTER!$B$2:$B$2000,MATCH($A26,MASTER!$A$2:$A$2000,0)),"")</f>
        <v/>
      </c>
      <c r="D26" s="31">
        <f>IFERROR(INDEX(MASTER!$D$2:$D$2000,MATCH($A26,MASTER!$A$2:$A$2000,0))&amp;"","")</f>
        <v/>
      </c>
      <c r="E26" s="31">
        <f>IFERROR(INDEX(MASTER!$F$2:$F$2000,MATCH($A26,MASTER!$A$2:$A$2000,0))&amp;"","")</f>
        <v/>
      </c>
      <c r="F26" s="31">
        <f>IFERROR(INDEX(MASTER!$G$2:$G$2000,MATCH($A26,MASTER!$A$2:$A$2000,0))&amp;"","NOT IN MASTER")</f>
        <v/>
      </c>
      <c r="G26" s="31">
        <f>IFERROR(INDEX(MASTER!$H$2:$H$2000,MATCH($A26,MASTER!$A$2:$A$2000,0))&amp;"","")</f>
        <v/>
      </c>
      <c r="H26" s="31">
        <f>IFERROR(INDEX(MASTER!$I$2:$I$2000,MATCH($A26,MASTER!$A$2:$A$2000,0))&amp;"","")</f>
        <v/>
      </c>
      <c r="I26" s="41">
        <f>IFERROR(IF(INDEX(MASTER!$O$2:$O$2000,MATCH($A26,MASTER!$A$2:$A$2000,0))="","",INDEX(MASTER!$O$2:$O$2000,MATCH($A26,MASTER!$A$2:$A$2000,0))),"")</f>
        <v/>
      </c>
      <c r="J26" s="31">
        <f>IFERROR(INDEX(MASTER!$P$2:$P$2000,MATCH($A26,MASTER!$A$2:$A$2000,0))&amp;"","")</f>
        <v/>
      </c>
      <c r="K26" s="31">
        <f>IFERROR(INDEX(MASTER!$Q$2:$Q$2000,MATCH($A26,MASTER!$A$2:$A$2000,0))&amp;"","")</f>
        <v/>
      </c>
      <c r="L26" s="31">
        <f>IFERROR(INDEX(MASTER!$R$2:$R$2000,MATCH($A26,MASTER!$A$2:$A$2000,0))&amp;"","")</f>
        <v/>
      </c>
    </row>
    <row r="27">
      <c r="A27" s="34" t="inlineStr">
        <is>
          <t>PLAN-002</t>
        </is>
      </c>
      <c r="B27" s="31">
        <f>IFERROR(INDEX(MASTER!$C$2:$C$2000,MATCH($A27,MASTER!$A$2:$A$2000,0))&amp;"","")</f>
        <v/>
      </c>
      <c r="C27" s="35">
        <f>IFERROR(INDEX(MASTER!$B$2:$B$2000,MATCH($A27,MASTER!$A$2:$A$2000,0)),"")</f>
        <v/>
      </c>
      <c r="D27" s="31">
        <f>IFERROR(INDEX(MASTER!$D$2:$D$2000,MATCH($A27,MASTER!$A$2:$A$2000,0))&amp;"","")</f>
        <v/>
      </c>
      <c r="E27" s="31">
        <f>IFERROR(INDEX(MASTER!$F$2:$F$2000,MATCH($A27,MASTER!$A$2:$A$2000,0))&amp;"","")</f>
        <v/>
      </c>
      <c r="F27" s="31">
        <f>IFERROR(INDEX(MASTER!$G$2:$G$2000,MATCH($A27,MASTER!$A$2:$A$2000,0))&amp;"","NOT IN MASTER")</f>
        <v/>
      </c>
      <c r="G27" s="31">
        <f>IFERROR(INDEX(MASTER!$H$2:$H$2000,MATCH($A27,MASTER!$A$2:$A$2000,0))&amp;"","")</f>
        <v/>
      </c>
      <c r="H27" s="31">
        <f>IFERROR(INDEX(MASTER!$I$2:$I$2000,MATCH($A27,MASTER!$A$2:$A$2000,0))&amp;"","")</f>
        <v/>
      </c>
      <c r="I27" s="41">
        <f>IFERROR(IF(INDEX(MASTER!$O$2:$O$2000,MATCH($A27,MASTER!$A$2:$A$2000,0))="","",INDEX(MASTER!$O$2:$O$2000,MATCH($A27,MASTER!$A$2:$A$2000,0))),"")</f>
        <v/>
      </c>
      <c r="J27" s="31">
        <f>IFERROR(INDEX(MASTER!$P$2:$P$2000,MATCH($A27,MASTER!$A$2:$A$2000,0))&amp;"","")</f>
        <v/>
      </c>
      <c r="K27" s="31">
        <f>IFERROR(INDEX(MASTER!$Q$2:$Q$2000,MATCH($A27,MASTER!$A$2:$A$2000,0))&amp;"","")</f>
        <v/>
      </c>
      <c r="L27" s="31">
        <f>IFERROR(INDEX(MASTER!$R$2:$R$2000,MATCH($A27,MASTER!$A$2:$A$2000,0))&amp;"","")</f>
        <v/>
      </c>
    </row>
    <row r="28">
      <c r="A28" s="34" t="inlineStr">
        <is>
          <t>PLAN-003</t>
        </is>
      </c>
      <c r="B28" s="31">
        <f>IFERROR(INDEX(MASTER!$C$2:$C$2000,MATCH($A28,MASTER!$A$2:$A$2000,0))&amp;"","")</f>
        <v/>
      </c>
      <c r="C28" s="35">
        <f>IFERROR(INDEX(MASTER!$B$2:$B$2000,MATCH($A28,MASTER!$A$2:$A$2000,0)),"")</f>
        <v/>
      </c>
      <c r="D28" s="31">
        <f>IFERROR(INDEX(MASTER!$D$2:$D$2000,MATCH($A28,MASTER!$A$2:$A$2000,0))&amp;"","")</f>
        <v/>
      </c>
      <c r="E28" s="31">
        <f>IFERROR(INDEX(MASTER!$F$2:$F$2000,MATCH($A28,MASTER!$A$2:$A$2000,0))&amp;"","")</f>
        <v/>
      </c>
      <c r="F28" s="31">
        <f>IFERROR(INDEX(MASTER!$G$2:$G$2000,MATCH($A28,MASTER!$A$2:$A$2000,0))&amp;"","NOT IN MASTER")</f>
        <v/>
      </c>
      <c r="G28" s="31">
        <f>IFERROR(INDEX(MASTER!$H$2:$H$2000,MATCH($A28,MASTER!$A$2:$A$2000,0))&amp;"","")</f>
        <v/>
      </c>
      <c r="H28" s="31">
        <f>IFERROR(INDEX(MASTER!$I$2:$I$2000,MATCH($A28,MASTER!$A$2:$A$2000,0))&amp;"","")</f>
        <v/>
      </c>
      <c r="I28" s="41">
        <f>IFERROR(IF(INDEX(MASTER!$O$2:$O$2000,MATCH($A28,MASTER!$A$2:$A$2000,0))="","",INDEX(MASTER!$O$2:$O$2000,MATCH($A28,MASTER!$A$2:$A$2000,0))),"")</f>
        <v/>
      </c>
      <c r="J28" s="31">
        <f>IFERROR(INDEX(MASTER!$P$2:$P$2000,MATCH($A28,MASTER!$A$2:$A$2000,0))&amp;"","")</f>
        <v/>
      </c>
      <c r="K28" s="31">
        <f>IFERROR(INDEX(MASTER!$Q$2:$Q$2000,MATCH($A28,MASTER!$A$2:$A$2000,0))&amp;"","")</f>
        <v/>
      </c>
      <c r="L28" s="31">
        <f>IFERROR(INDEX(MASTER!$R$2:$R$2000,MATCH($A28,MASTER!$A$2:$A$2000,0))&amp;"","")</f>
        <v/>
      </c>
    </row>
    <row r="29">
      <c r="A29" s="34" t="inlineStr">
        <is>
          <t>PLAN-004</t>
        </is>
      </c>
      <c r="B29" s="31">
        <f>IFERROR(INDEX(MASTER!$C$2:$C$2000,MATCH($A29,MASTER!$A$2:$A$2000,0))&amp;"","")</f>
        <v/>
      </c>
      <c r="C29" s="35">
        <f>IFERROR(INDEX(MASTER!$B$2:$B$2000,MATCH($A29,MASTER!$A$2:$A$2000,0)),"")</f>
        <v/>
      </c>
      <c r="D29" s="31">
        <f>IFERROR(INDEX(MASTER!$D$2:$D$2000,MATCH($A29,MASTER!$A$2:$A$2000,0))&amp;"","")</f>
        <v/>
      </c>
      <c r="E29" s="31">
        <f>IFERROR(INDEX(MASTER!$F$2:$F$2000,MATCH($A29,MASTER!$A$2:$A$2000,0))&amp;"","")</f>
        <v/>
      </c>
      <c r="F29" s="31">
        <f>IFERROR(INDEX(MASTER!$G$2:$G$2000,MATCH($A29,MASTER!$A$2:$A$2000,0))&amp;"","NOT IN MASTER")</f>
        <v/>
      </c>
      <c r="G29" s="31">
        <f>IFERROR(INDEX(MASTER!$H$2:$H$2000,MATCH($A29,MASTER!$A$2:$A$2000,0))&amp;"","")</f>
        <v/>
      </c>
      <c r="H29" s="31">
        <f>IFERROR(INDEX(MASTER!$I$2:$I$2000,MATCH($A29,MASTER!$A$2:$A$2000,0))&amp;"","")</f>
        <v/>
      </c>
      <c r="I29" s="41">
        <f>IFERROR(IF(INDEX(MASTER!$O$2:$O$2000,MATCH($A29,MASTER!$A$2:$A$2000,0))="","",INDEX(MASTER!$O$2:$O$2000,MATCH($A29,MASTER!$A$2:$A$2000,0))),"")</f>
        <v/>
      </c>
      <c r="J29" s="31">
        <f>IFERROR(INDEX(MASTER!$P$2:$P$2000,MATCH($A29,MASTER!$A$2:$A$2000,0))&amp;"","")</f>
        <v/>
      </c>
      <c r="K29" s="31">
        <f>IFERROR(INDEX(MASTER!$Q$2:$Q$2000,MATCH($A29,MASTER!$A$2:$A$2000,0))&amp;"","")</f>
        <v/>
      </c>
      <c r="L29" s="31">
        <f>IFERROR(INDEX(MASTER!$R$2:$R$2000,MATCH($A29,MASTER!$A$2:$A$2000,0))&amp;"","")</f>
        <v/>
      </c>
    </row>
    <row r="30">
      <c r="A30" s="34" t="inlineStr">
        <is>
          <t>PLAN-005</t>
        </is>
      </c>
      <c r="B30" s="31">
        <f>IFERROR(INDEX(MASTER!$C$2:$C$2000,MATCH($A30,MASTER!$A$2:$A$2000,0))&amp;"","")</f>
        <v/>
      </c>
      <c r="C30" s="35">
        <f>IFERROR(INDEX(MASTER!$B$2:$B$2000,MATCH($A30,MASTER!$A$2:$A$2000,0)),"")</f>
        <v/>
      </c>
      <c r="D30" s="31">
        <f>IFERROR(INDEX(MASTER!$D$2:$D$2000,MATCH($A30,MASTER!$A$2:$A$2000,0))&amp;"","")</f>
        <v/>
      </c>
      <c r="E30" s="31">
        <f>IFERROR(INDEX(MASTER!$F$2:$F$2000,MATCH($A30,MASTER!$A$2:$A$2000,0))&amp;"","")</f>
        <v/>
      </c>
      <c r="F30" s="31">
        <f>IFERROR(INDEX(MASTER!$G$2:$G$2000,MATCH($A30,MASTER!$A$2:$A$2000,0))&amp;"","NOT IN MASTER")</f>
        <v/>
      </c>
      <c r="G30" s="31">
        <f>IFERROR(INDEX(MASTER!$H$2:$H$2000,MATCH($A30,MASTER!$A$2:$A$2000,0))&amp;"","")</f>
        <v/>
      </c>
      <c r="H30" s="31">
        <f>IFERROR(INDEX(MASTER!$I$2:$I$2000,MATCH($A30,MASTER!$A$2:$A$2000,0))&amp;"","")</f>
        <v/>
      </c>
      <c r="I30" s="41">
        <f>IFERROR(IF(INDEX(MASTER!$O$2:$O$2000,MATCH($A30,MASTER!$A$2:$A$2000,0))="","",INDEX(MASTER!$O$2:$O$2000,MATCH($A30,MASTER!$A$2:$A$2000,0))),"")</f>
        <v/>
      </c>
      <c r="J30" s="31">
        <f>IFERROR(INDEX(MASTER!$P$2:$P$2000,MATCH($A30,MASTER!$A$2:$A$2000,0))&amp;"","")</f>
        <v/>
      </c>
      <c r="K30" s="31">
        <f>IFERROR(INDEX(MASTER!$Q$2:$Q$2000,MATCH($A30,MASTER!$A$2:$A$2000,0))&amp;"","")</f>
        <v/>
      </c>
      <c r="L30" s="31">
        <f>IFERROR(INDEX(MASTER!$R$2:$R$2000,MATCH($A30,MASTER!$A$2:$A$2000,0))&amp;"","")</f>
        <v/>
      </c>
    </row>
  </sheetData>
  <autoFilter ref="A25:L30"/>
  <conditionalFormatting sqref="F26:F30">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26:E30">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L22"/>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7" customWidth="1" min="3" max="3"/>
    <col width="44" customWidth="1" min="4" max="4"/>
    <col width="9" customWidth="1" min="5" max="5"/>
    <col width="14" customWidth="1" min="6" max="6"/>
    <col width="40" customWidth="1" min="7" max="7"/>
    <col width="34" customWidth="1" min="8" max="8"/>
    <col width="16" customWidth="1" min="9" max="9"/>
    <col width="10" customWidth="1" min="10" max="10"/>
    <col width="40" customWidth="1" min="11" max="11"/>
    <col width="11" customWidth="1" min="12" max="12"/>
  </cols>
  <sheetData>
    <row r="1">
      <c r="A1" s="22" t="inlineStr">
        <is>
          <t>INFRA — Infrastructure</t>
        </is>
      </c>
    </row>
    <row r="2">
      <c r="A2" s="23" t="inlineStr">
        <is>
          <t>Tracker, jobs, storage, observability, deployment, documentation. Categories: INFRA, JOBS, STORAGE, OBSERVABILITY, DOCS. Rows are formulas over MASTER — change task data in MASTER or with tools/tracker/tracker.py.</t>
        </is>
      </c>
    </row>
    <row r="3">
      <c r="A3" s="25" t="inlineStr">
        <is>
          <t>Tasks</t>
        </is>
      </c>
      <c r="B3" s="25" t="inlineStr">
        <is>
          <t>Done</t>
        </is>
      </c>
      <c r="C3" s="25" t="inlineStr">
        <is>
          <t>Verified</t>
        </is>
      </c>
      <c r="D3" s="25" t="inlineStr">
        <is>
          <t>In progress</t>
        </is>
      </c>
      <c r="E3" s="25" t="inlineStr">
        <is>
          <t>Blocked</t>
        </is>
      </c>
      <c r="F3" s="25" t="inlineStr">
        <is>
          <t>Failed</t>
        </is>
      </c>
      <c r="G3" s="25" t="inlineStr">
        <is>
          <t>Done %</t>
        </is>
      </c>
      <c r="H3" s="25" t="inlineStr">
        <is>
          <t>Verified %</t>
        </is>
      </c>
    </row>
    <row r="4">
      <c r="A4" s="26">
        <f>COUNTIF(MASTER!$C$2:$C$2000,"INFRA")+COUNTIF(MASTER!$C$2:$C$2000,"JOBS")+COUNTIF(MASTER!$C$2:$C$2000,"STORAGE")+COUNTIF(MASTER!$C$2:$C$2000,"OBSERVABILITY")+COUNTIF(MASTER!$C$2:$C$2000,"DOCS")</f>
        <v/>
      </c>
      <c r="B4" s="26">
        <f>COUNTIFS(MASTER!$C$2:$C$2000,"INFRA",MASTER!$G$2:$G$2000,"DONE")+COUNTIFS(MASTER!$C$2:$C$2000,"JOBS",MASTER!$G$2:$G$2000,"DONE")+COUNTIFS(MASTER!$C$2:$C$2000,"STORAGE",MASTER!$G$2:$G$2000,"DONE")+COUNTIFS(MASTER!$C$2:$C$2000,"OBSERVABILITY",MASTER!$G$2:$G$2000,"DONE")+COUNTIFS(MASTER!$C$2:$C$2000,"DOCS",MASTER!$G$2:$G$2000,"DONE")</f>
        <v/>
      </c>
      <c r="C4" s="26">
        <f>COUNTIFS(MASTER!$C$2:$C$2000,"INFRA",MASTER!$G$2:$G$2000,"VERIFIED")+COUNTIFS(MASTER!$C$2:$C$2000,"JOBS",MASTER!$G$2:$G$2000,"VERIFIED")+COUNTIFS(MASTER!$C$2:$C$2000,"STORAGE",MASTER!$G$2:$G$2000,"VERIFIED")+COUNTIFS(MASTER!$C$2:$C$2000,"OBSERVABILITY",MASTER!$G$2:$G$2000,"VERIFIED")+COUNTIFS(MASTER!$C$2:$C$2000,"DOCS",MASTER!$G$2:$G$2000,"VERIFIED")+B4</f>
        <v/>
      </c>
      <c r="D4" s="26">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
      </c>
      <c r="E4" s="26">
        <f>COUNTIFS(MASTER!$C$2:$C$2000,"INFRA",MASTER!$G$2:$G$2000,"BLOCKED")+COUNTIFS(MASTER!$C$2:$C$2000,"JOBS",MASTER!$G$2:$G$2000,"BLOCKED")+COUNTIFS(MASTER!$C$2:$C$2000,"STORAGE",MASTER!$G$2:$G$2000,"BLOCKED")+COUNTIFS(MASTER!$C$2:$C$2000,"OBSERVABILITY",MASTER!$G$2:$G$2000,"BLOCKED")+COUNTIFS(MASTER!$C$2:$C$2000,"DOCS",MASTER!$G$2:$G$2000,"BLOCKED")</f>
        <v/>
      </c>
      <c r="F4" s="26">
        <f>COUNTIFS(MASTER!$C$2:$C$2000,"INFRA",MASTER!$G$2:$G$2000,"FAILED")+COUNTIFS(MASTER!$C$2:$C$2000,"JOBS",MASTER!$G$2:$G$2000,"FAILED")+COUNTIFS(MASTER!$C$2:$C$2000,"STORAGE",MASTER!$G$2:$G$2000,"FAILED")+COUNTIFS(MASTER!$C$2:$C$2000,"OBSERVABILITY",MASTER!$G$2:$G$2000,"FAILED")+COUNTIFS(MASTER!$C$2:$C$2000,"DOCS",MASTER!$G$2:$G$2000,"FAILED")</f>
        <v/>
      </c>
      <c r="G4" s="28">
        <f>IF(A4=0,0,B4/A4)</f>
        <v/>
      </c>
      <c r="H4" s="28">
        <f>IF(A4=0,0,C4/A4)</f>
        <v/>
      </c>
    </row>
    <row r="6">
      <c r="A6" s="24" t="inlineStr">
        <is>
          <t>Tasks (live from MASTER)</t>
        </is>
      </c>
    </row>
    <row r="7">
      <c r="A7" s="29" t="inlineStr">
        <is>
          <t>ID</t>
        </is>
      </c>
      <c r="B7" s="29" t="inlineStr">
        <is>
          <t>Category</t>
        </is>
      </c>
      <c r="C7" s="29" t="inlineStr">
        <is>
          <t>Phase</t>
        </is>
      </c>
      <c r="D7" s="29" t="inlineStr">
        <is>
          <t>Feature/Task</t>
        </is>
      </c>
      <c r="E7" s="29" t="inlineStr">
        <is>
          <t>Priority</t>
        </is>
      </c>
      <c r="F7" s="29" t="inlineStr">
        <is>
          <t>Status</t>
        </is>
      </c>
      <c r="G7" s="29" t="inlineStr">
        <is>
          <t>Evidence</t>
        </is>
      </c>
      <c r="H7" s="29" t="inlineStr">
        <is>
          <t>Tests</t>
        </is>
      </c>
      <c r="I7" s="29" t="inlineStr">
        <is>
          <t>Last Verified</t>
        </is>
      </c>
      <c r="J7" s="29" t="inlineStr">
        <is>
          <t>Commit</t>
        </is>
      </c>
      <c r="K7" s="29" t="inlineStr">
        <is>
          <t>Notes</t>
        </is>
      </c>
      <c r="L7" s="29" t="inlineStr">
        <is>
          <t>Parent ID</t>
        </is>
      </c>
    </row>
    <row r="8">
      <c r="A8" s="34" t="inlineStr">
        <is>
          <t>INFRA-001</t>
        </is>
      </c>
      <c r="B8" s="31">
        <f>IFERROR(INDEX(MASTER!$C$2:$C$2000,MATCH($A8,MASTER!$A$2:$A$2000,0))&amp;"","")</f>
        <v/>
      </c>
      <c r="C8" s="35">
        <f>IFERROR(INDEX(MASTER!$B$2:$B$2000,MATCH($A8,MASTER!$A$2:$A$2000,0)),"")</f>
        <v/>
      </c>
      <c r="D8" s="31">
        <f>IFERROR(INDEX(MASTER!$D$2:$D$2000,MATCH($A8,MASTER!$A$2:$A$2000,0))&amp;"","")</f>
        <v/>
      </c>
      <c r="E8" s="31">
        <f>IFERROR(INDEX(MASTER!$F$2:$F$2000,MATCH($A8,MASTER!$A$2:$A$2000,0))&amp;"","")</f>
        <v/>
      </c>
      <c r="F8" s="31">
        <f>IFERROR(INDEX(MASTER!$G$2:$G$2000,MATCH($A8,MASTER!$A$2:$A$2000,0))&amp;"","NOT IN MASTER")</f>
        <v/>
      </c>
      <c r="G8" s="31">
        <f>IFERROR(INDEX(MASTER!$H$2:$H$2000,MATCH($A8,MASTER!$A$2:$A$2000,0))&amp;"","")</f>
        <v/>
      </c>
      <c r="H8" s="31">
        <f>IFERROR(INDEX(MASTER!$I$2:$I$2000,MATCH($A8,MASTER!$A$2:$A$2000,0))&amp;"","")</f>
        <v/>
      </c>
      <c r="I8" s="41">
        <f>IFERROR(IF(INDEX(MASTER!$O$2:$O$2000,MATCH($A8,MASTER!$A$2:$A$2000,0))="","",INDEX(MASTER!$O$2:$O$2000,MATCH($A8,MASTER!$A$2:$A$2000,0))),"")</f>
        <v/>
      </c>
      <c r="J8" s="31">
        <f>IFERROR(INDEX(MASTER!$P$2:$P$2000,MATCH($A8,MASTER!$A$2:$A$2000,0))&amp;"","")</f>
        <v/>
      </c>
      <c r="K8" s="31">
        <f>IFERROR(INDEX(MASTER!$Q$2:$Q$2000,MATCH($A8,MASTER!$A$2:$A$2000,0))&amp;"","")</f>
        <v/>
      </c>
      <c r="L8" s="31">
        <f>IFERROR(INDEX(MASTER!$R$2:$R$2000,MATCH($A8,MASTER!$A$2:$A$2000,0))&amp;"","")</f>
        <v/>
      </c>
    </row>
    <row r="9">
      <c r="A9" s="34" t="inlineStr">
        <is>
          <t>INFRA-002</t>
        </is>
      </c>
      <c r="B9" s="31">
        <f>IFERROR(INDEX(MASTER!$C$2:$C$2000,MATCH($A9,MASTER!$A$2:$A$2000,0))&amp;"","")</f>
        <v/>
      </c>
      <c r="C9" s="35">
        <f>IFERROR(INDEX(MASTER!$B$2:$B$2000,MATCH($A9,MASTER!$A$2:$A$2000,0)),"")</f>
        <v/>
      </c>
      <c r="D9" s="31">
        <f>IFERROR(INDEX(MASTER!$D$2:$D$2000,MATCH($A9,MASTER!$A$2:$A$2000,0))&amp;"","")</f>
        <v/>
      </c>
      <c r="E9" s="31">
        <f>IFERROR(INDEX(MASTER!$F$2:$F$2000,MATCH($A9,MASTER!$A$2:$A$2000,0))&amp;"","")</f>
        <v/>
      </c>
      <c r="F9" s="31">
        <f>IFERROR(INDEX(MASTER!$G$2:$G$2000,MATCH($A9,MASTER!$A$2:$A$2000,0))&amp;"","NOT IN MASTER")</f>
        <v/>
      </c>
      <c r="G9" s="31">
        <f>IFERROR(INDEX(MASTER!$H$2:$H$2000,MATCH($A9,MASTER!$A$2:$A$2000,0))&amp;"","")</f>
        <v/>
      </c>
      <c r="H9" s="31">
        <f>IFERROR(INDEX(MASTER!$I$2:$I$2000,MATCH($A9,MASTER!$A$2:$A$2000,0))&amp;"","")</f>
        <v/>
      </c>
      <c r="I9" s="41">
        <f>IFERROR(IF(INDEX(MASTER!$O$2:$O$2000,MATCH($A9,MASTER!$A$2:$A$2000,0))="","",INDEX(MASTER!$O$2:$O$2000,MATCH($A9,MASTER!$A$2:$A$2000,0))),"")</f>
        <v/>
      </c>
      <c r="J9" s="31">
        <f>IFERROR(INDEX(MASTER!$P$2:$P$2000,MATCH($A9,MASTER!$A$2:$A$2000,0))&amp;"","")</f>
        <v/>
      </c>
      <c r="K9" s="31">
        <f>IFERROR(INDEX(MASTER!$Q$2:$Q$2000,MATCH($A9,MASTER!$A$2:$A$2000,0))&amp;"","")</f>
        <v/>
      </c>
      <c r="L9" s="31">
        <f>IFERROR(INDEX(MASTER!$R$2:$R$2000,MATCH($A9,MASTER!$A$2:$A$2000,0))&amp;"","")</f>
        <v/>
      </c>
    </row>
    <row r="10">
      <c r="A10" s="34" t="inlineStr">
        <is>
          <t>INFRA-003</t>
        </is>
      </c>
      <c r="B10" s="31">
        <f>IFERROR(INDEX(MASTER!$C$2:$C$2000,MATCH($A10,MASTER!$A$2:$A$2000,0))&amp;"","")</f>
        <v/>
      </c>
      <c r="C10" s="35">
        <f>IFERROR(INDEX(MASTER!$B$2:$B$2000,MATCH($A10,MASTER!$A$2:$A$2000,0)),"")</f>
        <v/>
      </c>
      <c r="D10" s="31">
        <f>IFERROR(INDEX(MASTER!$D$2:$D$2000,MATCH($A10,MASTER!$A$2:$A$2000,0))&amp;"","")</f>
        <v/>
      </c>
      <c r="E10" s="31">
        <f>IFERROR(INDEX(MASTER!$F$2:$F$2000,MATCH($A10,MASTER!$A$2:$A$2000,0))&amp;"","")</f>
        <v/>
      </c>
      <c r="F10" s="31">
        <f>IFERROR(INDEX(MASTER!$G$2:$G$2000,MATCH($A10,MASTER!$A$2:$A$2000,0))&amp;"","NOT IN MASTER")</f>
        <v/>
      </c>
      <c r="G10" s="31">
        <f>IFERROR(INDEX(MASTER!$H$2:$H$2000,MATCH($A10,MASTER!$A$2:$A$2000,0))&amp;"","")</f>
        <v/>
      </c>
      <c r="H10" s="31">
        <f>IFERROR(INDEX(MASTER!$I$2:$I$2000,MATCH($A10,MASTER!$A$2:$A$2000,0))&amp;"","")</f>
        <v/>
      </c>
      <c r="I10" s="41">
        <f>IFERROR(IF(INDEX(MASTER!$O$2:$O$2000,MATCH($A10,MASTER!$A$2:$A$2000,0))="","",INDEX(MASTER!$O$2:$O$2000,MATCH($A10,MASTER!$A$2:$A$2000,0))),"")</f>
        <v/>
      </c>
      <c r="J10" s="31">
        <f>IFERROR(INDEX(MASTER!$P$2:$P$2000,MATCH($A10,MASTER!$A$2:$A$2000,0))&amp;"","")</f>
        <v/>
      </c>
      <c r="K10" s="31">
        <f>IFERROR(INDEX(MASTER!$Q$2:$Q$2000,MATCH($A10,MASTER!$A$2:$A$2000,0))&amp;"","")</f>
        <v/>
      </c>
      <c r="L10" s="31">
        <f>IFERROR(INDEX(MASTER!$R$2:$R$2000,MATCH($A10,MASTER!$A$2:$A$2000,0))&amp;"","")</f>
        <v/>
      </c>
    </row>
    <row r="11">
      <c r="A11" s="34" t="inlineStr">
        <is>
          <t>INFRA-004</t>
        </is>
      </c>
      <c r="B11" s="31">
        <f>IFERROR(INDEX(MASTER!$C$2:$C$2000,MATCH($A11,MASTER!$A$2:$A$2000,0))&amp;"","")</f>
        <v/>
      </c>
      <c r="C11" s="35">
        <f>IFERROR(INDEX(MASTER!$B$2:$B$2000,MATCH($A11,MASTER!$A$2:$A$2000,0)),"")</f>
        <v/>
      </c>
      <c r="D11" s="31">
        <f>IFERROR(INDEX(MASTER!$D$2:$D$2000,MATCH($A11,MASTER!$A$2:$A$2000,0))&amp;"","")</f>
        <v/>
      </c>
      <c r="E11" s="31">
        <f>IFERROR(INDEX(MASTER!$F$2:$F$2000,MATCH($A11,MASTER!$A$2:$A$2000,0))&amp;"","")</f>
        <v/>
      </c>
      <c r="F11" s="31">
        <f>IFERROR(INDEX(MASTER!$G$2:$G$2000,MATCH($A11,MASTER!$A$2:$A$2000,0))&amp;"","NOT IN MASTER")</f>
        <v/>
      </c>
      <c r="G11" s="31">
        <f>IFERROR(INDEX(MASTER!$H$2:$H$2000,MATCH($A11,MASTER!$A$2:$A$2000,0))&amp;"","")</f>
        <v/>
      </c>
      <c r="H11" s="31">
        <f>IFERROR(INDEX(MASTER!$I$2:$I$2000,MATCH($A11,MASTER!$A$2:$A$2000,0))&amp;"","")</f>
        <v/>
      </c>
      <c r="I11" s="41">
        <f>IFERROR(IF(INDEX(MASTER!$O$2:$O$2000,MATCH($A11,MASTER!$A$2:$A$2000,0))="","",INDEX(MASTER!$O$2:$O$2000,MATCH($A11,MASTER!$A$2:$A$2000,0))),"")</f>
        <v/>
      </c>
      <c r="J11" s="31">
        <f>IFERROR(INDEX(MASTER!$P$2:$P$2000,MATCH($A11,MASTER!$A$2:$A$2000,0))&amp;"","")</f>
        <v/>
      </c>
      <c r="K11" s="31">
        <f>IFERROR(INDEX(MASTER!$Q$2:$Q$2000,MATCH($A11,MASTER!$A$2:$A$2000,0))&amp;"","")</f>
        <v/>
      </c>
      <c r="L11" s="31">
        <f>IFERROR(INDEX(MASTER!$R$2:$R$2000,MATCH($A11,MASTER!$A$2:$A$2000,0))&amp;"","")</f>
        <v/>
      </c>
    </row>
    <row r="12">
      <c r="A12" s="34" t="inlineStr">
        <is>
          <t>DOCS-001</t>
        </is>
      </c>
      <c r="B12" s="31">
        <f>IFERROR(INDEX(MASTER!$C$2:$C$2000,MATCH($A12,MASTER!$A$2:$A$2000,0))&amp;"","")</f>
        <v/>
      </c>
      <c r="C12" s="35">
        <f>IFERROR(INDEX(MASTER!$B$2:$B$2000,MATCH($A12,MASTER!$A$2:$A$2000,0)),"")</f>
        <v/>
      </c>
      <c r="D12" s="31">
        <f>IFERROR(INDEX(MASTER!$D$2:$D$2000,MATCH($A12,MASTER!$A$2:$A$2000,0))&amp;"","")</f>
        <v/>
      </c>
      <c r="E12" s="31">
        <f>IFERROR(INDEX(MASTER!$F$2:$F$2000,MATCH($A12,MASTER!$A$2:$A$2000,0))&amp;"","")</f>
        <v/>
      </c>
      <c r="F12" s="31">
        <f>IFERROR(INDEX(MASTER!$G$2:$G$2000,MATCH($A12,MASTER!$A$2:$A$2000,0))&amp;"","NOT IN MASTER")</f>
        <v/>
      </c>
      <c r="G12" s="31">
        <f>IFERROR(INDEX(MASTER!$H$2:$H$2000,MATCH($A12,MASTER!$A$2:$A$2000,0))&amp;"","")</f>
        <v/>
      </c>
      <c r="H12" s="31">
        <f>IFERROR(INDEX(MASTER!$I$2:$I$2000,MATCH($A12,MASTER!$A$2:$A$2000,0))&amp;"","")</f>
        <v/>
      </c>
      <c r="I12" s="41">
        <f>IFERROR(IF(INDEX(MASTER!$O$2:$O$2000,MATCH($A12,MASTER!$A$2:$A$2000,0))="","",INDEX(MASTER!$O$2:$O$2000,MATCH($A12,MASTER!$A$2:$A$2000,0))),"")</f>
        <v/>
      </c>
      <c r="J12" s="31">
        <f>IFERROR(INDEX(MASTER!$P$2:$P$2000,MATCH($A12,MASTER!$A$2:$A$2000,0))&amp;"","")</f>
        <v/>
      </c>
      <c r="K12" s="31">
        <f>IFERROR(INDEX(MASTER!$Q$2:$Q$2000,MATCH($A12,MASTER!$A$2:$A$2000,0))&amp;"","")</f>
        <v/>
      </c>
      <c r="L12" s="31">
        <f>IFERROR(INDEX(MASTER!$R$2:$R$2000,MATCH($A12,MASTER!$A$2:$A$2000,0))&amp;"","")</f>
        <v/>
      </c>
    </row>
    <row r="13">
      <c r="A13" s="34" t="inlineStr">
        <is>
          <t>INFRA-005</t>
        </is>
      </c>
      <c r="B13" s="31">
        <f>IFERROR(INDEX(MASTER!$C$2:$C$2000,MATCH($A13,MASTER!$A$2:$A$2000,0))&amp;"","")</f>
        <v/>
      </c>
      <c r="C13" s="35">
        <f>IFERROR(INDEX(MASTER!$B$2:$B$2000,MATCH($A13,MASTER!$A$2:$A$2000,0)),"")</f>
        <v/>
      </c>
      <c r="D13" s="31">
        <f>IFERROR(INDEX(MASTER!$D$2:$D$2000,MATCH($A13,MASTER!$A$2:$A$2000,0))&amp;"","")</f>
        <v/>
      </c>
      <c r="E13" s="31">
        <f>IFERROR(INDEX(MASTER!$F$2:$F$2000,MATCH($A13,MASTER!$A$2:$A$2000,0))&amp;"","")</f>
        <v/>
      </c>
      <c r="F13" s="31">
        <f>IFERROR(INDEX(MASTER!$G$2:$G$2000,MATCH($A13,MASTER!$A$2:$A$2000,0))&amp;"","NOT IN MASTER")</f>
        <v/>
      </c>
      <c r="G13" s="31">
        <f>IFERROR(INDEX(MASTER!$H$2:$H$2000,MATCH($A13,MASTER!$A$2:$A$2000,0))&amp;"","")</f>
        <v/>
      </c>
      <c r="H13" s="31">
        <f>IFERROR(INDEX(MASTER!$I$2:$I$2000,MATCH($A13,MASTER!$A$2:$A$2000,0))&amp;"","")</f>
        <v/>
      </c>
      <c r="I13" s="41">
        <f>IFERROR(IF(INDEX(MASTER!$O$2:$O$2000,MATCH($A13,MASTER!$A$2:$A$2000,0))="","",INDEX(MASTER!$O$2:$O$2000,MATCH($A13,MASTER!$A$2:$A$2000,0))),"")</f>
        <v/>
      </c>
      <c r="J13" s="31">
        <f>IFERROR(INDEX(MASTER!$P$2:$P$2000,MATCH($A13,MASTER!$A$2:$A$2000,0))&amp;"","")</f>
        <v/>
      </c>
      <c r="K13" s="31">
        <f>IFERROR(INDEX(MASTER!$Q$2:$Q$2000,MATCH($A13,MASTER!$A$2:$A$2000,0))&amp;"","")</f>
        <v/>
      </c>
      <c r="L13" s="31">
        <f>IFERROR(INDEX(MASTER!$R$2:$R$2000,MATCH($A13,MASTER!$A$2:$A$2000,0))&amp;"","")</f>
        <v/>
      </c>
    </row>
    <row r="14">
      <c r="A14" s="34" t="inlineStr">
        <is>
          <t>JOB-001</t>
        </is>
      </c>
      <c r="B14" s="31">
        <f>IFERROR(INDEX(MASTER!$C$2:$C$2000,MATCH($A14,MASTER!$A$2:$A$2000,0))&amp;"","")</f>
        <v/>
      </c>
      <c r="C14" s="35">
        <f>IFERROR(INDEX(MASTER!$B$2:$B$2000,MATCH($A14,MASTER!$A$2:$A$2000,0)),"")</f>
        <v/>
      </c>
      <c r="D14" s="31">
        <f>IFERROR(INDEX(MASTER!$D$2:$D$2000,MATCH($A14,MASTER!$A$2:$A$2000,0))&amp;"","")</f>
        <v/>
      </c>
      <c r="E14" s="31">
        <f>IFERROR(INDEX(MASTER!$F$2:$F$2000,MATCH($A14,MASTER!$A$2:$A$2000,0))&amp;"","")</f>
        <v/>
      </c>
      <c r="F14" s="31">
        <f>IFERROR(INDEX(MASTER!$G$2:$G$2000,MATCH($A14,MASTER!$A$2:$A$2000,0))&amp;"","NOT IN MASTER")</f>
        <v/>
      </c>
      <c r="G14" s="31">
        <f>IFERROR(INDEX(MASTER!$H$2:$H$2000,MATCH($A14,MASTER!$A$2:$A$2000,0))&amp;"","")</f>
        <v/>
      </c>
      <c r="H14" s="31">
        <f>IFERROR(INDEX(MASTER!$I$2:$I$2000,MATCH($A14,MASTER!$A$2:$A$2000,0))&amp;"","")</f>
        <v/>
      </c>
      <c r="I14" s="41">
        <f>IFERROR(IF(INDEX(MASTER!$O$2:$O$2000,MATCH($A14,MASTER!$A$2:$A$2000,0))="","",INDEX(MASTER!$O$2:$O$2000,MATCH($A14,MASTER!$A$2:$A$2000,0))),"")</f>
        <v/>
      </c>
      <c r="J14" s="31">
        <f>IFERROR(INDEX(MASTER!$P$2:$P$2000,MATCH($A14,MASTER!$A$2:$A$2000,0))&amp;"","")</f>
        <v/>
      </c>
      <c r="K14" s="31">
        <f>IFERROR(INDEX(MASTER!$Q$2:$Q$2000,MATCH($A14,MASTER!$A$2:$A$2000,0))&amp;"","")</f>
        <v/>
      </c>
      <c r="L14" s="31">
        <f>IFERROR(INDEX(MASTER!$R$2:$R$2000,MATCH($A14,MASTER!$A$2:$A$2000,0))&amp;"","")</f>
        <v/>
      </c>
    </row>
    <row r="15">
      <c r="A15" s="34" t="inlineStr">
        <is>
          <t>STOR-001</t>
        </is>
      </c>
      <c r="B15" s="31">
        <f>IFERROR(INDEX(MASTER!$C$2:$C$2000,MATCH($A15,MASTER!$A$2:$A$2000,0))&amp;"","")</f>
        <v/>
      </c>
      <c r="C15" s="35">
        <f>IFERROR(INDEX(MASTER!$B$2:$B$2000,MATCH($A15,MASTER!$A$2:$A$2000,0)),"")</f>
        <v/>
      </c>
      <c r="D15" s="31">
        <f>IFERROR(INDEX(MASTER!$D$2:$D$2000,MATCH($A15,MASTER!$A$2:$A$2000,0))&amp;"","")</f>
        <v/>
      </c>
      <c r="E15" s="31">
        <f>IFERROR(INDEX(MASTER!$F$2:$F$2000,MATCH($A15,MASTER!$A$2:$A$2000,0))&amp;"","")</f>
        <v/>
      </c>
      <c r="F15" s="31">
        <f>IFERROR(INDEX(MASTER!$G$2:$G$2000,MATCH($A15,MASTER!$A$2:$A$2000,0))&amp;"","NOT IN MASTER")</f>
        <v/>
      </c>
      <c r="G15" s="31">
        <f>IFERROR(INDEX(MASTER!$H$2:$H$2000,MATCH($A15,MASTER!$A$2:$A$2000,0))&amp;"","")</f>
        <v/>
      </c>
      <c r="H15" s="31">
        <f>IFERROR(INDEX(MASTER!$I$2:$I$2000,MATCH($A15,MASTER!$A$2:$A$2000,0))&amp;"","")</f>
        <v/>
      </c>
      <c r="I15" s="41">
        <f>IFERROR(IF(INDEX(MASTER!$O$2:$O$2000,MATCH($A15,MASTER!$A$2:$A$2000,0))="","",INDEX(MASTER!$O$2:$O$2000,MATCH($A15,MASTER!$A$2:$A$2000,0))),"")</f>
        <v/>
      </c>
      <c r="J15" s="31">
        <f>IFERROR(INDEX(MASTER!$P$2:$P$2000,MATCH($A15,MASTER!$A$2:$A$2000,0))&amp;"","")</f>
        <v/>
      </c>
      <c r="K15" s="31">
        <f>IFERROR(INDEX(MASTER!$Q$2:$Q$2000,MATCH($A15,MASTER!$A$2:$A$2000,0))&amp;"","")</f>
        <v/>
      </c>
      <c r="L15" s="31">
        <f>IFERROR(INDEX(MASTER!$R$2:$R$2000,MATCH($A15,MASTER!$A$2:$A$2000,0))&amp;"","")</f>
        <v/>
      </c>
    </row>
    <row r="16">
      <c r="A16" s="34" t="inlineStr">
        <is>
          <t>OBS-001</t>
        </is>
      </c>
      <c r="B16" s="31">
        <f>IFERROR(INDEX(MASTER!$C$2:$C$2000,MATCH($A16,MASTER!$A$2:$A$2000,0))&amp;"","")</f>
        <v/>
      </c>
      <c r="C16" s="35">
        <f>IFERROR(INDEX(MASTER!$B$2:$B$2000,MATCH($A16,MASTER!$A$2:$A$2000,0)),"")</f>
        <v/>
      </c>
      <c r="D16" s="31">
        <f>IFERROR(INDEX(MASTER!$D$2:$D$2000,MATCH($A16,MASTER!$A$2:$A$2000,0))&amp;"","")</f>
        <v/>
      </c>
      <c r="E16" s="31">
        <f>IFERROR(INDEX(MASTER!$F$2:$F$2000,MATCH($A16,MASTER!$A$2:$A$2000,0))&amp;"","")</f>
        <v/>
      </c>
      <c r="F16" s="31">
        <f>IFERROR(INDEX(MASTER!$G$2:$G$2000,MATCH($A16,MASTER!$A$2:$A$2000,0))&amp;"","NOT IN MASTER")</f>
        <v/>
      </c>
      <c r="G16" s="31">
        <f>IFERROR(INDEX(MASTER!$H$2:$H$2000,MATCH($A16,MASTER!$A$2:$A$2000,0))&amp;"","")</f>
        <v/>
      </c>
      <c r="H16" s="31">
        <f>IFERROR(INDEX(MASTER!$I$2:$I$2000,MATCH($A16,MASTER!$A$2:$A$2000,0))&amp;"","")</f>
        <v/>
      </c>
      <c r="I16" s="41">
        <f>IFERROR(IF(INDEX(MASTER!$O$2:$O$2000,MATCH($A16,MASTER!$A$2:$A$2000,0))="","",INDEX(MASTER!$O$2:$O$2000,MATCH($A16,MASTER!$A$2:$A$2000,0))),"")</f>
        <v/>
      </c>
      <c r="J16" s="31">
        <f>IFERROR(INDEX(MASTER!$P$2:$P$2000,MATCH($A16,MASTER!$A$2:$A$2000,0))&amp;"","")</f>
        <v/>
      </c>
      <c r="K16" s="31">
        <f>IFERROR(INDEX(MASTER!$Q$2:$Q$2000,MATCH($A16,MASTER!$A$2:$A$2000,0))&amp;"","")</f>
        <v/>
      </c>
      <c r="L16" s="31">
        <f>IFERROR(INDEX(MASTER!$R$2:$R$2000,MATCH($A16,MASTER!$A$2:$A$2000,0))&amp;"","")</f>
        <v/>
      </c>
    </row>
    <row r="17">
      <c r="A17" s="34" t="inlineStr">
        <is>
          <t>OBS-002</t>
        </is>
      </c>
      <c r="B17" s="31">
        <f>IFERROR(INDEX(MASTER!$C$2:$C$2000,MATCH($A17,MASTER!$A$2:$A$2000,0))&amp;"","")</f>
        <v/>
      </c>
      <c r="C17" s="35">
        <f>IFERROR(INDEX(MASTER!$B$2:$B$2000,MATCH($A17,MASTER!$A$2:$A$2000,0)),"")</f>
        <v/>
      </c>
      <c r="D17" s="31">
        <f>IFERROR(INDEX(MASTER!$D$2:$D$2000,MATCH($A17,MASTER!$A$2:$A$2000,0))&amp;"","")</f>
        <v/>
      </c>
      <c r="E17" s="31">
        <f>IFERROR(INDEX(MASTER!$F$2:$F$2000,MATCH($A17,MASTER!$A$2:$A$2000,0))&amp;"","")</f>
        <v/>
      </c>
      <c r="F17" s="31">
        <f>IFERROR(INDEX(MASTER!$G$2:$G$2000,MATCH($A17,MASTER!$A$2:$A$2000,0))&amp;"","NOT IN MASTER")</f>
        <v/>
      </c>
      <c r="G17" s="31">
        <f>IFERROR(INDEX(MASTER!$H$2:$H$2000,MATCH($A17,MASTER!$A$2:$A$2000,0))&amp;"","")</f>
        <v/>
      </c>
      <c r="H17" s="31">
        <f>IFERROR(INDEX(MASTER!$I$2:$I$2000,MATCH($A17,MASTER!$A$2:$A$2000,0))&amp;"","")</f>
        <v/>
      </c>
      <c r="I17" s="41">
        <f>IFERROR(IF(INDEX(MASTER!$O$2:$O$2000,MATCH($A17,MASTER!$A$2:$A$2000,0))="","",INDEX(MASTER!$O$2:$O$2000,MATCH($A17,MASTER!$A$2:$A$2000,0))),"")</f>
        <v/>
      </c>
      <c r="J17" s="31">
        <f>IFERROR(INDEX(MASTER!$P$2:$P$2000,MATCH($A17,MASTER!$A$2:$A$2000,0))&amp;"","")</f>
        <v/>
      </c>
      <c r="K17" s="31">
        <f>IFERROR(INDEX(MASTER!$Q$2:$Q$2000,MATCH($A17,MASTER!$A$2:$A$2000,0))&amp;"","")</f>
        <v/>
      </c>
      <c r="L17" s="31">
        <f>IFERROR(INDEX(MASTER!$R$2:$R$2000,MATCH($A17,MASTER!$A$2:$A$2000,0))&amp;"","")</f>
        <v/>
      </c>
    </row>
    <row r="18">
      <c r="A18" s="34" t="inlineStr">
        <is>
          <t>OBS-003</t>
        </is>
      </c>
      <c r="B18" s="31">
        <f>IFERROR(INDEX(MASTER!$C$2:$C$2000,MATCH($A18,MASTER!$A$2:$A$2000,0))&amp;"","")</f>
        <v/>
      </c>
      <c r="C18" s="35">
        <f>IFERROR(INDEX(MASTER!$B$2:$B$2000,MATCH($A18,MASTER!$A$2:$A$2000,0)),"")</f>
        <v/>
      </c>
      <c r="D18" s="31">
        <f>IFERROR(INDEX(MASTER!$D$2:$D$2000,MATCH($A18,MASTER!$A$2:$A$2000,0))&amp;"","")</f>
        <v/>
      </c>
      <c r="E18" s="31">
        <f>IFERROR(INDEX(MASTER!$F$2:$F$2000,MATCH($A18,MASTER!$A$2:$A$2000,0))&amp;"","")</f>
        <v/>
      </c>
      <c r="F18" s="31">
        <f>IFERROR(INDEX(MASTER!$G$2:$G$2000,MATCH($A18,MASTER!$A$2:$A$2000,0))&amp;"","NOT IN MASTER")</f>
        <v/>
      </c>
      <c r="G18" s="31">
        <f>IFERROR(INDEX(MASTER!$H$2:$H$2000,MATCH($A18,MASTER!$A$2:$A$2000,0))&amp;"","")</f>
        <v/>
      </c>
      <c r="H18" s="31">
        <f>IFERROR(INDEX(MASTER!$I$2:$I$2000,MATCH($A18,MASTER!$A$2:$A$2000,0))&amp;"","")</f>
        <v/>
      </c>
      <c r="I18" s="41">
        <f>IFERROR(IF(INDEX(MASTER!$O$2:$O$2000,MATCH($A18,MASTER!$A$2:$A$2000,0))="","",INDEX(MASTER!$O$2:$O$2000,MATCH($A18,MASTER!$A$2:$A$2000,0))),"")</f>
        <v/>
      </c>
      <c r="J18" s="31">
        <f>IFERROR(INDEX(MASTER!$P$2:$P$2000,MATCH($A18,MASTER!$A$2:$A$2000,0))&amp;"","")</f>
        <v/>
      </c>
      <c r="K18" s="31">
        <f>IFERROR(INDEX(MASTER!$Q$2:$Q$2000,MATCH($A18,MASTER!$A$2:$A$2000,0))&amp;"","")</f>
        <v/>
      </c>
      <c r="L18" s="31">
        <f>IFERROR(INDEX(MASTER!$R$2:$R$2000,MATCH($A18,MASTER!$A$2:$A$2000,0))&amp;"","")</f>
        <v/>
      </c>
    </row>
    <row r="19">
      <c r="A19" s="34" t="inlineStr">
        <is>
          <t>INFRA-010</t>
        </is>
      </c>
      <c r="B19" s="31">
        <f>IFERROR(INDEX(MASTER!$C$2:$C$2000,MATCH($A19,MASTER!$A$2:$A$2000,0))&amp;"","")</f>
        <v/>
      </c>
      <c r="C19" s="35">
        <f>IFERROR(INDEX(MASTER!$B$2:$B$2000,MATCH($A19,MASTER!$A$2:$A$2000,0)),"")</f>
        <v/>
      </c>
      <c r="D19" s="31">
        <f>IFERROR(INDEX(MASTER!$D$2:$D$2000,MATCH($A19,MASTER!$A$2:$A$2000,0))&amp;"","")</f>
        <v/>
      </c>
      <c r="E19" s="31">
        <f>IFERROR(INDEX(MASTER!$F$2:$F$2000,MATCH($A19,MASTER!$A$2:$A$2000,0))&amp;"","")</f>
        <v/>
      </c>
      <c r="F19" s="31">
        <f>IFERROR(INDEX(MASTER!$G$2:$G$2000,MATCH($A19,MASTER!$A$2:$A$2000,0))&amp;"","NOT IN MASTER")</f>
        <v/>
      </c>
      <c r="G19" s="31">
        <f>IFERROR(INDEX(MASTER!$H$2:$H$2000,MATCH($A19,MASTER!$A$2:$A$2000,0))&amp;"","")</f>
        <v/>
      </c>
      <c r="H19" s="31">
        <f>IFERROR(INDEX(MASTER!$I$2:$I$2000,MATCH($A19,MASTER!$A$2:$A$2000,0))&amp;"","")</f>
        <v/>
      </c>
      <c r="I19" s="41">
        <f>IFERROR(IF(INDEX(MASTER!$O$2:$O$2000,MATCH($A19,MASTER!$A$2:$A$2000,0))="","",INDEX(MASTER!$O$2:$O$2000,MATCH($A19,MASTER!$A$2:$A$2000,0))),"")</f>
        <v/>
      </c>
      <c r="J19" s="31">
        <f>IFERROR(INDEX(MASTER!$P$2:$P$2000,MATCH($A19,MASTER!$A$2:$A$2000,0))&amp;"","")</f>
        <v/>
      </c>
      <c r="K19" s="31">
        <f>IFERROR(INDEX(MASTER!$Q$2:$Q$2000,MATCH($A19,MASTER!$A$2:$A$2000,0))&amp;"","")</f>
        <v/>
      </c>
      <c r="L19" s="31">
        <f>IFERROR(INDEX(MASTER!$R$2:$R$2000,MATCH($A19,MASTER!$A$2:$A$2000,0))&amp;"","")</f>
        <v/>
      </c>
    </row>
    <row r="20">
      <c r="A20" s="34" t="inlineStr">
        <is>
          <t>INFRA-011</t>
        </is>
      </c>
      <c r="B20" s="31">
        <f>IFERROR(INDEX(MASTER!$C$2:$C$2000,MATCH($A20,MASTER!$A$2:$A$2000,0))&amp;"","")</f>
        <v/>
      </c>
      <c r="C20" s="35">
        <f>IFERROR(INDEX(MASTER!$B$2:$B$2000,MATCH($A20,MASTER!$A$2:$A$2000,0)),"")</f>
        <v/>
      </c>
      <c r="D20" s="31">
        <f>IFERROR(INDEX(MASTER!$D$2:$D$2000,MATCH($A20,MASTER!$A$2:$A$2000,0))&amp;"","")</f>
        <v/>
      </c>
      <c r="E20" s="31">
        <f>IFERROR(INDEX(MASTER!$F$2:$F$2000,MATCH($A20,MASTER!$A$2:$A$2000,0))&amp;"","")</f>
        <v/>
      </c>
      <c r="F20" s="31">
        <f>IFERROR(INDEX(MASTER!$G$2:$G$2000,MATCH($A20,MASTER!$A$2:$A$2000,0))&amp;"","NOT IN MASTER")</f>
        <v/>
      </c>
      <c r="G20" s="31">
        <f>IFERROR(INDEX(MASTER!$H$2:$H$2000,MATCH($A20,MASTER!$A$2:$A$2000,0))&amp;"","")</f>
        <v/>
      </c>
      <c r="H20" s="31">
        <f>IFERROR(INDEX(MASTER!$I$2:$I$2000,MATCH($A20,MASTER!$A$2:$A$2000,0))&amp;"","")</f>
        <v/>
      </c>
      <c r="I20" s="41">
        <f>IFERROR(IF(INDEX(MASTER!$O$2:$O$2000,MATCH($A20,MASTER!$A$2:$A$2000,0))="","",INDEX(MASTER!$O$2:$O$2000,MATCH($A20,MASTER!$A$2:$A$2000,0))),"")</f>
        <v/>
      </c>
      <c r="J20" s="31">
        <f>IFERROR(INDEX(MASTER!$P$2:$P$2000,MATCH($A20,MASTER!$A$2:$A$2000,0))&amp;"","")</f>
        <v/>
      </c>
      <c r="K20" s="31">
        <f>IFERROR(INDEX(MASTER!$Q$2:$Q$2000,MATCH($A20,MASTER!$A$2:$A$2000,0))&amp;"","")</f>
        <v/>
      </c>
      <c r="L20" s="31">
        <f>IFERROR(INDEX(MASTER!$R$2:$R$2000,MATCH($A20,MASTER!$A$2:$A$2000,0))&amp;"","")</f>
        <v/>
      </c>
    </row>
    <row r="21">
      <c r="A21" s="34" t="inlineStr">
        <is>
          <t>DOCS-010</t>
        </is>
      </c>
      <c r="B21" s="31">
        <f>IFERROR(INDEX(MASTER!$C$2:$C$2000,MATCH($A21,MASTER!$A$2:$A$2000,0))&amp;"","")</f>
        <v/>
      </c>
      <c r="C21" s="35">
        <f>IFERROR(INDEX(MASTER!$B$2:$B$2000,MATCH($A21,MASTER!$A$2:$A$2000,0)),"")</f>
        <v/>
      </c>
      <c r="D21" s="31">
        <f>IFERROR(INDEX(MASTER!$D$2:$D$2000,MATCH($A21,MASTER!$A$2:$A$2000,0))&amp;"","")</f>
        <v/>
      </c>
      <c r="E21" s="31">
        <f>IFERROR(INDEX(MASTER!$F$2:$F$2000,MATCH($A21,MASTER!$A$2:$A$2000,0))&amp;"","")</f>
        <v/>
      </c>
      <c r="F21" s="31">
        <f>IFERROR(INDEX(MASTER!$G$2:$G$2000,MATCH($A21,MASTER!$A$2:$A$2000,0))&amp;"","NOT IN MASTER")</f>
        <v/>
      </c>
      <c r="G21" s="31">
        <f>IFERROR(INDEX(MASTER!$H$2:$H$2000,MATCH($A21,MASTER!$A$2:$A$2000,0))&amp;"","")</f>
        <v/>
      </c>
      <c r="H21" s="31">
        <f>IFERROR(INDEX(MASTER!$I$2:$I$2000,MATCH($A21,MASTER!$A$2:$A$2000,0))&amp;"","")</f>
        <v/>
      </c>
      <c r="I21" s="41">
        <f>IFERROR(IF(INDEX(MASTER!$O$2:$O$2000,MATCH($A21,MASTER!$A$2:$A$2000,0))="","",INDEX(MASTER!$O$2:$O$2000,MATCH($A21,MASTER!$A$2:$A$2000,0))),"")</f>
        <v/>
      </c>
      <c r="J21" s="31">
        <f>IFERROR(INDEX(MASTER!$P$2:$P$2000,MATCH($A21,MASTER!$A$2:$A$2000,0))&amp;"","")</f>
        <v/>
      </c>
      <c r="K21" s="31">
        <f>IFERROR(INDEX(MASTER!$Q$2:$Q$2000,MATCH($A21,MASTER!$A$2:$A$2000,0))&amp;"","")</f>
        <v/>
      </c>
      <c r="L21" s="31">
        <f>IFERROR(INDEX(MASTER!$R$2:$R$2000,MATCH($A21,MASTER!$A$2:$A$2000,0))&amp;"","")</f>
        <v/>
      </c>
    </row>
    <row r="22">
      <c r="A22" s="34" t="inlineStr">
        <is>
          <t>DOCS-011</t>
        </is>
      </c>
      <c r="B22" s="31">
        <f>IFERROR(INDEX(MASTER!$C$2:$C$2000,MATCH($A22,MASTER!$A$2:$A$2000,0))&amp;"","")</f>
        <v/>
      </c>
      <c r="C22" s="35">
        <f>IFERROR(INDEX(MASTER!$B$2:$B$2000,MATCH($A22,MASTER!$A$2:$A$2000,0)),"")</f>
        <v/>
      </c>
      <c r="D22" s="31">
        <f>IFERROR(INDEX(MASTER!$D$2:$D$2000,MATCH($A22,MASTER!$A$2:$A$2000,0))&amp;"","")</f>
        <v/>
      </c>
      <c r="E22" s="31">
        <f>IFERROR(INDEX(MASTER!$F$2:$F$2000,MATCH($A22,MASTER!$A$2:$A$2000,0))&amp;"","")</f>
        <v/>
      </c>
      <c r="F22" s="31">
        <f>IFERROR(INDEX(MASTER!$G$2:$G$2000,MATCH($A22,MASTER!$A$2:$A$2000,0))&amp;"","NOT IN MASTER")</f>
        <v/>
      </c>
      <c r="G22" s="31">
        <f>IFERROR(INDEX(MASTER!$H$2:$H$2000,MATCH($A22,MASTER!$A$2:$A$2000,0))&amp;"","")</f>
        <v/>
      </c>
      <c r="H22" s="31">
        <f>IFERROR(INDEX(MASTER!$I$2:$I$2000,MATCH($A22,MASTER!$A$2:$A$2000,0))&amp;"","")</f>
        <v/>
      </c>
      <c r="I22" s="41">
        <f>IFERROR(IF(INDEX(MASTER!$O$2:$O$2000,MATCH($A22,MASTER!$A$2:$A$2000,0))="","",INDEX(MASTER!$O$2:$O$2000,MATCH($A22,MASTER!$A$2:$A$2000,0))),"")</f>
        <v/>
      </c>
      <c r="J22" s="31">
        <f>IFERROR(INDEX(MASTER!$P$2:$P$2000,MATCH($A22,MASTER!$A$2:$A$2000,0))&amp;"","")</f>
        <v/>
      </c>
      <c r="K22" s="31">
        <f>IFERROR(INDEX(MASTER!$Q$2:$Q$2000,MATCH($A22,MASTER!$A$2:$A$2000,0))&amp;"","")</f>
        <v/>
      </c>
      <c r="L22" s="31">
        <f>IFERROR(INDEX(MASTER!$R$2:$R$2000,MATCH($A22,MASTER!$A$2:$A$2000,0))&amp;"","")</f>
        <v/>
      </c>
    </row>
  </sheetData>
  <autoFilter ref="A7:L22"/>
  <conditionalFormatting sqref="F8:F22">
    <cfRule type="cellIs" priority="1" operator="equal" dxfId="347">
      <formula>"DONE"</formula>
    </cfRule>
    <cfRule type="cellIs" priority="2" operator="equal" dxfId="346">
      <formula>"VERIFIED"</formula>
    </cfRule>
    <cfRule type="cellIs" priority="3" operator="equal" dxfId="342">
      <formula>"IN_PROGRESS"</formula>
    </cfRule>
    <cfRule type="cellIs" priority="4" operator="equal" dxfId="344">
      <formula>"IMPLEMENTED"</formula>
    </cfRule>
    <cfRule type="cellIs" priority="5" operator="equal" dxfId="345">
      <formula>"TESTING"</formula>
    </cfRule>
    <cfRule type="cellIs" priority="6" operator="equal" dxfId="343">
      <formula>"BLOCKED"</formula>
    </cfRule>
    <cfRule type="cellIs" priority="7" operator="equal" dxfId="341">
      <formula>"FAILED"</formula>
    </cfRule>
    <cfRule type="cellIs" priority="8" operator="equal" dxfId="348">
      <formula>"DEFERRED"</formula>
    </cfRule>
    <cfRule type="cellIs" priority="9" operator="equal" dxfId="349">
      <formula>"UNKNOWN"</formula>
    </cfRule>
    <cfRule type="cellIs" priority="10" operator="equal" dxfId="347">
      <formula>"PASS"</formula>
    </cfRule>
    <cfRule type="cellIs" priority="11" operator="equal" dxfId="341">
      <formula>"FAIL"</formula>
    </cfRule>
    <cfRule type="cellIs" priority="12" operator="equal" dxfId="342">
      <formula>"PARTIAL"</formula>
    </cfRule>
    <cfRule type="cellIs" priority="13" operator="equal" dxfId="347">
      <formula>"RESOLVED"</formula>
    </cfRule>
    <cfRule type="cellIs" priority="14" operator="equal" dxfId="351">
      <formula>"OPEN"</formula>
    </cfRule>
    <cfRule type="cellIs" priority="15" operator="equal" dxfId="347">
      <formula>"WITHIN"</formula>
    </cfRule>
    <cfRule type="cellIs" priority="16" operator="equal" dxfId="341">
      <formula>"OVER"</formula>
    </cfRule>
    <cfRule type="cellIs" priority="17" operator="equal" dxfId="352">
      <formula>"NOW"</formula>
    </cfRule>
    <cfRule type="cellIs" priority="18" operator="equal" dxfId="353">
      <formula>"NOT IN MASTER"</formula>
    </cfRule>
  </conditionalFormatting>
  <conditionalFormatting sqref="E8:E22">
    <cfRule type="cellIs" priority="19" operator="equal" dxfId="341">
      <formula>"P0"</formula>
    </cfRule>
    <cfRule type="cellIs" priority="20" operator="equal" dxfId="350">
      <formula>"P1"</formula>
    </cfRule>
  </conditionalFormatting>
  <pageMargins left="0.75" right="0.75" top="1" bottom="1" header="0.5" footer="0.5"/>
  <pageSetup orientation="landscape" fitToHeight="0" fitToWidth="1"/>
</worksheet>
</file>

<file path=xl/worksheets/sheet18.xml><?xml version="1.0" encoding="utf-8"?>
<worksheet xmlns="http://schemas.openxmlformats.org/spreadsheetml/2006/main">
  <sheetPr>
    <tabColor rgb="007F7F7F"/>
    <outlinePr summaryBelow="1" summaryRight="1"/>
    <pageSetUpPr fitToPage="1"/>
  </sheetPr>
  <dimension ref="A1:I114"/>
  <sheetViews>
    <sheetView workbookViewId="0">
      <pane ySplit="1" topLeftCell="A2" activePane="bottomLeft" state="frozen"/>
      <selection pane="bottomLeft" activeCell="A1" sqref="A1"/>
    </sheetView>
  </sheetViews>
  <sheetFormatPr baseColWidth="8" defaultRowHeight="15"/>
  <cols>
    <col width="17" customWidth="1" min="1" max="1"/>
    <col width="16" customWidth="1" min="2" max="2"/>
    <col width="7" customWidth="1" min="3" max="3"/>
    <col width="70" customWidth="1" min="4" max="4"/>
    <col width="45" customWidth="1" min="5" max="5"/>
    <col width="40" customWidth="1" min="6" max="6"/>
    <col width="9" customWidth="1" min="7" max="7"/>
    <col width="10" customWidth="1" min="8" max="8"/>
    <col width="40" customWidth="1" min="9" max="9"/>
  </cols>
  <sheetData>
    <row r="1">
      <c r="A1" s="29" t="inlineStr">
        <is>
          <t>Timestamp</t>
        </is>
      </c>
      <c r="B1" s="29" t="inlineStr">
        <is>
          <t>Task ID</t>
        </is>
      </c>
      <c r="C1" s="29" t="inlineStr">
        <is>
          <t>Phase</t>
        </is>
      </c>
      <c r="D1" s="29" t="inlineStr">
        <is>
          <t>Change</t>
        </is>
      </c>
      <c r="E1" s="29" t="inlineStr">
        <is>
          <t>Files</t>
        </is>
      </c>
      <c r="F1" s="29" t="inlineStr">
        <is>
          <t>Tests</t>
        </is>
      </c>
      <c r="G1" s="29" t="inlineStr">
        <is>
          <t>Result</t>
        </is>
      </c>
      <c r="H1" s="29" t="inlineStr">
        <is>
          <t>Commit</t>
        </is>
      </c>
      <c r="I1" s="29" t="inlineStr">
        <is>
          <t>Notes</t>
        </is>
      </c>
    </row>
    <row r="2">
      <c r="A2" s="41" t="n">
        <v>46292.1587037037</v>
      </c>
      <c r="B2" s="31" t="inlineStr">
        <is>
          <t>INFRA-001</t>
        </is>
      </c>
      <c r="C2" s="31" t="n">
        <v>0</v>
      </c>
      <c r="D2" s="37" t="inlineStr">
        <is>
          <t>Created SmartDoc_Master_Implementation_Tracker.xlsx from the 2026-09-26 audit findings and the brief's phases: 151 tasks, 20 findings, 15 release gates.</t>
        </is>
      </c>
      <c r="E2" s="37" t="inlineStr">
        <is>
          <t>tools/tracker/tracker.py, tools/tracker/seed.py</t>
        </is>
      </c>
      <c r="F2" s="37" t="n"/>
      <c r="G2" s="31" t="inlineStr">
        <is>
          <t>N/A</t>
        </is>
      </c>
      <c r="H2" s="31" t="n"/>
      <c r="I2" s="37" t="n"/>
    </row>
    <row r="3">
      <c r="A3" s="41" t="n">
        <v>46292.16099537037</v>
      </c>
      <c r="B3" s="31" t="inlineStr">
        <is>
          <t>INFRA-001</t>
        </is>
      </c>
      <c r="C3" s="31" t="n">
        <v>0</v>
      </c>
      <c r="D3" s="37" t="inlineStr">
        <is>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is>
      </c>
      <c r="E3" s="37" t="inlineStr">
        <is>
          <t>tools/tracker/*, SmartDoc_Master_Implementation_Tracker.xlsx, .gitignore</t>
        </is>
      </c>
      <c r="F3" s="37" t="inlineStr">
        <is>
          <t>python tools/tracker/selftest.py -&gt; PASS; tools/tracker/excel_recalc.py -&gt; 0 formula errors, 0 value mismatches (also on a scratch copy covering every status)</t>
        </is>
      </c>
      <c r="G3" s="31" t="inlineStr">
        <is>
          <t>PASS</t>
        </is>
      </c>
      <c r="H3" s="31" t="n"/>
      <c r="I3" s="37" t="n"/>
    </row>
    <row r="4">
      <c r="A4" s="41" t="n">
        <v>46292.16103009259</v>
      </c>
      <c r="B4" s="31" t="inlineStr">
        <is>
          <t>INFRA-003</t>
        </is>
      </c>
      <c r="C4" s="31" t="n">
        <v>0</v>
      </c>
      <c r="D4" s="37" t="inlineStr">
        <is>
          <t>Resume reminder set with the platform scheduler; it fired and resumed the work. It only fires while this session is open and idle, which is recorded in AI-CONTINUATION.md.</t>
        </is>
      </c>
      <c r="E4" s="37" t="n"/>
      <c r="F4" s="37" t="inlineStr">
        <is>
          <t>Fired on 2026-09-27 and resumed this session from the continuation prompt</t>
        </is>
      </c>
      <c r="G4" s="31" t="inlineStr">
        <is>
          <t>PASS</t>
        </is>
      </c>
      <c r="H4" s="31" t="n"/>
      <c r="I4" s="37" t="n"/>
    </row>
    <row r="5">
      <c r="A5" s="41" t="n">
        <v>46292.161875</v>
      </c>
      <c r="B5" s="31" t="inlineStr">
        <is>
          <t>INFRA-002</t>
        </is>
      </c>
      <c r="C5" s="31" t="n">
        <v>0</v>
      </c>
      <c r="D5" s="37" t="inlineStr">
        <is>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is>
      </c>
      <c r="E5" s="37" t="inlineStr">
        <is>
          <t>docs/AI-CONTINUATION.md, docs/session-state.json, docs/implementation-brief.md</t>
        </is>
      </c>
      <c r="F5" s="37" t="inlineStr">
        <is>
          <t>tracker.py state --touch synced JSON -&gt; SESSION_STATE and wrote current_excel_status back; selftest covers the state command</t>
        </is>
      </c>
      <c r="G5" s="31" t="inlineStr">
        <is>
          <t>PASS</t>
        </is>
      </c>
      <c r="H5" s="31" t="n"/>
      <c r="I5" s="37" t="n"/>
    </row>
    <row r="6">
      <c r="A6" s="41" t="n">
        <v>46292.16734953703</v>
      </c>
      <c r="B6" s="31" t="inlineStr">
        <is>
          <t>TEST-001</t>
        </is>
      </c>
      <c r="C6" s="31" t="n">
        <v>0</v>
      </c>
      <c r="D6" s="37" t="inlineStr">
        <is>
          <t>Baseline backend suite: 643 passed, 1 skipped (optional real-Word check), 0 failed in 88 s on ea69829. Recorded as RUN-0001.</t>
        </is>
      </c>
      <c r="E6" s="37" t="inlineStr">
        <is>
          <t>docs/architecture/current-baseline.md</t>
        </is>
      </c>
      <c r="F6" s="37" t="inlineStr">
        <is>
          <t>backend pytest: 643 passed, 1 skipped, 0 failed (88 s)</t>
        </is>
      </c>
      <c r="G6" s="31" t="inlineStr">
        <is>
          <t>PASS</t>
        </is>
      </c>
      <c r="H6" s="31" t="n"/>
      <c r="I6" s="37" t="n"/>
    </row>
    <row r="7">
      <c r="A7" s="41" t="n">
        <v>46292.16739583333</v>
      </c>
      <c r="B7" s="31" t="inlineStr">
        <is>
          <t>TEST-002</t>
        </is>
      </c>
      <c r="C7" s="31" t="n">
        <v>0</v>
      </c>
      <c r="D7" s="37" t="inlineStr">
        <is>
          <t>Baseline frontend: eslint clean, tsc clean, Vitest 46 passed in 6 files, production build succeeded. Recorded as RUN-0002..RUN-0005.</t>
        </is>
      </c>
      <c r="E7" s="37" t="inlineStr">
        <is>
          <t>docs/architecture/current-baseline.md</t>
        </is>
      </c>
      <c r="F7" s="37" t="inlineStr">
        <is>
          <t>eslint 0 problems; tsc 0 errors; Vitest 46/46; next build OK (11 routes)</t>
        </is>
      </c>
      <c r="G7" s="31" t="inlineStr">
        <is>
          <t>PASS</t>
        </is>
      </c>
      <c r="H7" s="31" t="n"/>
      <c r="I7" s="37" t="n"/>
    </row>
    <row r="8">
      <c r="A8" s="41" t="n">
        <v>46292.16743055556</v>
      </c>
      <c r="B8" s="31" t="inlineStr">
        <is>
          <t>TEST-003</t>
        </is>
      </c>
      <c r="C8" s="31" t="n">
        <v>0</v>
      </c>
      <c r="D8" s="37" t="inlineStr">
        <is>
          <t>Baseline E2E: 16 Playwright workflows passed against the throwaway stack (SQLite backend :8100, production build :3100). The brief's 24-workflow target is TEST-040; temp-dir leak logged as TEST-006.</t>
        </is>
      </c>
      <c r="E8" s="37" t="inlineStr">
        <is>
          <t>docs/architecture/current-baseline.md</t>
        </is>
      </c>
      <c r="F8" s="37" t="inlineStr">
        <is>
          <t>Playwright (Edge): 16 passed, 0 failed (67 s)</t>
        </is>
      </c>
      <c r="G8" s="31" t="inlineStr">
        <is>
          <t>PASS</t>
        </is>
      </c>
      <c r="H8" s="31" t="n"/>
      <c r="I8" s="37" t="n"/>
    </row>
    <row r="9">
      <c r="A9" s="41" t="n">
        <v>46292.16746527778</v>
      </c>
      <c r="B9" s="31" t="inlineStr">
        <is>
          <t>TEST-004</t>
        </is>
      </c>
      <c r="C9" s="31" t="n">
        <v>0</v>
      </c>
      <c r="D9" s="37" t="inlineStr">
        <is>
          <t>Baseline database: alembic head 85211092fe4c, check reports no drift, full down/up cycle clean; PostgreSQL offline SQL builds 14 tables with RLS; Supabase has all 8 migrations and only INFO-level advisor notices.</t>
        </is>
      </c>
      <c r="E9" s="37" t="inlineStr">
        <is>
          <t>docs/architecture/current-baseline.md</t>
        </is>
      </c>
      <c r="F9" s="37" t="inlineStr">
        <is>
          <t>alembic upgrade/check/downgrade/upgrade on scratch SQLite; offline PostgreSQL SQL; Supabase list_migrations 8/8 + advisors</t>
        </is>
      </c>
      <c r="G9" s="31" t="inlineStr">
        <is>
          <t>PASS</t>
        </is>
      </c>
      <c r="H9" s="31" t="n"/>
      <c r="I9" s="37" t="n"/>
    </row>
    <row r="10">
      <c r="A10" s="41" t="n">
        <v>46292.1675</v>
      </c>
      <c r="B10" s="31" t="inlineStr">
        <is>
          <t>SEC-001</t>
        </is>
      </c>
      <c r="C10" s="31" t="n">
        <v>0</v>
      </c>
      <c r="D10" s="37" t="inlineStr">
        <is>
          <t>Baseline dependency audit: pip-audit finds no known vulnerabilities in requirements.lock or requirements-dev.lock; npm audit reports 0 vulnerabilities (production and dev).</t>
        </is>
      </c>
      <c r="E10" s="37" t="inlineStr">
        <is>
          <t>docs/architecture/current-baseline.md</t>
        </is>
      </c>
      <c r="F10" s="37" t="inlineStr">
        <is>
          <t>pip-audit (both locks): no known vulnerabilities; npm audit: 0 of 633 dependencies</t>
        </is>
      </c>
      <c r="G10" s="31" t="inlineStr">
        <is>
          <t>PASS</t>
        </is>
      </c>
      <c r="H10" s="31" t="n"/>
      <c r="I10" s="37" t="n"/>
    </row>
    <row r="11">
      <c r="A11" s="41" t="n">
        <v>46292.16753472222</v>
      </c>
      <c r="B11" s="31" t="inlineStr">
        <is>
          <t>INFRA-004</t>
        </is>
      </c>
      <c r="C11" s="31" t="n">
        <v>0</v>
      </c>
      <c r="D11" s="37" t="inlineStr">
        <is>
          <t>Baseline infrastructure inspected: compose file valid with 8 services, arq worker and in-process job backends, local and S3 storage providers. Docker images were not built (daemon not running) - left to INFRA-010.</t>
        </is>
      </c>
      <c r="E11" s="37" t="inlineStr">
        <is>
          <t>docs/architecture/current-baseline.md</t>
        </is>
      </c>
      <c r="F11" s="37" t="inlineStr">
        <is>
          <t>docker compose config --quiet (valid, 8 services); worker (arq app.worker.WorkerSettings) and storage (local / S3 providers) inspected</t>
        </is>
      </c>
      <c r="G11" s="31" t="inlineStr">
        <is>
          <t>PASS</t>
        </is>
      </c>
      <c r="H11" s="31" t="n"/>
      <c r="I11" s="37" t="n"/>
    </row>
    <row r="12">
      <c r="A12" s="41" t="n">
        <v>46292.16756944444</v>
      </c>
      <c r="B12" s="31" t="inlineStr">
        <is>
          <t>TEST-005</t>
        </is>
      </c>
      <c r="C12" s="31" t="n">
        <v>0</v>
      </c>
      <c r="D12" s="37" t="inlineStr">
        <is>
          <t>Baseline fixtures: the repository's 12 golden DOCX are generated by python-docx (not Word-authored) plus one PDF; the audit's 17 Word-authored fixtures still live outside the repo and move in with TEST-020.</t>
        </is>
      </c>
      <c r="E12" s="37" t="inlineStr">
        <is>
          <t>docs/architecture/current-baseline.md</t>
        </is>
      </c>
      <c r="F12" s="37" t="inlineStr">
        <is>
          <t>backend/tests/fixtures: 12 generated DOCX + sample.pdf; 17 Word-authored audit fixtures (a01-a12, r01-r05) outside the repo</t>
        </is>
      </c>
      <c r="G12" s="31" t="inlineStr">
        <is>
          <t>PASS</t>
        </is>
      </c>
      <c r="H12" s="31" t="n"/>
      <c r="I12" s="37" t="n"/>
    </row>
    <row r="13">
      <c r="A13" s="41" t="n">
        <v>46292.16815972222</v>
      </c>
      <c r="B13" s="31" t="inlineStr">
        <is>
          <t>DOCS-001</t>
        </is>
      </c>
      <c r="C13" s="31" t="n">
        <v>0</v>
      </c>
      <c r="D13" s="37" t="inlineStr">
        <is>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is>
      </c>
      <c r="E13" s="37" t="inlineStr">
        <is>
          <t>docs/architecture/current-baseline.md</t>
        </is>
      </c>
      <c r="F13" s="37" t="inlineStr">
        <is>
          <t>Every figure taken from RUN-0001..RUN-0011 logs, Supabase MCP output and the audit's perf logs</t>
        </is>
      </c>
      <c r="G13" s="31" t="inlineStr">
        <is>
          <t>PASS</t>
        </is>
      </c>
      <c r="H13" s="31" t="n"/>
      <c r="I13" s="37" t="n"/>
    </row>
    <row r="14">
      <c r="A14" s="41" t="n">
        <v>46292.17180555555</v>
      </c>
      <c r="B14" s="31" t="inlineStr">
        <is>
          <t>INFRA-001, INFRA-002, INFRA-003, TEST-001, TEST-002, TEST-003, TEST-004, TEST-005, SEC-001, INFRA-004, DOCS-001</t>
        </is>
      </c>
      <c r="C14" s="31" t="n">
        <v>0</v>
      </c>
      <c r="D14" s="37" t="inlineStr">
        <is>
          <t>Phase 0 committed (4da4ecb, pushed to feature/smartdoc-production-hardening): tracker, checkpoint system and measured baseline. All 11 phase-0 tasks DONE; no production code changed.</t>
        </is>
      </c>
      <c r="E14" s="37" t="inlineStr">
        <is>
          <t>see commit 4da4ecb</t>
        </is>
      </c>
      <c r="F14" s="37" t="n"/>
      <c r="G14" s="31" t="inlineStr">
        <is>
          <t>PASS</t>
        </is>
      </c>
      <c r="H14" s="31" t="inlineStr">
        <is>
          <t>4da4ecb</t>
        </is>
      </c>
      <c r="I14" s="37" t="n"/>
    </row>
    <row r="15">
      <c r="A15" s="41" t="n">
        <v>46292.18972222223</v>
      </c>
      <c r="B15" s="31" t="inlineStr">
        <is>
          <t>CORE-001</t>
        </is>
      </c>
      <c r="C15" s="31" t="n">
        <v>1</v>
      </c>
      <c r="D15" s="37" t="inlineStr">
        <is>
          <t>Model now holds blocks nested inside table cells, list items and quotes as Elements (authoritative when set; inline keeps plain text), plus list numbering start/format; nesting capped at 8 levels (422 beyond). schemaVersion stays 1: the fields are additive.</t>
        </is>
      </c>
      <c r="E15" s="37" t="inlineStr">
        <is>
          <t>backend/app/models/document.py, backend/tests/test_document_nesting.py</t>
        </is>
      </c>
      <c r="F15" s="37" t="inlineStr">
        <is>
          <t>tests/test_document_nesting.py (9); full backend 659 passed</t>
        </is>
      </c>
      <c r="G15" s="31" t="inlineStr">
        <is>
          <t>PASS</t>
        </is>
      </c>
      <c r="H15" s="31" t="n"/>
      <c r="I15" s="37" t="n"/>
    </row>
    <row r="16">
      <c r="A16" s="41" t="n">
        <v>46292.18976851852</v>
      </c>
      <c r="B16" s="31" t="inlineStr">
        <is>
          <t>CORE-002</t>
        </is>
      </c>
      <c r="C16" s="31" t="n">
        <v>1</v>
      </c>
      <c r="D16" s="37" t="inlineStr">
        <is>
          <t>Regenerated the OpenAPI schema and the frontend's generated types for the nested-block and numbering fields; the contract test and the type check pass.</t>
        </is>
      </c>
      <c r="E16" s="37" t="inlineStr">
        <is>
          <t>frontend/types/generated/*, frontend/types/document.ts</t>
        </is>
      </c>
      <c r="F16" s="37" t="inlineStr">
        <is>
          <t>tests/test_openapi_contract.py; npx tsc --noEmit clean</t>
        </is>
      </c>
      <c r="G16" s="31" t="inlineStr">
        <is>
          <t>PASS</t>
        </is>
      </c>
      <c r="H16" s="31" t="n"/>
      <c r="I16" s="37" t="n"/>
    </row>
    <row r="17">
      <c r="A17" s="41" t="n">
        <v>46292.18980324074</v>
      </c>
      <c r="B17" s="31" t="inlineStr">
        <is>
          <t>CORE-003</t>
        </is>
      </c>
      <c r="C17" s="31" t="n">
        <v>1</v>
      </c>
      <c r="D17" s="37" t="inlineStr">
        <is>
          <t>Backend readers now see nested blocks: pasted pictures inside cells/list items/quotes are validated and moved to asset storage like top-level ones (security and quota), exports fetch their assets, and the links health check covers list items, cells and nested blocks.</t>
        </is>
      </c>
      <c r="E17" s="37" t="inlineStr">
        <is>
          <t>backend/app/services/image_assets.py, backend/app/services/document_service.py, backend/app/formatting/health.py</t>
        </is>
      </c>
      <c r="F17" s="37" t="inlineStr">
        <is>
          <t>tests/test_nested_blocks_api.py (stored as sent, asset once, junk removed, depth 422); tests/test_health.py nested links</t>
        </is>
      </c>
      <c r="G17" s="31" t="inlineStr">
        <is>
          <t>PASS</t>
        </is>
      </c>
      <c r="H17" s="31" t="n"/>
      <c r="I17" s="37" t="n"/>
    </row>
    <row r="18">
      <c r="A18" s="41" t="n">
        <v>46292.18983796296</v>
      </c>
      <c r="B18" s="31" t="inlineStr">
        <is>
          <t>DOCX-001</t>
        </is>
      </c>
      <c r="C18" s="31" t="n">
        <v>1</v>
      </c>
      <c r="D18" s="37" t="inlineStr">
        <is>
          <t>Word export renders nested blocks in cells, list items and quotes in reading order (verified by text order), numbers lists from their start in their format, and writes pictures' alt text.</t>
        </is>
      </c>
      <c r="E18" s="37" t="inlineStr">
        <is>
          <t>backend/app/export/docx_export.py</t>
        </is>
      </c>
      <c r="F18" s="37" t="inlineStr">
        <is>
          <t>tests/test_nested_blocks_api.py::test_the_word_export_keeps_every_nested_block, ::test_the_word_export_numbers_a_list_from_its_start_in_its_format; existing DOCX suites green</t>
        </is>
      </c>
      <c r="G18" s="31" t="inlineStr">
        <is>
          <t>PASS</t>
        </is>
      </c>
      <c r="H18" s="31" t="n"/>
      <c r="I18" s="37" t="n"/>
    </row>
    <row r="19">
      <c r="A19" s="41" t="n">
        <v>46292.18987268519</v>
      </c>
      <c r="B19" s="31" t="inlineStr">
        <is>
          <t>PDF-001</t>
        </is>
      </c>
      <c r="C19" s="31" t="n">
        <v>1</v>
      </c>
      <c r="D19" s="37" t="inlineStr">
        <is>
          <t>PDF export renders nested blocks and list numbering (start/format); nested numbered levels now use the same a./i. sequence as the Word export instead of 1. everywhere.</t>
        </is>
      </c>
      <c r="E19" s="37" t="inlineStr">
        <is>
          <t>backend/app/export/pdf_export.py</t>
        </is>
      </c>
      <c r="F19" s="37" t="inlineStr">
        <is>
          <t>tests/test_nested_blocks_api.py::test_the_pdf_export_keeps_every_nested_block ('v. fifth', 'vi. sixth'); existing PDF suites green</t>
        </is>
      </c>
      <c r="G19" s="31" t="inlineStr">
        <is>
          <t>PASS</t>
        </is>
      </c>
      <c r="H19" s="31" t="n"/>
      <c r="I19" s="37" t="n"/>
    </row>
    <row r="20">
      <c r="A20" s="41" t="n">
        <v>46292.19005787037</v>
      </c>
      <c r="B20" s="31" t="inlineStr">
        <is>
          <t>EDIT-005</t>
        </is>
      </c>
      <c r="C20" s="31" t="n">
        <v>1</v>
      </c>
      <c r="D20" s="37" t="inlineStr">
        <is>
          <t>The editor mapping is total over the schema (tested against getSchema(editorExtensions)); anything unknown stops the save with a visible 'Not saved' message instead of being dropped, and the last saved version stays untouched.</t>
        </is>
      </c>
      <c r="E20" s="37" t="inlineStr">
        <is>
          <t>frontend/editor/*</t>
        </is>
      </c>
      <c r="F20" s="37" t="inlineStr">
        <is>
          <t>frontend/editor/nestedBlocks.test.ts (7 refusal cases); frontend/editor/useAutoSave.test.tsx (3)</t>
        </is>
      </c>
      <c r="G20" s="31" t="inlineStr">
        <is>
          <t>N/A</t>
        </is>
      </c>
      <c r="H20" s="31" t="n"/>
      <c r="I20" s="37" t="n"/>
    </row>
    <row r="21">
      <c r="A21" s="41" t="n">
        <v>46292.19304398148</v>
      </c>
      <c r="B21" s="31" t="inlineStr">
        <is>
          <t>EDIT-006</t>
        </is>
      </c>
      <c r="C21" s="31" t="n">
        <v>1</v>
      </c>
      <c r="D21" s="37" t="inlineStr">
        <is>
          <t>Playwright pastes rich HTML (lists, code and a picture in table cells; a list in a quote; code in a list item; a list starting at 3 in letters), waits for autosave and reloads: everything is still there and no 'Not saved' appears.</t>
        </is>
      </c>
      <c r="E21" s="37" t="inlineStr">
        <is>
          <t>frontend/e2e/nested.spec.ts</t>
        </is>
      </c>
      <c r="F21" s="37" t="inlineStr">
        <is>
          <t>npx playwright test e2e/nested.spec.ts -&gt; 1 passed</t>
        </is>
      </c>
      <c r="G21" s="31" t="inlineStr">
        <is>
          <t>PASS</t>
        </is>
      </c>
      <c r="H21" s="31" t="n"/>
      <c r="I21" s="37" t="n"/>
    </row>
    <row r="22">
      <c r="A22" s="41" t="n">
        <v>46292.19689814815</v>
      </c>
      <c r="B22" s="31" t="inlineStr">
        <is>
          <t>CORE-001, CORE-002, CORE-003, EDIT-001, EDIT-002, EDIT-003, EDIT-004, EDIT-005, EDIT-006, DOCX-001, PDF-001</t>
        </is>
      </c>
      <c r="C22" s="31" t="n">
        <v>1</v>
      </c>
      <c r="D22" s="37" t="inlineStr">
        <is>
          <t>Committed phase-01a-editor-integrity (1fe27a9, pushed): nested blocks in cells, list items and quotes survive the editor, the backend and both exports; unknown content stops the save visibly. AUD-01 fix tasks all DONE.</t>
        </is>
      </c>
      <c r="E22" s="37" t="n"/>
      <c r="F22" s="37" t="n"/>
      <c r="G22" s="31" t="inlineStr">
        <is>
          <t>PASS</t>
        </is>
      </c>
      <c r="H22" s="31" t="inlineStr">
        <is>
          <t>1fe27a9</t>
        </is>
      </c>
      <c r="I22" s="37" t="n"/>
    </row>
    <row r="23">
      <c r="A23" s="41" t="n">
        <v>46292.21790509259</v>
      </c>
      <c r="B23" s="31" t="inlineStr">
        <is>
          <t>FID-001</t>
        </is>
      </c>
      <c r="C23" s="31" t="n">
        <v>1</v>
      </c>
      <c r="D23" s="37" t="inlineStr">
        <is>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is>
      </c>
      <c r="E23" s="37" t="inlineStr">
        <is>
          <t>backend/app/fidelity/*, backend/app/models/document.py, backend/app/services/ingestion_service.py</t>
        </is>
      </c>
      <c r="F23" s="37" t="inlineStr">
        <is>
          <t>tests/test_fidelity_report.py (29); calibration: 29 Word/golden fixtures verified except the genuine a03 heading-number change</t>
        </is>
      </c>
      <c r="G23" s="31" t="inlineStr">
        <is>
          <t>PASS</t>
        </is>
      </c>
      <c r="H23" s="31" t="n"/>
      <c r="I23" s="37" t="n"/>
    </row>
    <row r="24">
      <c r="A24" s="41" t="n">
        <v>46292.21793981481</v>
      </c>
      <c r="B24" s="31" t="inlineStr">
        <is>
          <t>FID-005</t>
        </is>
      </c>
      <c r="C24" s="31" t="n">
        <v>1</v>
      </c>
      <c r="D24" s="37" t="inlineStr">
        <is>
          <t>Every importer note now carries a stable feature key and a brief-§90 policy class; review count and content-loss count are derived from them.</t>
        </is>
      </c>
      <c r="E24" s="37" t="n"/>
      <c r="F24" s="37" t="inlineStr">
        <is>
          <t>tests/test_fidelity_report.py</t>
        </is>
      </c>
      <c r="G24" s="31" t="inlineStr">
        <is>
          <t>PASS</t>
        </is>
      </c>
      <c r="H24" s="31" t="n"/>
      <c r="I24" s="37" t="n"/>
    </row>
    <row r="25">
      <c r="A25" s="41" t="n">
        <v>46292.21798611111</v>
      </c>
      <c r="B25" s="31" t="inlineStr">
        <is>
          <t>FID-004</t>
        </is>
      </c>
      <c r="C25" s="31" t="n">
        <v>1</v>
      </c>
      <c r="D25" s="37" t="inlineStr">
        <is>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is>
      </c>
      <c r="E25" s="37" t="inlineStr">
        <is>
          <t>frontend/editor/panels/FidelityPanel.tsx, frontend/editor/EditorStatusBar.tsx, frontend/editor/DocumentEditorShell.tsx</t>
        </is>
      </c>
      <c r="F25" s="37" t="inlineStr">
        <is>
          <t>editor/panels/FidelityPanel.test.tsx (3); e2e/fidelity.spec.ts; checked in a throwaway stack with the audit's a03/a05 fixtures</t>
        </is>
      </c>
      <c r="G25" s="31" t="inlineStr">
        <is>
          <t>PASS</t>
        </is>
      </c>
      <c r="H25" s="31" t="n"/>
      <c r="I25" s="37" t="n"/>
    </row>
    <row r="26">
      <c r="A26" s="41" t="n">
        <v>46292.21942129629</v>
      </c>
      <c r="B26" s="31" t="inlineStr">
        <is>
          <t>FID-001, FID-004, FID-005, INFRA-005</t>
        </is>
      </c>
      <c r="C26" s="31" t="n">
        <v>1</v>
      </c>
      <c r="D26" s="37" t="inlineStr">
        <is>
          <t>Committed phase-01b-fidelity-report (8a330be, pushed): import fidelity report with policy classes and an independent word-level content check, shown in the editor; throwaway preview scripts.</t>
        </is>
      </c>
      <c r="E26" s="37" t="n"/>
      <c r="F26" s="37" t="n"/>
      <c r="G26" s="31" t="inlineStr">
        <is>
          <t>PASS</t>
        </is>
      </c>
      <c r="H26" s="31" t="inlineStr">
        <is>
          <t>8a330be</t>
        </is>
      </c>
      <c r="I26" s="37" t="n"/>
    </row>
    <row r="27">
      <c r="A27" s="41" t="n">
        <v>46292.35064814815</v>
      </c>
      <c r="B27" s="31" t="inlineStr">
        <is>
          <t>FID-003</t>
        </is>
      </c>
      <c r="C27" s="31" t="n">
        <v>1</v>
      </c>
      <c r="D27" s="37" t="inlineStr">
        <is>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is>
      </c>
      <c r="E27" s="37" t="n"/>
      <c r="F27" s="37" t="inlineStr">
        <is>
          <t>tests/test_export_fidelity.py (6), tests/test_jobs.py; editor/ExportResult.test.tsx (4); e2e documents.spec.ts export test checks the message; calibration: DOCX export re-reads identically on 29 fixtures, PDF on all but a11-multilingual (genuine)</t>
        </is>
      </c>
      <c r="G27" s="31" t="inlineStr">
        <is>
          <t>PASS</t>
        </is>
      </c>
      <c r="H27" s="31" t="n"/>
      <c r="I27" s="37" t="n"/>
    </row>
    <row r="28">
      <c r="A28" s="41" t="n">
        <v>46292.35116898148</v>
      </c>
      <c r="B28" s="31" t="inlineStr">
        <is>
          <t>FID-003</t>
        </is>
      </c>
      <c r="C28" s="31" t="n">
        <v>1</v>
      </c>
      <c r="D28" s="37" t="inlineStr">
        <is>
          <t>Committed phase-01c-export-report (e55412f, pushed): export fidelity report with read-back content check, shown in the Export menu.</t>
        </is>
      </c>
      <c r="E28" s="37" t="n"/>
      <c r="F28" s="37" t="n"/>
      <c r="G28" s="31" t="inlineStr">
        <is>
          <t>PASS</t>
        </is>
      </c>
      <c r="H28" s="31" t="inlineStr">
        <is>
          <t>e55412f</t>
        </is>
      </c>
      <c r="I28" s="37" t="n"/>
    </row>
    <row r="29">
      <c r="A29" s="41" t="n">
        <v>46292.35657407407</v>
      </c>
      <c r="B29" s="31" t="inlineStr">
        <is>
          <t>CORE-004</t>
        </is>
      </c>
      <c r="C29" s="31" t="n">
        <v>1</v>
      </c>
      <c r="D29" s="37" t="inlineStr">
        <is>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is>
      </c>
      <c r="E29" s="37" t="inlineStr">
        <is>
          <t>backend/app/capabilities.py, backend/app/api/capabilities.py, backend/app/main.py, backend/tests/test_capabilities.py, frontend/types/generated/*</t>
        </is>
      </c>
      <c r="F29" s="37" t="inlineStr">
        <is>
          <t>tests/test_capabilities.py (6): every reported key described and every described key reported, cited tests exist, no round trip 'yes' without a test, gaps name their task, API</t>
        </is>
      </c>
      <c r="G29" s="31" t="inlineStr">
        <is>
          <t>PASS</t>
        </is>
      </c>
      <c r="H29" s="31" t="n"/>
      <c r="I29" s="37" t="n"/>
    </row>
    <row r="30">
      <c r="A30" s="41" t="n">
        <v>46292.35789351852</v>
      </c>
      <c r="B30" s="31" t="inlineStr">
        <is>
          <t>CORE-004</t>
        </is>
      </c>
      <c r="C30" s="31" t="n">
        <v>1</v>
      </c>
      <c r="D30" s="37" t="inlineStr">
        <is>
          <t>Committed phase-01d-capability-matrix (fcf30d7, pushed).</t>
        </is>
      </c>
      <c r="E30" s="37" t="n"/>
      <c r="F30" s="37" t="n"/>
      <c r="G30" s="31" t="inlineStr">
        <is>
          <t>PASS</t>
        </is>
      </c>
      <c r="H30" s="31" t="inlineStr">
        <is>
          <t>fcf30d7</t>
        </is>
      </c>
      <c r="I30" s="37" t="n"/>
    </row>
    <row r="31">
      <c r="A31" s="41" t="n">
        <v>46292.37390046296</v>
      </c>
      <c r="B31" s="31" t="inlineStr">
        <is>
          <t>FID-002</t>
        </is>
      </c>
      <c r="C31" s="31" t="n">
        <v>1</v>
      </c>
      <c r="D31" s="37" t="inlineStr">
        <is>
          <t>FID-002: import report now names empty spacing paragraphs, unsafe link addresses and per-section differences (page setup, odd/even breaks, page numbering, borders, line numbers, vertical alignment); matrix rows docx.empty_paragraphs + docx.sections updated</t>
        </is>
      </c>
      <c r="E31" s="37" t="inlineStr">
        <is>
          <t>backend/app/fidelity/docx_detect.py, backend/app/fidelity/imports.py, backend/app/parsers/docx.py, backend/app/parsers/docx_inline.py, backend/app/capabilities.py, backend/tests/test_docx_detect.py</t>
        </is>
      </c>
      <c r="F31" s="37" t="inlineStr">
        <is>
          <t>tests/test_docx_detect.py (9 tests), tests/test_docx_numbering.py (5), tests/test_capabilities.py (6), tests/test_fidelity_report.py; full backend 713 passed/1 skipped; Vitest 84 passed; tsc + eslint clean</t>
        </is>
      </c>
      <c r="G31" s="31" t="inlineStr">
        <is>
          <t>PASS</t>
        </is>
      </c>
      <c r="H31" s="31" t="n"/>
      <c r="I31" s="37" t="n"/>
    </row>
    <row r="32">
      <c r="A32" s="41" t="n">
        <v>46292.37393518518</v>
      </c>
      <c r="B32" s="31" t="inlineStr">
        <is>
          <t>DOCX-015</t>
        </is>
      </c>
      <c r="C32" s="31" t="n">
        <v>3</v>
      </c>
      <c r="D32" s="37" t="inlineStr">
        <is>
          <t>DOCX-015: section breaks break the page only where Word does (next section's w:type decides); continuous breaks no longer become page breaks</t>
        </is>
      </c>
      <c r="E32" s="37" t="n"/>
      <c r="F32" s="37" t="inlineStr">
        <is>
          <t>tests/test_docx_detect.py::test_a_section_break_breaks_the_page_only_where_word_does</t>
        </is>
      </c>
      <c r="G32" s="31" t="inlineStr">
        <is>
          <t>PASS</t>
        </is>
      </c>
      <c r="H32" s="31" t="n"/>
      <c r="I32" s="37" t="n"/>
    </row>
    <row r="33">
      <c r="A33" s="41" t="n">
        <v>46292.37398148148</v>
      </c>
      <c r="B33" s="31" t="inlineStr">
        <is>
          <t>DOCX-016</t>
        </is>
      </c>
      <c r="C33" s="31" t="n">
        <v>3</v>
      </c>
      <c r="D33" s="37" t="inlineStr">
        <is>
          <t>DOCX-016: list number formats, start values and continuation round-trip; custom and multi-level labels reported</t>
        </is>
      </c>
      <c r="E33" s="37" t="n"/>
      <c r="F33" s="37" t="inlineStr">
        <is>
          <t>tests/test_docx_numbering.py</t>
        </is>
      </c>
      <c r="G33" s="31" t="inlineStr">
        <is>
          <t>PASS</t>
        </is>
      </c>
      <c r="H33" s="31" t="n"/>
      <c r="I33" s="37" t="n"/>
    </row>
    <row r="34">
      <c r="A34" s="41" t="n">
        <v>46292.37401620371</v>
      </c>
      <c r="B34" s="31" t="inlineStr">
        <is>
          <t>DOCX-012</t>
        </is>
      </c>
      <c r="C34" s="31" t="n">
        <v>3</v>
      </c>
      <c r="D34" s="37" t="inlineStr">
        <is>
          <t>DOCX-012: Word core properties round-trip; custom properties and sensitivity labels reported without values</t>
        </is>
      </c>
      <c r="E34" s="37" t="n"/>
      <c r="F34" s="37" t="inlineStr">
        <is>
          <t>tests/test_docx_detect.py::test_the_files_own_properties_go_back_into_word_not_the_templates, tests/test_docx_detect.py::test_metadata_that_is_not_kept_is_reported_without_its_values</t>
        </is>
      </c>
      <c r="G34" s="31" t="inlineStr">
        <is>
          <t>PASS</t>
        </is>
      </c>
      <c r="H34" s="31" t="n"/>
      <c r="I34" s="37" t="n"/>
    </row>
    <row r="35">
      <c r="A35" s="41" t="n">
        <v>46292.37405092592</v>
      </c>
      <c r="B35" s="31" t="inlineStr">
        <is>
          <t>DOCX-026</t>
        </is>
      </c>
      <c r="C35" s="31" t="n">
        <v>3</v>
      </c>
      <c r="D35" s="37" t="inlineStr">
        <is>
          <t>DOCX-026: unsafe link addresses reported instead of silently dropped</t>
        </is>
      </c>
      <c r="E35" s="37" t="n"/>
      <c r="F35" s="37" t="inlineStr">
        <is>
          <t>tests/test_docx_detect.py::test_unsafe_links_and_spacing_paragraphs_are_reported</t>
        </is>
      </c>
      <c r="G35" s="31" t="inlineStr">
        <is>
          <t>PASS</t>
        </is>
      </c>
      <c r="H35" s="31" t="n"/>
      <c r="I35" s="37" t="n"/>
    </row>
    <row r="36">
      <c r="A36" s="41" t="n">
        <v>46292.37434027778</v>
      </c>
      <c r="B36" s="31" t="inlineStr">
        <is>
          <t>TEST-010</t>
        </is>
      </c>
      <c r="C36" s="31" t="n">
        <v>1</v>
      </c>
      <c r="D36" s="37" t="inlineStr">
        <is>
          <t>Golden JSON export is deterministic (uuid5 ids by order, fixed timestamps) so a regenerated fixture only differs where the importer's output did</t>
        </is>
      </c>
      <c r="E36" s="37" t="inlineStr">
        <is>
          <t>backend/scripts/export_golden_json.py, frontend/tests/fixtures/golden/*.json</t>
        </is>
      </c>
      <c r="F36" s="37" t="inlineStr">
        <is>
          <t>two consecutive exports byte-identical; tests/test_golden_documents.py::test_the_frontend_golden_json_is_current</t>
        </is>
      </c>
      <c r="G36" s="31" t="inlineStr">
        <is>
          <t>PASS</t>
        </is>
      </c>
      <c r="H36" s="31" t="n"/>
      <c r="I36" s="37" t="n"/>
    </row>
    <row r="37">
      <c r="A37" s="41" t="n">
        <v>46292.37637731482</v>
      </c>
      <c r="B37" s="31" t="inlineStr">
        <is>
          <t>FID-002</t>
        </is>
      </c>
      <c r="C37" s="31" t="n">
        <v>1</v>
      </c>
      <c r="D37" s="37" t="inlineStr">
        <is>
          <t>FID-002 committed and pushed (phase-01e-import-detections)</t>
        </is>
      </c>
      <c r="E37" s="37" t="n"/>
      <c r="F37" s="37" t="inlineStr">
        <is>
          <t>tests/test_docx_detect.py (9 tests), tests/test_docx_numbering.py (5), tests/test_capabilities.py (6), tests/test_fidelity_report.py; full backend 713 passed/1 skipped; Vitest 84 passed; tsc + eslint clean</t>
        </is>
      </c>
      <c r="G37" s="31" t="inlineStr">
        <is>
          <t>PASS</t>
        </is>
      </c>
      <c r="H37" s="31" t="inlineStr">
        <is>
          <t>622d9c1</t>
        </is>
      </c>
      <c r="I37" s="37" t="n"/>
    </row>
    <row r="38">
      <c r="A38" s="41" t="n">
        <v>46292.39731481481</v>
      </c>
      <c r="B38" s="31" t="inlineStr">
        <is>
          <t>SEC-022</t>
        </is>
      </c>
      <c r="C38" s="31" t="n">
        <v>4</v>
      </c>
      <c r="D38" s="37" t="inlineStr">
        <is>
          <t>SEC-022: formatting rule values validated at every entry and at resolve; CSS break-out via element style/page settings/instructions closed</t>
        </is>
      </c>
      <c r="E38" s="37" t="inlineStr">
        <is>
          <t>backend/app/formatting/values.py, backend/app/formatting/engine.py, backend/app/schemas/formatting.py, backend/app/schemas/document.py, backend/app/ai/instruction_extraction.py, backend/tests/test_rule_values.py</t>
        </is>
      </c>
      <c r="F38" s="37" t="inlineStr">
        <is>
          <t>tests/test_rule_values.py (34 cases incl. API 422, stored-rule skip, instruction drop)</t>
        </is>
      </c>
      <c r="G38" s="31" t="inlineStr">
        <is>
          <t>PASS</t>
        </is>
      </c>
      <c r="H38" s="31" t="n"/>
      <c r="I38" s="37" t="n"/>
    </row>
    <row r="39">
      <c r="A39" s="41" t="n">
        <v>46292.39736111111</v>
      </c>
      <c r="B39" s="31" t="inlineStr">
        <is>
          <t>FMT-005</t>
        </is>
      </c>
      <c r="C39" s="31" t="n">
        <v>12</v>
      </c>
      <c r="D39" s="37" t="inlineStr">
        <is>
          <t>FMT-005: instruction-path rule values validated before reaching CSS/export (with SEC-022)</t>
        </is>
      </c>
      <c r="E39" s="37" t="n"/>
      <c r="F39" s="37" t="inlineStr">
        <is>
          <t>tests/test_rule_values.py::test_instructions_cannot_carry_such_values</t>
        </is>
      </c>
      <c r="G39" s="31" t="inlineStr">
        <is>
          <t>PASS</t>
        </is>
      </c>
      <c r="H39" s="31" t="n"/>
      <c r="I39" s="37" t="n"/>
    </row>
    <row r="40">
      <c r="A40" s="41" t="n">
        <v>46292.39758101852</v>
      </c>
      <c r="B40" s="31" t="inlineStr">
        <is>
          <t>EDIT-008</t>
        </is>
      </c>
      <c r="C40" s="31" t="n">
        <v>1</v>
      </c>
      <c r="D40" s="37" t="inlineStr">
        <is>
          <t>EDIT-008: pasted/shortcut alignment saved as the element's own style and kept on split; paste into an empty paragraph keeps the pasted paragraphs' attributes</t>
        </is>
      </c>
      <c r="E40" s="37" t="inlineStr">
        <is>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is>
      </c>
      <c r="F40" s="37" t="inlineStr">
        <is>
          <t>frontend/editor/directFormatting.test.ts (9), frontend/editor/useAutoSave.test.tsx (+3), frontend/editor/editorRoundTrip.test.ts (+12: golden documents open with no direct styles/notes), frontend/e2e/direct-formatting.spec.ts, tests/test_editor_direct_styles.py (2); Vitest 109, Playwright 19, backend 749</t>
        </is>
      </c>
      <c r="G40" s="31" t="inlineStr">
        <is>
          <t>PASS</t>
        </is>
      </c>
      <c r="H40" s="31" t="n"/>
      <c r="I40" s="37" t="n"/>
    </row>
    <row r="41">
      <c r="A41" s="41" t="n">
        <v>46292.39762731481</v>
      </c>
      <c r="B41" s="31" t="inlineStr">
        <is>
          <t>EDIT-009</t>
        </is>
      </c>
      <c r="C41" s="31" t="n">
        <v>1</v>
      </c>
      <c r="D41" s="37" t="inlineStr">
        <is>
          <t>EDIT-009: pasted picture size kept as the picture's width share</t>
        </is>
      </c>
      <c r="E41" s="37" t="n"/>
      <c r="F41" s="37" t="inlineStr">
        <is>
          <t>frontend/editor/directFormatting.test.ts (picture size), frontend/e2e/direct-formatting.spec.ts, tests/test_editor_direct_styles.py</t>
        </is>
      </c>
      <c r="G41" s="31" t="inlineStr">
        <is>
          <t>PASS</t>
        </is>
      </c>
      <c r="H41" s="31" t="n"/>
      <c r="I41" s="37" t="n"/>
    </row>
    <row r="42">
      <c r="A42" s="41" t="n">
        <v>46292.39766203704</v>
      </c>
      <c r="B42" s="31" t="inlineStr">
        <is>
          <t>EDIT-012</t>
        </is>
      </c>
      <c r="C42" s="31" t="n">
        <v>1</v>
      </c>
      <c r="D42" s="37" t="inlineStr">
        <is>
          <t>EDIT-012: values outside the model named in the status bar and the Проверка panel</t>
        </is>
      </c>
      <c r="E42" s="37" t="n"/>
      <c r="F42" s="37" t="inlineStr">
        <is>
          <t>frontend/editor/directFormatting.test.ts, frontend/editor/useAutoSave.test.tsx::names formatting it can't keep, frontend/editor/panels/FidelityPanel.test.tsx::lists what the editor holds, frontend/e2e/direct-formatting.spec.ts</t>
        </is>
      </c>
      <c r="G42" s="31" t="inlineStr">
        <is>
          <t>PASS</t>
        </is>
      </c>
      <c r="H42" s="31" t="n"/>
      <c r="I42" s="37" t="n"/>
    </row>
    <row r="43">
      <c r="A43" s="41" t="n">
        <v>46292.39769675926</v>
      </c>
      <c r="B43" s="31" t="inlineStr">
        <is>
          <t>EDIT-011</t>
        </is>
      </c>
      <c r="C43" s="31" t="n">
        <v>1</v>
      </c>
      <c r="D43" s="37" t="inlineStr">
        <is>
          <t>EDIT-011: cell alignment from pasted cells kept per column; differing cells and column widths reported</t>
        </is>
      </c>
      <c r="E43" s="37" t="n"/>
      <c r="F43" s="37" t="inlineStr">
        <is>
          <t>frontend/editor/directFormatting.test.ts::tables</t>
        </is>
      </c>
      <c r="G43" s="31" t="inlineStr">
        <is>
          <t>PASS</t>
        </is>
      </c>
      <c r="H43" s="31" t="n"/>
      <c r="I43" s="37" t="n"/>
    </row>
    <row r="44">
      <c r="A44" s="41" t="n">
        <v>46292.39912037037</v>
      </c>
      <c r="B44" s="31" t="inlineStr">
        <is>
          <t>EDIT-008, EDIT-009, EDIT-012, SEC-022, FMT-005</t>
        </is>
      </c>
      <c r="C44" s="31" t="n">
        <v>1</v>
      </c>
      <c r="D44" s="37" t="inlineStr">
        <is>
          <t>Committed and pushed phase-01f-editor-direct-formatting</t>
        </is>
      </c>
      <c r="E44" s="37" t="n"/>
      <c r="F44" s="37" t="n"/>
      <c r="G44" s="31" t="inlineStr">
        <is>
          <t>PASS</t>
        </is>
      </c>
      <c r="H44" s="31" t="inlineStr">
        <is>
          <t>53c84e4</t>
        </is>
      </c>
      <c r="I44" s="37" t="n"/>
    </row>
    <row r="45">
      <c r="A45" s="41" t="n">
        <v>46292.40663194445</v>
      </c>
      <c r="B45" s="31" t="inlineStr">
        <is>
          <t>EDIT-010</t>
        </is>
      </c>
      <c r="C45" s="31" t="n">
        <v>1</v>
      </c>
      <c r="D45" s="37" t="inlineStr">
        <is>
          <t>EDIT-010: link titles kept from Word/Markdown through the editor back into Word</t>
        </is>
      </c>
      <c r="E45" s="37" t="inlineStr">
        <is>
          <t>backend/app/models/document.py, backend/app/parsers/docx_inline.py, backend/app/parsers/docx.py, backend/app/export/docx_export.py, backend/app/parsers/markdown.py, frontend/editor/tiptapToDocument.ts, frontend/editor/documentToTiptap.ts</t>
        </is>
      </c>
      <c r="F45" s="37" t="inlineStr">
        <is>
          <t>tests/test_link_titles.py (Word import/export round trip incl. field ScreenTip; Markdown), frontend/editor/directFormatting.test.ts (a link's title: 2)</t>
        </is>
      </c>
      <c r="G45" s="31" t="inlineStr">
        <is>
          <t>PASS</t>
        </is>
      </c>
      <c r="H45" s="31" t="n"/>
      <c r="I45" s="37" t="n"/>
    </row>
    <row r="46">
      <c r="A46" s="41" t="n">
        <v>46292.40670138889</v>
      </c>
      <c r="B46" s="31" t="inlineStr">
        <is>
          <t>FID-006</t>
        </is>
      </c>
      <c r="C46" s="31" t="n">
        <v>1</v>
      </c>
      <c r="D46" s="37" t="inlineStr">
        <is>
          <t>FID-006: Markdown pictures named as left out (content), thematic breaks kept as rules</t>
        </is>
      </c>
      <c r="E46" s="37" t="inlineStr">
        <is>
          <t>backend/app/parsers/markdown.py, backend/app/capabilities.py, backend/tests/test_capabilities.py, backend/tests/test_markdown_parser.py</t>
        </is>
      </c>
      <c r="F46" s="37" t="inlineStr">
        <is>
          <t>tests/test_markdown_parser.py::test_a_thematic_break_is_a_horizontal_rule, tests/test_markdown_parser.py::test_pictures_are_named_as_left_out_not_dropped_silently, tests/test_capabilities.py</t>
        </is>
      </c>
      <c r="G46" s="31" t="inlineStr">
        <is>
          <t>PASS</t>
        </is>
      </c>
      <c r="H46" s="31" t="n"/>
      <c r="I46" s="37" t="n"/>
    </row>
    <row r="47">
      <c r="A47" s="41" t="n">
        <v>46292.40685185185</v>
      </c>
      <c r="B47" s="31" t="inlineStr">
        <is>
          <t>EDIT-011</t>
        </is>
      </c>
      <c r="C47" s="31" t="n">
        <v>1</v>
      </c>
      <c r="D47" s="37" t="inlineStr">
        <is>
          <t>EDIT-011: cell alignment/widths the model can't hold are named; keeping them moves to DOCX-017</t>
        </is>
      </c>
      <c r="E47" s="37" t="n"/>
      <c r="F47" s="37" t="inlineStr">
        <is>
          <t>frontend/editor/directFormatting.test.ts::tables</t>
        </is>
      </c>
      <c r="G47" s="31" t="inlineStr">
        <is>
          <t>PASS</t>
        </is>
      </c>
      <c r="H47" s="31" t="inlineStr">
        <is>
          <t>53c84e4</t>
        </is>
      </c>
      <c r="I47" s="37" t="n"/>
    </row>
    <row r="48">
      <c r="A48" s="41" t="n">
        <v>46292.40877314815</v>
      </c>
      <c r="B48" s="31" t="inlineStr">
        <is>
          <t>EDIT-007</t>
        </is>
      </c>
      <c r="C48" s="31" t="n">
        <v>1</v>
      </c>
      <c r="D48" s="37" t="inlineStr">
        <is>
          <t>EDIT-007: marks in one canonical order (MarkType) on both sides; opening a document saves nothing</t>
        </is>
      </c>
      <c r="E48" s="37" t="inlineStr">
        <is>
          <t>backend/app/models/document.py, frontend/editor/tiptapToDocument.ts</t>
        </is>
      </c>
      <c r="F48" s="37" t="inlineStr">
        <is>
          <t>frontend/editor/directFormatting.test.ts (the order of a run's marks: 2; fails without the fix), tests/test_document_nesting.py::test_a_runs_marks_are_kept_in_one_order_whoever_wrote_them</t>
        </is>
      </c>
      <c r="G48" s="31" t="inlineStr">
        <is>
          <t>PASS</t>
        </is>
      </c>
      <c r="H48" s="31" t="n"/>
      <c r="I48" s="37" t="n"/>
    </row>
    <row r="49">
      <c r="A49" s="41" t="n">
        <v>46292.40881944444</v>
      </c>
      <c r="B49" s="31" t="inlineStr">
        <is>
          <t>TEST-010</t>
        </is>
      </c>
      <c r="C49" s="31" t="n">
        <v>1</v>
      </c>
      <c r="D49" s="37" t="inlineStr">
        <is>
          <t>TEST-010: nested-structure regression suite consolidated and verified</t>
        </is>
      </c>
      <c r="E49" s="37" t="n"/>
      <c r="F49" s="37" t="inlineStr">
        <is>
          <t>backend 753 passed; Vitest 113; Playwright 19</t>
        </is>
      </c>
      <c r="G49" s="31" t="inlineStr">
        <is>
          <t>PASS</t>
        </is>
      </c>
      <c r="H49" s="31" t="n"/>
      <c r="I49" s="37" t="n"/>
    </row>
    <row r="50">
      <c r="A50" s="41" t="n">
        <v>46292.4140625</v>
      </c>
      <c r="B50" s="31" t="inlineStr">
        <is>
          <t>EDIT-008, EDIT-010, FID-006</t>
        </is>
      </c>
      <c r="C50" s="31" t="n">
        <v>1</v>
      </c>
      <c r="D50" s="37" t="inlineStr">
        <is>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is>
      </c>
      <c r="E50" s="37" t="n"/>
      <c r="F50" s="37" t="inlineStr">
        <is>
          <t>manual browser check (throwaway stack, fresh SQLite)</t>
        </is>
      </c>
      <c r="G50" s="31" t="inlineStr">
        <is>
          <t>PASS</t>
        </is>
      </c>
      <c r="H50" s="31" t="n"/>
      <c r="I50" s="37" t="n"/>
    </row>
    <row r="51">
      <c r="A51" s="41" t="n">
        <v>46292.41409722222</v>
      </c>
      <c r="B51" s="31" t="inlineStr">
        <is>
          <t>DOCS-011</t>
        </is>
      </c>
      <c r="C51" s="31" t="n">
        <v>18</v>
      </c>
      <c r="D51" s="37" t="inlineStr">
        <is>
          <t>DOCS-011: documentation tree started for Phase 1 (document model, fidelity, docx, formatting, security, testing)</t>
        </is>
      </c>
      <c r="E51" s="37" t="n"/>
      <c r="F51" s="37" t="n"/>
      <c r="G51" s="31" t="inlineStr">
        <is>
          <t>PASS</t>
        </is>
      </c>
      <c r="H51" s="31" t="n"/>
      <c r="I51" s="37" t="n"/>
    </row>
    <row r="52">
      <c r="A52" s="41" t="n">
        <v>46292.41626157407</v>
      </c>
      <c r="B52" s="31" t="inlineStr">
        <is>
          <t>EDIT-007, EDIT-010, EDIT-011, FID-006, TEST-010, DOCS-011</t>
        </is>
      </c>
      <c r="C52" s="31" t="n">
        <v>1</v>
      </c>
      <c r="D52" s="37" t="inlineStr">
        <is>
          <t>Committed and pushed phase-01g-phase-1-complete; Phase 1 complete</t>
        </is>
      </c>
      <c r="E52" s="37" t="n"/>
      <c r="F52" s="37" t="n"/>
      <c r="G52" s="31" t="inlineStr">
        <is>
          <t>PASS</t>
        </is>
      </c>
      <c r="H52" s="31" t="inlineStr">
        <is>
          <t>66bbdf1</t>
        </is>
      </c>
      <c r="I52" s="37" t="n"/>
    </row>
    <row r="53">
      <c r="A53" s="41" t="n">
        <v>46292.60565972222</v>
      </c>
      <c r="B53" s="31" t="inlineStr">
        <is>
          <t>AI-001</t>
        </is>
      </c>
      <c r="C53" s="31" t="n">
        <v>2</v>
      </c>
      <c r="D53" s="37" t="inlineStr">
        <is>
          <t>AI-001: order/count/token/numeric/punctuation-aware comparator for AI output, with classified differences</t>
        </is>
      </c>
      <c r="E53" s="37" t="inlineStr">
        <is>
          <t>backend/app/fidelity/text_check.py, backend/tests/test_ai_fidelity.py</t>
        </is>
      </c>
      <c r="F53" s="37" t="inlineStr">
        <is>
          <t>tests/test_ai_fidelity.py (36)</t>
        </is>
      </c>
      <c r="G53" s="31" t="inlineStr">
        <is>
          <t>PASS</t>
        </is>
      </c>
      <c r="H53" s="31" t="n"/>
      <c r="I53" s="37" t="n"/>
    </row>
    <row r="54">
      <c r="A54" s="41" t="n">
        <v>46292.60570601852</v>
      </c>
      <c r="B54" s="31" t="inlineStr">
        <is>
          <t>AI-002</t>
        </is>
      </c>
      <c r="C54" s="31" t="n">
        <v>2</v>
      </c>
      <c r="D54" s="37" t="inlineStr">
        <is>
          <t>AI-002: numbers and units protected; changed_numbers for cross-language checks</t>
        </is>
      </c>
      <c r="E54" s="37" t="n"/>
      <c r="F54" s="37" t="inlineStr">
        <is>
          <t>tests/test_ai_fidelity.py (alteration cases with protected flags; test_numbers_are_facts_even_where_the_words_may_change)</t>
        </is>
      </c>
      <c r="G54" s="31" t="inlineStr">
        <is>
          <t>PASS</t>
        </is>
      </c>
      <c r="H54" s="31" t="n"/>
      <c r="I54" s="37" t="n"/>
    </row>
    <row r="55">
      <c r="A55" s="41" t="n">
        <v>46292.60574074074</v>
      </c>
      <c r="B55" s="31" t="inlineStr">
        <is>
          <t>AI-003</t>
        </is>
      </c>
      <c r="C55" s="31" t="n">
        <v>2</v>
      </c>
      <c r="D55" s="37" t="inlineStr">
        <is>
          <t>AI-003: structure analysis refuses answers that alter the text, per piece, logging without content</t>
        </is>
      </c>
      <c r="E55" s="37" t="inlineStr">
        <is>
          <t>backend/app/ai/structure_analysis.py</t>
        </is>
      </c>
      <c r="F55" s="37" t="inlineStr">
        <is>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is>
      </c>
      <c r="G55" s="31" t="inlineStr">
        <is>
          <t>PASS</t>
        </is>
      </c>
      <c r="H55" s="31" t="n"/>
      <c r="I55" s="37" t="n"/>
    </row>
    <row r="56">
      <c r="A56" s="41" t="n">
        <v>46292.60578703704</v>
      </c>
      <c r="B56" s="31" t="inlineStr">
        <is>
          <t>AI-004</t>
        </is>
      </c>
      <c r="C56" s="31" t="n">
        <v>2</v>
      </c>
      <c r="D56" s="37" t="inlineStr">
        <is>
          <t>AI-004: adversarial fidelity tests for every alteration the brief names</t>
        </is>
      </c>
      <c r="E56" s="37" t="n"/>
      <c r="F56" s="37" t="inlineStr">
        <is>
          <t>tests/test_ai_fidelity.py (36 passed); backend suite 789 passed</t>
        </is>
      </c>
      <c r="G56" s="31" t="inlineStr">
        <is>
          <t>PASS</t>
        </is>
      </c>
      <c r="H56" s="31" t="n"/>
      <c r="I56" s="37" t="n"/>
    </row>
    <row r="57">
      <c r="A57" s="41" t="n">
        <v>46292.60609953704</v>
      </c>
      <c r="B57" s="31" t="inlineStr">
        <is>
          <t>AI-001, AI-002, AI-003, AI-004</t>
        </is>
      </c>
      <c r="C57" s="31" t="n">
        <v>2</v>
      </c>
      <c r="D57" s="37" t="inlineStr">
        <is>
          <t>Committed and pushed phase-02a-ai-fidelity-check</t>
        </is>
      </c>
      <c r="E57" s="37" t="n"/>
      <c r="F57" s="37" t="n"/>
      <c r="G57" s="31" t="inlineStr">
        <is>
          <t>PASS</t>
        </is>
      </c>
      <c r="H57" s="31" t="inlineStr">
        <is>
          <t>78f5c8f</t>
        </is>
      </c>
      <c r="I57" s="37" t="n"/>
    </row>
    <row r="58">
      <c r="A58" s="41" t="n">
        <v>46292.60613425926</v>
      </c>
      <c r="B58" s="31" t="inlineStr">
        <is>
          <t>AI-005</t>
        </is>
      </c>
      <c r="C58" s="31" t="n">
        <v>2</v>
      </c>
      <c r="D58" s="37" t="inlineStr">
        <is>
          <t>AI-005: AI operations classified FORMAT/STRUCTURE/CONTENT; per-element instruction styles no longer dropped by the formatting pass</t>
        </is>
      </c>
      <c r="E58" s="37" t="inlineStr">
        <is>
          <t>backend/app/formatting/proposals.py, backend/app/services/document_service.py</t>
        </is>
      </c>
      <c r="F58" s="37" t="inlineStr">
        <is>
          <t>tests/test_ai_proposals.py::test_operations_are_sorted_by_what_they_touch, ::test_a_style_an_instruction_sets_on_one_element_is_kept</t>
        </is>
      </c>
      <c r="G58" s="31" t="inlineStr">
        <is>
          <t>PASS</t>
        </is>
      </c>
      <c r="H58" s="31" t="n"/>
      <c r="I58" s="37" t="n"/>
    </row>
    <row r="59">
      <c r="A59" s="41" t="n">
        <v>46292.60618055556</v>
      </c>
      <c r="B59" s="31" t="inlineStr">
        <is>
          <t>REV-001</t>
        </is>
      </c>
      <c r="C59" s="31" t="n">
        <v>2</v>
      </c>
      <c r="D59" s="37" t="inlineStr">
        <is>
          <t>REV-001: change model with categories, used for proposals</t>
        </is>
      </c>
      <c r="E59" s="37" t="inlineStr">
        <is>
          <t>backend/app/models/document.py, frontend/types/document.ts</t>
        </is>
      </c>
      <c r="F59" s="37" t="inlineStr">
        <is>
          <t>tests/test_ai_proposals.py</t>
        </is>
      </c>
      <c r="G59" s="31" t="inlineStr">
        <is>
          <t>PASS</t>
        </is>
      </c>
      <c r="H59" s="31" t="n"/>
      <c r="I59" s="37" t="n"/>
    </row>
    <row r="60">
      <c r="A60" s="41" t="n">
        <v>46292.60621527778</v>
      </c>
      <c r="B60" s="31" t="inlineStr">
        <is>
          <t>AI-006</t>
        </is>
      </c>
      <c r="C60" s="31" t="n">
        <v>2</v>
      </c>
      <c r="D60" s="37" t="inlineStr">
        <is>
          <t>AI-006: PLAN-&gt;VALIDATE-&gt;PREVIEW-&gt;ACCEPT-&gt;APPLY for AI content changes</t>
        </is>
      </c>
      <c r="E60" s="37" t="inlineStr">
        <is>
          <t>backend/app/formatting/proposals.py, backend/app/services/document_service.py, backend/app/api/documents.py, backend/app/jobs/runner.py, backend/app/schemas/document.py, backend/app/schemas/jobs.py</t>
        </is>
      </c>
      <c r="F60" s="37" t="inlineStr">
        <is>
          <t>tests/test_ai_proposals.py (8), frontend/e2e/proposals.spec.ts</t>
        </is>
      </c>
      <c r="G60" s="31" t="inlineStr">
        <is>
          <t>PASS</t>
        </is>
      </c>
      <c r="H60" s="31" t="n"/>
      <c r="I60" s="37" t="n"/>
    </row>
    <row r="61">
      <c r="A61" s="41" t="n">
        <v>46292.60626157407</v>
      </c>
      <c r="B61" s="31" t="inlineStr">
        <is>
          <t>AI-007</t>
        </is>
      </c>
      <c r="C61" s="31" t="n">
        <v>2</v>
      </c>
      <c r="D61" s="37" t="inlineStr">
        <is>
          <t>AI-007: proposal review UI with accept/reject, E2E verified</t>
        </is>
      </c>
      <c r="E61" s="37" t="inlineStr">
        <is>
          <t>frontend/editor/panels/ProposalsList.tsx, frontend/editor/panels/InstructionsPanel.tsx, frontend/editor/EditorStatusBar.tsx, frontend/editor/useFormatting.ts, frontend/services/api/documents.ts, frontend/services/api/jobs.ts, backend/scripts/e2e_ai.py, backend/scripts/e2e_server.py</t>
        </is>
      </c>
      <c r="F61" s="37" t="inlineStr">
        <is>
          <t>frontend/editor/panels/ProposalsList.test.tsx (4), frontend/e2e/proposals.spec.ts; Vitest 117, Playwright 20</t>
        </is>
      </c>
      <c r="G61" s="31" t="inlineStr">
        <is>
          <t>PASS</t>
        </is>
      </c>
      <c r="H61" s="31" t="n"/>
      <c r="I61" s="37" t="n"/>
    </row>
    <row r="62">
      <c r="A62" s="41" t="n">
        <v>46292.60665509259</v>
      </c>
      <c r="B62" s="31" t="inlineStr">
        <is>
          <t>AI-005, REV-001, AI-006, AI-007</t>
        </is>
      </c>
      <c r="C62" s="31" t="n">
        <v>2</v>
      </c>
      <c r="D62" s="37" t="inlineStr">
        <is>
          <t>Committed and pushed phase-02b-ai-proposals</t>
        </is>
      </c>
      <c r="E62" s="37" t="n"/>
      <c r="F62" s="37" t="n"/>
      <c r="G62" s="31" t="inlineStr">
        <is>
          <t>PASS</t>
        </is>
      </c>
      <c r="H62" s="31" t="inlineStr">
        <is>
          <t>5f67f5a</t>
        </is>
      </c>
      <c r="I62" s="37" t="n"/>
    </row>
    <row r="63">
      <c r="A63" s="41" t="n">
        <v>46292.60670138889</v>
      </c>
      <c r="B63" s="31" t="inlineStr">
        <is>
          <t>AI-008</t>
        </is>
      </c>
      <c r="C63" s="31" t="n">
        <v>2</v>
      </c>
      <c r="D63" s="37" t="inlineStr">
        <is>
          <t>AI-008: per-job/per-request AI call and time budget; no unbounded retries</t>
        </is>
      </c>
      <c r="E63" s="37" t="inlineStr">
        <is>
          <t>backend/app/ai/budget.py, backend/app/config.py, backend/app/jobs/runner.py, backend/app/api/deps.py, backend/app/ai/structure_analysis.py</t>
        </is>
      </c>
      <c r="F63" s="37" t="inlineStr">
        <is>
          <t>tests/test_ai_budget.py (6); backend suite 805 passed</t>
        </is>
      </c>
      <c r="G63" s="31" t="inlineStr">
        <is>
          <t>PASS</t>
        </is>
      </c>
      <c r="H63" s="31" t="n"/>
      <c r="I63" s="37" t="n"/>
    </row>
    <row r="64">
      <c r="A64" s="41" t="n">
        <v>46292.60681712963</v>
      </c>
      <c r="B64" s="31" t="inlineStr">
        <is>
          <t>AI-008</t>
        </is>
      </c>
      <c r="C64" s="31" t="n">
        <v>2</v>
      </c>
      <c r="D64" s="37" t="inlineStr">
        <is>
          <t>Committed and pushed phase-02c-ai-budget</t>
        </is>
      </c>
      <c r="E64" s="37" t="n"/>
      <c r="F64" s="37" t="n"/>
      <c r="G64" s="31" t="inlineStr">
        <is>
          <t>PASS</t>
        </is>
      </c>
      <c r="H64" s="31" t="inlineStr">
        <is>
          <t>03f6a44</t>
        </is>
      </c>
      <c r="I64" s="37" t="n"/>
    </row>
    <row r="65">
      <c r="A65" s="41" t="n">
        <v>46292.60686342593</v>
      </c>
      <c r="B65" s="31" t="inlineStr">
        <is>
          <t>AI-009</t>
        </is>
      </c>
      <c r="C65" s="31" t="n">
        <v>2</v>
      </c>
      <c r="D65" s="37" t="inlineStr">
        <is>
          <t>AI-009: prompt-injection review; AI answer fields bounded; hostile-document tests</t>
        </is>
      </c>
      <c r="E65" s="37" t="inlineStr">
        <is>
          <t>backend/app/ai/schemas.py, backend/app/ai/structure_analysis.py, backend/tests/test_prompt_injection.py</t>
        </is>
      </c>
      <c r="F65" s="37" t="inlineStr">
        <is>
          <t>tests/test_prompt_injection.py (12); backend suite 817 passed</t>
        </is>
      </c>
      <c r="G65" s="31" t="inlineStr">
        <is>
          <t>PASS</t>
        </is>
      </c>
      <c r="H65" s="31" t="n"/>
      <c r="I65" s="37" t="n"/>
    </row>
    <row r="66">
      <c r="A66" s="41" t="n">
        <v>46292.60689814815</v>
      </c>
      <c r="B66" s="31" t="inlineStr">
        <is>
          <t>SEC-018</t>
        </is>
      </c>
      <c r="C66" s="31" t="n">
        <v>4</v>
      </c>
      <c r="D66" s="37" t="inlineStr">
        <is>
          <t>SEC-018: prompt injection / AI output abuse covered by AI-009's tests</t>
        </is>
      </c>
      <c r="E66" s="37" t="n"/>
      <c r="F66" s="37" t="inlineStr">
        <is>
          <t>tests/test_prompt_injection.py</t>
        </is>
      </c>
      <c r="G66" s="31" t="inlineStr">
        <is>
          <t>PASS</t>
        </is>
      </c>
      <c r="H66" s="31" t="n"/>
      <c r="I66" s="37" t="n"/>
    </row>
    <row r="67">
      <c r="A67" s="41" t="n">
        <v>46292.60709490741</v>
      </c>
      <c r="B67" s="31" t="inlineStr">
        <is>
          <t>AI-001, AI-005, AI-007, AI-009</t>
        </is>
      </c>
      <c r="C67" s="31" t="n">
        <v>2</v>
      </c>
      <c r="D67" s="37" t="inlineStr">
        <is>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is>
      </c>
      <c r="E67" s="37" t="n"/>
      <c r="F67" s="37" t="inlineStr">
        <is>
          <t>full suites + manual browser check</t>
        </is>
      </c>
      <c r="G67" s="31" t="inlineStr">
        <is>
          <t>PASS</t>
        </is>
      </c>
      <c r="H67" s="31" t="n"/>
      <c r="I67" s="37" t="n"/>
    </row>
    <row r="68">
      <c r="A68" s="41" t="n">
        <v>46292.60722222222</v>
      </c>
      <c r="B68" s="31" t="inlineStr">
        <is>
          <t>DOCX-010</t>
        </is>
      </c>
      <c r="C68" s="31" t="n">
        <v>3</v>
      </c>
      <c r="D68" s="37" t="inlineStr">
        <is>
          <t>DOCX-010: original Word package kept as an immutable, checksummed asset</t>
        </is>
      </c>
      <c r="E68" s="37" t="inlineStr">
        <is>
          <t>backend/app/models/document.py, backend/app/services/document_service.py</t>
        </is>
      </c>
      <c r="F68" s="37" t="inlineStr">
        <is>
          <t>tests/test_source_package.py::test_the_imported_word_file_is_kept_as_it_was, ::test_a_stored_file_that_isnt_the_one_kept_is_not_used_and_the_export_says_so; tests/test_entitlements.py (storage counts the kept file)</t>
        </is>
      </c>
      <c r="G68" s="31" t="inlineStr">
        <is>
          <t>PASS</t>
        </is>
      </c>
      <c r="H68" s="31" t="n"/>
      <c r="I68" s="37" t="n"/>
    </row>
    <row r="69">
      <c r="A69" s="41" t="n">
        <v>46292.60726851852</v>
      </c>
      <c r="B69" s="31" t="inlineStr">
        <is>
          <t>DOCX-011</t>
        </is>
      </c>
      <c r="C69" s="31" t="n">
        <v>3</v>
      </c>
      <c r="D69" s="37" t="inlineStr">
        <is>
          <t>DOCX-011: Word exports written into the original package; import report reflects what they keep</t>
        </is>
      </c>
      <c r="E69" s="37" t="inlineStr">
        <is>
          <t>backend/app/export/docx_export.py, backend/app/fidelity/imports.py, backend/app/fidelity/docx_source.py, backend/app/fidelity/docx_detect.py, backend/app/fidelity/exports.py, backend/app/jobs/runner.py, backend/app/api/documents.py, backend/app/capabilities.py</t>
        </is>
      </c>
      <c r="F69" s="37" t="inlineStr">
        <is>
          <t>tests/test_source_package.py (10), tests/test_package_check.py (13); backend suite</t>
        </is>
      </c>
      <c r="G69" s="31" t="inlineStr">
        <is>
          <t>PASS</t>
        </is>
      </c>
      <c r="H69" s="31" t="n"/>
      <c r="I69" s="37" t="n"/>
    </row>
    <row r="70">
      <c r="A70" s="41" t="n">
        <v>46292.60730324074</v>
      </c>
      <c r="B70" s="31" t="inlineStr">
        <is>
          <t>TEST-023</t>
        </is>
      </c>
      <c r="C70" s="31" t="n">
        <v>3</v>
      </c>
      <c r="D70" s="37" t="inlineStr">
        <is>
          <t>TEST-023: independent package validation of every Word export</t>
        </is>
      </c>
      <c r="E70" s="37" t="inlineStr">
        <is>
          <t>backend/app/export/package_check.py, backend/tests/test_package_check.py</t>
        </is>
      </c>
      <c r="F70" s="37" t="inlineStr">
        <is>
          <t>tests/test_package_check.py (13)</t>
        </is>
      </c>
      <c r="G70" s="31" t="inlineStr">
        <is>
          <t>PASS</t>
        </is>
      </c>
      <c r="H70" s="31" t="n"/>
      <c r="I70" s="37" t="n"/>
    </row>
    <row r="71">
      <c r="A71" s="41" t="n">
        <v>46292.60734953704</v>
      </c>
      <c r="B71" s="31" t="inlineStr">
        <is>
          <t>DOCX-012</t>
        </is>
      </c>
      <c r="C71" s="31" t="n">
        <v>3</v>
      </c>
      <c r="D71" s="37" t="inlineStr">
        <is>
          <t>DOCX-012: metadata preserved (core in the model, app/custom/labels via the original package)</t>
        </is>
      </c>
      <c r="E71" s="37" t="n"/>
      <c r="F71" s="37" t="inlineStr">
        <is>
          <t>tests/test_docx_detect.py::test_the_files_own_properties_go_back_into_word_not_the_templates, tests/test_source_package.py::test_a_word_export_keeps_what_the_document_model_doesnt_hold</t>
        </is>
      </c>
      <c r="G71" s="31" t="inlineStr">
        <is>
          <t>PASS</t>
        </is>
      </c>
      <c r="H71" s="31" t="inlineStr">
        <is>
          <t>622d9c1</t>
        </is>
      </c>
      <c r="I71" s="37" t="n"/>
    </row>
    <row r="72">
      <c r="A72" s="41" t="n">
        <v>46292.77983796296</v>
      </c>
      <c r="B72" s="31" t="inlineStr">
        <is>
          <t>DOCX-028</t>
        </is>
      </c>
      <c r="C72" s="31" t="n">
        <v>3</v>
      </c>
      <c r="D72" s="37" t="inlineStr">
        <is>
          <t>DOCX-028: unchanged blocks keep their original XML in Word exports; server-side provenance; earlier sections follow page setup, header and page-number changes; lost sections reported; golden 13-kept-blocks + E2E.</t>
        </is>
      </c>
      <c r="E72" s="37" t="inlineStr">
        <is>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is>
      </c>
      <c r="F72" s="37" t="inlineStr">
        <is>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is>
      </c>
      <c r="G72" s="31" t="inlineStr">
        <is>
          <t>PASS</t>
        </is>
      </c>
      <c r="H72" s="31" t="n"/>
      <c r="I72" s="37" t="n"/>
    </row>
    <row r="73">
      <c r="A73" s="41" t="n">
        <v>46292.78126157408</v>
      </c>
      <c r="B73" s="31" t="inlineStr">
        <is>
          <t>DOCX-028</t>
        </is>
      </c>
      <c r="C73" s="31" t="n">
        <v>3</v>
      </c>
      <c r="D73" s="37" t="inlineStr">
        <is>
          <t>DOCX-028 committed and pushed as c8c2d27 (phase-03b-original-blocks).</t>
        </is>
      </c>
      <c r="E73" s="37" t="n"/>
      <c r="F73" s="37" t="inlineStr">
        <is>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is>
      </c>
      <c r="G73" s="31" t="inlineStr">
        <is>
          <t>PASS</t>
        </is>
      </c>
      <c r="H73" s="31" t="inlineStr">
        <is>
          <t>c8c2d27</t>
        </is>
      </c>
      <c r="I73" s="37" t="n"/>
    </row>
    <row r="74">
      <c r="A74" s="41" t="n">
        <v>46292.79240740741</v>
      </c>
      <c r="B74" s="31" t="inlineStr">
        <is>
          <t>DOCX-025</t>
        </is>
      </c>
      <c r="C74" s="31" t="n">
        <v>3</v>
      </c>
      <c r="D74" s="37" t="inlineStr">
        <is>
          <t>DOCX-025: Word's hidden text stays hidden - hidden mark with Word's style resolution, editor shows it only on request, vanish in Word exports, left out of PDF with a note, consistent content checks.</t>
        </is>
      </c>
      <c r="E74" s="37" t="inlineStr">
        <is>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is>
      </c>
      <c r="F74" s="37" t="inlineStr">
        <is>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is>
      </c>
      <c r="G74" s="31" t="inlineStr">
        <is>
          <t>PASS</t>
        </is>
      </c>
      <c r="H74" s="31" t="n"/>
      <c r="I74" s="37" t="n"/>
    </row>
    <row r="75">
      <c r="A75" s="41" t="n">
        <v>46292.79311342593</v>
      </c>
      <c r="B75" s="31" t="inlineStr">
        <is>
          <t>DOCX-025</t>
        </is>
      </c>
      <c r="C75" s="31" t="n">
        <v>3</v>
      </c>
      <c r="D75" s="37" t="inlineStr">
        <is>
          <t>DOCX-025 committed and pushed as 7d1af86 (phase-03c-hidden-text).</t>
        </is>
      </c>
      <c r="E75" s="37" t="n"/>
      <c r="F75" s="37" t="inlineStr">
        <is>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is>
      </c>
      <c r="G75" s="31" t="inlineStr">
        <is>
          <t>PASS</t>
        </is>
      </c>
      <c r="H75" s="31" t="inlineStr">
        <is>
          <t>7d1af86</t>
        </is>
      </c>
      <c r="I75" s="37" t="n"/>
    </row>
    <row r="76">
      <c r="A76" s="41" t="n">
        <v>46292.8071875</v>
      </c>
      <c r="B76" s="31" t="inlineStr">
        <is>
          <t>DOCX-013</t>
        </is>
      </c>
      <c r="C76" s="31" t="n">
        <v>3</v>
      </c>
      <c r="D76" s="37" t="inlineStr">
        <is>
          <t>DOCX-013 part 1: underline and strike styles, capitals, small capitals, spacing and raised/lowered text kept through import, editor, Word and PDF; paragraph-style formatting turned off by a run fixed.</t>
        </is>
      </c>
      <c r="E76" s="37" t="inlineStr">
        <is>
          <t>backend/app/models/document.py, backend/app/parsers/docx_inline.py, backend/app/parsers/docx_styles.py, backend/app/parsers/docx.py, backend/app/export/docx_export.py, backend/app/export/pdf_export.py, backend/app/fidelity/*, frontend/editor/characterFormatting.ts, frontend/editor/tiptapToDocument.ts</t>
        </is>
      </c>
      <c r="F76" s="37" t="inlineStr">
        <is>
          <t>backend 888 passed/1 skipped (tests/test_character_formatting.py 12); Vitest 128 (editor/characterFormatting.test.ts 3, golden round trip of 02); Playwright 22; tsc + eslint clean</t>
        </is>
      </c>
      <c r="G76" s="31" t="inlineStr">
        <is>
          <t>PASS</t>
        </is>
      </c>
      <c r="H76" s="31" t="n"/>
      <c r="I76" s="37" t="n"/>
    </row>
    <row r="77">
      <c r="A77" s="41" t="n">
        <v>46292.80782407407</v>
      </c>
      <c r="B77" s="31" t="inlineStr">
        <is>
          <t>DOCX-013</t>
        </is>
      </c>
      <c r="C77" s="31" t="n">
        <v>3</v>
      </c>
      <c r="D77" s="37" t="inlineStr">
        <is>
          <t>DOCX-013 part 1 committed and pushed as 6619159 (phase-03d-character-formatting); part 2 next.</t>
        </is>
      </c>
      <c r="E77" s="37" t="n"/>
      <c r="F77" s="37" t="inlineStr">
        <is>
          <t>backend 888 passed/1 skipped (tests/test_character_formatting.py 12); Vitest 128 (editor/characterFormatting.test.ts 3, golden round trip of 02); Playwright 22; tsc + eslint clean</t>
        </is>
      </c>
      <c r="G77" s="31" t="inlineStr">
        <is>
          <t>PASS</t>
        </is>
      </c>
      <c r="H77" s="31" t="inlineStr">
        <is>
          <t>6619159</t>
        </is>
      </c>
      <c r="I77" s="37" t="n"/>
    </row>
    <row r="78">
      <c r="A78" s="41" t="n">
        <v>46292.81737268518</v>
      </c>
      <c r="B78" s="31" t="inlineStr">
        <is>
          <t>FID-007</t>
        </is>
      </c>
      <c r="C78" s="31" t="n">
        <v>3</v>
      </c>
      <c r="D78" s="37" t="inlineStr">
        <is>
          <t>FID-007: reports follow the Word copy - kept while unchanged at import, rewritten losses named at export, unsafe links never copied back.</t>
        </is>
      </c>
      <c r="E78" s="37" t="inlineStr">
        <is>
          <t>backend/app/fidelity/imports.py, backend/app/export/docx_export.py, backend/tests/test_copy_reports.py</t>
        </is>
      </c>
      <c r="F78" s="37" t="inlineStr">
        <is>
          <t>tests/test_copy_reports.py (6): kept while unchanged at import, rewritten losses named (content controls, stretched text), unsafe javascript: link never copied back, PDF word-only; backend 894 passed/1 skipped; Playwright 22</t>
        </is>
      </c>
      <c r="G78" s="31" t="inlineStr">
        <is>
          <t>PASS</t>
        </is>
      </c>
      <c r="H78" s="31" t="n"/>
      <c r="I78" s="37" t="n"/>
    </row>
    <row r="79">
      <c r="A79" s="41" t="n">
        <v>46292.8174074074</v>
      </c>
      <c r="B79" s="31" t="inlineStr">
        <is>
          <t>DOCX-013</t>
        </is>
      </c>
      <c r="C79" s="31" t="n">
        <v>3</v>
      </c>
      <c r="D79" s="37" t="inlineStr">
        <is>
          <t>DOCX-013 part 2: language kept; scale and effects named and kept while unchanged; brief §22 list is now supported, preserved or explicitly named.</t>
        </is>
      </c>
      <c r="E79" s="37" t="inlineStr">
        <is>
          <t>backend/app/models/document.py, backend/app/parsers/docx_inline.py, backend/app/fidelity/docx_detect.py, frontend/editor/characterFormatting.ts</t>
        </is>
      </c>
      <c r="F79" s="37" t="inlineStr">
        <is>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is>
      </c>
      <c r="G79" s="31" t="inlineStr">
        <is>
          <t>PASS</t>
        </is>
      </c>
      <c r="H79" s="31" t="inlineStr">
        <is>
          <t>6619159</t>
        </is>
      </c>
      <c r="I79" s="37" t="n"/>
    </row>
    <row r="80">
      <c r="A80" s="41" t="n">
        <v>46292.81806712963</v>
      </c>
      <c r="B80" s="31" t="inlineStr">
        <is>
          <t>DOCX-013</t>
        </is>
      </c>
      <c r="C80" s="31" t="n">
        <v>3</v>
      </c>
      <c r="D80" s="37" t="inlineStr">
        <is>
          <t>DOCX-013 done: part 1 6619159, part 2 d32c6a6 (phase-03e-copy-reports).</t>
        </is>
      </c>
      <c r="E80" s="37" t="n"/>
      <c r="F80" s="37" t="inlineStr">
        <is>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is>
      </c>
      <c r="G80" s="31" t="inlineStr">
        <is>
          <t>PASS</t>
        </is>
      </c>
      <c r="H80" s="31" t="inlineStr">
        <is>
          <t>d32c6a6</t>
        </is>
      </c>
      <c r="I80" s="37" t="n"/>
    </row>
    <row r="81">
      <c r="A81" s="41" t="n">
        <v>46292.81810185185</v>
      </c>
      <c r="B81" s="31" t="inlineStr">
        <is>
          <t>FID-007</t>
        </is>
      </c>
      <c r="C81" s="31" t="n">
        <v>3</v>
      </c>
      <c r="D81" s="37" t="inlineStr">
        <is>
          <t>FID-007 committed and pushed as d32c6a6.</t>
        </is>
      </c>
      <c r="E81" s="37" t="n"/>
      <c r="F81" s="37" t="inlineStr">
        <is>
          <t>tests/test_copy_reports.py (6): kept while unchanged at import, rewritten losses named (content controls, stretched text), unsafe javascript: link never copied back, PDF word-only; backend 894 passed/1 skipped; Playwright 22</t>
        </is>
      </c>
      <c r="G81" s="31" t="inlineStr">
        <is>
          <t>PASS</t>
        </is>
      </c>
      <c r="H81" s="31" t="inlineStr">
        <is>
          <t>d32c6a6</t>
        </is>
      </c>
      <c r="I81" s="37" t="n"/>
    </row>
    <row r="82">
      <c r="A82" s="41" t="n">
        <v>46292.82690972222</v>
      </c>
      <c r="B82" s="31" t="inlineStr">
        <is>
          <t>DOCX-014</t>
        </is>
      </c>
      <c r="C82" s="31" t="n">
        <v>3</v>
      </c>
      <c r="D82" s="37" t="inlineStr">
        <is>
          <t>DOCX-014 part 1: right indent, shading, pagination controls, contextual spacing and direction kept through import, CSS, Word and PDF.</t>
        </is>
      </c>
      <c r="E82" s="37" t="inlineStr">
        <is>
          <t>backend/app/models/document.py, backend/app/formatting/*, backend/app/parsers/docx_styles.py, backend/app/parsers/docx.py, backend/app/export/docx_export.py, backend/app/export/pdf_export.py</t>
        </is>
      </c>
      <c r="F82" s="37" t="inlineStr">
        <is>
          <t>backend 903 passed/1 skipped (tests/test_paragraph_formatting.py 9); Vitest 129; Playwright 22; tsc + eslint clean</t>
        </is>
      </c>
      <c r="G82" s="31" t="inlineStr">
        <is>
          <t>PASS</t>
        </is>
      </c>
      <c r="H82" s="31" t="n"/>
      <c r="I82" s="37" t="n"/>
    </row>
    <row r="83">
      <c r="A83" s="41" t="n">
        <v>46292.8275462963</v>
      </c>
      <c r="B83" s="31" t="inlineStr">
        <is>
          <t>DOCX-014</t>
        </is>
      </c>
      <c r="C83" s="31" t="n">
        <v>3</v>
      </c>
      <c r="D83" s="37" t="inlineStr">
        <is>
          <t>DOCX-014 part 1 committed and pushed as eade93e (phase-03f-paragraph-formatting); part 2 next.</t>
        </is>
      </c>
      <c r="E83" s="37" t="n"/>
      <c r="F83" s="37" t="inlineStr">
        <is>
          <t>backend 903 passed/1 skipped (tests/test_paragraph_formatting.py 9); Vitest 129; Playwright 22; tsc + eslint clean</t>
        </is>
      </c>
      <c r="G83" s="31" t="inlineStr">
        <is>
          <t>PASS</t>
        </is>
      </c>
      <c r="H83" s="31" t="inlineStr">
        <is>
          <t>eade93e</t>
        </is>
      </c>
      <c r="I83" s="37" t="n"/>
    </row>
    <row r="84">
      <c r="A84" s="41" t="n">
        <v>46292.83395833334</v>
      </c>
      <c r="B84" s="31" t="inlineStr">
        <is>
          <t>DOCX-014</t>
        </is>
      </c>
      <c r="C84" s="31" t="n">
        <v>3</v>
      </c>
      <c r="D84" s="37" t="inlineStr">
        <is>
          <t>DOCX-014 part 2: paragraph borders and tab stops kept through import, CSS, Word and PDF; what the PDF and editor can't draw is named.</t>
        </is>
      </c>
      <c r="E84" s="37" t="inlineStr">
        <is>
          <t>backend/app/formatting/values.py, backend/app/parsers/docx_styles.py, backend/app/export/docx_export.py, backend/app/export/pdf_export.py, backend/tests/test_paragraph_formatting.py</t>
        </is>
      </c>
      <c r="F84" s="37" t="inlineStr">
        <is>
          <t>backend 903 passed/1 skipped (tests/test_paragraph_formatting.py 9); Vitest 129; Playwright 22; tsc + eslint clean; tests/test_paragraph_formatting.py (19 in all); backend 913 passed/1 skipped; Vitest 129; Playwright 22</t>
        </is>
      </c>
      <c r="G84" s="31" t="inlineStr">
        <is>
          <t>PASS</t>
        </is>
      </c>
      <c r="H84" s="31" t="inlineStr">
        <is>
          <t>eade93e</t>
        </is>
      </c>
      <c r="I84" s="37" t="n"/>
    </row>
    <row r="85">
      <c r="A85" s="41" t="n">
        <v>46292.83453703704</v>
      </c>
      <c r="B85" s="31" t="inlineStr">
        <is>
          <t>DOCX-014</t>
        </is>
      </c>
      <c r="C85" s="31" t="n">
        <v>3</v>
      </c>
      <c r="D85" s="37" t="inlineStr">
        <is>
          <t>DOCX-014 done: part 1 eade93e, part 2 c158722 (phase-03g-borders-tab-stops).</t>
        </is>
      </c>
      <c r="E85" s="37" t="n"/>
      <c r="F85" s="37" t="inlineStr">
        <is>
          <t>backend 903 passed/1 skipped (tests/test_paragraph_formatting.py 9); Vitest 129; Playwright 22; tsc + eslint clean; tests/test_paragraph_formatting.py (19 in all); backend 913 passed/1 skipped; Vitest 129; Playwright 22</t>
        </is>
      </c>
      <c r="G85" s="31" t="inlineStr">
        <is>
          <t>PASS</t>
        </is>
      </c>
      <c r="H85" s="31" t="inlineStr">
        <is>
          <t>c158722</t>
        </is>
      </c>
      <c r="I85" s="37" t="n"/>
    </row>
    <row r="86">
      <c r="A86" s="41" t="n">
        <v>46292.84695601852</v>
      </c>
      <c r="B86" s="31" t="inlineStr">
        <is>
          <t>DOCX-015</t>
        </is>
      </c>
      <c r="C86" s="31" t="n">
        <v>3</v>
      </c>
      <c r="D86" s="37" t="inlineStr">
        <is>
          <t>DOCX-015 part 1a: section breaks are elements with their section's settings - imported, shown and paginated in the editor, written back into Word from the model.</t>
        </is>
      </c>
      <c r="E86" s="37" t="inlineStr">
        <is>
          <t>backend/app/models/document.py, backend/app/parsers/docx.py, backend/app/export/docx_export.py, frontend/editor/sectionBreak.ts, frontend/editor/pagination.ts</t>
        </is>
      </c>
      <c r="F86" s="37" t="inlineStr">
        <is>
          <t>tests/test_docx_detect.py::test_a_section_break_breaks_the_page_only_where_word_does; tests/test_sections.py (6); frontend/editor/sectionBreak.test.ts (3); backend 919 passed/1 skipped; Vitest 132; Playwright 22</t>
        </is>
      </c>
      <c r="G86" s="31" t="inlineStr">
        <is>
          <t>PASS</t>
        </is>
      </c>
      <c r="H86" s="31" t="inlineStr">
        <is>
          <t>622d9c1</t>
        </is>
      </c>
      <c r="I86" s="37" t="n"/>
    </row>
    <row r="87">
      <c r="A87" s="41" t="n">
        <v>46292.98077546297</v>
      </c>
      <c r="B87" s="31" t="inlineStr">
        <is>
          <t>DOCX-015</t>
        </is>
      </c>
      <c r="C87" s="31" t="n">
        <v>3</v>
      </c>
      <c r="D87" s="37" t="inlineStr">
        <is>
          <t>DOCX-015 part 1a committed and pushed as 047685d (phase-03h-section-breaks); part 1b next.</t>
        </is>
      </c>
      <c r="E87" s="37" t="n"/>
      <c r="F87" s="37" t="inlineStr">
        <is>
          <t>tests/test_docx_detect.py::test_a_section_break_breaks_the_page_only_where_word_does; tests/test_sections.py (6); frontend/editor/sectionBreak.test.ts (3); backend 919 passed/1 skipped; Vitest 132; Playwright 22</t>
        </is>
      </c>
      <c r="G87" s="31" t="inlineStr">
        <is>
          <t>PASS</t>
        </is>
      </c>
      <c r="H87" s="31" t="inlineStr">
        <is>
          <t>047685d</t>
        </is>
      </c>
      <c r="I87" s="37" t="n"/>
    </row>
    <row r="88">
      <c r="A88" s="41" t="n">
        <v>46292.98081018519</v>
      </c>
      <c r="B88" s="31" t="inlineStr">
        <is>
          <t>DOCX-015</t>
        </is>
      </c>
      <c r="C88" s="31" t="n">
        <v>3</v>
      </c>
      <c r="D88" s="37" t="inlineStr">
        <is>
          <t>DOCX-015 part 1b: the PDF follows each section's page setup, even/odd starts and numbering.</t>
        </is>
      </c>
      <c r="E88" s="37" t="inlineStr">
        <is>
          <t>backend/app/export/pdf_export.py, backend/app/fidelity/exports.py, backend/tests/test_sections.py</t>
        </is>
      </c>
      <c r="F88" s="37" t="inlineStr">
        <is>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is>
      </c>
      <c r="G88" s="31" t="inlineStr">
        <is>
          <t>PASS</t>
        </is>
      </c>
      <c r="H88" s="31" t="inlineStr">
        <is>
          <t>047685d</t>
        </is>
      </c>
      <c r="I88" s="37" t="n"/>
    </row>
    <row r="89">
      <c r="A89" s="41" t="n">
        <v>46292.98142361111</v>
      </c>
      <c r="B89" s="31" t="inlineStr">
        <is>
          <t>DOCX-015</t>
        </is>
      </c>
      <c r="C89" s="31" t="n">
        <v>3</v>
      </c>
      <c r="D89" s="37" t="inlineStr">
        <is>
          <t>DOCX-015 part 1b committed and pushed as 35c6771 (phase-03i-pdf-sections); part 2 next.</t>
        </is>
      </c>
      <c r="E89" s="37" t="n"/>
      <c r="F89" s="37" t="inlineStr">
        <is>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is>
      </c>
      <c r="G89" s="31" t="inlineStr">
        <is>
          <t>PASS</t>
        </is>
      </c>
      <c r="H89" s="31" t="inlineStr">
        <is>
          <t>35c6771</t>
        </is>
      </c>
      <c r="I89" s="37" t="n"/>
    </row>
    <row r="90">
      <c r="A90" s="41" t="n">
        <v>46294.63287037037</v>
      </c>
      <c r="B90" s="31" t="inlineStr">
        <is>
          <t>DOCX-015</t>
        </is>
      </c>
      <c r="C90" s="31" t="n">
        <v>3</v>
      </c>
      <c r="D90" s="37" t="inlineStr">
        <is>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is>
      </c>
      <c r="E90" s="37" t="n"/>
      <c r="F90" s="37" t="inlineStr">
        <is>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is>
      </c>
      <c r="G90" s="31" t="inlineStr">
        <is>
          <t>N/A</t>
        </is>
      </c>
      <c r="H90" s="31" t="inlineStr">
        <is>
          <t>35c6771</t>
        </is>
      </c>
      <c r="I90" s="37" t="n"/>
    </row>
    <row r="91">
      <c r="A91" s="41" t="n">
        <v>46294.63385416667</v>
      </c>
      <c r="B91" s="31" t="inlineStr">
        <is>
          <t>DOCX-015</t>
        </is>
      </c>
      <c r="C91" s="31" t="n">
        <v>3</v>
      </c>
      <c r="D91" s="37" t="inlineStr">
        <is>
          <t>DOCX-015 part 2 committed and pushed as 7bbf7f2 (phase-03j-section-headers); part 3 next (the editor's pages per section, the last section's columns and header/footer distances in both exports).</t>
        </is>
      </c>
      <c r="E91" s="37" t="n"/>
      <c r="F91" s="37" t="inlineStr">
        <is>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is>
      </c>
      <c r="G91" s="31" t="inlineStr">
        <is>
          <t>N/A</t>
        </is>
      </c>
      <c r="H91" s="31" t="inlineStr">
        <is>
          <t>7bbf7f2</t>
        </is>
      </c>
      <c r="I91" s="37" t="n"/>
    </row>
    <row r="92">
      <c r="A92" s="41" t="n">
        <v>46294.64001157408</v>
      </c>
      <c r="B92" s="31" t="inlineStr">
        <is>
          <t>DOCX-015</t>
        </is>
      </c>
      <c r="C92" s="31" t="n">
        <v>3</v>
      </c>
      <c r="D92" s="37" t="inlineStr">
        <is>
          <t>DOCX-015 part 3a: the last section's columns and header/footer distances reach both exports (the PDF laid it out in one column, a fresh Word export dropped them); PDF headers and footers sit at their sections' distances.</t>
        </is>
      </c>
      <c r="E92" s="37" t="n"/>
      <c r="F92" s="37" t="inlineStr">
        <is>
          <t>tests/test_sections.py::test_the_last_sections_columns_and_header_distance_are_kept_in_both_exports; tests/test_docx_fidelity.py::test_a_multi_column_layout_is_reported; backend 937 passed/1 skipped; Playwright 23</t>
        </is>
      </c>
      <c r="G92" s="31" t="inlineStr">
        <is>
          <t>N/A</t>
        </is>
      </c>
      <c r="H92" s="31" t="inlineStr">
        <is>
          <t>7bbf7f2</t>
        </is>
      </c>
      <c r="I92" s="37" t="n"/>
    </row>
    <row r="93">
      <c r="A93" s="41" t="n">
        <v>46294.65168981482</v>
      </c>
      <c r="B93" s="31" t="inlineStr">
        <is>
          <t>DOCX-015</t>
        </is>
      </c>
      <c r="C93" s="31" t="n">
        <v>3</v>
      </c>
      <c r="D93" s="37" t="inlineStr">
        <is>
          <t>DOCX-015 part 3b: the editor's pages follow each section's size, orientation, margins and header/footer distances; with parts 1-3a, sections are a first-class concept end to end (verified; columns shown in one column here, DOCX-015B).</t>
        </is>
      </c>
      <c r="E93" s="37" t="n"/>
      <c r="F93" s="37" t="inlineStr">
        <is>
          <t>frontend/editor/sectionPages.test.ts (5); frontend/e2e/section-headers.spec.ts (2: headers per page; a landscape section's wide page and text column); tests/test_sections.py (16); backend 937 passed/1 skipped; Vitest 144; Playwright 24</t>
        </is>
      </c>
      <c r="G93" s="31" t="inlineStr">
        <is>
          <t>PASS</t>
        </is>
      </c>
      <c r="H93" s="31" t="inlineStr">
        <is>
          <t>7bbf7f2</t>
        </is>
      </c>
      <c r="I93" s="37" t="n"/>
    </row>
    <row r="94">
      <c r="A94" s="41" t="n">
        <v>46294.65232638889</v>
      </c>
      <c r="B94" s="31" t="inlineStr">
        <is>
          <t>DOCX-015</t>
        </is>
      </c>
      <c r="C94" s="31" t="n">
        <v>3</v>
      </c>
      <c r="D94" s="37" t="inlineStr">
        <is>
          <t>Part 3a committed and pushed as 30a9bb7 (phase-03k-last-section-layout).</t>
        </is>
      </c>
      <c r="E94" s="37" t="n"/>
      <c r="F94" s="37" t="n"/>
      <c r="G94" s="31" t="inlineStr">
        <is>
          <t>PASS</t>
        </is>
      </c>
      <c r="H94" s="31" t="n"/>
      <c r="I94" s="37" t="n"/>
    </row>
    <row r="95">
      <c r="A95" s="41" t="n">
        <v>46294.65284722222</v>
      </c>
      <c r="B95" s="31" t="inlineStr">
        <is>
          <t>DOCX-015</t>
        </is>
      </c>
      <c r="C95" s="31" t="n">
        <v>3</v>
      </c>
      <c r="D95" s="37" t="inlineStr">
        <is>
          <t>DOCX-015 done: part 3b committed and pushed as 633c1d6 (phase-03l-section-pages); follow-ups DOCX-015A..C.</t>
        </is>
      </c>
      <c r="E95" s="37" t="n"/>
      <c r="F95" s="37" t="inlineStr">
        <is>
          <t>frontend/editor/sectionPages.test.ts (5); frontend/e2e/section-headers.spec.ts (2: headers per page; a landscape section's wide page and text column); tests/test_sections.py (16); backend 937 passed/1 skipped; Vitest 144; Playwright 24</t>
        </is>
      </c>
      <c r="G95" s="31" t="inlineStr">
        <is>
          <t>PASS</t>
        </is>
      </c>
      <c r="H95" s="31" t="inlineStr">
        <is>
          <t>633c1d6</t>
        </is>
      </c>
      <c r="I95" s="37" t="n"/>
    </row>
    <row r="96">
      <c r="A96" s="41" t="n">
        <v>46294.67533564815</v>
      </c>
      <c r="B96" s="31" t="inlineStr">
        <is>
          <t>DOCX-016</t>
        </is>
      </c>
      <c r="C96" s="31" t="n">
        <v>3</v>
      </c>
      <c r="D96" s="37" t="inlineStr">
        <is>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is>
      </c>
      <c r="E96" s="37" t="n"/>
      <c r="F96" s="37" t="inlineStr">
        <is>
          <t>tests/test_docx_numbering.py (13); tests/test_golden_documents.py::test_15_numbering and the golden round trips (signature now with numbering); frontend/editor/listNumbering.test.ts (2); backend 951 passed/1 skipped; Vitest 148; Playwright 24</t>
        </is>
      </c>
      <c r="G96" s="31" t="inlineStr">
        <is>
          <t>N/A</t>
        </is>
      </c>
      <c r="H96" s="31" t="inlineStr">
        <is>
          <t>622d9c1</t>
        </is>
      </c>
      <c r="I96" s="37" t="n"/>
    </row>
    <row r="97">
      <c r="A97" s="41" t="n">
        <v>46294.68273148148</v>
      </c>
      <c r="B97" s="31" t="inlineStr">
        <is>
          <t>DOCX-016</t>
        </is>
      </c>
      <c r="C97" s="31" t="n">
        <v>3</v>
      </c>
      <c r="D97" s="37" t="inlineStr">
        <is>
          <t>DOCX-016 part 1 committed and pushed as 3bb348a; part 2: the PDF numbers lists from their levels (it showed the top level's format only, and • for every bullet).</t>
        </is>
      </c>
      <c r="E97" s="37" t="n"/>
      <c r="F97" s="37" t="inlineStr">
        <is>
          <t>tests/test_docx_numbering.py::test_a_pdf_numbers_each_level_with_its_own_label, ::test_a_pdf_draws_a_lists_own_bullets; backend 953 passed/1 skipped; Playwright 24</t>
        </is>
      </c>
      <c r="G97" s="31" t="inlineStr">
        <is>
          <t>N/A</t>
        </is>
      </c>
      <c r="H97" s="31" t="inlineStr">
        <is>
          <t>622d9c1</t>
        </is>
      </c>
      <c r="I97" s="37" t="n"/>
    </row>
    <row r="98">
      <c r="A98" s="41" t="n">
        <v>46294.69496527778</v>
      </c>
      <c r="B98" s="31" t="inlineStr">
        <is>
          <t>DOCX-016</t>
        </is>
      </c>
      <c r="C98" s="31" t="n">
        <v>3</v>
      </c>
      <c r="D98" s="37" t="inlineStr">
        <is>
          <t>DOCX-016 part 2 committed and pushed as aa132b4; part 3: the editor shows the labels, so lists read the same here, in Word and in a PDF (nested ordered lists showed 1. at every level).</t>
        </is>
      </c>
      <c r="E98" s="37" t="n"/>
      <c r="F98" s="37" t="inlineStr">
        <is>
          <t>frontend/editor/listLabels.test.ts (4); frontend/e2e/list-labels.spec.ts; tests/test_docx_numbering.py (15); tests/test_golden_documents.py::test_15_numbering; backend 953 passed/1 skipped; Vitest 152; Playwright 25 (visual baseline updated: nested lists close up)</t>
        </is>
      </c>
      <c r="G98" s="31" t="inlineStr">
        <is>
          <t>PASS</t>
        </is>
      </c>
      <c r="H98" s="31" t="inlineStr">
        <is>
          <t>622d9c1</t>
        </is>
      </c>
      <c r="I98" s="37" t="n"/>
    </row>
    <row r="99">
      <c r="A99" s="41" t="n">
        <v>46294.69605324074</v>
      </c>
      <c r="B99" s="31" t="inlineStr">
        <is>
          <t>DOCX-016</t>
        </is>
      </c>
      <c r="C99" s="31" t="n">
        <v>3</v>
      </c>
      <c r="D99" s="37" t="inlineStr">
        <is>
          <t>DOCX-016 done: part 3 committed and pushed as bcdc9af (phase-03o-list-labels); follow-ups DOCX-016A..B.</t>
        </is>
      </c>
      <c r="E99" s="37" t="n"/>
      <c r="F99" s="37" t="inlineStr">
        <is>
          <t>frontend/editor/listLabels.test.ts (4); frontend/e2e/list-labels.spec.ts; tests/test_docx_numbering.py (15); tests/test_golden_documents.py::test_15_numbering; backend 953 passed/1 skipped; Vitest 152; Playwright 25 (visual baseline updated: nested lists close up)</t>
        </is>
      </c>
      <c r="G99" s="31" t="inlineStr">
        <is>
          <t>PASS</t>
        </is>
      </c>
      <c r="H99" s="31" t="inlineStr">
        <is>
          <t>bcdc9af</t>
        </is>
      </c>
      <c r="I99" s="37" t="n"/>
    </row>
    <row r="100">
      <c r="A100" s="41" t="n">
        <v>46294.90642361111</v>
      </c>
      <c r="B100" s="31" t="inlineStr">
        <is>
          <t>DOCX-017</t>
        </is>
      </c>
      <c r="C100" s="31" t="n">
        <v>3</v>
      </c>
      <c r="D100" s="37" t="inlineStr">
        <is>
          <t>DOCX-017 part 1a: tables keep their widths, borders (a style's too), margins, heights, header rows (only where the file says), vertical and per-cell alignment and style through the editor, a PDF and Word; they were written as an equal-width grid with a forced bold header.</t>
        </is>
      </c>
      <c r="E100" s="37" t="n"/>
      <c r="F100" s="37" t="inlineStr">
        <is>
          <t>tests/test_docx_tables.py (6); frontend/editor/tableLook.test.ts (3); tests/test_docx_parser.py::test_table_rows_and_cells_are_extracted; backend 959 passed/1 skipped; Vitest 155; Playwright 25</t>
        </is>
      </c>
      <c r="G100" s="31" t="inlineStr">
        <is>
          <t>N/A</t>
        </is>
      </c>
      <c r="H100" s="31" t="n"/>
      <c r="I100" s="37" t="n"/>
    </row>
    <row r="101">
      <c r="A101" s="41" t="n">
        <v>46294.92313657407</v>
      </c>
      <c r="B101" s="31" t="inlineStr">
        <is>
          <t>DOCX-017</t>
        </is>
      </c>
      <c r="C101" s="31" t="n">
        <v>3</v>
      </c>
      <c r="D101" s="37" t="inlineStr">
        <is>
          <t>DOCX-017 part 1a committed and pushed as 49c5a78; part 1b: cells keep their paragraphs, lists, pictures and tables (pictures were dropped, nested tables flattened to text, lists lost their bullets); floating tables and rows kept whole round-trip.</t>
        </is>
      </c>
      <c r="E101" s="37" t="n"/>
      <c r="F101" s="37" t="inlineStr">
        <is>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is>
      </c>
      <c r="G101" s="31" t="inlineStr">
        <is>
          <t>PASS</t>
        </is>
      </c>
      <c r="H101" s="31" t="n"/>
      <c r="I101" s="37" t="n"/>
    </row>
    <row r="102">
      <c r="A102" s="41" t="n">
        <v>46294.92384259259</v>
      </c>
      <c r="B102" s="31" t="inlineStr">
        <is>
          <t>DOCX-017</t>
        </is>
      </c>
      <c r="C102" s="31" t="n">
        <v>3</v>
      </c>
      <c r="D102" s="37" t="inlineStr">
        <is>
          <t>DOCX-017 done: part 1b committed and pushed as 62e7957 (phase-03q-table-cells); follow-ups DOCX-017A..B.</t>
        </is>
      </c>
      <c r="E102" s="37" t="n"/>
      <c r="F102" s="37" t="inlineStr">
        <is>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is>
      </c>
      <c r="G102" s="31" t="inlineStr">
        <is>
          <t>PASS</t>
        </is>
      </c>
      <c r="H102" s="31" t="inlineStr">
        <is>
          <t>62e7957</t>
        </is>
      </c>
      <c r="I102" s="37" t="n"/>
    </row>
    <row r="103">
      <c r="A103" s="41" t="n">
        <v>46294.95582175926</v>
      </c>
      <c r="B103" s="31" t="inlineStr">
        <is>
          <t>DOCX-018</t>
        </is>
      </c>
      <c r="C103" s="31" t="n">
        <v>3</v>
      </c>
      <c r="D103" s="37" t="inlineStr">
        <is>
          <t>Pictures keep their size, crop, turn, flips and floating placement through import, editor, PDF and Word; WebP to PNG; turned room; exact widths.</t>
        </is>
      </c>
      <c r="E103" s="37" t="n"/>
      <c r="F103" s="37" t="inlineStr">
        <is>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is>
      </c>
      <c r="G103" s="31" t="inlineStr">
        <is>
          <t>PASS</t>
        </is>
      </c>
      <c r="H103" s="31" t="n"/>
      <c r="I103" s="37" t="n"/>
    </row>
    <row r="104">
      <c r="A104" s="41" t="n">
        <v>46294.95619212963</v>
      </c>
      <c r="B104" s="31" t="inlineStr">
        <is>
          <t>DOCX-028A</t>
        </is>
      </c>
      <c r="C104" s="31" t="n">
        <v>3</v>
      </c>
      <c r="D104" s="37" t="inlineStr">
        <is>
          <t>Fingerprints leave defaults out; stamps made before are checked by epoch, so stored documents' unchanged blocks stay copied.</t>
        </is>
      </c>
      <c r="E104" s="37" t="n"/>
      <c r="F104" s="37" t="inlineStr">
        <is>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is>
      </c>
      <c r="G104" s="31" t="inlineStr">
        <is>
          <t>PASS</t>
        </is>
      </c>
      <c r="H104" s="31" t="n"/>
      <c r="I104" s="37" t="n"/>
    </row>
    <row r="105">
      <c r="A105" s="41" t="n">
        <v>46294.95623842593</v>
      </c>
      <c r="B105" s="31" t="inlineStr">
        <is>
          <t>PDF-013</t>
        </is>
      </c>
      <c r="C105" s="31" t="n">
        <v>3</v>
      </c>
      <c r="D105" s="37" t="inlineStr">
        <is>
          <t>PDF: nested blocks drawn in their container's text look instead of unstyled Helvetica.</t>
        </is>
      </c>
      <c r="E105" s="37" t="n"/>
      <c r="F105" s="37" t="inlineStr">
        <is>
          <t>tests/test_docx_pictures.py::test_in_a_pdf_the_text_by_a_picture_in_a_cell_keeps_the_tables_look (fails without the fallback); backend 987 passed/1 skipped</t>
        </is>
      </c>
      <c r="G105" s="31" t="inlineStr">
        <is>
          <t>PASS</t>
        </is>
      </c>
      <c r="H105" s="31" t="n"/>
      <c r="I105" s="37" t="n"/>
    </row>
    <row r="106">
      <c r="A106" s="41" t="n">
        <v>46294.96511574074</v>
      </c>
      <c r="B106" s="31" t="inlineStr">
        <is>
          <t>DOCX-027</t>
        </is>
      </c>
      <c r="C106" s="31" t="n">
        <v>3</v>
      </c>
      <c r="D106" s="37" t="inlineStr">
        <is>
          <t>List items keep their pictures (top-level and in cells); a picture-only numbered paragraph is an item; Word export writes them into the item's paragraph.</t>
        </is>
      </c>
      <c r="E106" s="37" t="n"/>
      <c r="F106" s="37" t="inlineStr">
        <is>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is>
      </c>
      <c r="G106" s="31" t="inlineStr">
        <is>
          <t>PASS</t>
        </is>
      </c>
      <c r="H106" s="31" t="n"/>
      <c r="I106" s="37" t="n"/>
    </row>
    <row r="107">
      <c r="A107" s="41" t="n">
        <v>46295.10587962963</v>
      </c>
      <c r="B107" s="31" t="inlineStr">
        <is>
          <t>FMT-004</t>
        </is>
      </c>
      <c r="C107" s="31" t="n">
        <v>3</v>
      </c>
      <c r="D107" s="37" t="inlineStr">
        <is>
          <t>Imported Word styles are complete: what they leave unset is what Word draws, not the app's defaults; templates still win.</t>
        </is>
      </c>
      <c r="E107" s="37" t="n"/>
      <c r="F107" s="37" t="inlineStr">
        <is>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is>
      </c>
      <c r="G107" s="31" t="inlineStr">
        <is>
          <t>PASS</t>
        </is>
      </c>
      <c r="H107" s="31" t="n"/>
      <c r="I107" s="37" t="n"/>
    </row>
    <row r="108">
      <c r="A108" s="41" t="n">
        <v>46295.11458333334</v>
      </c>
      <c r="B108" s="31" t="inlineStr">
        <is>
          <t>DOCX-026</t>
        </is>
      </c>
      <c r="C108" s="31" t="n">
        <v>3</v>
      </c>
      <c r="D108" s="37" t="inlineStr">
        <is>
          <t>No silent autolink: plain-text addresses stay text unless the upload asks for links; the report says so only then.</t>
        </is>
      </c>
      <c r="E108" s="37" t="n"/>
      <c r="F108" s="37" t="inlineStr">
        <is>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is>
      </c>
      <c r="G108" s="31" t="inlineStr">
        <is>
          <t>PASS</t>
        </is>
      </c>
      <c r="H108" s="31" t="inlineStr">
        <is>
          <t>622d9c1</t>
        </is>
      </c>
      <c r="I108" s="37" t="n"/>
    </row>
    <row r="109">
      <c r="A109" s="41" t="n">
        <v>46295.12199074074</v>
      </c>
      <c r="B109" s="31" t="inlineStr">
        <is>
          <t>TEST-020</t>
        </is>
      </c>
      <c r="C109" s="31" t="n">
        <v>3</v>
      </c>
      <c r="D109" s="37" t="inlineStr">
        <is>
          <t>20 Word-authored fixtures in the repository, scrubbed and guarded; builder script committed.</t>
        </is>
      </c>
      <c r="E109" s="37" t="n"/>
      <c r="F109" s="37" t="inlineStr">
        <is>
          <t>backend 1037 passed/1 skipped (tests/test_word_fixtures.py 41: 20 files listed in the manifest with nothing refused; nothing identifying in any part - labels, presence info, home folders, non-example e-mails, authors, core/app properties; each imports and exports to a sound Word file)</t>
        </is>
      </c>
      <c r="G109" s="31" t="inlineStr">
        <is>
          <t>PASS</t>
        </is>
      </c>
      <c r="H109" s="31" t="n"/>
      <c r="I109" s="37" t="n"/>
    </row>
    <row r="110">
      <c r="A110" s="41" t="n">
        <v>46295.12659722222</v>
      </c>
      <c r="B110" s="31" t="inlineStr">
        <is>
          <t>TEST-021</t>
        </is>
      </c>
      <c r="C110" s="31" t="n">
        <v>3</v>
      </c>
      <c r="D110" s="37" t="inlineStr">
        <is>
          <t>Expected-loss manifests for all fixtures, compared in CI; PDF per platform.</t>
        </is>
      </c>
      <c r="E110" s="37" t="n"/>
      <c r="F110" s="37" t="inlineStr">
        <is>
          <t>backend 1075 passed/1 skipped (tests/test_expected_losses.py 38: every fixture has a manifest; each fixture loses what its manifest says - deterministic over two runs; a mutated manifest fails naming the new item and the content change)</t>
        </is>
      </c>
      <c r="G110" s="31" t="inlineStr">
        <is>
          <t>PASS</t>
        </is>
      </c>
      <c r="H110" s="31" t="n"/>
      <c r="I110" s="37" t="n"/>
    </row>
    <row r="111">
      <c r="A111" s="41" t="n">
        <v>46295.13648148148</v>
      </c>
      <c r="B111" s="31" t="inlineStr">
        <is>
          <t>TEST-022</t>
        </is>
      </c>
      <c r="C111" s="31" t="n">
        <v>3</v>
      </c>
      <c r="D111" s="37" t="inlineStr">
        <is>
          <t>True fidelity test on four axes for every fixture; fixed the export's title overwrite and kinds not following Normal after a template.</t>
        </is>
      </c>
      <c r="E111" s="37" t="n"/>
      <c r="F111" s="37" t="inlineStr">
        <is>
          <t>backend 1224 passed/1 skipped (tests/test_true_fidelity.py 149: 37 fixtures x 4 axes + manifest check; test_docx_detect title case updated incl. a rename); Vitest 166; Playwright 28 (visual baseline regenerated and reviewed); tsc + eslint clean</t>
        </is>
      </c>
      <c r="G111" s="31" t="inlineStr">
        <is>
          <t>PASS</t>
        </is>
      </c>
      <c r="H111" s="31" t="n"/>
      <c r="I111" s="37" t="n"/>
    </row>
    <row r="112">
      <c r="A112" s="41" t="n">
        <v>46295.14864583333</v>
      </c>
      <c r="B112" s="31" t="inlineStr">
        <is>
          <t>DOCX-019</t>
        </is>
      </c>
      <c r="C112" s="31" t="n">
        <v>3</v>
      </c>
      <c r="D112" s="37" t="inlineStr">
        <is>
          <t>Charts, SmartArt, shapes and embedded objects survive Word exports that rewrite their paragraph; SmartArt drawing part kept; unique drawing ids.</t>
        </is>
      </c>
      <c r="E112" s="37" t="n"/>
      <c r="F112" s="37" t="inlineStr">
        <is>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is>
      </c>
      <c r="G112" s="31" t="inlineStr">
        <is>
          <t>PASS</t>
        </is>
      </c>
      <c r="H112" s="31" t="n"/>
      <c r="I112" s="37" t="n"/>
    </row>
    <row r="113">
      <c r="A113" s="41" t="n">
        <v>46295.31453703704</v>
      </c>
      <c r="B113" s="31" t="inlineStr">
        <is>
          <t>DOCX-020</t>
        </is>
      </c>
      <c r="C113" s="31" t="n">
        <v>3</v>
      </c>
      <c r="D113" s="37" t="inlineStr">
        <is>
          <t>Tables of contents and bibliographies stay fields through Word exports; fixed the fragment writer dropping text between fragment edges.</t>
        </is>
      </c>
      <c r="E113" s="37" t="n"/>
      <c r="F113" s="37" t="inlineStr">
        <is>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is>
      </c>
      <c r="G113" s="31" t="inlineStr">
        <is>
          <t>PASS</t>
        </is>
      </c>
      <c r="H113" s="31" t="n"/>
      <c r="I113" s="37" t="n"/>
    </row>
    <row r="114">
      <c r="A114" s="41" t="n">
        <v>46295.34408564815</v>
      </c>
      <c r="B114" s="31" t="inlineStr">
        <is>
          <t>DOCX-021</t>
        </is>
      </c>
      <c r="C114" s="31" t="n">
        <v>3</v>
      </c>
      <c r="D114" s="37" t="inlineStr">
        <is>
          <t>Comment threads (replies, resolved) and ranges over paragraphs survive every Word export; Word threads replies again.</t>
        </is>
      </c>
      <c r="E114" s="37" t="inlineStr">
        <is>
          <t>backend/app/parsers/docx_comments.py, backend/app/parsers/docx.py, backend/app/export/docx_export.py, backend/app/export/package_check.py, backend/app/fidelity/round_trip.py, backend/app/capabilities.py, backend/tests/test_docx_comments.py, docs/docx/README.md, docs/testing/README.md</t>
        </is>
      </c>
      <c r="F114" s="37" t="inlineStr">
        <is>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is>
      </c>
      <c r="G114" s="31" t="inlineStr">
        <is>
          <t>PASS</t>
        </is>
      </c>
      <c r="H114" s="31" t="n"/>
      <c r="I114" s="37" t="n"/>
    </row>
  </sheetData>
  <autoFilter ref="A1:I114"/>
  <conditionalFormatting sqref="G2:G5000">
    <cfRule type="cellIs" priority="1" operator="equal" dxfId="347">
      <formula>"PASS"</formula>
    </cfRule>
    <cfRule type="cellIs" priority="2" operator="equal" dxfId="341">
      <formula>"FAIL"</formula>
    </cfRule>
    <cfRule type="cellIs" priority="3" operator="equal" dxfId="342">
      <formula>"PARTIAL"</formula>
    </cfRule>
  </conditionalFormatting>
  <dataValidations count="1">
    <dataValidation sqref="G2:G5000" showDropDown="0" showInputMessage="0" showErrorMessage="1" allowBlank="1" errorTitle="Invalid result" error="Pick a result from the list." type="list" errorStyle="stop">
      <formula1>"PASS,FAIL,PARTIAL,N/A"</formula1>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7F7F7F"/>
    <outlinePr summaryBelow="1" summaryRight="1"/>
    <pageSetUpPr fitToPage="1"/>
  </sheetPr>
  <dimension ref="A1:B21"/>
  <sheetViews>
    <sheetView workbookViewId="0">
      <pane ySplit="4" topLeftCell="A5" activePane="bottomLeft" state="frozen"/>
      <selection pane="bottomLeft" activeCell="A1" sqref="A1"/>
    </sheetView>
  </sheetViews>
  <sheetFormatPr baseColWidth="8" defaultRowHeight="15"/>
  <cols>
    <col width="26" customWidth="1" min="1" max="1"/>
    <col width="120" customWidth="1" min="2" max="2"/>
  </cols>
  <sheetData>
    <row r="1">
      <c r="A1" s="22" t="inlineStr">
        <is>
          <t>SESSION_STATE — Where the work stands</t>
        </is>
      </c>
    </row>
    <row r="2">
      <c r="A2" s="23" t="inlineStr">
        <is>
          <t>Current phase and task, last verification, next action. Mirrors docs/session-state.json.</t>
        </is>
      </c>
    </row>
    <row r="3">
      <c r="A3" s="2" t="inlineStr">
        <is>
          <t>Resume with: Прочети docs/AI-CONTINUATION.md и продължи от next task.</t>
        </is>
      </c>
    </row>
    <row r="4">
      <c r="A4" s="29" t="inlineStr">
        <is>
          <t>Field</t>
        </is>
      </c>
      <c r="B4" s="29" t="inlineStr">
        <is>
          <t>Value</t>
        </is>
      </c>
    </row>
    <row r="5">
      <c r="A5" s="25" t="inlineStr">
        <is>
          <t>Current Phase</t>
        </is>
      </c>
      <c r="B5" s="37" t="inlineStr">
        <is>
          <t>3 — DOCX / OOXML preservation — IN_PROGRESS</t>
        </is>
      </c>
    </row>
    <row r="6">
      <c r="A6" s="25" t="inlineStr">
        <is>
          <t>Current Task</t>
        </is>
      </c>
      <c r="B6" s="37" t="inlineStr">
        <is>
          <t>DOCX-021 — Comment threads: replies, resolved state, authors, ranges preserved (commentsExtended, people).</t>
        </is>
      </c>
    </row>
    <row r="7">
      <c r="A7" s="25" t="inlineStr">
        <is>
          <t>Last Completed</t>
        </is>
      </c>
      <c r="B7" s="37" t="inlineStr">
        <is>
          <t>DOCX-020 — Fields running across paragraphs (TOC, bibliography) kept as open/close regions and written back (copied whole into the original when unchanged); fragment writer no longer drops text between fragment edges. Follow-up DOCX-020A (header fields in edited headers). DONE (2d8ad45).</t>
        </is>
      </c>
    </row>
    <row r="8">
      <c r="A8" s="25" t="inlineStr">
        <is>
          <t>Last Verified</t>
        </is>
      </c>
      <c r="B8" s="37" t="inlineStr">
        <is>
          <t>DOCX-020 — TOC and bibliography survive Word exports; Word updates them — PASS — 2026-09-30 · command: backend pytest; npx vitest run; npx playwright test; npx tsc --noEmit; npx eslint .; Word field update check</t>
        </is>
      </c>
    </row>
    <row r="9">
      <c r="A9" s="25" t="inlineStr">
        <is>
          <t>Current Branch</t>
        </is>
      </c>
      <c r="B9" s="37" t="inlineStr">
        <is>
          <t>feature/smartdoc-production-hardening</t>
        </is>
      </c>
    </row>
    <row r="10">
      <c r="A10" s="25" t="inlineStr">
        <is>
          <t>Current Commit</t>
        </is>
      </c>
      <c r="B10" s="37" t="inlineStr">
        <is>
          <t>2d8ad45 (+ uncommitted changes)</t>
        </is>
      </c>
    </row>
    <row r="11">
      <c r="A11" s="25" t="inlineStr">
        <is>
          <t>Tests Passed</t>
        </is>
      </c>
      <c r="B11" s="37" t="inlineStr">
        <is>
          <t>backend 1233 passed / 1 skipped; vitest 166 passed; e2e 28 passed; tsc; eslint; Word fields</t>
        </is>
      </c>
    </row>
    <row r="12">
      <c r="A12" s="25" t="inlineStr">
        <is>
          <t>Tests Failed</t>
        </is>
      </c>
      <c r="B12" s="37" t="inlineStr">
        <is>
          <t>none</t>
        </is>
      </c>
    </row>
    <row r="13">
      <c r="A13" s="25" t="inlineStr">
        <is>
          <t>Open Blockers</t>
        </is>
      </c>
      <c r="B13" s="37" t="inlineStr">
        <is>
          <t>SEC-021 (needs Boril, not blocking the work): корекции.docx in the public history carries MSIP sensitivity-label properties with the organisation's tenant ID; leave / scrub HEAD / purge history?</t>
        </is>
      </c>
    </row>
    <row r="14">
      <c r="A14" s="25" t="inlineStr">
        <is>
          <t>Next Task</t>
        </is>
      </c>
      <c r="B14" s="37" t="inlineStr">
        <is>
          <t>DOCX-021 — Comment threads: keep replies (parent), resolved state (done), authors, ranges; write commentsExtended/commentsIds/people back instead of dropping _COMMENT_EXTRAS; measure with Word first (a07).</t>
        </is>
      </c>
    </row>
    <row r="15">
      <c r="A15" s="25" t="inlineStr">
        <is>
          <t>Next Command</t>
        </is>
      </c>
      <c r="B15" s="37" t="n"/>
    </row>
    <row r="16">
      <c r="A16" s="25" t="inlineStr">
        <is>
          <t>Next Test</t>
        </is>
      </c>
      <c r="B16" s="37" t="n"/>
    </row>
    <row r="17">
      <c r="A17" s="25" t="inlineStr">
        <is>
          <t>Checkpoint Time</t>
        </is>
      </c>
      <c r="B17" s="37" t="inlineStr">
        <is>
          <t>2026-09-30T07:34:17+03:00</t>
        </is>
      </c>
    </row>
    <row r="18">
      <c r="A18" s="25" t="inlineStr">
        <is>
          <t>Resume Instructions</t>
        </is>
      </c>
      <c r="B18" s="37" t="inlineStr">
        <is>
          <t>Прочети docs/AI-CONTINUATION.md и продължи от next task.</t>
        </is>
      </c>
    </row>
    <row r="19">
      <c r="A19" s="25" t="inlineStr">
        <is>
          <t>Excel Status</t>
        </is>
      </c>
      <c r="B19" s="37">
        <f>"Tasks "&amp;DASHBOARD!B5&amp;" · done "&amp;DASHBOARD!B6&amp;" · verified "&amp;DASHBOARD!B7&amp;" · in progress "&amp;DASHBOARD!B8&amp;" · blocked "&amp;DASHBOARD!B9&amp;" · failed "&amp;DASHBOARD!B10&amp;" · P0 open "&amp;DASHBOARD!B16&amp;" · P1 open "&amp;DASHBOARD!B17</f>
        <v/>
      </c>
    </row>
    <row r="20">
      <c r="A20" s="25" t="inlineStr">
        <is>
          <t>Production Code Changed</t>
        </is>
      </c>
      <c r="B20" s="37" t="inlineStr">
        <is>
          <t>yes</t>
        </is>
      </c>
    </row>
    <row r="21">
      <c r="A21" s="25" t="inlineStr">
        <is>
          <t>DB Migrations Applied</t>
        </is>
      </c>
      <c r="B21" s="37" t="inlineStr">
        <is>
          <t>no</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tabColor rgb="00548235"/>
    <outlinePr summaryBelow="1" summaryRight="1"/>
    <pageSetUpPr fitToPage="1"/>
  </sheetPr>
  <dimension ref="A1:I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5" customWidth="1" min="3" max="3"/>
    <col width="34" customWidth="1" min="4" max="4"/>
    <col width="12" customWidth="1" min="5" max="5"/>
    <col width="12" customWidth="1" min="6" max="6"/>
    <col width="60" customWidth="1" min="7" max="7"/>
    <col width="17" customWidth="1" min="8" max="8"/>
    <col width="40" customWidth="1" min="9" max="9"/>
  </cols>
  <sheetData>
    <row r="1">
      <c r="A1" s="22" t="inlineStr">
        <is>
          <t>RELEASE_GATES — Release gates</t>
        </is>
      </c>
    </row>
    <row r="2">
      <c r="A2" s="23" t="inlineStr">
        <is>
          <t>GATE-001..015. A gate is set to PASS only with evidence from its verification run.</t>
        </is>
      </c>
    </row>
    <row r="3">
      <c r="A3" s="25" t="inlineStr">
        <is>
          <t>Gates</t>
        </is>
      </c>
      <c r="B3" s="25" t="inlineStr">
        <is>
          <t>PASS</t>
        </is>
      </c>
      <c r="C3" s="25" t="inlineStr">
        <is>
          <t>FAIL</t>
        </is>
      </c>
      <c r="D3" s="25" t="inlineStr">
        <is>
          <t>NOT_EVALUATED</t>
        </is>
      </c>
    </row>
    <row r="4">
      <c r="A4" s="26">
        <f>COUNTA(A7:A21)</f>
        <v/>
      </c>
      <c r="B4" s="26">
        <f>COUNTIF(C7:C21,"PASS")</f>
        <v/>
      </c>
      <c r="C4" s="26">
        <f>COUNTIF(C7:C21,"FAIL")</f>
        <v/>
      </c>
      <c r="D4" s="26">
        <f>COUNTIF(C7:C21,"NOT_EVALUATED")</f>
        <v/>
      </c>
    </row>
    <row r="6">
      <c r="A6" s="29" t="inlineStr">
        <is>
          <t>Gate ID</t>
        </is>
      </c>
      <c r="B6" s="29" t="inlineStr">
        <is>
          <t>Gate</t>
        </is>
      </c>
      <c r="C6" s="29" t="inlineStr">
        <is>
          <t>Status</t>
        </is>
      </c>
      <c r="D6" s="29" t="inlineStr">
        <is>
          <t>Linked Tasks</t>
        </is>
      </c>
      <c r="E6" s="29" t="inlineStr">
        <is>
          <t>Linked Done</t>
        </is>
      </c>
      <c r="F6" s="29" t="inlineStr">
        <is>
          <t>Linked Total</t>
        </is>
      </c>
      <c r="G6" s="29" t="inlineStr">
        <is>
          <t>Evidence</t>
        </is>
      </c>
      <c r="H6" s="29" t="inlineStr">
        <is>
          <t>Last Verified</t>
        </is>
      </c>
      <c r="I6" s="29" t="inlineStr">
        <is>
          <t>Notes</t>
        </is>
      </c>
    </row>
    <row r="7">
      <c r="A7" s="34" t="inlineStr">
        <is>
          <t>GATE-001</t>
        </is>
      </c>
      <c r="B7" s="37" t="inlineStr">
        <is>
          <t>No silent content loss</t>
        </is>
      </c>
      <c r="C7" s="31" t="inlineStr">
        <is>
          <t>NOT_EVALUATED</t>
        </is>
      </c>
      <c r="D7" s="37" t="inlineStr">
        <is>
          <t>TEST-022,EDIT-006,FID-002</t>
        </is>
      </c>
      <c r="E7" s="35">
        <f>SUMPRODUCT(ISNUMBER(SEARCH(","&amp;MASTER!$A$2:$A$2000&amp;",",","&amp;SUBSTITUTE($D7," ","")&amp;","))*((MASTER!$G$2:$G$2000="DONE")))</f>
        <v/>
      </c>
      <c r="F7" s="35">
        <f>IF(LEN(SUBSTITUTE($D7," ",""))=0,0,LEN(SUBSTITUTE($D7," ",""))-LEN(SUBSTITUTE(SUBSTITUTE($D7," ",""),",",""))+1)</f>
        <v/>
      </c>
      <c r="G7" s="37" t="n"/>
      <c r="H7" s="41" t="n"/>
      <c r="I7" s="37" t="n"/>
    </row>
    <row r="8">
      <c r="A8" s="34" t="inlineStr">
        <is>
          <t>GATE-002</t>
        </is>
      </c>
      <c r="B8" s="37" t="inlineStr">
        <is>
          <t>No unauthorized document access</t>
        </is>
      </c>
      <c r="C8" s="31" t="inlineStr">
        <is>
          <t>NOT_EVALUATED</t>
        </is>
      </c>
      <c r="D8" s="37" t="inlineStr">
        <is>
          <t>TEST-030</t>
        </is>
      </c>
      <c r="E8" s="35">
        <f>SUMPRODUCT(ISNUMBER(SEARCH(","&amp;MASTER!$A$2:$A$2000&amp;",",","&amp;SUBSTITUTE($D8," ","")&amp;","))*((MASTER!$G$2:$G$2000="DONE")))</f>
        <v/>
      </c>
      <c r="F8" s="35">
        <f>IF(LEN(SUBSTITUTE($D8," ",""))=0,0,LEN(SUBSTITUTE($D8," ",""))-LEN(SUBSTITUTE(SUBSTITUTE($D8," ",""),",",""))+1)</f>
        <v/>
      </c>
      <c r="G8" s="37" t="n"/>
      <c r="H8" s="41" t="n"/>
      <c r="I8" s="37" t="n"/>
    </row>
    <row r="9">
      <c r="A9" s="34" t="inlineStr">
        <is>
          <t>GATE-003</t>
        </is>
      </c>
      <c r="B9" s="37" t="inlineStr">
        <is>
          <t>AI cannot silently change content</t>
        </is>
      </c>
      <c r="C9" s="31" t="inlineStr">
        <is>
          <t>NOT_EVALUATED</t>
        </is>
      </c>
      <c r="D9" s="37" t="inlineStr">
        <is>
          <t>AI-004,AI-006</t>
        </is>
      </c>
      <c r="E9" s="35">
        <f>SUMPRODUCT(ISNUMBER(SEARCH(","&amp;MASTER!$A$2:$A$2000&amp;",",","&amp;SUBSTITUTE($D9," ","")&amp;","))*((MASTER!$G$2:$G$2000="DONE")))</f>
        <v/>
      </c>
      <c r="F9" s="35">
        <f>IF(LEN(SUBSTITUTE($D9," ",""))=0,0,LEN(SUBSTITUTE($D9," ",""))-LEN(SUBSTITUTE(SUBSTITUTE($D9," ",""),",",""))+1)</f>
        <v/>
      </c>
      <c r="G9" s="37" t="n"/>
      <c r="H9" s="41" t="n"/>
      <c r="I9" s="37" t="n"/>
    </row>
    <row r="10">
      <c r="A10" s="34" t="inlineStr">
        <is>
          <t>GATE-004</t>
        </is>
      </c>
      <c r="B10" s="37" t="inlineStr">
        <is>
          <t>Plan limits atomic</t>
        </is>
      </c>
      <c r="C10" s="31" t="inlineStr">
        <is>
          <t>NOT_EVALUATED</t>
        </is>
      </c>
      <c r="D10" s="37" t="inlineStr">
        <is>
          <t>PLAN-003</t>
        </is>
      </c>
      <c r="E10" s="35">
        <f>SUMPRODUCT(ISNUMBER(SEARCH(","&amp;MASTER!$A$2:$A$2000&amp;",",","&amp;SUBSTITUTE($D10," ","")&amp;","))*((MASTER!$G$2:$G$2000="DONE")))</f>
        <v/>
      </c>
      <c r="F10" s="35">
        <f>IF(LEN(SUBSTITUTE($D10," ",""))=0,0,LEN(SUBSTITUTE($D10," ",""))-LEN(SUBSTITUTE(SUBSTITUTE($D10," ",""),",",""))+1)</f>
        <v/>
      </c>
      <c r="G10" s="37" t="n"/>
      <c r="H10" s="41" t="n"/>
      <c r="I10" s="37" t="n"/>
    </row>
    <row r="11">
      <c r="A11" s="34" t="inlineStr">
        <is>
          <t>GATE-005</t>
        </is>
      </c>
      <c r="B11" s="37" t="inlineStr">
        <is>
          <t>Safe file uploads</t>
        </is>
      </c>
      <c r="C11" s="31" t="inlineStr">
        <is>
          <t>NOT_EVALUATED</t>
        </is>
      </c>
      <c r="D11" s="37" t="inlineStr">
        <is>
          <t>SEC-010,SEC-011,SEC-012</t>
        </is>
      </c>
      <c r="E11" s="35">
        <f>SUMPRODUCT(ISNUMBER(SEARCH(","&amp;MASTER!$A$2:$A$2000&amp;",",","&amp;SUBSTITUTE($D11," ","")&amp;","))*((MASTER!$G$2:$G$2000="DONE")))</f>
        <v/>
      </c>
      <c r="F11" s="35">
        <f>IF(LEN(SUBSTITUTE($D11," ",""))=0,0,LEN(SUBSTITUTE($D11," ",""))-LEN(SUBSTITUTE(SUBSTITUTE($D11," ",""),",",""))+1)</f>
        <v/>
      </c>
      <c r="G11" s="37" t="n"/>
      <c r="H11" s="41" t="n"/>
      <c r="I11" s="37" t="n"/>
    </row>
    <row r="12">
      <c r="A12" s="34" t="inlineStr">
        <is>
          <t>GATE-006</t>
        </is>
      </c>
      <c r="B12" s="37" t="inlineStr">
        <is>
          <t>DOCX valid</t>
        </is>
      </c>
      <c r="C12" s="31" t="inlineStr">
        <is>
          <t>NOT_EVALUATED</t>
        </is>
      </c>
      <c r="D12" s="37" t="inlineStr">
        <is>
          <t>TEST-023</t>
        </is>
      </c>
      <c r="E12" s="35">
        <f>SUMPRODUCT(ISNUMBER(SEARCH(","&amp;MASTER!$A$2:$A$2000&amp;",",","&amp;SUBSTITUTE($D12," ","")&amp;","))*((MASTER!$G$2:$G$2000="DONE")))</f>
        <v/>
      </c>
      <c r="F12" s="35">
        <f>IF(LEN(SUBSTITUTE($D12," ",""))=0,0,LEN(SUBSTITUTE($D12," ",""))-LEN(SUBSTITUTE(SUBSTITUTE($D12," ",""),",",""))+1)</f>
        <v/>
      </c>
      <c r="G12" s="37" t="n"/>
      <c r="H12" s="41" t="n"/>
      <c r="I12" s="37" t="n"/>
    </row>
    <row r="13">
      <c r="A13" s="34" t="inlineStr">
        <is>
          <t>GATE-007</t>
        </is>
      </c>
      <c r="B13" s="37" t="inlineStr">
        <is>
          <t>PDF valid</t>
        </is>
      </c>
      <c r="C13" s="31" t="inlineStr">
        <is>
          <t>NOT_EVALUATED</t>
        </is>
      </c>
      <c r="D13" s="37" t="inlineStr">
        <is>
          <t>TEST-023</t>
        </is>
      </c>
      <c r="E13" s="35">
        <f>SUMPRODUCT(ISNUMBER(SEARCH(","&amp;MASTER!$A$2:$A$2000&amp;",",","&amp;SUBSTITUTE($D13," ","")&amp;","))*((MASTER!$G$2:$G$2000="DONE")))</f>
        <v/>
      </c>
      <c r="F13" s="35">
        <f>IF(LEN(SUBSTITUTE($D13," ",""))=0,0,LEN(SUBSTITUTE($D13," ",""))-LEN(SUBSTITUTE(SUBSTITUTE($D13," ",""),",",""))+1)</f>
        <v/>
      </c>
      <c r="G13" s="37" t="n"/>
      <c r="H13" s="41" t="n"/>
      <c r="I13" s="37" t="n"/>
    </row>
    <row r="14">
      <c r="A14" s="34" t="inlineStr">
        <is>
          <t>GATE-008</t>
        </is>
      </c>
      <c r="B14" s="37" t="inlineStr">
        <is>
          <t>Multilingual PDF readable</t>
        </is>
      </c>
      <c r="C14" s="31" t="inlineStr">
        <is>
          <t>NOT_EVALUATED</t>
        </is>
      </c>
      <c r="D14" s="37" t="inlineStr">
        <is>
          <t>FONT-006</t>
        </is>
      </c>
      <c r="E14" s="35">
        <f>SUMPRODUCT(ISNUMBER(SEARCH(","&amp;MASTER!$A$2:$A$2000&amp;",",","&amp;SUBSTITUTE($D14," ","")&amp;","))*((MASTER!$G$2:$G$2000="DONE")))</f>
        <v/>
      </c>
      <c r="F14" s="35">
        <f>IF(LEN(SUBSTITUTE($D14," ",""))=0,0,LEN(SUBSTITUTE($D14," ",""))-LEN(SUBSTITUTE(SUBSTITUTE($D14," ",""),",",""))+1)</f>
        <v/>
      </c>
      <c r="G14" s="37" t="n"/>
      <c r="H14" s="41" t="n"/>
      <c r="I14" s="37" t="n"/>
    </row>
    <row r="15">
      <c r="A15" s="34" t="inlineStr">
        <is>
          <t>GATE-009</t>
        </is>
      </c>
      <c r="B15" s="37" t="inlineStr">
        <is>
          <t>PDF conversion has confidence/reporting</t>
        </is>
      </c>
      <c r="C15" s="31" t="inlineStr">
        <is>
          <t>NOT_EVALUATED</t>
        </is>
      </c>
      <c r="D15" s="37" t="inlineStr">
        <is>
          <t>P2E-005</t>
        </is>
      </c>
      <c r="E15" s="35">
        <f>SUMPRODUCT(ISNUMBER(SEARCH(","&amp;MASTER!$A$2:$A$2000&amp;",",","&amp;SUBSTITUTE($D15," ","")&amp;","))*((MASTER!$G$2:$G$2000="DONE")))</f>
        <v/>
      </c>
      <c r="F15" s="35">
        <f>IF(LEN(SUBSTITUTE($D15," ",""))=0,0,LEN(SUBSTITUTE($D15," ",""))-LEN(SUBSTITUTE(SUBSTITUTE($D15," ",""),",",""))+1)</f>
        <v/>
      </c>
      <c r="G15" s="37" t="n"/>
      <c r="H15" s="41" t="n"/>
      <c r="I15" s="37" t="n"/>
    </row>
    <row r="16">
      <c r="A16" s="34" t="inlineStr">
        <is>
          <t>GATE-010</t>
        </is>
      </c>
      <c r="B16" s="37" t="inlineStr">
        <is>
          <t>Translation preserves formatting</t>
        </is>
      </c>
      <c r="C16" s="31" t="inlineStr">
        <is>
          <t>NOT_EVALUATED</t>
        </is>
      </c>
      <c r="D16" s="37" t="inlineStr">
        <is>
          <t>TRAN-010</t>
        </is>
      </c>
      <c r="E16" s="35">
        <f>SUMPRODUCT(ISNUMBER(SEARCH(","&amp;MASTER!$A$2:$A$2000&amp;",",","&amp;SUBSTITUTE($D16," ","")&amp;","))*((MASTER!$G$2:$G$2000="DONE")))</f>
        <v/>
      </c>
      <c r="F16" s="35">
        <f>IF(LEN(SUBSTITUTE($D16," ",""))=0,0,LEN(SUBSTITUTE($D16," ",""))-LEN(SUBSTITUTE(SUBSTITUTE($D16," ",""),",",""))+1)</f>
        <v/>
      </c>
      <c r="G16" s="37" t="n"/>
      <c r="H16" s="41" t="n"/>
      <c r="I16" s="37" t="n"/>
    </row>
    <row r="17">
      <c r="A17" s="34" t="inlineStr">
        <is>
          <t>GATE-011</t>
        </is>
      </c>
      <c r="B17" s="37" t="inlineStr">
        <is>
          <t>No destructive translation overwrite</t>
        </is>
      </c>
      <c r="C17" s="31" t="inlineStr">
        <is>
          <t>NOT_EVALUATED</t>
        </is>
      </c>
      <c r="D17" s="37" t="inlineStr">
        <is>
          <t>TRAN-006</t>
        </is>
      </c>
      <c r="E17" s="35">
        <f>SUMPRODUCT(ISNUMBER(SEARCH(","&amp;MASTER!$A$2:$A$2000&amp;",",","&amp;SUBSTITUTE($D17," ","")&amp;","))*((MASTER!$G$2:$G$2000="DONE")))</f>
        <v/>
      </c>
      <c r="F17" s="35">
        <f>IF(LEN(SUBSTITUTE($D17," ",""))=0,0,LEN(SUBSTITUTE($D17," ",""))-LEN(SUBSTITUTE(SUBSTITUTE($D17," ",""),",",""))+1)</f>
        <v/>
      </c>
      <c r="G17" s="37" t="n"/>
      <c r="H17" s="41" t="n"/>
      <c r="I17" s="37" t="n"/>
    </row>
    <row r="18">
      <c r="A18" s="34" t="inlineStr">
        <is>
          <t>GATE-012</t>
        </is>
      </c>
      <c r="B18" s="37" t="inlineStr">
        <is>
          <t>Critical E2E passes</t>
        </is>
      </c>
      <c r="C18" s="31" t="inlineStr">
        <is>
          <t>NOT_EVALUATED</t>
        </is>
      </c>
      <c r="D18" s="37" t="inlineStr">
        <is>
          <t>TEST-040</t>
        </is>
      </c>
      <c r="E18" s="35">
        <f>SUMPRODUCT(ISNUMBER(SEARCH(","&amp;MASTER!$A$2:$A$2000&amp;",",","&amp;SUBSTITUTE($D18," ","")&amp;","))*((MASTER!$G$2:$G$2000="DONE")))</f>
        <v/>
      </c>
      <c r="F18" s="35">
        <f>IF(LEN(SUBSTITUTE($D18," ",""))=0,0,LEN(SUBSTITUTE($D18," ",""))-LEN(SUBSTITUTE(SUBSTITUTE($D18," ",""),",",""))+1)</f>
        <v/>
      </c>
      <c r="G18" s="37" t="n"/>
      <c r="H18" s="41" t="n"/>
      <c r="I18" s="37" t="n"/>
    </row>
    <row r="19">
      <c r="A19" s="34" t="inlineStr">
        <is>
          <t>GATE-013</t>
        </is>
      </c>
      <c r="B19" s="37" t="inlineStr">
        <is>
          <t>Migrations clean</t>
        </is>
      </c>
      <c r="C19" s="31" t="inlineStr">
        <is>
          <t>NOT_EVALUATED</t>
        </is>
      </c>
      <c r="D19" s="37" t="inlineStr">
        <is>
          <t>TEST-004</t>
        </is>
      </c>
      <c r="E19" s="35">
        <f>SUMPRODUCT(ISNUMBER(SEARCH(","&amp;MASTER!$A$2:$A$2000&amp;",",","&amp;SUBSTITUTE($D19," ","")&amp;","))*((MASTER!$G$2:$G$2000="DONE")))</f>
        <v/>
      </c>
      <c r="F19" s="35">
        <f>IF(LEN(SUBSTITUTE($D19," ",""))=0,0,LEN(SUBSTITUTE($D19," ",""))-LEN(SUBSTITUTE(SUBSTITUTE($D19," ",""),",",""))+1)</f>
        <v/>
      </c>
      <c r="G19" s="37" t="n"/>
      <c r="H19" s="41" t="n"/>
      <c r="I19" s="37" t="n"/>
    </row>
    <row r="20">
      <c r="A20" s="34" t="inlineStr">
        <is>
          <t>GATE-014</t>
        </is>
      </c>
      <c r="B20" s="37" t="inlineStr">
        <is>
          <t>No high-severity security findings</t>
        </is>
      </c>
      <c r="C20" s="31" t="inlineStr">
        <is>
          <t>NOT_EVALUATED</t>
        </is>
      </c>
      <c r="D20" s="37" t="inlineStr">
        <is>
          <t>TEST-030,SEC-001</t>
        </is>
      </c>
      <c r="E20" s="35">
        <f>SUMPRODUCT(ISNUMBER(SEARCH(","&amp;MASTER!$A$2:$A$2000&amp;",",","&amp;SUBSTITUTE($D20," ","")&amp;","))*((MASTER!$G$2:$G$2000="DONE")))</f>
        <v/>
      </c>
      <c r="F20" s="35">
        <f>IF(LEN(SUBSTITUTE($D20," ",""))=0,0,LEN(SUBSTITUTE($D20," ",""))-LEN(SUBSTITUTE(SUBSTITUTE($D20," ",""),",",""))+1)</f>
        <v/>
      </c>
      <c r="G20" s="37" t="n"/>
      <c r="H20" s="41" t="n"/>
      <c r="I20" s="37" t="n"/>
    </row>
    <row r="21">
      <c r="A21" s="34" t="inlineStr">
        <is>
          <t>GATE-015</t>
        </is>
      </c>
      <c r="B21" s="37" t="inlineStr">
        <is>
          <t>Monitoring exists</t>
        </is>
      </c>
      <c r="C21" s="31" t="inlineStr">
        <is>
          <t>NOT_EVALUATED</t>
        </is>
      </c>
      <c r="D21" s="37" t="inlineStr">
        <is>
          <t>OBS-001</t>
        </is>
      </c>
      <c r="E21" s="35">
        <f>SUMPRODUCT(ISNUMBER(SEARCH(","&amp;MASTER!$A$2:$A$2000&amp;",",","&amp;SUBSTITUTE($D21," ","")&amp;","))*((MASTER!$G$2:$G$2000="DONE")))</f>
        <v/>
      </c>
      <c r="F21" s="35">
        <f>IF(LEN(SUBSTITUTE($D21," ",""))=0,0,LEN(SUBSTITUTE($D21," ",""))-LEN(SUBSTITUTE(SUBSTITUTE($D21," ",""),",",""))+1)</f>
        <v/>
      </c>
      <c r="G21" s="37" t="n"/>
      <c r="H21" s="41" t="n"/>
      <c r="I21" s="37" t="n"/>
    </row>
  </sheetData>
  <conditionalFormatting sqref="C7:C21">
    <cfRule type="cellIs" priority="1" operator="equal" dxfId="347">
      <formula>"PASS"</formula>
    </cfRule>
    <cfRule type="cellIs" priority="2" operator="equal" dxfId="341">
      <formula>"FAIL"</formula>
    </cfRule>
  </conditionalFormatting>
  <dataValidations count="1">
    <dataValidation sqref="C7:C21" showDropDown="0" showInputMessage="0" showErrorMessage="1" allowBlank="1" errorTitle="Invalid gate status" error="Pick a gate status from the list." type="list" errorStyle="stop">
      <formula1>"NOT_EVALUATED,PASS,FAIL"</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2026-09-27T00:48:32Z</dcterms:created>
  <dcterms:modified xmlns:dcterms="http://purl.org/dc/terms/" xmlns:xsi="http://www.w3.org/2001/XMLSchema-instance" xsi:type="dcterms:W3CDTF">2026-09-30T05:15:37Z</dcterms:modified>
  <cp:lastModifiedBy>Борил Димитров</cp:lastModifiedBy>
</cp:coreProperties>
</file>