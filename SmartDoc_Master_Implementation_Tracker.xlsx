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speed\Desktop\Claude - ПРОЕКТ\"/>
    </mc:Choice>
  </mc:AlternateContent>
  <xr:revisionPtr revIDLastSave="0" documentId="13_ncr:1_{CEFD7670-155C-4A75-92F3-D0372EC81136}" xr6:coauthVersionLast="47" xr6:coauthVersionMax="47" xr10:uidLastSave="{00000000-0000-0000-0000-000000000000}"/>
  <bookViews>
    <workbookView xWindow="1170" yWindow="1170" windowWidth="21600" windowHeight="11385" xr2:uid="{00000000-000D-0000-FFFF-FFFF00000000}"/>
  </bookViews>
  <sheets>
    <sheet name="DASHBOARD" sheetId="1" r:id="rId1"/>
    <sheet name="MASTER" sheetId="2" r:id="rId2"/>
    <sheet name="CRITICAL_FIXES" sheetId="3" r:id="rId3"/>
    <sheet name="DOCUMENT_FIDELITY" sheetId="4" r:id="rId4"/>
    <sheet name="DOCX_OOXML" sheetId="5" r:id="rId5"/>
    <sheet name="PDF" sheetId="6" r:id="rId6"/>
    <sheet name="EDITOR" sheetId="7" r:id="rId7"/>
    <sheet name="FORMATTING" sheetId="8" r:id="rId8"/>
    <sheet name="AI" sheetId="9" r:id="rId9"/>
    <sheet name="SECURITY" sheetId="10" r:id="rId10"/>
    <sheet name="PERFORMANCE" sheetId="11" r:id="rId11"/>
    <sheet name="TESTING" sheetId="12" r:id="rId12"/>
    <sheet name="PRODUCT_FEATURES" sheetId="13" r:id="rId13"/>
    <sheet name="TRANSLATION" sheetId="14" r:id="rId14"/>
    <sheet name="PDF_TO_EDITABLE" sheetId="15" r:id="rId15"/>
    <sheet name="BILLING_PLANS" sheetId="16" r:id="rId16"/>
    <sheet name="INFRA" sheetId="17" r:id="rId17"/>
    <sheet name="CHANGE_LOG" sheetId="18" r:id="rId18"/>
    <sheet name="SESSION_STATE" sheetId="19" r:id="rId19"/>
    <sheet name="RELEASE_GATES" sheetId="20" r:id="rId20"/>
  </sheets>
  <definedNames>
    <definedName name="_xlnm._FilterDatabase" localSheetId="8" hidden="1">AI!$A$7:$L$16</definedName>
    <definedName name="_xlnm._FilterDatabase" localSheetId="15" hidden="1">BILLING_PLANS!$A$25:$L$30</definedName>
    <definedName name="_xlnm._FilterDatabase" localSheetId="17" hidden="1">CHANGE_LOG!$A$1:$I$29</definedName>
    <definedName name="_xlnm._FilterDatabase" localSheetId="2" hidden="1">CRITICAL_FIXES!$A$31:$L$114</definedName>
    <definedName name="_xlnm._FilterDatabase" localSheetId="3" hidden="1">DOCUMENT_FIDELITY!$A$7:$L$22</definedName>
    <definedName name="_xlnm._FilterDatabase" localSheetId="4" hidden="1">DOCX_OOXML!$A$7:$L$26</definedName>
    <definedName name="_xlnm._FilterDatabase" localSheetId="6" hidden="1">EDITOR!$A$7:$L$19</definedName>
    <definedName name="_xlnm._FilterDatabase" localSheetId="7" hidden="1">FORMATTING!$A$7:$L$15</definedName>
    <definedName name="_xlnm._FilterDatabase" localSheetId="16" hidden="1">INFRA!$A$7:$L$22</definedName>
    <definedName name="_xlnm._FilterDatabase" localSheetId="1" hidden="1">MASTER!$A$1:$S$161</definedName>
    <definedName name="_xlnm._FilterDatabase" localSheetId="5" hidden="1">PDF!$A$7:$L$12</definedName>
    <definedName name="_xlnm._FilterDatabase" localSheetId="14" hidden="1">PDF_TO_EDITABLE!$A$7:$L$16</definedName>
    <definedName name="_xlnm._FilterDatabase" localSheetId="10" hidden="1">PERFORMANCE!$A$24:$L$31</definedName>
    <definedName name="_xlnm._FilterDatabase" localSheetId="12" hidden="1">PRODUCT_FEATURES!$A$69:$L$74</definedName>
    <definedName name="_xlnm._FilterDatabase" localSheetId="9" hidden="1">SECURITY!$A$7:$L$27</definedName>
    <definedName name="_xlnm._FilterDatabase" localSheetId="11" hidden="1">TESTING!$A$32:$L$47</definedName>
    <definedName name="_xlnm._FilterDatabase" localSheetId="13" hidden="1">TRANSLATION!$A$7:$L$23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1" i="20" l="1"/>
  <c r="E21" i="20"/>
  <c r="F20" i="20"/>
  <c r="E20" i="20"/>
  <c r="F19" i="20"/>
  <c r="E19" i="20"/>
  <c r="F18" i="20"/>
  <c r="E18" i="20"/>
  <c r="F17" i="20"/>
  <c r="E17" i="20"/>
  <c r="F16" i="20"/>
  <c r="E16" i="20"/>
  <c r="F15" i="20"/>
  <c r="E15" i="20"/>
  <c r="F14" i="20"/>
  <c r="E14" i="20"/>
  <c r="F13" i="20"/>
  <c r="E13" i="20"/>
  <c r="F12" i="20"/>
  <c r="E12" i="20"/>
  <c r="F11" i="20"/>
  <c r="E11" i="20"/>
  <c r="F10" i="20"/>
  <c r="E10" i="20"/>
  <c r="F9" i="20"/>
  <c r="E9" i="20"/>
  <c r="F8" i="20"/>
  <c r="E8" i="20"/>
  <c r="F7" i="20"/>
  <c r="E7" i="20"/>
  <c r="D4" i="20"/>
  <c r="C4" i="20"/>
  <c r="B4" i="20"/>
  <c r="A4" i="20"/>
  <c r="L22" i="17"/>
  <c r="K22" i="17"/>
  <c r="J22" i="17"/>
  <c r="I22" i="17"/>
  <c r="H22" i="17"/>
  <c r="G22" i="17"/>
  <c r="F22" i="17"/>
  <c r="E22" i="17"/>
  <c r="D22" i="17"/>
  <c r="C22" i="17"/>
  <c r="B22" i="17"/>
  <c r="L21" i="17"/>
  <c r="K21" i="17"/>
  <c r="J21" i="17"/>
  <c r="I21" i="17"/>
  <c r="H21" i="17"/>
  <c r="G21" i="17"/>
  <c r="F21" i="17"/>
  <c r="E21" i="17"/>
  <c r="D21" i="17"/>
  <c r="C21" i="17"/>
  <c r="B21" i="17"/>
  <c r="L20" i="17"/>
  <c r="K20" i="17"/>
  <c r="J20" i="17"/>
  <c r="I20" i="17"/>
  <c r="H20" i="17"/>
  <c r="G20" i="17"/>
  <c r="F20" i="17"/>
  <c r="E20" i="17"/>
  <c r="D20" i="17"/>
  <c r="C20" i="17"/>
  <c r="B20" i="17"/>
  <c r="L19" i="17"/>
  <c r="K19" i="17"/>
  <c r="J19" i="17"/>
  <c r="I19" i="17"/>
  <c r="H19" i="17"/>
  <c r="G19" i="17"/>
  <c r="F19" i="17"/>
  <c r="E19" i="17"/>
  <c r="D19" i="17"/>
  <c r="C19" i="17"/>
  <c r="B19" i="17"/>
  <c r="L18" i="17"/>
  <c r="K18" i="17"/>
  <c r="J18" i="17"/>
  <c r="I18" i="17"/>
  <c r="H18" i="17"/>
  <c r="G18" i="17"/>
  <c r="F18" i="17"/>
  <c r="E18" i="17"/>
  <c r="D18" i="17"/>
  <c r="C18" i="17"/>
  <c r="B18" i="17"/>
  <c r="L17" i="17"/>
  <c r="K17" i="17"/>
  <c r="J17" i="17"/>
  <c r="I17" i="17"/>
  <c r="H17" i="17"/>
  <c r="G17" i="17"/>
  <c r="F17" i="17"/>
  <c r="E17" i="17"/>
  <c r="D17" i="17"/>
  <c r="C17" i="17"/>
  <c r="B17" i="17"/>
  <c r="L16" i="17"/>
  <c r="K16" i="17"/>
  <c r="J16" i="17"/>
  <c r="I16" i="17"/>
  <c r="H16" i="17"/>
  <c r="G16" i="17"/>
  <c r="F16" i="17"/>
  <c r="E16" i="17"/>
  <c r="D16" i="17"/>
  <c r="C16" i="17"/>
  <c r="B16" i="17"/>
  <c r="L15" i="17"/>
  <c r="K15" i="17"/>
  <c r="J15" i="17"/>
  <c r="I15" i="17"/>
  <c r="H15" i="17"/>
  <c r="G15" i="17"/>
  <c r="F15" i="17"/>
  <c r="E15" i="17"/>
  <c r="D15" i="17"/>
  <c r="C15" i="17"/>
  <c r="B15" i="17"/>
  <c r="L14" i="17"/>
  <c r="K14" i="17"/>
  <c r="J14" i="17"/>
  <c r="I14" i="17"/>
  <c r="H14" i="17"/>
  <c r="G14" i="17"/>
  <c r="F14" i="17"/>
  <c r="E14" i="17"/>
  <c r="D14" i="17"/>
  <c r="C14" i="17"/>
  <c r="B14" i="17"/>
  <c r="L13" i="17"/>
  <c r="K13" i="17"/>
  <c r="J13" i="17"/>
  <c r="I13" i="17"/>
  <c r="H13" i="17"/>
  <c r="G13" i="17"/>
  <c r="F13" i="17"/>
  <c r="E13" i="17"/>
  <c r="D13" i="17"/>
  <c r="C13" i="17"/>
  <c r="B13" i="17"/>
  <c r="L12" i="17"/>
  <c r="K12" i="17"/>
  <c r="J12" i="17"/>
  <c r="I12" i="17"/>
  <c r="H12" i="17"/>
  <c r="G12" i="17"/>
  <c r="F12" i="17"/>
  <c r="E12" i="17"/>
  <c r="D12" i="17"/>
  <c r="C12" i="17"/>
  <c r="B12" i="17"/>
  <c r="L11" i="17"/>
  <c r="K11" i="17"/>
  <c r="J11" i="17"/>
  <c r="I11" i="17"/>
  <c r="H11" i="17"/>
  <c r="G11" i="17"/>
  <c r="F11" i="17"/>
  <c r="E11" i="17"/>
  <c r="D11" i="17"/>
  <c r="C11" i="17"/>
  <c r="B11" i="17"/>
  <c r="L10" i="17"/>
  <c r="K10" i="17"/>
  <c r="J10" i="17"/>
  <c r="I10" i="17"/>
  <c r="H10" i="17"/>
  <c r="G10" i="17"/>
  <c r="F10" i="17"/>
  <c r="E10" i="17"/>
  <c r="D10" i="17"/>
  <c r="C10" i="17"/>
  <c r="B10" i="17"/>
  <c r="L9" i="17"/>
  <c r="K9" i="17"/>
  <c r="J9" i="17"/>
  <c r="I9" i="17"/>
  <c r="H9" i="17"/>
  <c r="G9" i="17"/>
  <c r="F9" i="17"/>
  <c r="E9" i="17"/>
  <c r="D9" i="17"/>
  <c r="C9" i="17"/>
  <c r="B9" i="17"/>
  <c r="L8" i="17"/>
  <c r="K8" i="17"/>
  <c r="J8" i="17"/>
  <c r="I8" i="17"/>
  <c r="H8" i="17"/>
  <c r="G8" i="17"/>
  <c r="F8" i="17"/>
  <c r="E8" i="17"/>
  <c r="D8" i="17"/>
  <c r="C8" i="17"/>
  <c r="B8" i="17"/>
  <c r="F4" i="17"/>
  <c r="E4" i="17"/>
  <c r="D4" i="17"/>
  <c r="B4" i="17"/>
  <c r="C4" i="17" s="1"/>
  <c r="A4" i="17"/>
  <c r="L30" i="16"/>
  <c r="K30" i="16"/>
  <c r="J30" i="16"/>
  <c r="I30" i="16"/>
  <c r="H30" i="16"/>
  <c r="G30" i="16"/>
  <c r="F30" i="16"/>
  <c r="E30" i="16"/>
  <c r="D30" i="16"/>
  <c r="C30" i="16"/>
  <c r="B30" i="16"/>
  <c r="L29" i="16"/>
  <c r="K29" i="16"/>
  <c r="J29" i="16"/>
  <c r="I29" i="16"/>
  <c r="H29" i="16"/>
  <c r="G29" i="16"/>
  <c r="F29" i="16"/>
  <c r="E29" i="16"/>
  <c r="D29" i="16"/>
  <c r="C29" i="16"/>
  <c r="B29" i="16"/>
  <c r="L28" i="16"/>
  <c r="K28" i="16"/>
  <c r="J28" i="16"/>
  <c r="I28" i="16"/>
  <c r="H28" i="16"/>
  <c r="G28" i="16"/>
  <c r="F28" i="16"/>
  <c r="E28" i="16"/>
  <c r="D28" i="16"/>
  <c r="C28" i="16"/>
  <c r="B28" i="16"/>
  <c r="L27" i="16"/>
  <c r="K27" i="16"/>
  <c r="J27" i="16"/>
  <c r="I27" i="16"/>
  <c r="H27" i="16"/>
  <c r="G27" i="16"/>
  <c r="F27" i="16"/>
  <c r="E27" i="16"/>
  <c r="D27" i="16"/>
  <c r="C27" i="16"/>
  <c r="B27" i="16"/>
  <c r="L26" i="16"/>
  <c r="K26" i="16"/>
  <c r="J26" i="16"/>
  <c r="I26" i="16"/>
  <c r="H26" i="16"/>
  <c r="G26" i="16"/>
  <c r="F26" i="16"/>
  <c r="E26" i="16"/>
  <c r="D26" i="16"/>
  <c r="C26" i="16"/>
  <c r="B26" i="16"/>
  <c r="F4" i="16"/>
  <c r="E4" i="16"/>
  <c r="D4" i="16"/>
  <c r="B4" i="16"/>
  <c r="G4" i="16" s="1"/>
  <c r="A4" i="16"/>
  <c r="L16" i="15"/>
  <c r="K16" i="15"/>
  <c r="J16" i="15"/>
  <c r="I16" i="15"/>
  <c r="H16" i="15"/>
  <c r="G16" i="15"/>
  <c r="F16" i="15"/>
  <c r="E16" i="15"/>
  <c r="D16" i="15"/>
  <c r="C16" i="15"/>
  <c r="B16" i="15"/>
  <c r="L15" i="15"/>
  <c r="K15" i="15"/>
  <c r="J15" i="15"/>
  <c r="I15" i="15"/>
  <c r="H15" i="15"/>
  <c r="G15" i="15"/>
  <c r="F15" i="15"/>
  <c r="E15" i="15"/>
  <c r="D15" i="15"/>
  <c r="C15" i="15"/>
  <c r="B15" i="15"/>
  <c r="L14" i="15"/>
  <c r="K14" i="15"/>
  <c r="J14" i="15"/>
  <c r="I14" i="15"/>
  <c r="H14" i="15"/>
  <c r="G14" i="15"/>
  <c r="F14" i="15"/>
  <c r="E14" i="15"/>
  <c r="D14" i="15"/>
  <c r="C14" i="15"/>
  <c r="B14" i="15"/>
  <c r="L13" i="15"/>
  <c r="K13" i="15"/>
  <c r="J13" i="15"/>
  <c r="I13" i="15"/>
  <c r="H13" i="15"/>
  <c r="G13" i="15"/>
  <c r="F13" i="15"/>
  <c r="E13" i="15"/>
  <c r="D13" i="15"/>
  <c r="C13" i="15"/>
  <c r="B13" i="15"/>
  <c r="L12" i="15"/>
  <c r="K12" i="15"/>
  <c r="J12" i="15"/>
  <c r="I12" i="15"/>
  <c r="H12" i="15"/>
  <c r="G12" i="15"/>
  <c r="F12" i="15"/>
  <c r="E12" i="15"/>
  <c r="D12" i="15"/>
  <c r="C12" i="15"/>
  <c r="B12" i="15"/>
  <c r="L11" i="15"/>
  <c r="K11" i="15"/>
  <c r="J11" i="15"/>
  <c r="I11" i="15"/>
  <c r="H11" i="15"/>
  <c r="G11" i="15"/>
  <c r="F11" i="15"/>
  <c r="E11" i="15"/>
  <c r="D11" i="15"/>
  <c r="C11" i="15"/>
  <c r="B11" i="15"/>
  <c r="L10" i="15"/>
  <c r="K10" i="15"/>
  <c r="J10" i="15"/>
  <c r="I10" i="15"/>
  <c r="H10" i="15"/>
  <c r="G10" i="15"/>
  <c r="F10" i="15"/>
  <c r="E10" i="15"/>
  <c r="D10" i="15"/>
  <c r="C10" i="15"/>
  <c r="B10" i="15"/>
  <c r="L9" i="15"/>
  <c r="K9" i="15"/>
  <c r="J9" i="15"/>
  <c r="I9" i="15"/>
  <c r="H9" i="15"/>
  <c r="G9" i="15"/>
  <c r="F9" i="15"/>
  <c r="E9" i="15"/>
  <c r="D9" i="15"/>
  <c r="C9" i="15"/>
  <c r="B9" i="15"/>
  <c r="L8" i="15"/>
  <c r="K8" i="15"/>
  <c r="J8" i="15"/>
  <c r="I8" i="15"/>
  <c r="H8" i="15"/>
  <c r="G8" i="15"/>
  <c r="F8" i="15"/>
  <c r="E8" i="15"/>
  <c r="D8" i="15"/>
  <c r="C8" i="15"/>
  <c r="B8" i="15"/>
  <c r="F4" i="15"/>
  <c r="E4" i="15"/>
  <c r="D4" i="15"/>
  <c r="B4" i="15"/>
  <c r="C4" i="15" s="1"/>
  <c r="A4" i="15"/>
  <c r="L23" i="14"/>
  <c r="K23" i="14"/>
  <c r="J23" i="14"/>
  <c r="I23" i="14"/>
  <c r="H23" i="14"/>
  <c r="G23" i="14"/>
  <c r="F23" i="14"/>
  <c r="E23" i="14"/>
  <c r="D23" i="14"/>
  <c r="C23" i="14"/>
  <c r="B23" i="14"/>
  <c r="L22" i="14"/>
  <c r="K22" i="14"/>
  <c r="J22" i="14"/>
  <c r="I22" i="14"/>
  <c r="H22" i="14"/>
  <c r="G22" i="14"/>
  <c r="F22" i="14"/>
  <c r="E22" i="14"/>
  <c r="D22" i="14"/>
  <c r="C22" i="14"/>
  <c r="B22" i="14"/>
  <c r="L21" i="14"/>
  <c r="K21" i="14"/>
  <c r="J21" i="14"/>
  <c r="I21" i="14"/>
  <c r="H21" i="14"/>
  <c r="G21" i="14"/>
  <c r="F21" i="14"/>
  <c r="E21" i="14"/>
  <c r="D21" i="14"/>
  <c r="C21" i="14"/>
  <c r="B21" i="14"/>
  <c r="L20" i="14"/>
  <c r="K20" i="14"/>
  <c r="J20" i="14"/>
  <c r="I20" i="14"/>
  <c r="H20" i="14"/>
  <c r="G20" i="14"/>
  <c r="F20" i="14"/>
  <c r="E20" i="14"/>
  <c r="D20" i="14"/>
  <c r="C20" i="14"/>
  <c r="B20" i="14"/>
  <c r="L19" i="14"/>
  <c r="K19" i="14"/>
  <c r="J19" i="14"/>
  <c r="I19" i="14"/>
  <c r="H19" i="14"/>
  <c r="G19" i="14"/>
  <c r="F19" i="14"/>
  <c r="E19" i="14"/>
  <c r="D19" i="14"/>
  <c r="C19" i="14"/>
  <c r="B19" i="14"/>
  <c r="L18" i="14"/>
  <c r="K18" i="14"/>
  <c r="J18" i="14"/>
  <c r="I18" i="14"/>
  <c r="H18" i="14"/>
  <c r="G18" i="14"/>
  <c r="F18" i="14"/>
  <c r="E18" i="14"/>
  <c r="D18" i="14"/>
  <c r="C18" i="14"/>
  <c r="B18" i="14"/>
  <c r="L17" i="14"/>
  <c r="K17" i="14"/>
  <c r="J17" i="14"/>
  <c r="I17" i="14"/>
  <c r="H17" i="14"/>
  <c r="G17" i="14"/>
  <c r="F17" i="14"/>
  <c r="E17" i="14"/>
  <c r="D17" i="14"/>
  <c r="C17" i="14"/>
  <c r="B17" i="14"/>
  <c r="L16" i="14"/>
  <c r="K16" i="14"/>
  <c r="J16" i="14"/>
  <c r="I16" i="14"/>
  <c r="H16" i="14"/>
  <c r="G16" i="14"/>
  <c r="F16" i="14"/>
  <c r="E16" i="14"/>
  <c r="D16" i="14"/>
  <c r="C16" i="14"/>
  <c r="B16" i="14"/>
  <c r="L15" i="14"/>
  <c r="K15" i="14"/>
  <c r="J15" i="14"/>
  <c r="I15" i="14"/>
  <c r="H15" i="14"/>
  <c r="G15" i="14"/>
  <c r="F15" i="14"/>
  <c r="E15" i="14"/>
  <c r="D15" i="14"/>
  <c r="C15" i="14"/>
  <c r="B15" i="14"/>
  <c r="L14" i="14"/>
  <c r="K14" i="14"/>
  <c r="J14" i="14"/>
  <c r="I14" i="14"/>
  <c r="H14" i="14"/>
  <c r="G14" i="14"/>
  <c r="F14" i="14"/>
  <c r="E14" i="14"/>
  <c r="D14" i="14"/>
  <c r="C14" i="14"/>
  <c r="B14" i="14"/>
  <c r="L13" i="14"/>
  <c r="K13" i="14"/>
  <c r="J13" i="14"/>
  <c r="I13" i="14"/>
  <c r="H13" i="14"/>
  <c r="G13" i="14"/>
  <c r="F13" i="14"/>
  <c r="E13" i="14"/>
  <c r="D13" i="14"/>
  <c r="C13" i="14"/>
  <c r="B13" i="14"/>
  <c r="L12" i="14"/>
  <c r="K12" i="14"/>
  <c r="J12" i="14"/>
  <c r="I12" i="14"/>
  <c r="H12" i="14"/>
  <c r="G12" i="14"/>
  <c r="F12" i="14"/>
  <c r="E12" i="14"/>
  <c r="D12" i="14"/>
  <c r="C12" i="14"/>
  <c r="B12" i="14"/>
  <c r="L11" i="14"/>
  <c r="K11" i="14"/>
  <c r="J11" i="14"/>
  <c r="I11" i="14"/>
  <c r="H11" i="14"/>
  <c r="G11" i="14"/>
  <c r="F11" i="14"/>
  <c r="E11" i="14"/>
  <c r="D11" i="14"/>
  <c r="C11" i="14"/>
  <c r="B11" i="14"/>
  <c r="L10" i="14"/>
  <c r="K10" i="14"/>
  <c r="J10" i="14"/>
  <c r="I10" i="14"/>
  <c r="H10" i="14"/>
  <c r="G10" i="14"/>
  <c r="F10" i="14"/>
  <c r="E10" i="14"/>
  <c r="D10" i="14"/>
  <c r="C10" i="14"/>
  <c r="B10" i="14"/>
  <c r="L9" i="14"/>
  <c r="K9" i="14"/>
  <c r="J9" i="14"/>
  <c r="I9" i="14"/>
  <c r="H9" i="14"/>
  <c r="G9" i="14"/>
  <c r="F9" i="14"/>
  <c r="E9" i="14"/>
  <c r="D9" i="14"/>
  <c r="C9" i="14"/>
  <c r="B9" i="14"/>
  <c r="L8" i="14"/>
  <c r="K8" i="14"/>
  <c r="J8" i="14"/>
  <c r="I8" i="14"/>
  <c r="H8" i="14"/>
  <c r="G8" i="14"/>
  <c r="F8" i="14"/>
  <c r="E8" i="14"/>
  <c r="D8" i="14"/>
  <c r="C8" i="14"/>
  <c r="B8" i="14"/>
  <c r="F4" i="14"/>
  <c r="E4" i="14"/>
  <c r="D4" i="14"/>
  <c r="C4" i="14"/>
  <c r="B4" i="14"/>
  <c r="A4" i="14"/>
  <c r="G4" i="14" s="1"/>
  <c r="L74" i="13"/>
  <c r="K74" i="13"/>
  <c r="J74" i="13"/>
  <c r="I74" i="13"/>
  <c r="H74" i="13"/>
  <c r="G74" i="13"/>
  <c r="F74" i="13"/>
  <c r="E74" i="13"/>
  <c r="D74" i="13"/>
  <c r="C74" i="13"/>
  <c r="B74" i="13"/>
  <c r="L73" i="13"/>
  <c r="K73" i="13"/>
  <c r="J73" i="13"/>
  <c r="I73" i="13"/>
  <c r="H73" i="13"/>
  <c r="G73" i="13"/>
  <c r="F73" i="13"/>
  <c r="E73" i="13"/>
  <c r="D73" i="13"/>
  <c r="C73" i="13"/>
  <c r="B73" i="13"/>
  <c r="L72" i="13"/>
  <c r="K72" i="13"/>
  <c r="J72" i="13"/>
  <c r="I72" i="13"/>
  <c r="H72" i="13"/>
  <c r="G72" i="13"/>
  <c r="F72" i="13"/>
  <c r="E72" i="13"/>
  <c r="D72" i="13"/>
  <c r="C72" i="13"/>
  <c r="B72" i="13"/>
  <c r="L71" i="13"/>
  <c r="K71" i="13"/>
  <c r="J71" i="13"/>
  <c r="I71" i="13"/>
  <c r="H71" i="13"/>
  <c r="G71" i="13"/>
  <c r="F71" i="13"/>
  <c r="E71" i="13"/>
  <c r="D71" i="13"/>
  <c r="C71" i="13"/>
  <c r="B71" i="13"/>
  <c r="L70" i="13"/>
  <c r="K70" i="13"/>
  <c r="J70" i="13"/>
  <c r="I70" i="13"/>
  <c r="H70" i="13"/>
  <c r="G70" i="13"/>
  <c r="F70" i="13"/>
  <c r="E70" i="13"/>
  <c r="D70" i="13"/>
  <c r="C70" i="13"/>
  <c r="B70" i="13"/>
  <c r="E65" i="13"/>
  <c r="D65" i="13"/>
  <c r="E64" i="13"/>
  <c r="D64" i="13"/>
  <c r="E63" i="13"/>
  <c r="D63" i="13"/>
  <c r="E62" i="13"/>
  <c r="D62" i="13"/>
  <c r="E61" i="13"/>
  <c r="D61" i="13"/>
  <c r="E60" i="13"/>
  <c r="D60" i="13"/>
  <c r="E59" i="13"/>
  <c r="D59" i="13"/>
  <c r="E58" i="13"/>
  <c r="D58" i="13"/>
  <c r="E57" i="13"/>
  <c r="D57" i="13"/>
  <c r="E56" i="13"/>
  <c r="D56" i="13"/>
  <c r="E55" i="13"/>
  <c r="D55" i="13"/>
  <c r="E54" i="13"/>
  <c r="D54" i="13"/>
  <c r="E53" i="13"/>
  <c r="D53" i="13"/>
  <c r="E52" i="13"/>
  <c r="D52" i="13"/>
  <c r="E51" i="13"/>
  <c r="D51" i="13"/>
  <c r="E50" i="13"/>
  <c r="D50" i="13"/>
  <c r="E49" i="13"/>
  <c r="D49" i="13"/>
  <c r="E48" i="13"/>
  <c r="D48" i="13"/>
  <c r="E47" i="13"/>
  <c r="D47" i="13"/>
  <c r="E46" i="13"/>
  <c r="D46" i="13"/>
  <c r="E45" i="13"/>
  <c r="D45" i="13"/>
  <c r="E44" i="13"/>
  <c r="D44" i="13"/>
  <c r="E43" i="13"/>
  <c r="D43" i="13"/>
  <c r="E42" i="13"/>
  <c r="D42" i="13"/>
  <c r="E41" i="13"/>
  <c r="D41" i="13"/>
  <c r="E40" i="13"/>
  <c r="D40" i="13"/>
  <c r="E39" i="13"/>
  <c r="D39" i="13"/>
  <c r="E38" i="13"/>
  <c r="D38" i="13"/>
  <c r="E37" i="13"/>
  <c r="D37" i="13"/>
  <c r="E36" i="13"/>
  <c r="D36" i="13"/>
  <c r="E35" i="13"/>
  <c r="D35" i="13"/>
  <c r="E34" i="13"/>
  <c r="D34" i="13"/>
  <c r="E33" i="13"/>
  <c r="D33" i="13"/>
  <c r="E32" i="13"/>
  <c r="D32" i="13"/>
  <c r="E31" i="13"/>
  <c r="D31" i="13"/>
  <c r="E30" i="13"/>
  <c r="D30" i="13"/>
  <c r="E29" i="13"/>
  <c r="D29" i="13"/>
  <c r="E28" i="13"/>
  <c r="D28" i="13"/>
  <c r="E27" i="13"/>
  <c r="D27" i="13"/>
  <c r="E26" i="13"/>
  <c r="D26" i="13"/>
  <c r="E25" i="13"/>
  <c r="D25" i="13"/>
  <c r="E24" i="13"/>
  <c r="D24" i="13"/>
  <c r="E23" i="13"/>
  <c r="D23" i="13"/>
  <c r="E22" i="13"/>
  <c r="D22" i="13"/>
  <c r="E21" i="13"/>
  <c r="D21" i="13"/>
  <c r="E20" i="13"/>
  <c r="D20" i="13"/>
  <c r="E19" i="13"/>
  <c r="D19" i="13"/>
  <c r="E18" i="13"/>
  <c r="D18" i="13"/>
  <c r="E17" i="13"/>
  <c r="D17" i="13"/>
  <c r="E16" i="13"/>
  <c r="D16" i="13"/>
  <c r="E15" i="13"/>
  <c r="D15" i="13"/>
  <c r="E14" i="13"/>
  <c r="D14" i="13"/>
  <c r="E13" i="13"/>
  <c r="D13" i="13"/>
  <c r="E12" i="13"/>
  <c r="D12" i="13"/>
  <c r="E11" i="13"/>
  <c r="D11" i="13"/>
  <c r="E10" i="13"/>
  <c r="D10" i="13"/>
  <c r="E9" i="13"/>
  <c r="D9" i="13"/>
  <c r="E8" i="13"/>
  <c r="D8" i="13"/>
  <c r="F4" i="13"/>
  <c r="E4" i="13"/>
  <c r="D4" i="13"/>
  <c r="B4" i="13"/>
  <c r="C4" i="13" s="1"/>
  <c r="A4" i="13"/>
  <c r="G4" i="13" s="1"/>
  <c r="L47" i="12"/>
  <c r="K47" i="12"/>
  <c r="J47" i="12"/>
  <c r="I47" i="12"/>
  <c r="H47" i="12"/>
  <c r="G47" i="12"/>
  <c r="F47" i="12"/>
  <c r="E47" i="12"/>
  <c r="D47" i="12"/>
  <c r="C47" i="12"/>
  <c r="B47" i="12"/>
  <c r="L46" i="12"/>
  <c r="K46" i="12"/>
  <c r="J46" i="12"/>
  <c r="I46" i="12"/>
  <c r="H46" i="12"/>
  <c r="G46" i="12"/>
  <c r="F46" i="12"/>
  <c r="E46" i="12"/>
  <c r="D46" i="12"/>
  <c r="C46" i="12"/>
  <c r="B46" i="12"/>
  <c r="L45" i="12"/>
  <c r="K45" i="12"/>
  <c r="J45" i="12"/>
  <c r="I45" i="12"/>
  <c r="H45" i="12"/>
  <c r="G45" i="12"/>
  <c r="F45" i="12"/>
  <c r="E45" i="12"/>
  <c r="D45" i="12"/>
  <c r="C45" i="12"/>
  <c r="B45" i="12"/>
  <c r="L44" i="12"/>
  <c r="K44" i="12"/>
  <c r="J44" i="12"/>
  <c r="I44" i="12"/>
  <c r="H44" i="12"/>
  <c r="G44" i="12"/>
  <c r="F44" i="12"/>
  <c r="E44" i="12"/>
  <c r="D44" i="12"/>
  <c r="C44" i="12"/>
  <c r="B44" i="12"/>
  <c r="L43" i="12"/>
  <c r="K43" i="12"/>
  <c r="J43" i="12"/>
  <c r="I43" i="12"/>
  <c r="H43" i="12"/>
  <c r="G43" i="12"/>
  <c r="F43" i="12"/>
  <c r="E43" i="12"/>
  <c r="D43" i="12"/>
  <c r="C43" i="12"/>
  <c r="B43" i="12"/>
  <c r="L42" i="12"/>
  <c r="K42" i="12"/>
  <c r="J42" i="12"/>
  <c r="I42" i="12"/>
  <c r="H42" i="12"/>
  <c r="G42" i="12"/>
  <c r="F42" i="12"/>
  <c r="E42" i="12"/>
  <c r="D42" i="12"/>
  <c r="C42" i="12"/>
  <c r="B42" i="12"/>
  <c r="L41" i="12"/>
  <c r="K41" i="12"/>
  <c r="J41" i="12"/>
  <c r="I41" i="12"/>
  <c r="H41" i="12"/>
  <c r="G41" i="12"/>
  <c r="F41" i="12"/>
  <c r="E41" i="12"/>
  <c r="D41" i="12"/>
  <c r="C41" i="12"/>
  <c r="B41" i="12"/>
  <c r="L40" i="12"/>
  <c r="K40" i="12"/>
  <c r="J40" i="12"/>
  <c r="I40" i="12"/>
  <c r="H40" i="12"/>
  <c r="G40" i="12"/>
  <c r="F40" i="12"/>
  <c r="E40" i="12"/>
  <c r="D40" i="12"/>
  <c r="C40" i="12"/>
  <c r="B40" i="12"/>
  <c r="L39" i="12"/>
  <c r="K39" i="12"/>
  <c r="J39" i="12"/>
  <c r="I39" i="12"/>
  <c r="H39" i="12"/>
  <c r="G39" i="12"/>
  <c r="F39" i="12"/>
  <c r="E39" i="12"/>
  <c r="D39" i="12"/>
  <c r="C39" i="12"/>
  <c r="B39" i="12"/>
  <c r="L38" i="12"/>
  <c r="K38" i="12"/>
  <c r="J38" i="12"/>
  <c r="I38" i="12"/>
  <c r="H38" i="12"/>
  <c r="G38" i="12"/>
  <c r="F38" i="12"/>
  <c r="E38" i="12"/>
  <c r="D38" i="12"/>
  <c r="C38" i="12"/>
  <c r="B38" i="12"/>
  <c r="L37" i="12"/>
  <c r="K37" i="12"/>
  <c r="J37" i="12"/>
  <c r="I37" i="12"/>
  <c r="H37" i="12"/>
  <c r="G37" i="12"/>
  <c r="F37" i="12"/>
  <c r="E37" i="12"/>
  <c r="D37" i="12"/>
  <c r="C37" i="12"/>
  <c r="B37" i="12"/>
  <c r="L36" i="12"/>
  <c r="K36" i="12"/>
  <c r="J36" i="12"/>
  <c r="I36" i="12"/>
  <c r="H36" i="12"/>
  <c r="G36" i="12"/>
  <c r="F36" i="12"/>
  <c r="E36" i="12"/>
  <c r="D36" i="12"/>
  <c r="C36" i="12"/>
  <c r="B36" i="12"/>
  <c r="L35" i="12"/>
  <c r="K35" i="12"/>
  <c r="J35" i="12"/>
  <c r="I35" i="12"/>
  <c r="H35" i="12"/>
  <c r="G35" i="12"/>
  <c r="F35" i="12"/>
  <c r="E35" i="12"/>
  <c r="D35" i="12"/>
  <c r="C35" i="12"/>
  <c r="B35" i="12"/>
  <c r="L34" i="12"/>
  <c r="K34" i="12"/>
  <c r="J34" i="12"/>
  <c r="I34" i="12"/>
  <c r="H34" i="12"/>
  <c r="G34" i="12"/>
  <c r="F34" i="12"/>
  <c r="E34" i="12"/>
  <c r="D34" i="12"/>
  <c r="C34" i="12"/>
  <c r="B34" i="12"/>
  <c r="L33" i="12"/>
  <c r="K33" i="12"/>
  <c r="J33" i="12"/>
  <c r="I33" i="12"/>
  <c r="H33" i="12"/>
  <c r="G33" i="12"/>
  <c r="F33" i="12"/>
  <c r="E33" i="12"/>
  <c r="D33" i="12"/>
  <c r="C33" i="12"/>
  <c r="B33" i="12"/>
  <c r="F4" i="12"/>
  <c r="E4" i="12"/>
  <c r="D4" i="12"/>
  <c r="B4" i="12"/>
  <c r="C4" i="12" s="1"/>
  <c r="A4" i="12"/>
  <c r="L31" i="11"/>
  <c r="K31" i="11"/>
  <c r="J31" i="11"/>
  <c r="I31" i="11"/>
  <c r="H31" i="11"/>
  <c r="G31" i="11"/>
  <c r="F31" i="11"/>
  <c r="E31" i="11"/>
  <c r="D31" i="11"/>
  <c r="C31" i="11"/>
  <c r="B31" i="11"/>
  <c r="L30" i="11"/>
  <c r="K30" i="11"/>
  <c r="J30" i="11"/>
  <c r="I30" i="11"/>
  <c r="H30" i="11"/>
  <c r="G30" i="11"/>
  <c r="F30" i="11"/>
  <c r="E30" i="11"/>
  <c r="D30" i="11"/>
  <c r="C30" i="11"/>
  <c r="B30" i="11"/>
  <c r="L29" i="11"/>
  <c r="K29" i="11"/>
  <c r="J29" i="11"/>
  <c r="I29" i="11"/>
  <c r="H29" i="11"/>
  <c r="G29" i="11"/>
  <c r="F29" i="11"/>
  <c r="E29" i="11"/>
  <c r="D29" i="11"/>
  <c r="C29" i="11"/>
  <c r="B29" i="11"/>
  <c r="L28" i="11"/>
  <c r="K28" i="11"/>
  <c r="J28" i="11"/>
  <c r="I28" i="11"/>
  <c r="H28" i="11"/>
  <c r="G28" i="11"/>
  <c r="F28" i="11"/>
  <c r="E28" i="11"/>
  <c r="D28" i="11"/>
  <c r="C28" i="11"/>
  <c r="B28" i="11"/>
  <c r="L27" i="11"/>
  <c r="K27" i="11"/>
  <c r="J27" i="11"/>
  <c r="I27" i="11"/>
  <c r="H27" i="11"/>
  <c r="G27" i="11"/>
  <c r="F27" i="11"/>
  <c r="E27" i="11"/>
  <c r="D27" i="11"/>
  <c r="C27" i="11"/>
  <c r="B27" i="11"/>
  <c r="L26" i="11"/>
  <c r="K26" i="11"/>
  <c r="J26" i="11"/>
  <c r="I26" i="11"/>
  <c r="H26" i="11"/>
  <c r="G26" i="11"/>
  <c r="F26" i="11"/>
  <c r="E26" i="11"/>
  <c r="D26" i="11"/>
  <c r="C26" i="11"/>
  <c r="B26" i="11"/>
  <c r="L25" i="11"/>
  <c r="K25" i="11"/>
  <c r="J25" i="11"/>
  <c r="I25" i="11"/>
  <c r="H25" i="11"/>
  <c r="G25" i="11"/>
  <c r="F25" i="11"/>
  <c r="E25" i="11"/>
  <c r="D25" i="11"/>
  <c r="C25" i="11"/>
  <c r="B25" i="11"/>
  <c r="F20" i="11"/>
  <c r="F19" i="11"/>
  <c r="F18" i="11"/>
  <c r="F17" i="11"/>
  <c r="F16" i="11"/>
  <c r="F15" i="11"/>
  <c r="F14" i="11"/>
  <c r="F13" i="11"/>
  <c r="F12" i="11"/>
  <c r="F11" i="11"/>
  <c r="F10" i="11"/>
  <c r="F9" i="11"/>
  <c r="F8" i="11"/>
  <c r="F4" i="11"/>
  <c r="E4" i="11"/>
  <c r="D4" i="11"/>
  <c r="B4" i="11"/>
  <c r="C4" i="11" s="1"/>
  <c r="A4" i="11"/>
  <c r="G4" i="11" s="1"/>
  <c r="L27" i="10"/>
  <c r="K27" i="10"/>
  <c r="J27" i="10"/>
  <c r="I27" i="10"/>
  <c r="H27" i="10"/>
  <c r="G27" i="10"/>
  <c r="F27" i="10"/>
  <c r="E27" i="10"/>
  <c r="D27" i="10"/>
  <c r="C27" i="10"/>
  <c r="B27" i="10"/>
  <c r="L26" i="10"/>
  <c r="K26" i="10"/>
  <c r="J26" i="10"/>
  <c r="I26" i="10"/>
  <c r="H26" i="10"/>
  <c r="G26" i="10"/>
  <c r="F26" i="10"/>
  <c r="E26" i="10"/>
  <c r="D26" i="10"/>
  <c r="C26" i="10"/>
  <c r="B26" i="10"/>
  <c r="L25" i="10"/>
  <c r="K25" i="10"/>
  <c r="J25" i="10"/>
  <c r="I25" i="10"/>
  <c r="H25" i="10"/>
  <c r="G25" i="10"/>
  <c r="F25" i="10"/>
  <c r="E25" i="10"/>
  <c r="D25" i="10"/>
  <c r="C25" i="10"/>
  <c r="B25" i="10"/>
  <c r="L24" i="10"/>
  <c r="K24" i="10"/>
  <c r="J24" i="10"/>
  <c r="I24" i="10"/>
  <c r="H24" i="10"/>
  <c r="G24" i="10"/>
  <c r="F24" i="10"/>
  <c r="E24" i="10"/>
  <c r="D24" i="10"/>
  <c r="C24" i="10"/>
  <c r="B24" i="10"/>
  <c r="L23" i="10"/>
  <c r="K23" i="10"/>
  <c r="J23" i="10"/>
  <c r="I23" i="10"/>
  <c r="H23" i="10"/>
  <c r="G23" i="10"/>
  <c r="F23" i="10"/>
  <c r="E23" i="10"/>
  <c r="D23" i="10"/>
  <c r="C23" i="10"/>
  <c r="B23" i="10"/>
  <c r="L22" i="10"/>
  <c r="K22" i="10"/>
  <c r="J22" i="10"/>
  <c r="I22" i="10"/>
  <c r="H22" i="10"/>
  <c r="G22" i="10"/>
  <c r="F22" i="10"/>
  <c r="E22" i="10"/>
  <c r="D22" i="10"/>
  <c r="C22" i="10"/>
  <c r="B22" i="10"/>
  <c r="L21" i="10"/>
  <c r="K21" i="10"/>
  <c r="J21" i="10"/>
  <c r="I21" i="10"/>
  <c r="H21" i="10"/>
  <c r="G21" i="10"/>
  <c r="F21" i="10"/>
  <c r="E21" i="10"/>
  <c r="D21" i="10"/>
  <c r="C21" i="10"/>
  <c r="B21" i="10"/>
  <c r="L20" i="10"/>
  <c r="K20" i="10"/>
  <c r="J20" i="10"/>
  <c r="I20" i="10"/>
  <c r="H20" i="10"/>
  <c r="G20" i="10"/>
  <c r="F20" i="10"/>
  <c r="E20" i="10"/>
  <c r="D20" i="10"/>
  <c r="C20" i="10"/>
  <c r="B20" i="10"/>
  <c r="L19" i="10"/>
  <c r="K19" i="10"/>
  <c r="J19" i="10"/>
  <c r="I19" i="10"/>
  <c r="H19" i="10"/>
  <c r="G19" i="10"/>
  <c r="F19" i="10"/>
  <c r="E19" i="10"/>
  <c r="D19" i="10"/>
  <c r="C19" i="10"/>
  <c r="B19" i="10"/>
  <c r="L18" i="10"/>
  <c r="K18" i="10"/>
  <c r="J18" i="10"/>
  <c r="I18" i="10"/>
  <c r="H18" i="10"/>
  <c r="G18" i="10"/>
  <c r="F18" i="10"/>
  <c r="E18" i="10"/>
  <c r="D18" i="10"/>
  <c r="C18" i="10"/>
  <c r="B18" i="10"/>
  <c r="L17" i="10"/>
  <c r="K17" i="10"/>
  <c r="J17" i="10"/>
  <c r="I17" i="10"/>
  <c r="H17" i="10"/>
  <c r="G17" i="10"/>
  <c r="F17" i="10"/>
  <c r="E17" i="10"/>
  <c r="D17" i="10"/>
  <c r="C17" i="10"/>
  <c r="B17" i="10"/>
  <c r="L16" i="10"/>
  <c r="K16" i="10"/>
  <c r="J16" i="10"/>
  <c r="I16" i="10"/>
  <c r="H16" i="10"/>
  <c r="G16" i="10"/>
  <c r="F16" i="10"/>
  <c r="E16" i="10"/>
  <c r="D16" i="10"/>
  <c r="C16" i="10"/>
  <c r="B16" i="10"/>
  <c r="L15" i="10"/>
  <c r="K15" i="10"/>
  <c r="J15" i="10"/>
  <c r="I15" i="10"/>
  <c r="H15" i="10"/>
  <c r="G15" i="10"/>
  <c r="F15" i="10"/>
  <c r="E15" i="10"/>
  <c r="D15" i="10"/>
  <c r="C15" i="10"/>
  <c r="B15" i="10"/>
  <c r="L14" i="10"/>
  <c r="K14" i="10"/>
  <c r="J14" i="10"/>
  <c r="I14" i="10"/>
  <c r="H14" i="10"/>
  <c r="G14" i="10"/>
  <c r="F14" i="10"/>
  <c r="E14" i="10"/>
  <c r="D14" i="10"/>
  <c r="C14" i="10"/>
  <c r="B14" i="10"/>
  <c r="L13" i="10"/>
  <c r="K13" i="10"/>
  <c r="J13" i="10"/>
  <c r="I13" i="10"/>
  <c r="H13" i="10"/>
  <c r="G13" i="10"/>
  <c r="F13" i="10"/>
  <c r="E13" i="10"/>
  <c r="D13" i="10"/>
  <c r="C13" i="10"/>
  <c r="B13" i="10"/>
  <c r="L12" i="10"/>
  <c r="K12" i="10"/>
  <c r="J12" i="10"/>
  <c r="I12" i="10"/>
  <c r="H12" i="10"/>
  <c r="G12" i="10"/>
  <c r="F12" i="10"/>
  <c r="E12" i="10"/>
  <c r="D12" i="10"/>
  <c r="C12" i="10"/>
  <c r="B12" i="10"/>
  <c r="L11" i="10"/>
  <c r="K11" i="10"/>
  <c r="J11" i="10"/>
  <c r="I11" i="10"/>
  <c r="H11" i="10"/>
  <c r="G11" i="10"/>
  <c r="F11" i="10"/>
  <c r="E11" i="10"/>
  <c r="D11" i="10"/>
  <c r="C11" i="10"/>
  <c r="B11" i="10"/>
  <c r="L10" i="10"/>
  <c r="K10" i="10"/>
  <c r="J10" i="10"/>
  <c r="I10" i="10"/>
  <c r="H10" i="10"/>
  <c r="G10" i="10"/>
  <c r="F10" i="10"/>
  <c r="E10" i="10"/>
  <c r="D10" i="10"/>
  <c r="C10" i="10"/>
  <c r="B10" i="10"/>
  <c r="L9" i="10"/>
  <c r="K9" i="10"/>
  <c r="J9" i="10"/>
  <c r="I9" i="10"/>
  <c r="H9" i="10"/>
  <c r="G9" i="10"/>
  <c r="F9" i="10"/>
  <c r="E9" i="10"/>
  <c r="D9" i="10"/>
  <c r="C9" i="10"/>
  <c r="B9" i="10"/>
  <c r="L8" i="10"/>
  <c r="K8" i="10"/>
  <c r="J8" i="10"/>
  <c r="I8" i="10"/>
  <c r="H8" i="10"/>
  <c r="G8" i="10"/>
  <c r="F8" i="10"/>
  <c r="E8" i="10"/>
  <c r="D8" i="10"/>
  <c r="C8" i="10"/>
  <c r="B8" i="10"/>
  <c r="F4" i="10"/>
  <c r="E4" i="10"/>
  <c r="D4" i="10"/>
  <c r="B4" i="10"/>
  <c r="C4" i="10" s="1"/>
  <c r="A4" i="10"/>
  <c r="G4" i="10" s="1"/>
  <c r="L16" i="9"/>
  <c r="K16" i="9"/>
  <c r="J16" i="9"/>
  <c r="I16" i="9"/>
  <c r="H16" i="9"/>
  <c r="G16" i="9"/>
  <c r="F16" i="9"/>
  <c r="E16" i="9"/>
  <c r="D16" i="9"/>
  <c r="C16" i="9"/>
  <c r="B16" i="9"/>
  <c r="L15" i="9"/>
  <c r="K15" i="9"/>
  <c r="J15" i="9"/>
  <c r="I15" i="9"/>
  <c r="H15" i="9"/>
  <c r="G15" i="9"/>
  <c r="F15" i="9"/>
  <c r="E15" i="9"/>
  <c r="D15" i="9"/>
  <c r="C15" i="9"/>
  <c r="B15" i="9"/>
  <c r="L14" i="9"/>
  <c r="K14" i="9"/>
  <c r="J14" i="9"/>
  <c r="I14" i="9"/>
  <c r="H14" i="9"/>
  <c r="G14" i="9"/>
  <c r="F14" i="9"/>
  <c r="E14" i="9"/>
  <c r="D14" i="9"/>
  <c r="C14" i="9"/>
  <c r="B14" i="9"/>
  <c r="L13" i="9"/>
  <c r="K13" i="9"/>
  <c r="J13" i="9"/>
  <c r="I13" i="9"/>
  <c r="H13" i="9"/>
  <c r="G13" i="9"/>
  <c r="F13" i="9"/>
  <c r="E13" i="9"/>
  <c r="D13" i="9"/>
  <c r="C13" i="9"/>
  <c r="B13" i="9"/>
  <c r="L12" i="9"/>
  <c r="K12" i="9"/>
  <c r="J12" i="9"/>
  <c r="I12" i="9"/>
  <c r="H12" i="9"/>
  <c r="G12" i="9"/>
  <c r="F12" i="9"/>
  <c r="E12" i="9"/>
  <c r="D12" i="9"/>
  <c r="C12" i="9"/>
  <c r="B12" i="9"/>
  <c r="L11" i="9"/>
  <c r="K11" i="9"/>
  <c r="J11" i="9"/>
  <c r="I11" i="9"/>
  <c r="H11" i="9"/>
  <c r="G11" i="9"/>
  <c r="F11" i="9"/>
  <c r="E11" i="9"/>
  <c r="D11" i="9"/>
  <c r="C11" i="9"/>
  <c r="B11" i="9"/>
  <c r="L10" i="9"/>
  <c r="K10" i="9"/>
  <c r="J10" i="9"/>
  <c r="I10" i="9"/>
  <c r="H10" i="9"/>
  <c r="G10" i="9"/>
  <c r="F10" i="9"/>
  <c r="E10" i="9"/>
  <c r="D10" i="9"/>
  <c r="C10" i="9"/>
  <c r="B10" i="9"/>
  <c r="L9" i="9"/>
  <c r="K9" i="9"/>
  <c r="J9" i="9"/>
  <c r="I9" i="9"/>
  <c r="H9" i="9"/>
  <c r="G9" i="9"/>
  <c r="F9" i="9"/>
  <c r="E9" i="9"/>
  <c r="D9" i="9"/>
  <c r="C9" i="9"/>
  <c r="B9" i="9"/>
  <c r="L8" i="9"/>
  <c r="K8" i="9"/>
  <c r="J8" i="9"/>
  <c r="I8" i="9"/>
  <c r="H8" i="9"/>
  <c r="G8" i="9"/>
  <c r="F8" i="9"/>
  <c r="E8" i="9"/>
  <c r="D8" i="9"/>
  <c r="C8" i="9"/>
  <c r="B8" i="9"/>
  <c r="F4" i="9"/>
  <c r="E4" i="9"/>
  <c r="D4" i="9"/>
  <c r="C4" i="9"/>
  <c r="B4" i="9"/>
  <c r="A4" i="9"/>
  <c r="L15" i="8"/>
  <c r="K15" i="8"/>
  <c r="J15" i="8"/>
  <c r="I15" i="8"/>
  <c r="H15" i="8"/>
  <c r="G15" i="8"/>
  <c r="F15" i="8"/>
  <c r="E15" i="8"/>
  <c r="D15" i="8"/>
  <c r="C15" i="8"/>
  <c r="B15" i="8"/>
  <c r="L14" i="8"/>
  <c r="K14" i="8"/>
  <c r="J14" i="8"/>
  <c r="I14" i="8"/>
  <c r="H14" i="8"/>
  <c r="G14" i="8"/>
  <c r="F14" i="8"/>
  <c r="E14" i="8"/>
  <c r="D14" i="8"/>
  <c r="C14" i="8"/>
  <c r="B14" i="8"/>
  <c r="L13" i="8"/>
  <c r="K13" i="8"/>
  <c r="J13" i="8"/>
  <c r="I13" i="8"/>
  <c r="H13" i="8"/>
  <c r="G13" i="8"/>
  <c r="F13" i="8"/>
  <c r="E13" i="8"/>
  <c r="D13" i="8"/>
  <c r="C13" i="8"/>
  <c r="B13" i="8"/>
  <c r="L12" i="8"/>
  <c r="K12" i="8"/>
  <c r="J12" i="8"/>
  <c r="I12" i="8"/>
  <c r="H12" i="8"/>
  <c r="G12" i="8"/>
  <c r="F12" i="8"/>
  <c r="E12" i="8"/>
  <c r="D12" i="8"/>
  <c r="C12" i="8"/>
  <c r="B12" i="8"/>
  <c r="L11" i="8"/>
  <c r="K11" i="8"/>
  <c r="J11" i="8"/>
  <c r="I11" i="8"/>
  <c r="H11" i="8"/>
  <c r="G11" i="8"/>
  <c r="F11" i="8"/>
  <c r="E11" i="8"/>
  <c r="D11" i="8"/>
  <c r="C11" i="8"/>
  <c r="B11" i="8"/>
  <c r="L10" i="8"/>
  <c r="K10" i="8"/>
  <c r="J10" i="8"/>
  <c r="I10" i="8"/>
  <c r="H10" i="8"/>
  <c r="G10" i="8"/>
  <c r="F10" i="8"/>
  <c r="E10" i="8"/>
  <c r="D10" i="8"/>
  <c r="C10" i="8"/>
  <c r="B10" i="8"/>
  <c r="L9" i="8"/>
  <c r="K9" i="8"/>
  <c r="J9" i="8"/>
  <c r="I9" i="8"/>
  <c r="H9" i="8"/>
  <c r="G9" i="8"/>
  <c r="F9" i="8"/>
  <c r="E9" i="8"/>
  <c r="D9" i="8"/>
  <c r="C9" i="8"/>
  <c r="B9" i="8"/>
  <c r="L8" i="8"/>
  <c r="K8" i="8"/>
  <c r="J8" i="8"/>
  <c r="I8" i="8"/>
  <c r="H8" i="8"/>
  <c r="G8" i="8"/>
  <c r="F8" i="8"/>
  <c r="E8" i="8"/>
  <c r="D8" i="8"/>
  <c r="C8" i="8"/>
  <c r="B8" i="8"/>
  <c r="F4" i="8"/>
  <c r="E4" i="8"/>
  <c r="D4" i="8"/>
  <c r="C4" i="8"/>
  <c r="B4" i="8"/>
  <c r="A4" i="8"/>
  <c r="L19" i="7"/>
  <c r="K19" i="7"/>
  <c r="J19" i="7"/>
  <c r="I19" i="7"/>
  <c r="H19" i="7"/>
  <c r="G19" i="7"/>
  <c r="F19" i="7"/>
  <c r="E19" i="7"/>
  <c r="D19" i="7"/>
  <c r="C19" i="7"/>
  <c r="B19" i="7"/>
  <c r="L18" i="7"/>
  <c r="K18" i="7"/>
  <c r="J18" i="7"/>
  <c r="I18" i="7"/>
  <c r="H18" i="7"/>
  <c r="G18" i="7"/>
  <c r="F18" i="7"/>
  <c r="E18" i="7"/>
  <c r="D18" i="7"/>
  <c r="C18" i="7"/>
  <c r="B18" i="7"/>
  <c r="L17" i="7"/>
  <c r="K17" i="7"/>
  <c r="J17" i="7"/>
  <c r="I17" i="7"/>
  <c r="H17" i="7"/>
  <c r="G17" i="7"/>
  <c r="F17" i="7"/>
  <c r="E17" i="7"/>
  <c r="D17" i="7"/>
  <c r="C17" i="7"/>
  <c r="B17" i="7"/>
  <c r="L16" i="7"/>
  <c r="K16" i="7"/>
  <c r="J16" i="7"/>
  <c r="I16" i="7"/>
  <c r="H16" i="7"/>
  <c r="G16" i="7"/>
  <c r="F16" i="7"/>
  <c r="E16" i="7"/>
  <c r="D16" i="7"/>
  <c r="C16" i="7"/>
  <c r="B16" i="7"/>
  <c r="L15" i="7"/>
  <c r="K15" i="7"/>
  <c r="J15" i="7"/>
  <c r="I15" i="7"/>
  <c r="H15" i="7"/>
  <c r="G15" i="7"/>
  <c r="F15" i="7"/>
  <c r="E15" i="7"/>
  <c r="D15" i="7"/>
  <c r="C15" i="7"/>
  <c r="B15" i="7"/>
  <c r="L14" i="7"/>
  <c r="K14" i="7"/>
  <c r="J14" i="7"/>
  <c r="I14" i="7"/>
  <c r="H14" i="7"/>
  <c r="G14" i="7"/>
  <c r="F14" i="7"/>
  <c r="E14" i="7"/>
  <c r="D14" i="7"/>
  <c r="C14" i="7"/>
  <c r="B14" i="7"/>
  <c r="L13" i="7"/>
  <c r="K13" i="7"/>
  <c r="J13" i="7"/>
  <c r="I13" i="7"/>
  <c r="H13" i="7"/>
  <c r="G13" i="7"/>
  <c r="F13" i="7"/>
  <c r="E13" i="7"/>
  <c r="D13" i="7"/>
  <c r="C13" i="7"/>
  <c r="B13" i="7"/>
  <c r="L12" i="7"/>
  <c r="K12" i="7"/>
  <c r="J12" i="7"/>
  <c r="I12" i="7"/>
  <c r="H12" i="7"/>
  <c r="G12" i="7"/>
  <c r="F12" i="7"/>
  <c r="E12" i="7"/>
  <c r="D12" i="7"/>
  <c r="C12" i="7"/>
  <c r="B12" i="7"/>
  <c r="L11" i="7"/>
  <c r="K11" i="7"/>
  <c r="J11" i="7"/>
  <c r="I11" i="7"/>
  <c r="H11" i="7"/>
  <c r="G11" i="7"/>
  <c r="F11" i="7"/>
  <c r="E11" i="7"/>
  <c r="D11" i="7"/>
  <c r="C11" i="7"/>
  <c r="B11" i="7"/>
  <c r="L10" i="7"/>
  <c r="K10" i="7"/>
  <c r="J10" i="7"/>
  <c r="I10" i="7"/>
  <c r="H10" i="7"/>
  <c r="G10" i="7"/>
  <c r="F10" i="7"/>
  <c r="E10" i="7"/>
  <c r="D10" i="7"/>
  <c r="C10" i="7"/>
  <c r="B10" i="7"/>
  <c r="L9" i="7"/>
  <c r="K9" i="7"/>
  <c r="J9" i="7"/>
  <c r="I9" i="7"/>
  <c r="H9" i="7"/>
  <c r="G9" i="7"/>
  <c r="F9" i="7"/>
  <c r="E9" i="7"/>
  <c r="D9" i="7"/>
  <c r="C9" i="7"/>
  <c r="B9" i="7"/>
  <c r="L8" i="7"/>
  <c r="K8" i="7"/>
  <c r="J8" i="7"/>
  <c r="I8" i="7"/>
  <c r="H8" i="7"/>
  <c r="G8" i="7"/>
  <c r="F8" i="7"/>
  <c r="E8" i="7"/>
  <c r="D8" i="7"/>
  <c r="C8" i="7"/>
  <c r="B8" i="7"/>
  <c r="F4" i="7"/>
  <c r="E4" i="7"/>
  <c r="D4" i="7"/>
  <c r="B4" i="7"/>
  <c r="C4" i="7" s="1"/>
  <c r="A4" i="7"/>
  <c r="L12" i="6"/>
  <c r="K12" i="6"/>
  <c r="J12" i="6"/>
  <c r="I12" i="6"/>
  <c r="H12" i="6"/>
  <c r="G12" i="6"/>
  <c r="F12" i="6"/>
  <c r="E12" i="6"/>
  <c r="D12" i="6"/>
  <c r="C12" i="6"/>
  <c r="B12" i="6"/>
  <c r="L11" i="6"/>
  <c r="K11" i="6"/>
  <c r="J11" i="6"/>
  <c r="I11" i="6"/>
  <c r="H11" i="6"/>
  <c r="G11" i="6"/>
  <c r="F11" i="6"/>
  <c r="E11" i="6"/>
  <c r="D11" i="6"/>
  <c r="C11" i="6"/>
  <c r="B11" i="6"/>
  <c r="L10" i="6"/>
  <c r="K10" i="6"/>
  <c r="J10" i="6"/>
  <c r="I10" i="6"/>
  <c r="H10" i="6"/>
  <c r="G10" i="6"/>
  <c r="F10" i="6"/>
  <c r="E10" i="6"/>
  <c r="D10" i="6"/>
  <c r="C10" i="6"/>
  <c r="B10" i="6"/>
  <c r="L9" i="6"/>
  <c r="K9" i="6"/>
  <c r="J9" i="6"/>
  <c r="I9" i="6"/>
  <c r="H9" i="6"/>
  <c r="G9" i="6"/>
  <c r="F9" i="6"/>
  <c r="E9" i="6"/>
  <c r="D9" i="6"/>
  <c r="C9" i="6"/>
  <c r="B9" i="6"/>
  <c r="L8" i="6"/>
  <c r="K8" i="6"/>
  <c r="J8" i="6"/>
  <c r="I8" i="6"/>
  <c r="H8" i="6"/>
  <c r="G8" i="6"/>
  <c r="F8" i="6"/>
  <c r="E8" i="6"/>
  <c r="D8" i="6"/>
  <c r="C8" i="6"/>
  <c r="B8" i="6"/>
  <c r="F4" i="6"/>
  <c r="E4" i="6"/>
  <c r="D4" i="6"/>
  <c r="C4" i="6"/>
  <c r="B4" i="6"/>
  <c r="A4" i="6"/>
  <c r="G4" i="6" s="1"/>
  <c r="L26" i="5"/>
  <c r="K26" i="5"/>
  <c r="J26" i="5"/>
  <c r="I26" i="5"/>
  <c r="H26" i="5"/>
  <c r="G26" i="5"/>
  <c r="F26" i="5"/>
  <c r="E26" i="5"/>
  <c r="D26" i="5"/>
  <c r="C26" i="5"/>
  <c r="B26" i="5"/>
  <c r="L25" i="5"/>
  <c r="K25" i="5"/>
  <c r="J25" i="5"/>
  <c r="I25" i="5"/>
  <c r="H25" i="5"/>
  <c r="G25" i="5"/>
  <c r="F25" i="5"/>
  <c r="E25" i="5"/>
  <c r="D25" i="5"/>
  <c r="C25" i="5"/>
  <c r="B25" i="5"/>
  <c r="L24" i="5"/>
  <c r="K24" i="5"/>
  <c r="J24" i="5"/>
  <c r="I24" i="5"/>
  <c r="H24" i="5"/>
  <c r="G24" i="5"/>
  <c r="F24" i="5"/>
  <c r="E24" i="5"/>
  <c r="D24" i="5"/>
  <c r="C24" i="5"/>
  <c r="B24" i="5"/>
  <c r="L23" i="5"/>
  <c r="K23" i="5"/>
  <c r="J23" i="5"/>
  <c r="I23" i="5"/>
  <c r="H23" i="5"/>
  <c r="G23" i="5"/>
  <c r="F23" i="5"/>
  <c r="E23" i="5"/>
  <c r="D23" i="5"/>
  <c r="C23" i="5"/>
  <c r="B23" i="5"/>
  <c r="L22" i="5"/>
  <c r="K22" i="5"/>
  <c r="J22" i="5"/>
  <c r="I22" i="5"/>
  <c r="H22" i="5"/>
  <c r="G22" i="5"/>
  <c r="F22" i="5"/>
  <c r="E22" i="5"/>
  <c r="D22" i="5"/>
  <c r="C22" i="5"/>
  <c r="B22" i="5"/>
  <c r="L21" i="5"/>
  <c r="K21" i="5"/>
  <c r="J21" i="5"/>
  <c r="I21" i="5"/>
  <c r="H21" i="5"/>
  <c r="G21" i="5"/>
  <c r="F21" i="5"/>
  <c r="E21" i="5"/>
  <c r="D21" i="5"/>
  <c r="C21" i="5"/>
  <c r="B21" i="5"/>
  <c r="L20" i="5"/>
  <c r="K20" i="5"/>
  <c r="J20" i="5"/>
  <c r="I20" i="5"/>
  <c r="H20" i="5"/>
  <c r="G20" i="5"/>
  <c r="F20" i="5"/>
  <c r="E20" i="5"/>
  <c r="D20" i="5"/>
  <c r="C20" i="5"/>
  <c r="B20" i="5"/>
  <c r="L19" i="5"/>
  <c r="K19" i="5"/>
  <c r="J19" i="5"/>
  <c r="I19" i="5"/>
  <c r="H19" i="5"/>
  <c r="G19" i="5"/>
  <c r="F19" i="5"/>
  <c r="E19" i="5"/>
  <c r="D19" i="5"/>
  <c r="C19" i="5"/>
  <c r="B19" i="5"/>
  <c r="L18" i="5"/>
  <c r="K18" i="5"/>
  <c r="J18" i="5"/>
  <c r="I18" i="5"/>
  <c r="H18" i="5"/>
  <c r="G18" i="5"/>
  <c r="F18" i="5"/>
  <c r="E18" i="5"/>
  <c r="D18" i="5"/>
  <c r="C18" i="5"/>
  <c r="B18" i="5"/>
  <c r="L17" i="5"/>
  <c r="K17" i="5"/>
  <c r="J17" i="5"/>
  <c r="I17" i="5"/>
  <c r="H17" i="5"/>
  <c r="G17" i="5"/>
  <c r="F17" i="5"/>
  <c r="E17" i="5"/>
  <c r="D17" i="5"/>
  <c r="C17" i="5"/>
  <c r="B17" i="5"/>
  <c r="L16" i="5"/>
  <c r="K16" i="5"/>
  <c r="J16" i="5"/>
  <c r="I16" i="5"/>
  <c r="H16" i="5"/>
  <c r="G16" i="5"/>
  <c r="F16" i="5"/>
  <c r="E16" i="5"/>
  <c r="D16" i="5"/>
  <c r="C16" i="5"/>
  <c r="B16" i="5"/>
  <c r="L15" i="5"/>
  <c r="K15" i="5"/>
  <c r="J15" i="5"/>
  <c r="I15" i="5"/>
  <c r="H15" i="5"/>
  <c r="G15" i="5"/>
  <c r="F15" i="5"/>
  <c r="E15" i="5"/>
  <c r="D15" i="5"/>
  <c r="C15" i="5"/>
  <c r="B15" i="5"/>
  <c r="L14" i="5"/>
  <c r="K14" i="5"/>
  <c r="J14" i="5"/>
  <c r="I14" i="5"/>
  <c r="H14" i="5"/>
  <c r="G14" i="5"/>
  <c r="F14" i="5"/>
  <c r="E14" i="5"/>
  <c r="D14" i="5"/>
  <c r="C14" i="5"/>
  <c r="B14" i="5"/>
  <c r="L13" i="5"/>
  <c r="K13" i="5"/>
  <c r="J13" i="5"/>
  <c r="I13" i="5"/>
  <c r="H13" i="5"/>
  <c r="G13" i="5"/>
  <c r="F13" i="5"/>
  <c r="E13" i="5"/>
  <c r="D13" i="5"/>
  <c r="C13" i="5"/>
  <c r="B13" i="5"/>
  <c r="L12" i="5"/>
  <c r="K12" i="5"/>
  <c r="J12" i="5"/>
  <c r="I12" i="5"/>
  <c r="H12" i="5"/>
  <c r="G12" i="5"/>
  <c r="F12" i="5"/>
  <c r="E12" i="5"/>
  <c r="D12" i="5"/>
  <c r="C12" i="5"/>
  <c r="B12" i="5"/>
  <c r="L11" i="5"/>
  <c r="K11" i="5"/>
  <c r="J11" i="5"/>
  <c r="I11" i="5"/>
  <c r="H11" i="5"/>
  <c r="G11" i="5"/>
  <c r="F11" i="5"/>
  <c r="E11" i="5"/>
  <c r="D11" i="5"/>
  <c r="C11" i="5"/>
  <c r="B11" i="5"/>
  <c r="L10" i="5"/>
  <c r="K10" i="5"/>
  <c r="J10" i="5"/>
  <c r="I10" i="5"/>
  <c r="H10" i="5"/>
  <c r="G10" i="5"/>
  <c r="F10" i="5"/>
  <c r="E10" i="5"/>
  <c r="D10" i="5"/>
  <c r="C10" i="5"/>
  <c r="B10" i="5"/>
  <c r="L9" i="5"/>
  <c r="K9" i="5"/>
  <c r="J9" i="5"/>
  <c r="I9" i="5"/>
  <c r="H9" i="5"/>
  <c r="G9" i="5"/>
  <c r="F9" i="5"/>
  <c r="E9" i="5"/>
  <c r="D9" i="5"/>
  <c r="C9" i="5"/>
  <c r="B9" i="5"/>
  <c r="L8" i="5"/>
  <c r="K8" i="5"/>
  <c r="J8" i="5"/>
  <c r="I8" i="5"/>
  <c r="H8" i="5"/>
  <c r="G8" i="5"/>
  <c r="F8" i="5"/>
  <c r="E8" i="5"/>
  <c r="D8" i="5"/>
  <c r="C8" i="5"/>
  <c r="B8" i="5"/>
  <c r="F4" i="5"/>
  <c r="E4" i="5"/>
  <c r="D4" i="5"/>
  <c r="C4" i="5"/>
  <c r="B4" i="5"/>
  <c r="A4" i="5"/>
  <c r="L22" i="4"/>
  <c r="K22" i="4"/>
  <c r="J22" i="4"/>
  <c r="I22" i="4"/>
  <c r="H22" i="4"/>
  <c r="G22" i="4"/>
  <c r="F22" i="4"/>
  <c r="E22" i="4"/>
  <c r="D22" i="4"/>
  <c r="C22" i="4"/>
  <c r="B22" i="4"/>
  <c r="L21" i="4"/>
  <c r="K21" i="4"/>
  <c r="J21" i="4"/>
  <c r="I21" i="4"/>
  <c r="H21" i="4"/>
  <c r="G21" i="4"/>
  <c r="F21" i="4"/>
  <c r="E21" i="4"/>
  <c r="D21" i="4"/>
  <c r="C21" i="4"/>
  <c r="B21" i="4"/>
  <c r="L20" i="4"/>
  <c r="K20" i="4"/>
  <c r="J20" i="4"/>
  <c r="I20" i="4"/>
  <c r="H20" i="4"/>
  <c r="G20" i="4"/>
  <c r="F20" i="4"/>
  <c r="E20" i="4"/>
  <c r="D20" i="4"/>
  <c r="C20" i="4"/>
  <c r="B20" i="4"/>
  <c r="L19" i="4"/>
  <c r="K19" i="4"/>
  <c r="J19" i="4"/>
  <c r="I19" i="4"/>
  <c r="H19" i="4"/>
  <c r="G19" i="4"/>
  <c r="F19" i="4"/>
  <c r="E19" i="4"/>
  <c r="D19" i="4"/>
  <c r="C19" i="4"/>
  <c r="B19" i="4"/>
  <c r="L18" i="4"/>
  <c r="K18" i="4"/>
  <c r="J18" i="4"/>
  <c r="I18" i="4"/>
  <c r="H18" i="4"/>
  <c r="G18" i="4"/>
  <c r="F18" i="4"/>
  <c r="E18" i="4"/>
  <c r="D18" i="4"/>
  <c r="C18" i="4"/>
  <c r="B18" i="4"/>
  <c r="L17" i="4"/>
  <c r="K17" i="4"/>
  <c r="J17" i="4"/>
  <c r="I17" i="4"/>
  <c r="H17" i="4"/>
  <c r="G17" i="4"/>
  <c r="F17" i="4"/>
  <c r="E17" i="4"/>
  <c r="D17" i="4"/>
  <c r="C17" i="4"/>
  <c r="B17" i="4"/>
  <c r="L16" i="4"/>
  <c r="K16" i="4"/>
  <c r="J16" i="4"/>
  <c r="I16" i="4"/>
  <c r="H16" i="4"/>
  <c r="G16" i="4"/>
  <c r="F16" i="4"/>
  <c r="E16" i="4"/>
  <c r="D16" i="4"/>
  <c r="C16" i="4"/>
  <c r="B16" i="4"/>
  <c r="L15" i="4"/>
  <c r="K15" i="4"/>
  <c r="J15" i="4"/>
  <c r="I15" i="4"/>
  <c r="H15" i="4"/>
  <c r="G15" i="4"/>
  <c r="F15" i="4"/>
  <c r="E15" i="4"/>
  <c r="D15" i="4"/>
  <c r="C15" i="4"/>
  <c r="B15" i="4"/>
  <c r="L14" i="4"/>
  <c r="K14" i="4"/>
  <c r="J14" i="4"/>
  <c r="I14" i="4"/>
  <c r="H14" i="4"/>
  <c r="G14" i="4"/>
  <c r="F14" i="4"/>
  <c r="E14" i="4"/>
  <c r="D14" i="4"/>
  <c r="C14" i="4"/>
  <c r="B14" i="4"/>
  <c r="L13" i="4"/>
  <c r="K13" i="4"/>
  <c r="J13" i="4"/>
  <c r="I13" i="4"/>
  <c r="H13" i="4"/>
  <c r="G13" i="4"/>
  <c r="F13" i="4"/>
  <c r="E13" i="4"/>
  <c r="D13" i="4"/>
  <c r="C13" i="4"/>
  <c r="B13" i="4"/>
  <c r="L12" i="4"/>
  <c r="K12" i="4"/>
  <c r="J12" i="4"/>
  <c r="I12" i="4"/>
  <c r="H12" i="4"/>
  <c r="G12" i="4"/>
  <c r="F12" i="4"/>
  <c r="E12" i="4"/>
  <c r="D12" i="4"/>
  <c r="C12" i="4"/>
  <c r="B12" i="4"/>
  <c r="L11" i="4"/>
  <c r="K11" i="4"/>
  <c r="J11" i="4"/>
  <c r="I11" i="4"/>
  <c r="H11" i="4"/>
  <c r="G11" i="4"/>
  <c r="F11" i="4"/>
  <c r="E11" i="4"/>
  <c r="D11" i="4"/>
  <c r="C11" i="4"/>
  <c r="B11" i="4"/>
  <c r="L10" i="4"/>
  <c r="K10" i="4"/>
  <c r="J10" i="4"/>
  <c r="I10" i="4"/>
  <c r="H10" i="4"/>
  <c r="G10" i="4"/>
  <c r="F10" i="4"/>
  <c r="E10" i="4"/>
  <c r="D10" i="4"/>
  <c r="C10" i="4"/>
  <c r="B10" i="4"/>
  <c r="L9" i="4"/>
  <c r="K9" i="4"/>
  <c r="J9" i="4"/>
  <c r="I9" i="4"/>
  <c r="H9" i="4"/>
  <c r="G9" i="4"/>
  <c r="F9" i="4"/>
  <c r="E9" i="4"/>
  <c r="D9" i="4"/>
  <c r="C9" i="4"/>
  <c r="B9" i="4"/>
  <c r="L8" i="4"/>
  <c r="K8" i="4"/>
  <c r="J8" i="4"/>
  <c r="I8" i="4"/>
  <c r="H8" i="4"/>
  <c r="G8" i="4"/>
  <c r="F8" i="4"/>
  <c r="E8" i="4"/>
  <c r="D8" i="4"/>
  <c r="C8" i="4"/>
  <c r="B8" i="4"/>
  <c r="F4" i="4"/>
  <c r="E4" i="4"/>
  <c r="D4" i="4"/>
  <c r="B4" i="4"/>
  <c r="G4" i="4" s="1"/>
  <c r="A4" i="4"/>
  <c r="L114" i="3"/>
  <c r="K114" i="3"/>
  <c r="J114" i="3"/>
  <c r="I114" i="3"/>
  <c r="H114" i="3"/>
  <c r="G114" i="3"/>
  <c r="F114" i="3"/>
  <c r="E114" i="3"/>
  <c r="D114" i="3"/>
  <c r="C114" i="3"/>
  <c r="B114" i="3"/>
  <c r="L113" i="3"/>
  <c r="K113" i="3"/>
  <c r="J113" i="3"/>
  <c r="I113" i="3"/>
  <c r="H113" i="3"/>
  <c r="G113" i="3"/>
  <c r="F113" i="3"/>
  <c r="E113" i="3"/>
  <c r="D113" i="3"/>
  <c r="C113" i="3"/>
  <c r="B113" i="3"/>
  <c r="L112" i="3"/>
  <c r="K112" i="3"/>
  <c r="J112" i="3"/>
  <c r="I112" i="3"/>
  <c r="H112" i="3"/>
  <c r="G112" i="3"/>
  <c r="F112" i="3"/>
  <c r="E112" i="3"/>
  <c r="D112" i="3"/>
  <c r="C112" i="3"/>
  <c r="B112" i="3"/>
  <c r="L111" i="3"/>
  <c r="K111" i="3"/>
  <c r="J111" i="3"/>
  <c r="I111" i="3"/>
  <c r="H111" i="3"/>
  <c r="G111" i="3"/>
  <c r="F111" i="3"/>
  <c r="E111" i="3"/>
  <c r="D111" i="3"/>
  <c r="C111" i="3"/>
  <c r="B111" i="3"/>
  <c r="L110" i="3"/>
  <c r="K110" i="3"/>
  <c r="J110" i="3"/>
  <c r="I110" i="3"/>
  <c r="H110" i="3"/>
  <c r="G110" i="3"/>
  <c r="F110" i="3"/>
  <c r="E110" i="3"/>
  <c r="D110" i="3"/>
  <c r="C110" i="3"/>
  <c r="B110" i="3"/>
  <c r="L109" i="3"/>
  <c r="K109" i="3"/>
  <c r="J109" i="3"/>
  <c r="I109" i="3"/>
  <c r="H109" i="3"/>
  <c r="G109" i="3"/>
  <c r="F109" i="3"/>
  <c r="E109" i="3"/>
  <c r="D109" i="3"/>
  <c r="C109" i="3"/>
  <c r="B109" i="3"/>
  <c r="L108" i="3"/>
  <c r="K108" i="3"/>
  <c r="J108" i="3"/>
  <c r="I108" i="3"/>
  <c r="H108" i="3"/>
  <c r="G108" i="3"/>
  <c r="F108" i="3"/>
  <c r="E108" i="3"/>
  <c r="D108" i="3"/>
  <c r="C108" i="3"/>
  <c r="B108" i="3"/>
  <c r="L107" i="3"/>
  <c r="K107" i="3"/>
  <c r="J107" i="3"/>
  <c r="I107" i="3"/>
  <c r="H107" i="3"/>
  <c r="G107" i="3"/>
  <c r="F107" i="3"/>
  <c r="E107" i="3"/>
  <c r="D107" i="3"/>
  <c r="C107" i="3"/>
  <c r="B107" i="3"/>
  <c r="L106" i="3"/>
  <c r="K106" i="3"/>
  <c r="J106" i="3"/>
  <c r="I106" i="3"/>
  <c r="H106" i="3"/>
  <c r="G106" i="3"/>
  <c r="F106" i="3"/>
  <c r="E106" i="3"/>
  <c r="D106" i="3"/>
  <c r="C106" i="3"/>
  <c r="B106" i="3"/>
  <c r="L105" i="3"/>
  <c r="K105" i="3"/>
  <c r="J105" i="3"/>
  <c r="I105" i="3"/>
  <c r="H105" i="3"/>
  <c r="G105" i="3"/>
  <c r="F105" i="3"/>
  <c r="E105" i="3"/>
  <c r="D105" i="3"/>
  <c r="C105" i="3"/>
  <c r="B105" i="3"/>
  <c r="L104" i="3"/>
  <c r="K104" i="3"/>
  <c r="J104" i="3"/>
  <c r="I104" i="3"/>
  <c r="H104" i="3"/>
  <c r="G104" i="3"/>
  <c r="F104" i="3"/>
  <c r="E104" i="3"/>
  <c r="D104" i="3"/>
  <c r="C104" i="3"/>
  <c r="B104" i="3"/>
  <c r="L103" i="3"/>
  <c r="K103" i="3"/>
  <c r="J103" i="3"/>
  <c r="I103" i="3"/>
  <c r="H103" i="3"/>
  <c r="G103" i="3"/>
  <c r="F103" i="3"/>
  <c r="E103" i="3"/>
  <c r="D103" i="3"/>
  <c r="C103" i="3"/>
  <c r="B103" i="3"/>
  <c r="L102" i="3"/>
  <c r="K102" i="3"/>
  <c r="J102" i="3"/>
  <c r="I102" i="3"/>
  <c r="H102" i="3"/>
  <c r="G102" i="3"/>
  <c r="F102" i="3"/>
  <c r="E102" i="3"/>
  <c r="D102" i="3"/>
  <c r="C102" i="3"/>
  <c r="B102" i="3"/>
  <c r="L101" i="3"/>
  <c r="K101" i="3"/>
  <c r="J101" i="3"/>
  <c r="I101" i="3"/>
  <c r="H101" i="3"/>
  <c r="G101" i="3"/>
  <c r="F101" i="3"/>
  <c r="E101" i="3"/>
  <c r="D101" i="3"/>
  <c r="C101" i="3"/>
  <c r="B101" i="3"/>
  <c r="L100" i="3"/>
  <c r="K100" i="3"/>
  <c r="J100" i="3"/>
  <c r="I100" i="3"/>
  <c r="H100" i="3"/>
  <c r="G100" i="3"/>
  <c r="F100" i="3"/>
  <c r="E100" i="3"/>
  <c r="D100" i="3"/>
  <c r="C100" i="3"/>
  <c r="B100" i="3"/>
  <c r="L99" i="3"/>
  <c r="K99" i="3"/>
  <c r="J99" i="3"/>
  <c r="I99" i="3"/>
  <c r="H99" i="3"/>
  <c r="G99" i="3"/>
  <c r="F99" i="3"/>
  <c r="E99" i="3"/>
  <c r="D99" i="3"/>
  <c r="C99" i="3"/>
  <c r="B99" i="3"/>
  <c r="L98" i="3"/>
  <c r="K98" i="3"/>
  <c r="J98" i="3"/>
  <c r="I98" i="3"/>
  <c r="H98" i="3"/>
  <c r="G98" i="3"/>
  <c r="F98" i="3"/>
  <c r="E98" i="3"/>
  <c r="D98" i="3"/>
  <c r="C98" i="3"/>
  <c r="B98" i="3"/>
  <c r="L97" i="3"/>
  <c r="K97" i="3"/>
  <c r="J97" i="3"/>
  <c r="I97" i="3"/>
  <c r="H97" i="3"/>
  <c r="G97" i="3"/>
  <c r="F97" i="3"/>
  <c r="E97" i="3"/>
  <c r="D97" i="3"/>
  <c r="C97" i="3"/>
  <c r="B97" i="3"/>
  <c r="L96" i="3"/>
  <c r="K96" i="3"/>
  <c r="J96" i="3"/>
  <c r="I96" i="3"/>
  <c r="H96" i="3"/>
  <c r="G96" i="3"/>
  <c r="F96" i="3"/>
  <c r="E96" i="3"/>
  <c r="D96" i="3"/>
  <c r="C96" i="3"/>
  <c r="B96" i="3"/>
  <c r="L95" i="3"/>
  <c r="K95" i="3"/>
  <c r="J95" i="3"/>
  <c r="I95" i="3"/>
  <c r="H95" i="3"/>
  <c r="G95" i="3"/>
  <c r="F95" i="3"/>
  <c r="E95" i="3"/>
  <c r="D95" i="3"/>
  <c r="C95" i="3"/>
  <c r="B95" i="3"/>
  <c r="L94" i="3"/>
  <c r="K94" i="3"/>
  <c r="J94" i="3"/>
  <c r="I94" i="3"/>
  <c r="H94" i="3"/>
  <c r="G94" i="3"/>
  <c r="F94" i="3"/>
  <c r="E94" i="3"/>
  <c r="D94" i="3"/>
  <c r="C94" i="3"/>
  <c r="B94" i="3"/>
  <c r="L93" i="3"/>
  <c r="K93" i="3"/>
  <c r="J93" i="3"/>
  <c r="I93" i="3"/>
  <c r="H93" i="3"/>
  <c r="G93" i="3"/>
  <c r="F93" i="3"/>
  <c r="E93" i="3"/>
  <c r="D93" i="3"/>
  <c r="C93" i="3"/>
  <c r="B93" i="3"/>
  <c r="L92" i="3"/>
  <c r="K92" i="3"/>
  <c r="J92" i="3"/>
  <c r="I92" i="3"/>
  <c r="H92" i="3"/>
  <c r="G92" i="3"/>
  <c r="F92" i="3"/>
  <c r="E92" i="3"/>
  <c r="D92" i="3"/>
  <c r="C92" i="3"/>
  <c r="B92" i="3"/>
  <c r="L91" i="3"/>
  <c r="K91" i="3"/>
  <c r="J91" i="3"/>
  <c r="I91" i="3"/>
  <c r="H91" i="3"/>
  <c r="G91" i="3"/>
  <c r="F91" i="3"/>
  <c r="E91" i="3"/>
  <c r="D91" i="3"/>
  <c r="C91" i="3"/>
  <c r="B91" i="3"/>
  <c r="L90" i="3"/>
  <c r="K90" i="3"/>
  <c r="J90" i="3"/>
  <c r="I90" i="3"/>
  <c r="H90" i="3"/>
  <c r="G90" i="3"/>
  <c r="F90" i="3"/>
  <c r="E90" i="3"/>
  <c r="D90" i="3"/>
  <c r="C90" i="3"/>
  <c r="B90" i="3"/>
  <c r="L89" i="3"/>
  <c r="K89" i="3"/>
  <c r="J89" i="3"/>
  <c r="I89" i="3"/>
  <c r="H89" i="3"/>
  <c r="G89" i="3"/>
  <c r="F89" i="3"/>
  <c r="E89" i="3"/>
  <c r="D89" i="3"/>
  <c r="C89" i="3"/>
  <c r="B89" i="3"/>
  <c r="L88" i="3"/>
  <c r="K88" i="3"/>
  <c r="J88" i="3"/>
  <c r="I88" i="3"/>
  <c r="H88" i="3"/>
  <c r="G88" i="3"/>
  <c r="F88" i="3"/>
  <c r="E88" i="3"/>
  <c r="D88" i="3"/>
  <c r="C88" i="3"/>
  <c r="B88" i="3"/>
  <c r="L87" i="3"/>
  <c r="K87" i="3"/>
  <c r="J87" i="3"/>
  <c r="I87" i="3"/>
  <c r="H87" i="3"/>
  <c r="G87" i="3"/>
  <c r="F87" i="3"/>
  <c r="E87" i="3"/>
  <c r="D87" i="3"/>
  <c r="C87" i="3"/>
  <c r="B87" i="3"/>
  <c r="L86" i="3"/>
  <c r="K86" i="3"/>
  <c r="J86" i="3"/>
  <c r="I86" i="3"/>
  <c r="H86" i="3"/>
  <c r="G86" i="3"/>
  <c r="F86" i="3"/>
  <c r="E86" i="3"/>
  <c r="D86" i="3"/>
  <c r="C86" i="3"/>
  <c r="B86" i="3"/>
  <c r="L85" i="3"/>
  <c r="K85" i="3"/>
  <c r="J85" i="3"/>
  <c r="I85" i="3"/>
  <c r="H85" i="3"/>
  <c r="G85" i="3"/>
  <c r="F85" i="3"/>
  <c r="E85" i="3"/>
  <c r="D85" i="3"/>
  <c r="C85" i="3"/>
  <c r="B85" i="3"/>
  <c r="L84" i="3"/>
  <c r="K84" i="3"/>
  <c r="J84" i="3"/>
  <c r="I84" i="3"/>
  <c r="H84" i="3"/>
  <c r="G84" i="3"/>
  <c r="F84" i="3"/>
  <c r="E84" i="3"/>
  <c r="D84" i="3"/>
  <c r="C84" i="3"/>
  <c r="B84" i="3"/>
  <c r="L83" i="3"/>
  <c r="K83" i="3"/>
  <c r="J83" i="3"/>
  <c r="I83" i="3"/>
  <c r="H83" i="3"/>
  <c r="G83" i="3"/>
  <c r="F83" i="3"/>
  <c r="E83" i="3"/>
  <c r="D83" i="3"/>
  <c r="C83" i="3"/>
  <c r="B83" i="3"/>
  <c r="L82" i="3"/>
  <c r="K82" i="3"/>
  <c r="J82" i="3"/>
  <c r="I82" i="3"/>
  <c r="H82" i="3"/>
  <c r="G82" i="3"/>
  <c r="F82" i="3"/>
  <c r="E82" i="3"/>
  <c r="D82" i="3"/>
  <c r="C82" i="3"/>
  <c r="B82" i="3"/>
  <c r="L81" i="3"/>
  <c r="K81" i="3"/>
  <c r="J81" i="3"/>
  <c r="I81" i="3"/>
  <c r="H81" i="3"/>
  <c r="G81" i="3"/>
  <c r="F81" i="3"/>
  <c r="E81" i="3"/>
  <c r="D81" i="3"/>
  <c r="C81" i="3"/>
  <c r="B81" i="3"/>
  <c r="L80" i="3"/>
  <c r="K80" i="3"/>
  <c r="J80" i="3"/>
  <c r="I80" i="3"/>
  <c r="H80" i="3"/>
  <c r="G80" i="3"/>
  <c r="F80" i="3"/>
  <c r="E80" i="3"/>
  <c r="D80" i="3"/>
  <c r="C80" i="3"/>
  <c r="B80" i="3"/>
  <c r="L79" i="3"/>
  <c r="K79" i="3"/>
  <c r="J79" i="3"/>
  <c r="I79" i="3"/>
  <c r="H79" i="3"/>
  <c r="G79" i="3"/>
  <c r="F79" i="3"/>
  <c r="E79" i="3"/>
  <c r="D79" i="3"/>
  <c r="C79" i="3"/>
  <c r="B79" i="3"/>
  <c r="L78" i="3"/>
  <c r="K78" i="3"/>
  <c r="J78" i="3"/>
  <c r="I78" i="3"/>
  <c r="H78" i="3"/>
  <c r="G78" i="3"/>
  <c r="F78" i="3"/>
  <c r="E78" i="3"/>
  <c r="D78" i="3"/>
  <c r="C78" i="3"/>
  <c r="B78" i="3"/>
  <c r="L77" i="3"/>
  <c r="K77" i="3"/>
  <c r="J77" i="3"/>
  <c r="I77" i="3"/>
  <c r="H77" i="3"/>
  <c r="G77" i="3"/>
  <c r="F77" i="3"/>
  <c r="E77" i="3"/>
  <c r="D77" i="3"/>
  <c r="C77" i="3"/>
  <c r="B77" i="3"/>
  <c r="L76" i="3"/>
  <c r="K76" i="3"/>
  <c r="J76" i="3"/>
  <c r="I76" i="3"/>
  <c r="H76" i="3"/>
  <c r="G76" i="3"/>
  <c r="F76" i="3"/>
  <c r="E76" i="3"/>
  <c r="D76" i="3"/>
  <c r="C76" i="3"/>
  <c r="B76" i="3"/>
  <c r="L75" i="3"/>
  <c r="K75" i="3"/>
  <c r="J75" i="3"/>
  <c r="I75" i="3"/>
  <c r="H75" i="3"/>
  <c r="G75" i="3"/>
  <c r="F75" i="3"/>
  <c r="E75" i="3"/>
  <c r="D75" i="3"/>
  <c r="C75" i="3"/>
  <c r="B75" i="3"/>
  <c r="L74" i="3"/>
  <c r="K74" i="3"/>
  <c r="J74" i="3"/>
  <c r="I74" i="3"/>
  <c r="H74" i="3"/>
  <c r="G74" i="3"/>
  <c r="F74" i="3"/>
  <c r="E74" i="3"/>
  <c r="D74" i="3"/>
  <c r="C74" i="3"/>
  <c r="B74" i="3"/>
  <c r="L73" i="3"/>
  <c r="K73" i="3"/>
  <c r="J73" i="3"/>
  <c r="I73" i="3"/>
  <c r="H73" i="3"/>
  <c r="G73" i="3"/>
  <c r="F73" i="3"/>
  <c r="E73" i="3"/>
  <c r="D73" i="3"/>
  <c r="C73" i="3"/>
  <c r="B73" i="3"/>
  <c r="L72" i="3"/>
  <c r="K72" i="3"/>
  <c r="J72" i="3"/>
  <c r="I72" i="3"/>
  <c r="H72" i="3"/>
  <c r="G72" i="3"/>
  <c r="F72" i="3"/>
  <c r="E72" i="3"/>
  <c r="D72" i="3"/>
  <c r="C72" i="3"/>
  <c r="B72" i="3"/>
  <c r="L71" i="3"/>
  <c r="K71" i="3"/>
  <c r="J71" i="3"/>
  <c r="I71" i="3"/>
  <c r="H71" i="3"/>
  <c r="G71" i="3"/>
  <c r="F71" i="3"/>
  <c r="E71" i="3"/>
  <c r="D71" i="3"/>
  <c r="C71" i="3"/>
  <c r="B71" i="3"/>
  <c r="L70" i="3"/>
  <c r="K70" i="3"/>
  <c r="J70" i="3"/>
  <c r="I70" i="3"/>
  <c r="H70" i="3"/>
  <c r="G70" i="3"/>
  <c r="F70" i="3"/>
  <c r="E70" i="3"/>
  <c r="D70" i="3"/>
  <c r="C70" i="3"/>
  <c r="B70" i="3"/>
  <c r="L69" i="3"/>
  <c r="K69" i="3"/>
  <c r="J69" i="3"/>
  <c r="I69" i="3"/>
  <c r="H69" i="3"/>
  <c r="G69" i="3"/>
  <c r="F69" i="3"/>
  <c r="E69" i="3"/>
  <c r="D69" i="3"/>
  <c r="C69" i="3"/>
  <c r="B69" i="3"/>
  <c r="L68" i="3"/>
  <c r="K68" i="3"/>
  <c r="J68" i="3"/>
  <c r="I68" i="3"/>
  <c r="H68" i="3"/>
  <c r="G68" i="3"/>
  <c r="F68" i="3"/>
  <c r="E68" i="3"/>
  <c r="D68" i="3"/>
  <c r="C68" i="3"/>
  <c r="B68" i="3"/>
  <c r="L67" i="3"/>
  <c r="K67" i="3"/>
  <c r="J67" i="3"/>
  <c r="I67" i="3"/>
  <c r="H67" i="3"/>
  <c r="G67" i="3"/>
  <c r="F67" i="3"/>
  <c r="E67" i="3"/>
  <c r="D67" i="3"/>
  <c r="C67" i="3"/>
  <c r="B67" i="3"/>
  <c r="L66" i="3"/>
  <c r="K66" i="3"/>
  <c r="J66" i="3"/>
  <c r="I66" i="3"/>
  <c r="H66" i="3"/>
  <c r="G66" i="3"/>
  <c r="F66" i="3"/>
  <c r="E66" i="3"/>
  <c r="D66" i="3"/>
  <c r="C66" i="3"/>
  <c r="B66" i="3"/>
  <c r="L65" i="3"/>
  <c r="K65" i="3"/>
  <c r="J65" i="3"/>
  <c r="I65" i="3"/>
  <c r="H65" i="3"/>
  <c r="G65" i="3"/>
  <c r="F65" i="3"/>
  <c r="E65" i="3"/>
  <c r="D65" i="3"/>
  <c r="C65" i="3"/>
  <c r="B65" i="3"/>
  <c r="L64" i="3"/>
  <c r="K64" i="3"/>
  <c r="J64" i="3"/>
  <c r="I64" i="3"/>
  <c r="H64" i="3"/>
  <c r="G64" i="3"/>
  <c r="F64" i="3"/>
  <c r="E64" i="3"/>
  <c r="D64" i="3"/>
  <c r="C64" i="3"/>
  <c r="B64" i="3"/>
  <c r="L63" i="3"/>
  <c r="K63" i="3"/>
  <c r="J63" i="3"/>
  <c r="I63" i="3"/>
  <c r="H63" i="3"/>
  <c r="G63" i="3"/>
  <c r="F63" i="3"/>
  <c r="E63" i="3"/>
  <c r="D63" i="3"/>
  <c r="C63" i="3"/>
  <c r="B63" i="3"/>
  <c r="L62" i="3"/>
  <c r="K62" i="3"/>
  <c r="J62" i="3"/>
  <c r="I62" i="3"/>
  <c r="H62" i="3"/>
  <c r="G62" i="3"/>
  <c r="F62" i="3"/>
  <c r="E62" i="3"/>
  <c r="D62" i="3"/>
  <c r="C62" i="3"/>
  <c r="B62" i="3"/>
  <c r="L61" i="3"/>
  <c r="K61" i="3"/>
  <c r="J61" i="3"/>
  <c r="I61" i="3"/>
  <c r="H61" i="3"/>
  <c r="G61" i="3"/>
  <c r="F61" i="3"/>
  <c r="E61" i="3"/>
  <c r="D61" i="3"/>
  <c r="C61" i="3"/>
  <c r="B61" i="3"/>
  <c r="L60" i="3"/>
  <c r="K60" i="3"/>
  <c r="J60" i="3"/>
  <c r="I60" i="3"/>
  <c r="H60" i="3"/>
  <c r="G60" i="3"/>
  <c r="F60" i="3"/>
  <c r="E60" i="3"/>
  <c r="D60" i="3"/>
  <c r="C60" i="3"/>
  <c r="B60" i="3"/>
  <c r="L59" i="3"/>
  <c r="K59" i="3"/>
  <c r="J59" i="3"/>
  <c r="I59" i="3"/>
  <c r="H59" i="3"/>
  <c r="G59" i="3"/>
  <c r="F59" i="3"/>
  <c r="E59" i="3"/>
  <c r="D59" i="3"/>
  <c r="C59" i="3"/>
  <c r="B59" i="3"/>
  <c r="L58" i="3"/>
  <c r="K58" i="3"/>
  <c r="J58" i="3"/>
  <c r="I58" i="3"/>
  <c r="H58" i="3"/>
  <c r="G58" i="3"/>
  <c r="F58" i="3"/>
  <c r="E58" i="3"/>
  <c r="D58" i="3"/>
  <c r="C58" i="3"/>
  <c r="B58" i="3"/>
  <c r="L57" i="3"/>
  <c r="K57" i="3"/>
  <c r="J57" i="3"/>
  <c r="I57" i="3"/>
  <c r="H57" i="3"/>
  <c r="G57" i="3"/>
  <c r="F57" i="3"/>
  <c r="E57" i="3"/>
  <c r="D57" i="3"/>
  <c r="C57" i="3"/>
  <c r="B57" i="3"/>
  <c r="L56" i="3"/>
  <c r="K56" i="3"/>
  <c r="J56" i="3"/>
  <c r="I56" i="3"/>
  <c r="H56" i="3"/>
  <c r="G56" i="3"/>
  <c r="F56" i="3"/>
  <c r="E56" i="3"/>
  <c r="D56" i="3"/>
  <c r="C56" i="3"/>
  <c r="B56" i="3"/>
  <c r="L55" i="3"/>
  <c r="K55" i="3"/>
  <c r="J55" i="3"/>
  <c r="I55" i="3"/>
  <c r="H55" i="3"/>
  <c r="G55" i="3"/>
  <c r="F55" i="3"/>
  <c r="E55" i="3"/>
  <c r="D55" i="3"/>
  <c r="C55" i="3"/>
  <c r="B55" i="3"/>
  <c r="L54" i="3"/>
  <c r="K54" i="3"/>
  <c r="J54" i="3"/>
  <c r="I54" i="3"/>
  <c r="H54" i="3"/>
  <c r="G54" i="3"/>
  <c r="F54" i="3"/>
  <c r="E54" i="3"/>
  <c r="D54" i="3"/>
  <c r="C54" i="3"/>
  <c r="B54" i="3"/>
  <c r="L53" i="3"/>
  <c r="K53" i="3"/>
  <c r="J53" i="3"/>
  <c r="I53" i="3"/>
  <c r="H53" i="3"/>
  <c r="G53" i="3"/>
  <c r="F53" i="3"/>
  <c r="E53" i="3"/>
  <c r="D53" i="3"/>
  <c r="C53" i="3"/>
  <c r="B53" i="3"/>
  <c r="L52" i="3"/>
  <c r="K52" i="3"/>
  <c r="J52" i="3"/>
  <c r="I52" i="3"/>
  <c r="H52" i="3"/>
  <c r="G52" i="3"/>
  <c r="F52" i="3"/>
  <c r="E52" i="3"/>
  <c r="D52" i="3"/>
  <c r="C52" i="3"/>
  <c r="B52" i="3"/>
  <c r="L51" i="3"/>
  <c r="K51" i="3"/>
  <c r="J51" i="3"/>
  <c r="I51" i="3"/>
  <c r="H51" i="3"/>
  <c r="G51" i="3"/>
  <c r="F51" i="3"/>
  <c r="E51" i="3"/>
  <c r="D51" i="3"/>
  <c r="C51" i="3"/>
  <c r="B51" i="3"/>
  <c r="L50" i="3"/>
  <c r="K50" i="3"/>
  <c r="J50" i="3"/>
  <c r="I50" i="3"/>
  <c r="H50" i="3"/>
  <c r="G50" i="3"/>
  <c r="F50" i="3"/>
  <c r="E50" i="3"/>
  <c r="D50" i="3"/>
  <c r="C50" i="3"/>
  <c r="B50" i="3"/>
  <c r="L49" i="3"/>
  <c r="K49" i="3"/>
  <c r="J49" i="3"/>
  <c r="I49" i="3"/>
  <c r="H49" i="3"/>
  <c r="G49" i="3"/>
  <c r="F49" i="3"/>
  <c r="E49" i="3"/>
  <c r="D49" i="3"/>
  <c r="C49" i="3"/>
  <c r="B49" i="3"/>
  <c r="L48" i="3"/>
  <c r="K48" i="3"/>
  <c r="J48" i="3"/>
  <c r="I48" i="3"/>
  <c r="H48" i="3"/>
  <c r="G48" i="3"/>
  <c r="F48" i="3"/>
  <c r="E48" i="3"/>
  <c r="D48" i="3"/>
  <c r="C48" i="3"/>
  <c r="B48" i="3"/>
  <c r="L47" i="3"/>
  <c r="K47" i="3"/>
  <c r="J47" i="3"/>
  <c r="I47" i="3"/>
  <c r="H47" i="3"/>
  <c r="G47" i="3"/>
  <c r="F47" i="3"/>
  <c r="E47" i="3"/>
  <c r="D47" i="3"/>
  <c r="C47" i="3"/>
  <c r="B47" i="3"/>
  <c r="L46" i="3"/>
  <c r="K46" i="3"/>
  <c r="J46" i="3"/>
  <c r="I46" i="3"/>
  <c r="H46" i="3"/>
  <c r="G46" i="3"/>
  <c r="F46" i="3"/>
  <c r="E46" i="3"/>
  <c r="D46" i="3"/>
  <c r="C46" i="3"/>
  <c r="B46" i="3"/>
  <c r="L45" i="3"/>
  <c r="K45" i="3"/>
  <c r="J45" i="3"/>
  <c r="I45" i="3"/>
  <c r="H45" i="3"/>
  <c r="G45" i="3"/>
  <c r="F45" i="3"/>
  <c r="E45" i="3"/>
  <c r="D45" i="3"/>
  <c r="C45" i="3"/>
  <c r="B45" i="3"/>
  <c r="L44" i="3"/>
  <c r="K44" i="3"/>
  <c r="J44" i="3"/>
  <c r="I44" i="3"/>
  <c r="H44" i="3"/>
  <c r="G44" i="3"/>
  <c r="F44" i="3"/>
  <c r="E44" i="3"/>
  <c r="D44" i="3"/>
  <c r="C44" i="3"/>
  <c r="B44" i="3"/>
  <c r="L43" i="3"/>
  <c r="K43" i="3"/>
  <c r="J43" i="3"/>
  <c r="I43" i="3"/>
  <c r="H43" i="3"/>
  <c r="G43" i="3"/>
  <c r="F43" i="3"/>
  <c r="E43" i="3"/>
  <c r="D43" i="3"/>
  <c r="C43" i="3"/>
  <c r="B43" i="3"/>
  <c r="L42" i="3"/>
  <c r="K42" i="3"/>
  <c r="J42" i="3"/>
  <c r="I42" i="3"/>
  <c r="H42" i="3"/>
  <c r="G42" i="3"/>
  <c r="F42" i="3"/>
  <c r="E42" i="3"/>
  <c r="D42" i="3"/>
  <c r="C42" i="3"/>
  <c r="B42" i="3"/>
  <c r="L41" i="3"/>
  <c r="K41" i="3"/>
  <c r="J41" i="3"/>
  <c r="I41" i="3"/>
  <c r="H41" i="3"/>
  <c r="G41" i="3"/>
  <c r="F41" i="3"/>
  <c r="E41" i="3"/>
  <c r="D41" i="3"/>
  <c r="C41" i="3"/>
  <c r="B41" i="3"/>
  <c r="L40" i="3"/>
  <c r="K40" i="3"/>
  <c r="J40" i="3"/>
  <c r="I40" i="3"/>
  <c r="H40" i="3"/>
  <c r="G40" i="3"/>
  <c r="F40" i="3"/>
  <c r="E40" i="3"/>
  <c r="D40" i="3"/>
  <c r="C40" i="3"/>
  <c r="B40" i="3"/>
  <c r="L39" i="3"/>
  <c r="K39" i="3"/>
  <c r="J39" i="3"/>
  <c r="I39" i="3"/>
  <c r="H39" i="3"/>
  <c r="G39" i="3"/>
  <c r="F39" i="3"/>
  <c r="E39" i="3"/>
  <c r="D39" i="3"/>
  <c r="C39" i="3"/>
  <c r="B39" i="3"/>
  <c r="L38" i="3"/>
  <c r="K38" i="3"/>
  <c r="J38" i="3"/>
  <c r="I38" i="3"/>
  <c r="H38" i="3"/>
  <c r="G38" i="3"/>
  <c r="F38" i="3"/>
  <c r="E38" i="3"/>
  <c r="D38" i="3"/>
  <c r="C38" i="3"/>
  <c r="B38" i="3"/>
  <c r="L37" i="3"/>
  <c r="K37" i="3"/>
  <c r="J37" i="3"/>
  <c r="I37" i="3"/>
  <c r="H37" i="3"/>
  <c r="G37" i="3"/>
  <c r="F37" i="3"/>
  <c r="E37" i="3"/>
  <c r="D37" i="3"/>
  <c r="C37" i="3"/>
  <c r="B37" i="3"/>
  <c r="L36" i="3"/>
  <c r="K36" i="3"/>
  <c r="J36" i="3"/>
  <c r="I36" i="3"/>
  <c r="H36" i="3"/>
  <c r="G36" i="3"/>
  <c r="F36" i="3"/>
  <c r="E36" i="3"/>
  <c r="D36" i="3"/>
  <c r="C36" i="3"/>
  <c r="B36" i="3"/>
  <c r="L35" i="3"/>
  <c r="K35" i="3"/>
  <c r="J35" i="3"/>
  <c r="I35" i="3"/>
  <c r="H35" i="3"/>
  <c r="G35" i="3"/>
  <c r="F35" i="3"/>
  <c r="E35" i="3"/>
  <c r="D35" i="3"/>
  <c r="C35" i="3"/>
  <c r="B35" i="3"/>
  <c r="L34" i="3"/>
  <c r="K34" i="3"/>
  <c r="J34" i="3"/>
  <c r="I34" i="3"/>
  <c r="H34" i="3"/>
  <c r="G34" i="3"/>
  <c r="F34" i="3"/>
  <c r="E34" i="3"/>
  <c r="D34" i="3"/>
  <c r="C34" i="3"/>
  <c r="B34" i="3"/>
  <c r="L33" i="3"/>
  <c r="K33" i="3"/>
  <c r="J33" i="3"/>
  <c r="I33" i="3"/>
  <c r="H33" i="3"/>
  <c r="G33" i="3"/>
  <c r="F33" i="3"/>
  <c r="E33" i="3"/>
  <c r="D33" i="3"/>
  <c r="C33" i="3"/>
  <c r="B33" i="3"/>
  <c r="L32" i="3"/>
  <c r="K32" i="3"/>
  <c r="J32" i="3"/>
  <c r="I32" i="3"/>
  <c r="H32" i="3"/>
  <c r="G32" i="3"/>
  <c r="F32" i="3"/>
  <c r="E32" i="3"/>
  <c r="D32" i="3"/>
  <c r="C32" i="3"/>
  <c r="B32" i="3"/>
  <c r="I27" i="3"/>
  <c r="H27" i="3"/>
  <c r="F27" i="3"/>
  <c r="E27" i="3"/>
  <c r="C27" i="3" s="1"/>
  <c r="I26" i="3"/>
  <c r="H26" i="3"/>
  <c r="F26" i="3"/>
  <c r="E26" i="3"/>
  <c r="I25" i="3"/>
  <c r="H25" i="3"/>
  <c r="F25" i="3"/>
  <c r="E25" i="3"/>
  <c r="C25" i="3" s="1"/>
  <c r="I24" i="3"/>
  <c r="H24" i="3"/>
  <c r="F24" i="3"/>
  <c r="E24" i="3"/>
  <c r="C24" i="3" s="1"/>
  <c r="I23" i="3"/>
  <c r="H23" i="3"/>
  <c r="F23" i="3"/>
  <c r="E23" i="3"/>
  <c r="I22" i="3"/>
  <c r="H22" i="3"/>
  <c r="F22" i="3"/>
  <c r="E22" i="3"/>
  <c r="C22" i="3" s="1"/>
  <c r="I21" i="3"/>
  <c r="H21" i="3"/>
  <c r="F21" i="3"/>
  <c r="E21" i="3"/>
  <c r="I20" i="3"/>
  <c r="H20" i="3"/>
  <c r="F20" i="3"/>
  <c r="E20" i="3"/>
  <c r="I19" i="3"/>
  <c r="H19" i="3"/>
  <c r="F19" i="3"/>
  <c r="E19" i="3"/>
  <c r="C19" i="3" s="1"/>
  <c r="I18" i="3"/>
  <c r="H18" i="3"/>
  <c r="F18" i="3"/>
  <c r="E18" i="3"/>
  <c r="I17" i="3"/>
  <c r="H17" i="3"/>
  <c r="F17" i="3"/>
  <c r="E17" i="3"/>
  <c r="I16" i="3"/>
  <c r="H16" i="3"/>
  <c r="F16" i="3"/>
  <c r="E16" i="3"/>
  <c r="C16" i="3" s="1"/>
  <c r="I15" i="3"/>
  <c r="H15" i="3"/>
  <c r="F15" i="3"/>
  <c r="E15" i="3"/>
  <c r="I14" i="3"/>
  <c r="H14" i="3"/>
  <c r="F14" i="3"/>
  <c r="E14" i="3"/>
  <c r="I13" i="3"/>
  <c r="H13" i="3"/>
  <c r="F13" i="3"/>
  <c r="E13" i="3"/>
  <c r="I12" i="3"/>
  <c r="H12" i="3"/>
  <c r="F12" i="3"/>
  <c r="E12" i="3"/>
  <c r="I11" i="3"/>
  <c r="H11" i="3"/>
  <c r="F11" i="3"/>
  <c r="E11" i="3"/>
  <c r="I10" i="3"/>
  <c r="H10" i="3"/>
  <c r="F10" i="3"/>
  <c r="E10" i="3"/>
  <c r="I9" i="3"/>
  <c r="H9" i="3"/>
  <c r="F9" i="3"/>
  <c r="E9" i="3"/>
  <c r="I8" i="3"/>
  <c r="H8" i="3"/>
  <c r="F8" i="3"/>
  <c r="E8" i="3"/>
  <c r="G4" i="3"/>
  <c r="F4" i="3"/>
  <c r="H4" i="3" s="1"/>
  <c r="A4" i="3"/>
  <c r="L63" i="1"/>
  <c r="K63" i="1"/>
  <c r="J63" i="1"/>
  <c r="H63" i="1"/>
  <c r="M63" i="1" s="1"/>
  <c r="G63" i="1"/>
  <c r="L62" i="1"/>
  <c r="K62" i="1"/>
  <c r="J62" i="1"/>
  <c r="H62" i="1"/>
  <c r="I62" i="1" s="1"/>
  <c r="G62" i="1"/>
  <c r="M62" i="1" s="1"/>
  <c r="L61" i="1"/>
  <c r="K61" i="1"/>
  <c r="J61" i="1"/>
  <c r="H61" i="1"/>
  <c r="I61" i="1" s="1"/>
  <c r="G61" i="1"/>
  <c r="L60" i="1"/>
  <c r="K60" i="1"/>
  <c r="J60" i="1"/>
  <c r="H60" i="1"/>
  <c r="G60" i="1"/>
  <c r="M59" i="1"/>
  <c r="L59" i="1"/>
  <c r="K59" i="1"/>
  <c r="J59" i="1"/>
  <c r="I59" i="1"/>
  <c r="H59" i="1"/>
  <c r="G59" i="1"/>
  <c r="L58" i="1"/>
  <c r="K58" i="1"/>
  <c r="J58" i="1"/>
  <c r="H58" i="1"/>
  <c r="I58" i="1" s="1"/>
  <c r="G58" i="1"/>
  <c r="N58" i="1" s="1"/>
  <c r="L57" i="1"/>
  <c r="K57" i="1"/>
  <c r="J57" i="1"/>
  <c r="H57" i="1"/>
  <c r="G57" i="1"/>
  <c r="M56" i="1"/>
  <c r="L56" i="1"/>
  <c r="K56" i="1"/>
  <c r="J56" i="1"/>
  <c r="I56" i="1"/>
  <c r="H56" i="1"/>
  <c r="G56" i="1"/>
  <c r="L55" i="1"/>
  <c r="K55" i="1"/>
  <c r="J55" i="1"/>
  <c r="H55" i="1"/>
  <c r="I55" i="1" s="1"/>
  <c r="G55" i="1"/>
  <c r="N55" i="1" s="1"/>
  <c r="L54" i="1"/>
  <c r="K54" i="1"/>
  <c r="J54" i="1"/>
  <c r="H54" i="1"/>
  <c r="G54" i="1"/>
  <c r="L53" i="1"/>
  <c r="K53" i="1"/>
  <c r="J53" i="1"/>
  <c r="H53" i="1"/>
  <c r="I53" i="1" s="1"/>
  <c r="G53" i="1"/>
  <c r="L52" i="1"/>
  <c r="K52" i="1"/>
  <c r="J52" i="1"/>
  <c r="H52" i="1"/>
  <c r="I52" i="1" s="1"/>
  <c r="G52" i="1"/>
  <c r="L51" i="1"/>
  <c r="K51" i="1"/>
  <c r="J51" i="1"/>
  <c r="H51" i="1"/>
  <c r="M51" i="1" s="1"/>
  <c r="G51" i="1"/>
  <c r="L50" i="1"/>
  <c r="K50" i="1"/>
  <c r="J50" i="1"/>
  <c r="H50" i="1"/>
  <c r="I50" i="1" s="1"/>
  <c r="G50" i="1"/>
  <c r="M50" i="1" s="1"/>
  <c r="L49" i="1"/>
  <c r="K49" i="1"/>
  <c r="J49" i="1"/>
  <c r="H49" i="1"/>
  <c r="I49" i="1" s="1"/>
  <c r="G49" i="1"/>
  <c r="L48" i="1"/>
  <c r="K48" i="1"/>
  <c r="J48" i="1"/>
  <c r="H48" i="1"/>
  <c r="G48" i="1"/>
  <c r="L47" i="1"/>
  <c r="K47" i="1"/>
  <c r="J47" i="1"/>
  <c r="H47" i="1"/>
  <c r="I47" i="1" s="1"/>
  <c r="G47" i="1"/>
  <c r="L46" i="1"/>
  <c r="K46" i="1"/>
  <c r="J46" i="1"/>
  <c r="H46" i="1"/>
  <c r="I46" i="1" s="1"/>
  <c r="G46" i="1"/>
  <c r="N46" i="1" s="1"/>
  <c r="L45" i="1"/>
  <c r="K45" i="1"/>
  <c r="J45" i="1"/>
  <c r="H45" i="1"/>
  <c r="G45" i="1"/>
  <c r="M44" i="1"/>
  <c r="L44" i="1"/>
  <c r="K44" i="1"/>
  <c r="J44" i="1"/>
  <c r="I44" i="1"/>
  <c r="H44" i="1"/>
  <c r="G44" i="1"/>
  <c r="L43" i="1"/>
  <c r="K43" i="1"/>
  <c r="J43" i="1"/>
  <c r="H43" i="1"/>
  <c r="I43" i="1" s="1"/>
  <c r="G43" i="1"/>
  <c r="L42" i="1"/>
  <c r="K42" i="1"/>
  <c r="J42" i="1"/>
  <c r="H42" i="1"/>
  <c r="M42" i="1" s="1"/>
  <c r="G42" i="1"/>
  <c r="C42" i="1"/>
  <c r="B42" i="1"/>
  <c r="A42" i="1"/>
  <c r="M41" i="1"/>
  <c r="L41" i="1"/>
  <c r="K41" i="1"/>
  <c r="J41" i="1"/>
  <c r="H41" i="1"/>
  <c r="I41" i="1" s="1"/>
  <c r="G41" i="1"/>
  <c r="C41" i="1"/>
  <c r="B41" i="1"/>
  <c r="A41" i="1"/>
  <c r="C40" i="1"/>
  <c r="B40" i="1"/>
  <c r="A40" i="1"/>
  <c r="C39" i="1"/>
  <c r="B39" i="1"/>
  <c r="A39" i="1"/>
  <c r="C38" i="1"/>
  <c r="B38" i="1"/>
  <c r="A38" i="1"/>
  <c r="L37" i="1"/>
  <c r="K37" i="1"/>
  <c r="J37" i="1"/>
  <c r="H37" i="1"/>
  <c r="G37" i="1"/>
  <c r="C37" i="1"/>
  <c r="B37" i="1"/>
  <c r="A37" i="1"/>
  <c r="L36" i="1"/>
  <c r="K36" i="1"/>
  <c r="J36" i="1"/>
  <c r="H36" i="1"/>
  <c r="I36" i="1" s="1"/>
  <c r="G36" i="1"/>
  <c r="M36" i="1" s="1"/>
  <c r="L35" i="1"/>
  <c r="K35" i="1"/>
  <c r="J35" i="1"/>
  <c r="H35" i="1"/>
  <c r="I35" i="1" s="1"/>
  <c r="G35" i="1"/>
  <c r="L34" i="1"/>
  <c r="K34" i="1"/>
  <c r="J34" i="1"/>
  <c r="H34" i="1"/>
  <c r="I34" i="1" s="1"/>
  <c r="G34" i="1"/>
  <c r="N34" i="1" s="1"/>
  <c r="L33" i="1"/>
  <c r="K33" i="1"/>
  <c r="J33" i="1"/>
  <c r="H33" i="1"/>
  <c r="I33" i="1" s="1"/>
  <c r="G33" i="1"/>
  <c r="M33" i="1" s="1"/>
  <c r="B33" i="1"/>
  <c r="L32" i="1"/>
  <c r="K32" i="1"/>
  <c r="J32" i="1"/>
  <c r="H32" i="1"/>
  <c r="I32" i="1" s="1"/>
  <c r="G32" i="1"/>
  <c r="M32" i="1" s="1"/>
  <c r="B32" i="1"/>
  <c r="L31" i="1"/>
  <c r="K31" i="1"/>
  <c r="J31" i="1"/>
  <c r="H31" i="1"/>
  <c r="G31" i="1"/>
  <c r="B31" i="1"/>
  <c r="L30" i="1"/>
  <c r="K30" i="1"/>
  <c r="J30" i="1"/>
  <c r="H30" i="1"/>
  <c r="I30" i="1" s="1"/>
  <c r="G30" i="1"/>
  <c r="N30" i="1" s="1"/>
  <c r="B30" i="1"/>
  <c r="L29" i="1"/>
  <c r="K29" i="1"/>
  <c r="J29" i="1"/>
  <c r="H29" i="1"/>
  <c r="I29" i="1" s="1"/>
  <c r="N29" i="1" s="1"/>
  <c r="G29" i="1"/>
  <c r="B29" i="1"/>
  <c r="L28" i="1"/>
  <c r="K28" i="1"/>
  <c r="J28" i="1"/>
  <c r="H28" i="1"/>
  <c r="I28" i="1" s="1"/>
  <c r="G28" i="1"/>
  <c r="M28" i="1" s="1"/>
  <c r="B28" i="1"/>
  <c r="L27" i="1"/>
  <c r="K27" i="1"/>
  <c r="J27" i="1"/>
  <c r="H27" i="1"/>
  <c r="M27" i="1" s="1"/>
  <c r="G27" i="1"/>
  <c r="B27" i="1"/>
  <c r="L26" i="1"/>
  <c r="K26" i="1"/>
  <c r="J26" i="1"/>
  <c r="H26" i="1"/>
  <c r="I26" i="1" s="1"/>
  <c r="G26" i="1"/>
  <c r="B26" i="1"/>
  <c r="L25" i="1"/>
  <c r="K25" i="1"/>
  <c r="J25" i="1"/>
  <c r="H25" i="1"/>
  <c r="I25" i="1" s="1"/>
  <c r="G25" i="1"/>
  <c r="M25" i="1" s="1"/>
  <c r="B25" i="1"/>
  <c r="L24" i="1"/>
  <c r="K24" i="1"/>
  <c r="J24" i="1"/>
  <c r="H24" i="1"/>
  <c r="I24" i="1" s="1"/>
  <c r="G24" i="1"/>
  <c r="B24" i="1"/>
  <c r="L23" i="1"/>
  <c r="K23" i="1"/>
  <c r="J23" i="1"/>
  <c r="H23" i="1"/>
  <c r="G23" i="1"/>
  <c r="M22" i="1"/>
  <c r="L22" i="1"/>
  <c r="K22" i="1"/>
  <c r="J22" i="1"/>
  <c r="I22" i="1"/>
  <c r="H22" i="1"/>
  <c r="G22" i="1"/>
  <c r="L21" i="1"/>
  <c r="K21" i="1"/>
  <c r="J21" i="1"/>
  <c r="H21" i="1"/>
  <c r="I21" i="1" s="1"/>
  <c r="G21" i="1"/>
  <c r="L20" i="1"/>
  <c r="K20" i="1"/>
  <c r="J20" i="1"/>
  <c r="H20" i="1"/>
  <c r="G20" i="1"/>
  <c r="B20" i="1"/>
  <c r="L19" i="1"/>
  <c r="K19" i="1"/>
  <c r="J19" i="1"/>
  <c r="H19" i="1"/>
  <c r="I19" i="1" s="1"/>
  <c r="G19" i="1"/>
  <c r="M19" i="1" s="1"/>
  <c r="B19" i="1"/>
  <c r="B17" i="1"/>
  <c r="B16" i="1"/>
  <c r="F15" i="1"/>
  <c r="F14" i="1"/>
  <c r="F13" i="1"/>
  <c r="F12" i="1"/>
  <c r="B12" i="1"/>
  <c r="F11" i="1"/>
  <c r="B11" i="1"/>
  <c r="F10" i="1"/>
  <c r="B10" i="1"/>
  <c r="F9" i="1"/>
  <c r="B9" i="1"/>
  <c r="F8" i="1"/>
  <c r="B8" i="1"/>
  <c r="F7" i="1"/>
  <c r="F6" i="1"/>
  <c r="B6" i="1"/>
  <c r="B7" i="1" s="1"/>
  <c r="F5" i="1"/>
  <c r="B5" i="1"/>
  <c r="B15" i="1" s="1"/>
  <c r="H4" i="12" l="1"/>
  <c r="H4" i="10"/>
  <c r="H4" i="15"/>
  <c r="M31" i="1"/>
  <c r="N33" i="1"/>
  <c r="M47" i="1"/>
  <c r="M54" i="1"/>
  <c r="M37" i="1"/>
  <c r="N44" i="1"/>
  <c r="N22" i="1"/>
  <c r="I37" i="1"/>
  <c r="N37" i="1" s="1"/>
  <c r="M48" i="1"/>
  <c r="N59" i="1"/>
  <c r="N61" i="1"/>
  <c r="C9" i="3"/>
  <c r="C12" i="3"/>
  <c r="C15" i="3"/>
  <c r="C18" i="3"/>
  <c r="C21" i="3"/>
  <c r="H4" i="6"/>
  <c r="H4" i="9"/>
  <c r="B14" i="1"/>
  <c r="M24" i="1"/>
  <c r="H4" i="8"/>
  <c r="N53" i="1"/>
  <c r="H4" i="13"/>
  <c r="M20" i="1"/>
  <c r="N36" i="1"/>
  <c r="M57" i="1"/>
  <c r="N47" i="1"/>
  <c r="C10" i="3"/>
  <c r="C13" i="3"/>
  <c r="G4" i="15"/>
  <c r="N62" i="1"/>
  <c r="G4" i="12"/>
  <c r="M26" i="1"/>
  <c r="H4" i="5"/>
  <c r="H4" i="11"/>
  <c r="H4" i="14"/>
  <c r="N50" i="1"/>
  <c r="M30" i="1"/>
  <c r="M34" i="1"/>
  <c r="M45" i="1"/>
  <c r="N56" i="1"/>
  <c r="M23" i="1"/>
  <c r="N25" i="1"/>
  <c r="M29" i="1"/>
  <c r="N35" i="1"/>
  <c r="M53" i="1"/>
  <c r="M60" i="1"/>
  <c r="C8" i="3"/>
  <c r="C11" i="3"/>
  <c r="C14" i="3"/>
  <c r="C17" i="3"/>
  <c r="C20" i="3"/>
  <c r="C23" i="3"/>
  <c r="C26" i="3"/>
  <c r="H4" i="7"/>
  <c r="H4" i="17"/>
  <c r="N26" i="1"/>
  <c r="N41" i="1"/>
  <c r="N49" i="1"/>
  <c r="N43" i="1"/>
  <c r="N19" i="1"/>
  <c r="N21" i="1"/>
  <c r="N52" i="1"/>
  <c r="B19" i="19"/>
  <c r="I27" i="1"/>
  <c r="N27" i="1" s="1"/>
  <c r="I42" i="1"/>
  <c r="N42" i="1" s="1"/>
  <c r="M43" i="1"/>
  <c r="M46" i="1"/>
  <c r="I51" i="1"/>
  <c r="N51" i="1" s="1"/>
  <c r="M55" i="1"/>
  <c r="I60" i="1"/>
  <c r="N60" i="1" s="1"/>
  <c r="I63" i="1"/>
  <c r="N63" i="1" s="1"/>
  <c r="G4" i="17"/>
  <c r="N24" i="1"/>
  <c r="N28" i="1"/>
  <c r="N32" i="1"/>
  <c r="M35" i="1"/>
  <c r="B8" i="3"/>
  <c r="B10" i="3"/>
  <c r="B12" i="3"/>
  <c r="B14" i="3"/>
  <c r="B16" i="3"/>
  <c r="B18" i="3"/>
  <c r="B20" i="3"/>
  <c r="B22" i="3"/>
  <c r="B24" i="3"/>
  <c r="B26" i="3"/>
  <c r="G4" i="5"/>
  <c r="G4" i="8"/>
  <c r="G4" i="9"/>
  <c r="I20" i="1"/>
  <c r="N20" i="1" s="1"/>
  <c r="M21" i="1"/>
  <c r="I23" i="1"/>
  <c r="N23" i="1" s="1"/>
  <c r="I31" i="1"/>
  <c r="N31" i="1" s="1"/>
  <c r="I45" i="1"/>
  <c r="N45" i="1" s="1"/>
  <c r="I48" i="1"/>
  <c r="N48" i="1" s="1"/>
  <c r="M49" i="1"/>
  <c r="M52" i="1"/>
  <c r="I54" i="1"/>
  <c r="N54" i="1" s="1"/>
  <c r="I57" i="1"/>
  <c r="N57" i="1" s="1"/>
  <c r="M58" i="1"/>
  <c r="M61" i="1"/>
  <c r="B13" i="1"/>
  <c r="C4" i="4"/>
  <c r="H4" i="4" s="1"/>
  <c r="G4" i="7"/>
  <c r="C4" i="16"/>
  <c r="H4" i="16" s="1"/>
  <c r="B21" i="3"/>
  <c r="B9" i="3"/>
  <c r="B11" i="3"/>
  <c r="B13" i="3"/>
  <c r="B15" i="3"/>
  <c r="B17" i="3"/>
  <c r="B19" i="3"/>
  <c r="B23" i="3"/>
  <c r="B25" i="3"/>
  <c r="B27" i="3"/>
  <c r="E4" i="3" l="1"/>
  <c r="B4" i="3"/>
  <c r="B18" i="1" s="1"/>
  <c r="D4" i="3"/>
  <c r="C4" i="3"/>
</calcChain>
</file>

<file path=xl/sharedStrings.xml><?xml version="1.0" encoding="utf-8"?>
<sst xmlns="http://schemas.openxmlformats.org/spreadsheetml/2006/main" count="3181" uniqueCount="1263">
  <si>
    <t>SmartDoc — Master Implementation Tracker</t>
  </si>
  <si>
    <t>Production-hardening brief. MASTER holds the task data; every number here is a formula. Updated with tools/tracker/tracker.py. Last written 2026-09-27 08:33 (local time).</t>
  </si>
  <si>
    <t>Overall</t>
  </si>
  <si>
    <t>Next action (SESSION_STATE)</t>
  </si>
  <si>
    <t>Total tasks</t>
  </si>
  <si>
    <t>Rows in MASTER</t>
  </si>
  <si>
    <t>Current Phase</t>
  </si>
  <si>
    <t>Completed (DONE)</t>
  </si>
  <si>
    <t>Implemented + tested + verified, commit recorded</t>
  </si>
  <si>
    <t>Current Task</t>
  </si>
  <si>
    <t>Verified (VERIFIED + DONE)</t>
  </si>
  <si>
    <t>Tests pass and evidence is recorded</t>
  </si>
  <si>
    <t>Last Completed</t>
  </si>
  <si>
    <t>In progress</t>
  </si>
  <si>
    <t>IN_PROGRESS + IMPLEMENTED + TESTING</t>
  </si>
  <si>
    <t>Last Verified</t>
  </si>
  <si>
    <t>Blocked</t>
  </si>
  <si>
    <t>Reason in MASTER Notes</t>
  </si>
  <si>
    <t>Next Task</t>
  </si>
  <si>
    <t>Failed</t>
  </si>
  <si>
    <t>See Notes and CHANGE_LOG</t>
  </si>
  <si>
    <t>Next Command</t>
  </si>
  <si>
    <t>Deferred</t>
  </si>
  <si>
    <t>Postponed on purpose; still counted as remaining</t>
  </si>
  <si>
    <t>Next Test</t>
  </si>
  <si>
    <t>Not started</t>
  </si>
  <si>
    <t>Tests Passed</t>
  </si>
  <si>
    <t>Remaining (not DONE)</t>
  </si>
  <si>
    <t>Everything that is not DONE</t>
  </si>
  <si>
    <t>Tests Failed</t>
  </si>
  <si>
    <t>Completion %</t>
  </si>
  <si>
    <t>DONE / total</t>
  </si>
  <si>
    <t>Open Blockers</t>
  </si>
  <si>
    <t>Verified %</t>
  </si>
  <si>
    <t>(VERIFIED + DONE) / total</t>
  </si>
  <si>
    <t>Checkpoint Time</t>
  </si>
  <si>
    <t>P0 remaining</t>
  </si>
  <si>
    <t>P0 tasks not DONE</t>
  </si>
  <si>
    <t>P1 remaining</t>
  </si>
  <si>
    <t>P1 tasks not DONE</t>
  </si>
  <si>
    <t>Progress by phase</t>
  </si>
  <si>
    <t>Audit findings resolved</t>
  </si>
  <si>
    <t>Of 20; see CRITICAL_FIXES</t>
  </si>
  <si>
    <t>Phase</t>
  </si>
  <si>
    <t>Name</t>
  </si>
  <si>
    <t>Tasks</t>
  </si>
  <si>
    <t>Done</t>
  </si>
  <si>
    <t>Verified</t>
  </si>
  <si>
    <t>Done %</t>
  </si>
  <si>
    <t>Release gates passed</t>
  </si>
  <si>
    <t>Of 15; see RELEASE_GATES</t>
  </si>
  <si>
    <t>Baseline, tracker, checkpoints</t>
  </si>
  <si>
    <t>Release gates failed</t>
  </si>
  <si>
    <t>Editor integrity + content preservation</t>
  </si>
  <si>
    <t>AI fidelity + destructive-operation review</t>
  </si>
  <si>
    <t>Tasks by status</t>
  </si>
  <si>
    <t>DOCX / OOXML preservation</t>
  </si>
  <si>
    <t>Status</t>
  </si>
  <si>
    <t>Meaning</t>
  </si>
  <si>
    <t>Security + resource limits</t>
  </si>
  <si>
    <t>NOT_STARTED</t>
  </si>
  <si>
    <t>No work yet.</t>
  </si>
  <si>
    <t>Performance + autosave + history</t>
  </si>
  <si>
    <t>IN_PROGRESS</t>
  </si>
  <si>
    <t>Being implemented.</t>
  </si>
  <si>
    <t>Accounts + billing + entitlements</t>
  </si>
  <si>
    <t>BLOCKED</t>
  </si>
  <si>
    <t>Cannot proceed; the reason is in Notes.</t>
  </si>
  <si>
    <t>PDF fidelity foundation</t>
  </si>
  <si>
    <t>IMPLEMENTED</t>
  </si>
  <si>
    <t>Code written; not yet fully tested.</t>
  </si>
  <si>
    <t>PDF -&gt; editable MVP</t>
  </si>
  <si>
    <t>TESTING</t>
  </si>
  <si>
    <t>Tests being written or run.</t>
  </si>
  <si>
    <t>PDF layout-preserving architecture</t>
  </si>
  <si>
    <t>VERIFIED</t>
  </si>
  <si>
    <t>Tests pass and evidence recorded; commit pending.</t>
  </si>
  <si>
    <t>Translation MVP</t>
  </si>
  <si>
    <t>DONE</t>
  </si>
  <si>
    <t>Implemented + tested + verified; commit recorded.</t>
  </si>
  <si>
    <t>FontResolver + multilingual rendering</t>
  </si>
  <si>
    <t>FAILED</t>
  </si>
  <si>
    <t>Tests or verification failed; see Notes.</t>
  </si>
  <si>
    <t>Format by Example hardening</t>
  </si>
  <si>
    <t>DEFERRED</t>
  </si>
  <si>
    <t>Consciously postponed; the reason is in Notes.</t>
  </si>
  <si>
    <t>Document Health 2.0</t>
  </si>
  <si>
    <t>UNKNOWN</t>
  </si>
  <si>
    <t>State not established yet.</t>
  </si>
  <si>
    <t>Review Changes / Repair</t>
  </si>
  <si>
    <t>Batch operations</t>
  </si>
  <si>
    <t>Latest test runs (TESTING)</t>
  </si>
  <si>
    <t>Accessibility + advanced document features</t>
  </si>
  <si>
    <t>Suite</t>
  </si>
  <si>
    <t>Result</t>
  </si>
  <si>
    <t>Passed · failed · skipped</t>
  </si>
  <si>
    <t>Final testing</t>
  </si>
  <si>
    <t>Production release audit</t>
  </si>
  <si>
    <t>Progress by category</t>
  </si>
  <si>
    <t>Category</t>
  </si>
  <si>
    <t>Sheet</t>
  </si>
  <si>
    <t>CORE</t>
  </si>
  <si>
    <t>DOCUMENT_FIDELITY</t>
  </si>
  <si>
    <t>FIDELITY</t>
  </si>
  <si>
    <t>REVIEW</t>
  </si>
  <si>
    <t>Sheets</t>
  </si>
  <si>
    <t>DOCX</t>
  </si>
  <si>
    <t>DOCX_OOXML</t>
  </si>
  <si>
    <t>DASHBOARD</t>
  </si>
  <si>
    <t>Totals, progress by phase and category, latest test runs, next action.</t>
  </si>
  <si>
    <t>PDF</t>
  </si>
  <si>
    <t>MASTER</t>
  </si>
  <si>
    <t>Status, evidence, tests and commit per task. The one place task data is edited.</t>
  </si>
  <si>
    <t>EDITOR</t>
  </si>
  <si>
    <t>CRITICAL_FIXES</t>
  </si>
  <si>
    <t>The 20 findings of the 2026-09-26 audit (current known risks) with fix progress, then every P0 task.</t>
  </si>
  <si>
    <t>FORMATTING</t>
  </si>
  <si>
    <t>Canonical model, fidelity reports, capability matrix, change/review model.</t>
  </si>
  <si>
    <t>HEALTH</t>
  </si>
  <si>
    <t>Import and export fidelity for Word documents.</t>
  </si>
  <si>
    <t>AI</t>
  </si>
  <si>
    <t>PDF export and PDF parsing.</t>
  </si>
  <si>
    <t>SECURITY</t>
  </si>
  <si>
    <t>Tiptap mapping and save integrity.</t>
  </si>
  <si>
    <t>ACCOUNT</t>
  </si>
  <si>
    <t>Formatting engine, Format by Example, Document Health.</t>
  </si>
  <si>
    <t>PERFORMANCE</t>
  </si>
  <si>
    <t>Fidelity checks, proposals and review, budgets.</t>
  </si>
  <si>
    <t>Security hardening and account essentials.</t>
  </si>
  <si>
    <t>PRODUCT</t>
  </si>
  <si>
    <t>PRODUCT_FEATURES</t>
  </si>
  <si>
    <t>Measured benchmarks (baseline vs current) and performance tasks.</t>
  </si>
  <si>
    <t>TRANSLATION</t>
  </si>
  <si>
    <t>Test runs and testing tasks.</t>
  </si>
  <si>
    <t>FONT</t>
  </si>
  <si>
    <t>Feature backlog (NOW / NEXT / LATER / ARCHITECTURE_ONLY) and product tasks.</t>
  </si>
  <si>
    <t>P2E</t>
  </si>
  <si>
    <t>PDF_TO_EDITABLE</t>
  </si>
  <si>
    <t>Translation MVP and FontResolver.</t>
  </si>
  <si>
    <t>BILLING</t>
  </si>
  <si>
    <t>BILLING_PLANS</t>
  </si>
  <si>
    <t>PDF to editable document conversion.</t>
  </si>
  <si>
    <t>INFRA</t>
  </si>
  <si>
    <t>Plan hypotheses, usage units, entitlements, Stripe.</t>
  </si>
  <si>
    <t>JOBS</t>
  </si>
  <si>
    <t>Tracker, jobs, storage, observability, deployment, documentation.</t>
  </si>
  <si>
    <t>STORAGE</t>
  </si>
  <si>
    <t>CHANGE_LOG</t>
  </si>
  <si>
    <t>Every recorded change with files, tests, result and commit.</t>
  </si>
  <si>
    <t>OBSERVABILITY</t>
  </si>
  <si>
    <t>SESSION_STATE</t>
  </si>
  <si>
    <t>Current phase and task, last verification, next action. Mirrors docs/session-state.json.</t>
  </si>
  <si>
    <t>DOCS</t>
  </si>
  <si>
    <t>RELEASE_GATES</t>
  </si>
  <si>
    <t>GATE-001..015. A gate is set to PASS only with evidence from its verification run.</t>
  </si>
  <si>
    <t>How to read and update</t>
  </si>
  <si>
    <t>Status is always text; colours only highlight it. Completed = DONE. Verified = VERIFIED + DONE.</t>
  </si>
  <si>
    <t>In progress = IN_PROGRESS + IMPLEMENTED + TESTING. Remaining = every task that is not DONE (DEFERRED included).</t>
  </si>
  <si>
    <t>DONE needs evidence, tests and a commit; VERIFIED needs evidence and tests (never fake progress).</t>
  </si>
  <si>
    <t>Change task data in MASTER, or run: python tools/tracker/tracker.py set &lt;ID&gt; --status &lt;STATUS&gt; ... (tools/tracker/README.md).</t>
  </si>
  <si>
    <t>Other sheets are rebuilt by the tool on every write. Input tables that are kept: CRITICAL_FIXES fix tasks and notes, RELEASE_GATES, PERFORMANCE measurements, TESTING runs, BILLING_PLANS values, PRODUCT_FEATURES backlog, CHANGE_LOG, SESSION_STATE values.</t>
  </si>
  <si>
    <t>Resume a session with: Прочети docs/AI-CONTINUATION.md и продължи от next task.</t>
  </si>
  <si>
    <t>ID</t>
  </si>
  <si>
    <t>Feature/Task</t>
  </si>
  <si>
    <t>Description</t>
  </si>
  <si>
    <t>Priority</t>
  </si>
  <si>
    <t>Evidence</t>
  </si>
  <si>
    <t>Tests</t>
  </si>
  <si>
    <t>Owner/System</t>
  </si>
  <si>
    <t>Dependencies</t>
  </si>
  <si>
    <t>Risk</t>
  </si>
  <si>
    <t>Started</t>
  </si>
  <si>
    <t>Completed</t>
  </si>
  <si>
    <t>Commit</t>
  </si>
  <si>
    <t>Notes</t>
  </si>
  <si>
    <t>Parent ID</t>
  </si>
  <si>
    <t>Audit Ref</t>
  </si>
  <si>
    <t>INFRA-001</t>
  </si>
  <si>
    <t>Excel control centre</t>
  </si>
  <si>
    <t>SmartDoc_Master_Implementation_Tracker.xlsx with MASTER, dashboard formulas, category views, conditional formatting, validation; tools/tracker CLI to update it.</t>
  </si>
  <si>
    <t>P0</t>
  </si>
  <si>
    <t>SmartDoc_Master_Implementation_Tracker.xlsx: 20 sheets (19 required + DASHBOARD), 3,340 formulas, status/priority/risk/category/phase validation, conditional formatting; tools/tracker/tracker.py, seed.py, excel_recalc.py, selftest.py, README.md</t>
  </si>
  <si>
    <t>python tools/tracker/selftest.py -&gt; PASS; tools/tracker/excel_recalc.py -&gt; 0 formula errors, 0 value mismatches (also on a scratch copy covering every status)</t>
  </si>
  <si>
    <t>tools/tracker</t>
  </si>
  <si>
    <t>Low</t>
  </si>
  <si>
    <t>4da4ecb</t>
  </si>
  <si>
    <t>INFRA-002</t>
  </si>
  <si>
    <t>Continuation system</t>
  </si>
  <si>
    <t>docs/AI-CONTINUATION.md + docs/session-state.json kept current at every checkpoint.</t>
  </si>
  <si>
    <t>docs/AI-CONTINUATION.md (8 required sections), docs/session-state.json (all 19 fields of brief §11), SESSION_STATE sheet (14 fields of brief §110 + Excel Status), docs/implementation-brief.md</t>
  </si>
  <si>
    <t>tracker.py state --touch synced JSON -&gt; SESSION_STATE and wrote current_excel_status back; selftest covers the state command</t>
  </si>
  <si>
    <t>docs</t>
  </si>
  <si>
    <t>INFRA-003</t>
  </si>
  <si>
    <t>Resume reminder</t>
  </si>
  <si>
    <t>Session scheduler job that resumes from docs/AI-CONTINUATION.md while idle.</t>
  </si>
  <si>
    <t>P1</t>
  </si>
  <si>
    <t>Session cron job 2a28a683 (hourly at :23, session-only, auto-expires after 7 days) with the resume prompt</t>
  </si>
  <si>
    <t>Fired on 2026-09-27 and resumed this session from the continuation prompt</t>
  </si>
  <si>
    <t>session</t>
  </si>
  <si>
    <t>TEST-001</t>
  </si>
  <si>
    <t>Baseline: backend tests</t>
  </si>
  <si>
    <t>Full pytest run recorded (count, failures, duration, coverage).</t>
  </si>
  <si>
    <t>docs/architecture/current-baseline.md; TESTING RUN-0001</t>
  </si>
  <si>
    <t>backend pytest: 643 passed, 1 skipped, 0 failed (88 s)</t>
  </si>
  <si>
    <t>backend/tests</t>
  </si>
  <si>
    <t>TEST-002</t>
  </si>
  <si>
    <t>Baseline: frontend tests, typecheck, lint, build</t>
  </si>
  <si>
    <t>Vitest, tsc --noEmit, eslint, next build.</t>
  </si>
  <si>
    <t>docs/architecture/current-baseline.md; TESTING RUN-0002..0005</t>
  </si>
  <si>
    <t>eslint 0 problems; tsc 0 errors; Vitest 46/46; next build OK (11 routes)</t>
  </si>
  <si>
    <t>frontend</t>
  </si>
  <si>
    <t>TEST-003</t>
  </si>
  <si>
    <t>Baseline: Playwright E2E</t>
  </si>
  <si>
    <t>npm run test:e2e against the throwaway stack.</t>
  </si>
  <si>
    <t>docs/architecture/current-baseline.md; TESTING RUN-0006</t>
  </si>
  <si>
    <t>Playwright (Edge): 16 passed, 0 failed (67 s)</t>
  </si>
  <si>
    <t>frontend/e2e</t>
  </si>
  <si>
    <t>TEST-004</t>
  </si>
  <si>
    <t>Baseline: migrations and database</t>
  </si>
  <si>
    <t>alembic upgrade/check/downgrade/upgrade on scratch DB; offline Postgres SQL; Supabase migrations + advisors.</t>
  </si>
  <si>
    <t>docs/architecture/current-baseline.md; TESTING RUN-0007, RUN-0008</t>
  </si>
  <si>
    <t>alembic upgrade/check/downgrade/upgrade on scratch SQLite; offline PostgreSQL SQL; Supabase list_migrations 8/8 + advisors</t>
  </si>
  <si>
    <t>backend/alembic</t>
  </si>
  <si>
    <t>SEC-001</t>
  </si>
  <si>
    <t>Baseline: dependency audit</t>
  </si>
  <si>
    <t>pip-audit on both locks; npm audit.</t>
  </si>
  <si>
    <t>docs/architecture/current-baseline.md; TESTING RUN-0009, RUN-0010</t>
  </si>
  <si>
    <t>pip-audit (both locks): no known vulnerabilities; npm audit: 0 of 633 dependencies</t>
  </si>
  <si>
    <t>backend, frontend</t>
  </si>
  <si>
    <t>INFRA-004</t>
  </si>
  <si>
    <t>Baseline: Docker, worker, storage</t>
  </si>
  <si>
    <t>docker compose config; Dockerfiles; arq worker; storage providers inspected.</t>
  </si>
  <si>
    <t>docs/architecture/current-baseline.md; TESTING RUN-0011</t>
  </si>
  <si>
    <t>docker compose config --quiet (valid, 8 services); worker (arq app.worker.WorkerSettings) and storage (local / S3 providers) inspected</t>
  </si>
  <si>
    <t>docker, jobs, storage</t>
  </si>
  <si>
    <t>Images not built: Docker daemon not running here; image build + start is INFRA-010 (phase 17).</t>
  </si>
  <si>
    <t>TEST-005</t>
  </si>
  <si>
    <t>Baseline: fixture inventory</t>
  </si>
  <si>
    <t>Golden fixtures + the audit's Word-authored fixtures inventoried.</t>
  </si>
  <si>
    <t>docs/architecture/current-baseline.md (fixture inventory)</t>
  </si>
  <si>
    <t>backend/tests/fixtures: 12 generated DOCX + sample.pdf; 17 Word-authored audit fixtures (a01-a12, r01-r05) outside the repo</t>
  </si>
  <si>
    <t>backend/tests/fixtures</t>
  </si>
  <si>
    <t>DOCS-001</t>
  </si>
  <si>
    <t>current-baseline.md</t>
  </si>
  <si>
    <t>docs/architecture/current-baseline.md with measured baseline.</t>
  </si>
  <si>
    <t>docs/architecture/current-baseline.md</t>
  </si>
  <si>
    <t>Every figure taken from RUN-0001..RUN-0011 logs, Supabase MCP output and the audit's perf logs</t>
  </si>
  <si>
    <t>TEST-001,TEST-002,TEST-003,TEST-004</t>
  </si>
  <si>
    <t>CORE-001</t>
  </si>
  <si>
    <t>Nested block containers in the model</t>
  </si>
  <si>
    <t>TableCell.blocks, ListItem.blocks and Element.children (quotes) hold lists, code, images, quotes, nested tables; recursive, validated, backwards compatible.</t>
  </si>
  <si>
    <t>backend/app/models/document.py: TableCell.blocks, ListItem.blocks, Element.children, Element.numbering (ListNumbering start/format), MAX_BLOCK_DEPTH=8 validator, child_blocks/walk_elements/inline_runs</t>
  </si>
  <si>
    <t>tests/test_document_nesting.py (9); full backend 659 passed</t>
  </si>
  <si>
    <t>backend/models</t>
  </si>
  <si>
    <t>High</t>
  </si>
  <si>
    <t>1fe27a9</t>
  </si>
  <si>
    <t>Design: TableCell.blocks / ListItem.blocks / Element.children hold nested Elements (authoritative when set; inline keeps the plain text); Element.numbering {start, format}; nesting capped at MAX_BLOCK_DEPTH; walk_elements() for every consumer.</t>
  </si>
  <si>
    <t>AUD-01,AUD-19</t>
  </si>
  <si>
    <t>CORE-002</t>
  </si>
  <si>
    <t>OpenAPI + generated types for nested blocks</t>
  </si>
  <si>
    <t>Regenerate openapi.json and frontend types; contract test green.</t>
  </si>
  <si>
    <t>frontend/types/generated/openapi.json + api.ts regenerated; types/document.ts exports ListNumbering/NumberFormat</t>
  </si>
  <si>
    <t>tests/test_openapi_contract.py; npx tsc --noEmit clean</t>
  </si>
  <si>
    <t>backend/scripts, frontend/types</t>
  </si>
  <si>
    <t>Medium</t>
  </si>
  <si>
    <t>AUD-01</t>
  </si>
  <si>
    <t>CORE-003</t>
  </si>
  <si>
    <t>Nested blocks through the backend</t>
  </si>
  <si>
    <t>Engine styles, asset externalisation, health, compare, version descriptions, usage/storage size traverse nested blocks.</t>
  </si>
  <si>
    <t>services/image_assets.py (nested data: images validated and stored, junk removed and reported), services/document_service.py export_assets (walk_elements), formatting/health.py links via inline_runs; asset cleanup already scans the whole JSON</t>
  </si>
  <si>
    <t>tests/test_nested_blocks_api.py (stored as sent, asset once, junk removed, depth 422); tests/test_health.py nested links</t>
  </si>
  <si>
    <t>backend/formatting, services</t>
  </si>
  <si>
    <t>EDIT-001</t>
  </si>
  <si>
    <t>Map nested blocks inside table cells</t>
  </si>
  <si>
    <t>tiptapToDocument: lists, code, images, quotes, nested tables in cells saved (no silent discard).</t>
  </si>
  <si>
    <t>frontend/editor/tiptapToDocument.ts, documentToTiptap.ts</t>
  </si>
  <si>
    <t>frontend/editor/nestedBlocks.test.ts (28; 26 fail against the pre-fix mapping); e2e/nested.spec.ts (Edge: paste, autosave, reload)</t>
  </si>
  <si>
    <t>frontend/editor</t>
  </si>
  <si>
    <t>EDIT-002</t>
  </si>
  <si>
    <t>Map blocks inside list items</t>
  </si>
  <si>
    <t>Code blocks, images, extra paragraphs inside list items saved.</t>
  </si>
  <si>
    <t>EDIT-003</t>
  </si>
  <si>
    <t>Map blocks inside quotes</t>
  </si>
  <si>
    <t>Lists, code, images inside blockquotes saved.</t>
  </si>
  <si>
    <t>EDIT-004</t>
  </si>
  <si>
    <t>Render nested blocks back into the editor</t>
  </si>
  <si>
    <t>documentToTiptap renders every nested block kind.</t>
  </si>
  <si>
    <t>EDIT-001,EDIT-002,EDIT-003</t>
  </si>
  <si>
    <t>EDIT-005</t>
  </si>
  <si>
    <t>Save guard: never drop a node silently</t>
  </si>
  <si>
    <t>Any node the mapping cannot represent blocks the save with an explicit, user-visible error.</t>
  </si>
  <si>
    <t>tiptapToDocument.ts UnsupportedContentError (unknown node/inline node/mark anywhere); useAutoSave 'unsupported' status (no request, message, beforeunload warning); EditorStatusBar message</t>
  </si>
  <si>
    <t>nestedBlocks.test.ts refusal cases + schema coverage; useAutoSave.test.tsx (no request, 'unsupported' status, message, saves again once fixed)</t>
  </si>
  <si>
    <t>EDIT-008</t>
  </si>
  <si>
    <t>Pasted paragraph/heading alignment kept</t>
  </si>
  <si>
    <t>textAlign on top-level paragraphs/headings (from pasted HTML) is not stored: the model keeps alignment as formatting rules. Map it to element overrides or report it.</t>
  </si>
  <si>
    <t>AUD-03</t>
  </si>
  <si>
    <t>EDIT-009</t>
  </si>
  <si>
    <t>Pasted picture size kept</t>
  </si>
  <si>
    <t>Image node width/height (pasted or resized) are not stored; the model sizes pictures through IMAGE_WIDTH rules.</t>
  </si>
  <si>
    <t>AUD-07</t>
  </si>
  <si>
    <t>EDIT-010</t>
  </si>
  <si>
    <t>Link title kept</t>
  </si>
  <si>
    <t>A link's title (tooltip) is not stored in Mark; target/rel/class are the editor's own defaults.</t>
  </si>
  <si>
    <t>P2</t>
  </si>
  <si>
    <t>EDIT-011</t>
  </si>
  <si>
    <t>Cell alignment and column widths kept</t>
  </si>
  <si>
    <t>tableCell align/colwidth attributes, and a cell alignment that differs from its column's, are not stored (TableContent.alignments is per column).</t>
  </si>
  <si>
    <t>AUD-08</t>
  </si>
  <si>
    <t>EDIT-012</t>
  </si>
  <si>
    <t>Colour and font values outside the model reported</t>
  </si>
  <si>
    <t>Pasted colours (hsl(), transparent...) and font stacks the model can't hold are normalised or dropped on save without a report.</t>
  </si>
  <si>
    <t>P3</t>
  </si>
  <si>
    <t>EDIT-006</t>
  </si>
  <si>
    <t>Pasted rich HTML survives save</t>
  </si>
  <si>
    <t>Paste from Word/web (lists in cells, lists in quotes, code in items, images in cells) persists after reload.</t>
  </si>
  <si>
    <t>frontend/e2e/nested.spec.ts: real paste event with text/html in Edge</t>
  </si>
  <si>
    <t>npx playwright test e2e/nested.spec.ts -&gt; 1 passed</t>
  </si>
  <si>
    <t>EDIT-007</t>
  </si>
  <si>
    <t>Canonical mark order</t>
  </si>
  <si>
    <t>No spurious save on open when backend and editor order marks differently.</t>
  </si>
  <si>
    <t>AUD-16</t>
  </si>
  <si>
    <t>DOCX-001</t>
  </si>
  <si>
    <t>DOCX export of nested blocks</t>
  </si>
  <si>
    <t>Lists, images, code, nested tables in cells; blocks in list items; quote children.</t>
  </si>
  <si>
    <t>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t>
  </si>
  <si>
    <t>tests/test_nested_blocks_api.py::test_the_word_export_keeps_every_nested_block, ::test_the_word_export_numbers_a_list_from_its_start_in_its_format; existing DOCX suites green</t>
  </si>
  <si>
    <t>backend/export</t>
  </si>
  <si>
    <t>PDF-001</t>
  </si>
  <si>
    <t>PDF export of nested blocks</t>
  </si>
  <si>
    <t>Same content in the PDF exporter.</t>
  </si>
  <si>
    <t>export/pdf_export.py: cells with blocks become flowable lists sized to the cell; list item/quote blocks indented; numbering start/format with the same level sequence as the Word export (decimal, a, i)</t>
  </si>
  <si>
    <t>tests/test_nested_blocks_api.py::test_the_pdf_export_keeps_every_nested_block ('v. fifth', 'vi. sixth'); existing PDF suites green</t>
  </si>
  <si>
    <t>FID-001</t>
  </si>
  <si>
    <t>Structured Document Fidelity Report</t>
  </si>
  <si>
    <t>fidelityReport items: element, feature, source state, new state, confidence, reason, class (policy classes).</t>
  </si>
  <si>
    <t>backend/app/fidelity/{report,content,docx_source,text_sources,imports}.py; Document.importReport; ingestion_service attaches it for DOCX, PDF, .txt and paste</t>
  </si>
  <si>
    <t>tests/test_fidelity_report.py (29); calibration: 29 Word/golden fixtures verified except the genuine a03 heading-number change</t>
  </si>
  <si>
    <t>8a330be</t>
  </si>
  <si>
    <t>FID-002</t>
  </si>
  <si>
    <t>Importer reports every detected change</t>
  </si>
  <si>
    <t>Hidden text, caps, underline variants, numbering formats/continuation, sections, header variants, content controls, custom properties, links dropped, crop/rotation, table geometry, bullets in cells, empty paragraphs, autolinks, SmartArt/charts.</t>
  </si>
  <si>
    <t>backend/parsers</t>
  </si>
  <si>
    <t>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t>
  </si>
  <si>
    <t>AUD-03,AUD-04,AUD-06,AUD-07,AUD-08</t>
  </si>
  <si>
    <t>FID-003</t>
  </si>
  <si>
    <t>Export fidelity report</t>
  </si>
  <si>
    <t>What an export changes or drops is reported the same way.</t>
  </si>
  <si>
    <t>backend/app/fidelity/exports.py (collecting/note, pdf_document_notes, export_report); docx_export/pdf_export record what they approximate or drop; export job result carries 'fidelity'; frontend ExportMenu ExportResult; PDF alt-text note</t>
  </si>
  <si>
    <t>tests/test_export_fidelity.py (6), tests/test_jobs.py; editor/ExportResult.test.tsx (4); e2e documents.spec.ts export test checks the message; calibration: DOCX export re-reads identically on 29 fixtures, PDF on all but a11-multilingual (genuine)</t>
  </si>
  <si>
    <t>e55412f</t>
  </si>
  <si>
    <t>AUD-03,AUD-18</t>
  </si>
  <si>
    <t>FID-004</t>
  </si>
  <si>
    <t>Content protection UI</t>
  </si>
  <si>
    <t>Report panel + badge: 'No content changes' only when proven; otherwise 'N items require review'.</t>
  </si>
  <si>
    <t>frontend/editor/panels/FidelityPanel.tsx (Проверка rail panel), EditorStatusBar import badge; 'No content changes' only when the words matched and no item lost content</t>
  </si>
  <si>
    <t>editor/panels/FidelityPanel.test.tsx (3); e2e/fidelity.spec.ts; checked in a throwaway stack with the audit's a03/a05 fixtures</t>
  </si>
  <si>
    <t>FID-005</t>
  </si>
  <si>
    <t>Unsupported-feature policy classes</t>
  </si>
  <si>
    <t>NOT_DETECTED, DETECTED_PRESERVED, DETECTED_NOT_EDITABLE, LOSSY, UNSUPPORTED, BLOCKED on every report item.</t>
  </si>
  <si>
    <t>app/fidelity/report.py FidelityPolicy (not_detected, detected_preserved, detected_not_editable, lossy, unsupported, blocked); every DOCX importer note classified (docx_inline.Notes, docx.py)</t>
  </si>
  <si>
    <t>tests/test_fidelity_report.py</t>
  </si>
  <si>
    <t>CORE-004</t>
  </si>
  <si>
    <t>Machine-readable capability matrix</t>
  </si>
  <si>
    <t>DOCX/PDF/editor capabilities (import/edit/export/round_trip) as data; served by the API; drives badges, warnings, tests.</t>
  </si>
  <si>
    <t>backend/app/capabilities.py (67 features across Word, PDF, editor, text: import/edit/export/roundTrip + policy + report keys + tests + notes naming the task for every unreported gap); GET /api/v1/capabilities (public)</t>
  </si>
  <si>
    <t>tests/test_capabilities.py (6): every reported key described and every described key reported, cited tests exist, no round trip 'yes' without a test, gaps name their task, API</t>
  </si>
  <si>
    <t>backend/capabilities</t>
  </si>
  <si>
    <t>UI use (badges, pre-export warnings) comes with REV-002/FID-004 follow-ups.</t>
  </si>
  <si>
    <t>AUD-20</t>
  </si>
  <si>
    <t>TEST-010</t>
  </si>
  <si>
    <t>Regression tests for nested structures</t>
  </si>
  <si>
    <t>Backend unit/API, Vitest mapping, Playwright paste + reload.</t>
  </si>
  <si>
    <t>backend: test_document_nesting.py, test_nested_blocks_api.py, test_health.py; frontend: nestedBlocks.test.ts, useAutoSave.test.tsx; e2e: nested.spec.ts</t>
  </si>
  <si>
    <t>backend 659 passed; Vitest 77 passed; e2e nested 1 passed</t>
  </si>
  <si>
    <t>tests</t>
  </si>
  <si>
    <t>EDIT-006,DOCX-001</t>
  </si>
  <si>
    <t>INFRA-005</t>
  </si>
  <si>
    <t>Throwaway preview stack for browser checks</t>
  </si>
  <si>
    <t>tools/dev/throwaway-backend.ps1 (fresh SQLite, never the real DB) and throwaway-frontend.ps1 (:3100 against :8100); launch configs.</t>
  </si>
  <si>
    <t>tools/dev/throwaway-*.ps1, .claude/launch.json backend-throwaway/frontend-throwaway, frontend/.gitignore + eslint/vitest ignore .next-preview</t>
  </si>
  <si>
    <t>Used for the FID-004 browser check (a03/a05 uploads)</t>
  </si>
  <si>
    <t>tools/dev</t>
  </si>
  <si>
    <t>AI-001</t>
  </si>
  <si>
    <t>Content fidelity comparator</t>
  </si>
  <si>
    <t>Order-, count-, token-, numeric-, punctuation- and structure-aware diff of source vs AI output.</t>
  </si>
  <si>
    <t>backend/ai</t>
  </si>
  <si>
    <t>compare_words (app/fidelity/content.py): order/count/token-aware, numbers and negation caught, moved passages told apart; used by the import report. Phase 2: punctuation/structure awareness, use inside structure analysis.</t>
  </si>
  <si>
    <t>AUD-02</t>
  </si>
  <si>
    <t>AI-002</t>
  </si>
  <si>
    <t>Protected facts: numbers, units, percentages, dates, identifiers</t>
  </si>
  <si>
    <t>5 mg never becomes 50 mg without explicit user action.</t>
  </si>
  <si>
    <t>AI-003</t>
  </si>
  <si>
    <t>Structure analysis uses the comparator</t>
  </si>
  <si>
    <t>A piece that fails falls back alone; reasons logged without content.</t>
  </si>
  <si>
    <t>AI-004</t>
  </si>
  <si>
    <t>Adversarial fidelity tests</t>
  </si>
  <si>
    <t>Sentence/word deletion, 'not' removal, number/unit/percent/date change, added/reordered/duplicated sentence, punctuation, heading changes.</t>
  </si>
  <si>
    <t>AI-005</t>
  </si>
  <si>
    <t>Classify AI operations</t>
  </si>
  <si>
    <t>Formatting-only vs content-changing (insert/delete/move/replace).</t>
  </si>
  <si>
    <t>AUD-05</t>
  </si>
  <si>
    <t>AI-006</t>
  </si>
  <si>
    <t>PLAN -&gt; VALIDATE -&gt; PREVIEW -&gt; ACCEPT -&gt; APPLY</t>
  </si>
  <si>
    <t>Content-changing operations are stored as proposals and never applied without acceptance.</t>
  </si>
  <si>
    <t>backend/services</t>
  </si>
  <si>
    <t>AI-005,REV-001</t>
  </si>
  <si>
    <t>AI-007</t>
  </si>
  <si>
    <t>Proposal review UI</t>
  </si>
  <si>
    <t>Preview, accept, reject AI proposals in the editor.</t>
  </si>
  <si>
    <t>AI-008</t>
  </si>
  <si>
    <t>Per-document AI budget and deadline</t>
  </si>
  <si>
    <t>Token/time budget per document and job; no unbounded retries.</t>
  </si>
  <si>
    <t>AI-009</t>
  </si>
  <si>
    <t>Prompt-injection hardening review</t>
  </si>
  <si>
    <t>Document content never becomes instructions; output abuse checks.</t>
  </si>
  <si>
    <t>REV-001</t>
  </si>
  <si>
    <t>Change model</t>
  </si>
  <si>
    <t>{type, elementId, property, before, after, reason, source, confidence} with categories FORMAT/STRUCTURE/CONTENT/METADATA/PRESERVATION/TRANSLATION.</t>
  </si>
  <si>
    <t>CORE-005</t>
  </si>
  <si>
    <t>Document command model</t>
  </si>
  <si>
    <t>Commands with validate/preview/apply/undo for AI, translation, repair, batch.</t>
  </si>
  <si>
    <t>DOCX-010</t>
  </si>
  <si>
    <t>Original package store</t>
  </si>
  <si>
    <t>Uploaded DOCX kept as an immutable source artifact (storage + DB reference, retention, deletion).</t>
  </si>
  <si>
    <t>backend/storage</t>
  </si>
  <si>
    <t>AUD-03,AUD-06,AUD-18</t>
  </si>
  <si>
    <t>DOCX-011</t>
  </si>
  <si>
    <t>Patch-writer export for imported documents</t>
  </si>
  <si>
    <t>Untouched OOXML parts preserved: styles, numbering, settings, theme, fontTable, webSettings, custom XML, glossary, docProps, commentsExtended, embeddings.</t>
  </si>
  <si>
    <t>DOCX-012</t>
  </si>
  <si>
    <t>Metadata preserved and correct</t>
  </si>
  <si>
    <t>Core/app/custom properties kept; never 'python-docx'; created/modified correct; sensitivity properties kept where possible.</t>
  </si>
  <si>
    <t>AUD-06,AUD-18</t>
  </si>
  <si>
    <t>DOCX-013</t>
  </si>
  <si>
    <t>Character formatting</t>
  </si>
  <si>
    <t>Double underline and variants, double strike, caps, small caps, spacing, scale, position, language, RTL, theme font/colour, hidden text.</t>
  </si>
  <si>
    <t>backend/parsers, export, models</t>
  </si>
  <si>
    <t>DOCX-014</t>
  </si>
  <si>
    <t>Paragraph formatting</t>
  </si>
  <si>
    <t>Right indent, keep-with-next, keep-lines, page-break-before, widow/orphan, outline level, tabs, borders, shading, direction, contextual spacing.</t>
  </si>
  <si>
    <t>DOCX-015</t>
  </si>
  <si>
    <t>Sections as a first-class concept</t>
  </si>
  <si>
    <t>Breaks (next/continuous/even/odd), orientation, size, margins, columns, header/footer distance, first/even/odd headers, linked-to-previous, page-number restart.</t>
  </si>
  <si>
    <t>backend/models, parsers, export</t>
  </si>
  <si>
    <t>DOCX-016</t>
  </si>
  <si>
    <t>Numbering engine</t>
  </si>
  <si>
    <t>Decimal/roman/alpha/bullets, custom prefixes/suffixes, start, restart, continuation, multilevel, numId/abstractNum/ilvl, indentation.</t>
  </si>
  <si>
    <t>AUD-04</t>
  </si>
  <si>
    <t>DOCX-017</t>
  </si>
  <si>
    <t>Table engine</t>
  </si>
  <si>
    <t>No forced header or Table Grid; widths, heights, margins, borders, shading, v-align, nested tables, repeated header rows, table styles.</t>
  </si>
  <si>
    <t>DOCX-018</t>
  </si>
  <si>
    <t>Images</t>
  </si>
  <si>
    <t>Alt text exported; crop, rotation, anchor, wrap, position preserved; WEBP converted on export.</t>
  </si>
  <si>
    <t>Alt text + title now exported (docPr descr/title) with DOCX-001; crop, rotation, WEBP still open.</t>
  </si>
  <si>
    <t>DOCX-019</t>
  </si>
  <si>
    <t>Drawings and text boxes preserved</t>
  </si>
  <si>
    <t>Anchored drawings, text boxes, shapes kept even when not editable.</t>
  </si>
  <si>
    <t>DOCX-020</t>
  </si>
  <si>
    <t>Fields</t>
  </si>
  <si>
    <t>Code/result/relationship; header STYLEREF/DATE live; TOC kept; CITATION/BIBLIOGRAPHY sources preserved; no 'Invalid source specified.'</t>
  </si>
  <si>
    <t>backend/parsers, export</t>
  </si>
  <si>
    <t>AUD-18</t>
  </si>
  <si>
    <t>DOCX-021</t>
  </si>
  <si>
    <t>Comment threads</t>
  </si>
  <si>
    <t>Replies, resolved state, authors, ranges preserved (commentsExtended, people).</t>
  </si>
  <si>
    <t>AUD-06</t>
  </si>
  <si>
    <t>DOCX-022</t>
  </si>
  <si>
    <t>Tracked changes preserved</t>
  </si>
  <si>
    <t>Not silently accepted; explicit choice.</t>
  </si>
  <si>
    <t>DOCX-023</t>
  </si>
  <si>
    <t>Content controls preserved</t>
  </si>
  <si>
    <t>w:sdt of every kind kept with its properties.</t>
  </si>
  <si>
    <t>DOCX-024</t>
  </si>
  <si>
    <t>Real footnotes and endnotes</t>
  </si>
  <si>
    <t>Notes stay notes on export.</t>
  </si>
  <si>
    <t>DOCX-025</t>
  </si>
  <si>
    <t>Hidden text stays hidden</t>
  </si>
  <si>
    <t>Imported hidden text is kept hidden, shown only on request.</t>
  </si>
  <si>
    <t>backend/parsers, frontend</t>
  </si>
  <si>
    <t>DOCX-026</t>
  </si>
  <si>
    <t>Hyperlink policy and no silent autolink</t>
  </si>
  <si>
    <t>Plain-text addresses not turned into links by default; file:/UNC reported.</t>
  </si>
  <si>
    <t>AUD-03,AUD-13</t>
  </si>
  <si>
    <t>FMT-004</t>
  </si>
  <si>
    <t>Render-spec defaults respect the source</t>
  </si>
  <si>
    <t>Imported Word styles are not overridden by defaults (headings not forced bold).</t>
  </si>
  <si>
    <t>backend/formatting</t>
  </si>
  <si>
    <t>TEST-020</t>
  </si>
  <si>
    <t>Word-authored fixtures in the repository</t>
  </si>
  <si>
    <t>20 synthetic Word-authored fixtures, scrubbed of identifying metadata.</t>
  </si>
  <si>
    <t>backend/tests/fixtures/word</t>
  </si>
  <si>
    <t>TEST-021</t>
  </si>
  <si>
    <t>Expected-loss manifests in CI</t>
  </si>
  <si>
    <t>expected-loss.json per fixture; CI compares actual vs expected.</t>
  </si>
  <si>
    <t>TEST-022</t>
  </si>
  <si>
    <t>True fidelity test</t>
  </si>
  <si>
    <t>SOURCE -&gt; import -&gt; format -&gt; editor save -&gt; export -&gt; reimport -&gt; compare SOURCE vs RESULT: content, formatting, metadata, structure separately.</t>
  </si>
  <si>
    <t>TEST-023</t>
  </si>
  <si>
    <t>Independent validation</t>
  </si>
  <si>
    <t>OOXML schema validation, Word when available, docx2python; pdftotext/PyMuPDF for PDF.</t>
  </si>
  <si>
    <t>DOCX-027</t>
  </si>
  <si>
    <t>Importer builds nested blocks</t>
  </si>
  <si>
    <t>Use TableCell.blocks / ListItem.blocks on import: pictures, lists (with bullets) and nested tables inside cells, pictures inside list items - instead of dropping or flattening them.</t>
  </si>
  <si>
    <t>AUD-01,AUD-03,AUD-08</t>
  </si>
  <si>
    <t>SEC-010</t>
  </si>
  <si>
    <t>Malformed DOCX -&gt; safe 4xx</t>
  </si>
  <si>
    <t>XML/zip/structure errors map to invalid_file; fuzz corpus shows no 500.</t>
  </si>
  <si>
    <t>AUD-12</t>
  </si>
  <si>
    <t>SEC-011</t>
  </si>
  <si>
    <t>Malformed PDF -&gt; safe 4xx</t>
  </si>
  <si>
    <t>Verified with a fuzz corpus.</t>
  </si>
  <si>
    <t>SEC-012</t>
  </si>
  <si>
    <t>Image resource limits</t>
  </si>
  <si>
    <t>Compressed and decompressed size, pixel count, width, height, images per document, total bytes, format allowlist; rejected before rasterisation.</t>
  </si>
  <si>
    <t>backend/security</t>
  </si>
  <si>
    <t>AUD-09</t>
  </si>
  <si>
    <t>SEC-013</t>
  </si>
  <si>
    <t>PDF bombs, huge XML, decompression limits</t>
  </si>
  <si>
    <t>Reviewed and tested limits.</t>
  </si>
  <si>
    <t>SEC-014</t>
  </si>
  <si>
    <t>Href policy</t>
  </si>
  <si>
    <t>Server-side scheme allowlist; javascript:/data:/vbscript:/file: never exported as active links.</t>
  </si>
  <si>
    <t>backend/models, export</t>
  </si>
  <si>
    <t>AUD-13</t>
  </si>
  <si>
    <t>SEC-015</t>
  </si>
  <si>
    <t>Field instruction allowlist</t>
  </si>
  <si>
    <t>No DDE/INCLUDETEXT/INCLUDEPICTURE/external fields accepted from clients or exported.</t>
  </si>
  <si>
    <t>SEC-016</t>
  </si>
  <si>
    <t>External relationships policy</t>
  </si>
  <si>
    <t>No arbitrary external targets in exports.</t>
  </si>
  <si>
    <t>SEC-017</t>
  </si>
  <si>
    <t>Malicious SVG</t>
  </si>
  <si>
    <t>Verified refused everywhere.</t>
  </si>
  <si>
    <t>SEC-018</t>
  </si>
  <si>
    <t>Prompt injection / AI output abuse</t>
  </si>
  <si>
    <t>Tests with hostile documents; outputs validated.</t>
  </si>
  <si>
    <t>SEC-019</t>
  </si>
  <si>
    <t>Error envelope audit</t>
  </si>
  <si>
    <t>Every error {code, message, details, request_id}; no stack traces to users.</t>
  </si>
  <si>
    <t>backend/api</t>
  </si>
  <si>
    <t>SEC-020</t>
  </si>
  <si>
    <t>CSP without 'unsafe-inline' scripts</t>
  </si>
  <si>
    <t>Nonce-based CSP for the Next.js app.</t>
  </si>
  <si>
    <t>TEST-030</t>
  </si>
  <si>
    <t>Security regression suite</t>
  </si>
  <si>
    <t>Fuzz corpus, pixel bombs, href/field policy, IDOR, CSRF.</t>
  </si>
  <si>
    <t>SEC-010,SEC-012,SEC-014,SEC-015</t>
  </si>
  <si>
    <t>AUD-09,AUD-12,AUD-13</t>
  </si>
  <si>
    <t>SEC-021</t>
  </si>
  <si>
    <t>Sensitivity-label metadata in the public repository</t>
  </si>
  <si>
    <t>корекции.docx (committed in 5f2bf9e, pushed) carries 8 MSIP_Label_* custom properties incl. the organisation's tenant SiteId (label: Microsoft default 'General' family, no content marking). Options: leave; scrub the file in a new commit (HEAD only); purge from history (force-push).</t>
  </si>
  <si>
    <t>repository history</t>
  </si>
  <si>
    <t>Needs Boril: the choice involves his organisation's label and possibly rewriting pushed history. The tracker tools now strip MSIP labels on every write; the pre-push scan flags them.</t>
  </si>
  <si>
    <t>PERF-001</t>
  </si>
  <si>
    <t>Linear DOCX table export</t>
  </si>
  <si>
    <t>500x8 table under a recorded threshold (baseline 321 s).</t>
  </si>
  <si>
    <t>AUD-10</t>
  </si>
  <si>
    <t>PERF-002</t>
  </si>
  <si>
    <t>Benchmarks recorded</t>
  </si>
  <si>
    <t>Baseline and current measurements in the PERFORMANCE sheet.</t>
  </si>
  <si>
    <t>tests/perf</t>
  </si>
  <si>
    <t>PERF-003</t>
  </si>
  <si>
    <t>Delta autosave</t>
  </si>
  <si>
    <t>Change-aware patches with a threshold strategy; whole document only when needed.</t>
  </si>
  <si>
    <t>frontend/editor, backend/api</t>
  </si>
  <si>
    <t>PERF-004</t>
  </si>
  <si>
    <t>Bounded, compressed version history</t>
  </si>
  <si>
    <t>Editor history separate from persisted versions; compression/deltas; asset references.</t>
  </si>
  <si>
    <t>PERF-005</t>
  </si>
  <si>
    <t>Editor at 5k-12k blocks</t>
  </si>
  <si>
    <t>Typing latency measured and improved.</t>
  </si>
  <si>
    <t>PERF-006</t>
  </si>
  <si>
    <t>JSON without ASCII escaping</t>
  </si>
  <si>
    <t>Document JSON stored and sent as UTF-8.</t>
  </si>
  <si>
    <t>backend/db</t>
  </si>
  <si>
    <t>PERF-007</t>
  </si>
  <si>
    <t>Safe size limits recorded</t>
  </si>
  <si>
    <t>User-facing maximum sizes, job timeouts, resource ceilings documented and enforced.</t>
  </si>
  <si>
    <t>backend/config</t>
  </si>
  <si>
    <t>AUD-09,AUD-10</t>
  </si>
  <si>
    <t>ACCT-001</t>
  </si>
  <si>
    <t>E-mail sender abstraction</t>
  </si>
  <si>
    <t>SMTP provider + development outbox; no secrets in logs.</t>
  </si>
  <si>
    <t>AUD-14</t>
  </si>
  <si>
    <t>ACCT-002</t>
  </si>
  <si>
    <t>Password reset</t>
  </si>
  <si>
    <t>Single-use, expiring, hashed tokens; rate-limited; no account enumeration.</t>
  </si>
  <si>
    <t>backend/api, frontend</t>
  </si>
  <si>
    <t>ACCT-003</t>
  </si>
  <si>
    <t>E-mail verification</t>
  </si>
  <si>
    <t>Verification tokens and state.</t>
  </si>
  <si>
    <t>ACCT-004</t>
  </si>
  <si>
    <t>Password change</t>
  </si>
  <si>
    <t>Current password required; other sessions revoked.</t>
  </si>
  <si>
    <t>ACCT-005</t>
  </si>
  <si>
    <t>Account deletion</t>
  </si>
  <si>
    <t>Cascading policy: documents, versions, assets, exports, sessions, jobs, usage.</t>
  </si>
  <si>
    <t>ACCT-006</t>
  </si>
  <si>
    <t>Session revocation and cleanup</t>
  </si>
  <si>
    <t>Sign out everywhere; expired/revoked session sweep.</t>
  </si>
  <si>
    <t>ACCT-007</t>
  </si>
  <si>
    <t>Suspicious login handling</t>
  </si>
  <si>
    <t>Lockout and notification strategy.</t>
  </si>
  <si>
    <t>PLAN-001</t>
  </si>
  <si>
    <t>Usage units</t>
  </si>
  <si>
    <t>Documents, exports, PDF pages, OCR pages, translation characters, AI operations, storage, batch jobs.</t>
  </si>
  <si>
    <t>backend/billing</t>
  </si>
  <si>
    <t>AUD-11</t>
  </si>
  <si>
    <t>PLAN-002</t>
  </si>
  <si>
    <t>Configurable plan defaults</t>
  </si>
  <si>
    <t>Free/Pro/Business initial hypotheses as configuration, never hardcoded.</t>
  </si>
  <si>
    <t>PLAN-003</t>
  </si>
  <si>
    <t>Atomic entitlement checks</t>
  </si>
  <si>
    <t>Reservation/locking; concurrency test proves limits hold.</t>
  </si>
  <si>
    <t>PLAN-004</t>
  </si>
  <si>
    <t>Stripe flows review</t>
  </si>
  <si>
    <t>Checkout, portal, upgrade, downgrade, cancel, renewal, failed payment, webhook idempotency.</t>
  </si>
  <si>
    <t>PLAN-005</t>
  </si>
  <si>
    <t>Storage metering including history</t>
  </si>
  <si>
    <t>History and autosave growth counted.</t>
  </si>
  <si>
    <t>AUD-11,AUD-16</t>
  </si>
  <si>
    <t>PDF-010</t>
  </si>
  <si>
    <t>Geometry-aware PDF parser</t>
  </si>
  <si>
    <t>Chars, fonts, sizes, colours, lines, rectangles, images, links, annotations, outlines, forms, metadata, rotation, page boxes.</t>
  </si>
  <si>
    <t>backend/parsers/pdf</t>
  </si>
  <si>
    <t>PDF-011</t>
  </si>
  <si>
    <t>Page classifier</t>
  </si>
  <si>
    <t>TEXT / SCANNED / HYBRID per page with evidence.</t>
  </si>
  <si>
    <t>PDF-012</t>
  </si>
  <si>
    <t>PDF inspection report</t>
  </si>
  <si>
    <t>What the parser found, per page.</t>
  </si>
  <si>
    <t>P2E-001</t>
  </si>
  <si>
    <t>Layout primitives where PDF needs them</t>
  </si>
  <si>
    <t>Page, block, bbox, rotation, confidence, provenance.</t>
  </si>
  <si>
    <t>P2E-002</t>
  </si>
  <si>
    <t>Structure reconstruction</t>
  </si>
  <si>
    <t>Reading order, lines, paragraphs, headings, lists, captions, header/footer bands, columns.</t>
  </si>
  <si>
    <t>backend/pdf</t>
  </si>
  <si>
    <t>P2E-003</t>
  </si>
  <si>
    <t>Images with position</t>
  </si>
  <si>
    <t>Extracted images kept with bbox.</t>
  </si>
  <si>
    <t>P2E-004</t>
  </si>
  <si>
    <t>Tables from PDF</t>
  </si>
  <si>
    <t>Ruling lines and alignment.</t>
  </si>
  <si>
    <t>P2E-005</t>
  </si>
  <si>
    <t>Confidence and conversion report</t>
  </si>
  <si>
    <t>Per element confidence; issues reported; never silent removal.</t>
  </si>
  <si>
    <t>P2E-006</t>
  </si>
  <si>
    <t>OCR provider abstraction</t>
  </si>
  <si>
    <t>Interface (text, confidence, bbox, page, language/script); implementation(s); OCR output untrusted.</t>
  </si>
  <si>
    <t>backend/ocr</t>
  </si>
  <si>
    <t>P2E-007</t>
  </si>
  <si>
    <t>Imported-from-PDF version and UX</t>
  </si>
  <si>
    <t>Editable document vs layout-focused choice; confidence shown.</t>
  </si>
  <si>
    <t>frontend, backend</t>
  </si>
  <si>
    <t>P2E-008</t>
  </si>
  <si>
    <t>PDF fixtures and tests</t>
  </si>
  <si>
    <t>Text, scanned, hybrid, tables, columns, multilingual.</t>
  </si>
  <si>
    <t>P2E-020</t>
  </si>
  <si>
    <t>Layout-preserving architecture</t>
  </si>
  <si>
    <t>Frames/anchors model hooks and design doc.</t>
  </si>
  <si>
    <t>docs, backend/models</t>
  </si>
  <si>
    <t>PDF-020</t>
  </si>
  <si>
    <t>PDF page operations service</t>
  </si>
  <si>
    <t>Reorder, rotate, delete, duplicate, extract, split, merge as a separate service.</t>
  </si>
  <si>
    <t>TRAN-001</t>
  </si>
  <si>
    <t>Segments and tag protocol</t>
  </si>
  <si>
    <t>Segments keep element/run ids, marks, placeholders; never one giant string.</t>
  </si>
  <si>
    <t>backend/translation</t>
  </si>
  <si>
    <t>TRAN-002</t>
  </si>
  <si>
    <t>TranslationProvider abstraction</t>
  </si>
  <si>
    <t>AI provider implementation + deterministic test provider.</t>
  </si>
  <si>
    <t>TRAN-003</t>
  </si>
  <si>
    <t>Translation validation</t>
  </si>
  <si>
    <t>Tags, numbers, units, dates, percentages, identifiers, glossary terms.</t>
  </si>
  <si>
    <t>TRAN-004</t>
  </si>
  <si>
    <t>Glossary and terminology lock</t>
  </si>
  <si>
    <t>Source/target term, domain, locked, case-sensitive.</t>
  </si>
  <si>
    <t>backend/translation, db</t>
  </si>
  <si>
    <t>TRAN-005</t>
  </si>
  <si>
    <t>Selection/paragraph/block translation proposals</t>
  </si>
  <si>
    <t>Preview; accept/reject; undo.</t>
  </si>
  <si>
    <t>TRAN-003,REV-001</t>
  </si>
  <si>
    <t>TRAN-006</t>
  </si>
  <si>
    <t>Whole-document translated version</t>
  </si>
  <si>
    <t>Source kept; translated copy linked.</t>
  </si>
  <si>
    <t>TRAN-007</t>
  </si>
  <si>
    <t>Language, script, direction metadata</t>
  </si>
  <si>
    <t>Auto-detect + manual override.</t>
  </si>
  <si>
    <t>TRAN-008</t>
  </si>
  <si>
    <t>Translation UX</t>
  </si>
  <si>
    <t>Toolbar/context Translate, target language, preview, accept/reject; 'AI-assisted translation - review required'.</t>
  </si>
  <si>
    <t>TRAN-009</t>
  </si>
  <si>
    <t>Translation metering</t>
  </si>
  <si>
    <t>Translation characters as a usage unit.</t>
  </si>
  <si>
    <t>TRAN-010</t>
  </si>
  <si>
    <t>Translation tests</t>
  </si>
  <si>
    <t>Formatting preservation, validation, versions.</t>
  </si>
  <si>
    <t>FONT-001</t>
  </si>
  <si>
    <t>Font catalogue with Unicode coverage</t>
  </si>
  <si>
    <t>fontTools cmap coverage per script, metrics, embeddability.</t>
  </si>
  <si>
    <t>backend/fonts</t>
  </si>
  <si>
    <t>AUD-17</t>
  </si>
  <si>
    <t>FONT-002</t>
  </si>
  <si>
    <t>FontResolver</t>
  </si>
  <si>
    <t>Script segmentation, coverage, fallback chain, embedding, RTL; deterministic first, AI suggestion validated.</t>
  </si>
  <si>
    <t>FONT-003</t>
  </si>
  <si>
    <t>Multilingual PDF rendering</t>
  </si>
  <si>
    <t>Shaping for Arabic/Hebrew/Devanagari, bidi, CJK fonts, emoji handled gracefully.</t>
  </si>
  <si>
    <t>FONT-004</t>
  </si>
  <si>
    <t>DOCX per-script fonts</t>
  </si>
  <si>
    <t>w:rFonts ascii/hAnsi/eastAsia/cs, w:lang, rtl/bidi.</t>
  </si>
  <si>
    <t>FONT-005</t>
  </si>
  <si>
    <t>Editor fallback stacks</t>
  </si>
  <si>
    <t>CSS stacks from the resolver.</t>
  </si>
  <si>
    <t>FONT-006</t>
  </si>
  <si>
    <t>Multilingual tests</t>
  </si>
  <si>
    <t>Script matrix x editor/DOCX/PDF with pdftotext and rendering.</t>
  </si>
  <si>
    <t>FMT-001</t>
  </si>
  <si>
    <t>Style extraction completeness</t>
  </si>
  <si>
    <t>Page setup, margins, fonts, headings, lists, tables, captions, headers/footers, spacing, numbering, colours.</t>
  </si>
  <si>
    <t>FMT-002</t>
  </si>
  <si>
    <t>Semantic mapping validated</t>
  </si>
  <si>
    <t>AI classifies/maps, engine applies; validation.</t>
  </si>
  <si>
    <t>FMT-003</t>
  </si>
  <si>
    <t>Before/after for Format by Example</t>
  </si>
  <si>
    <t>Preview before saving a template.</t>
  </si>
  <si>
    <t>FMT-005</t>
  </si>
  <si>
    <t>Rule value validation</t>
  </si>
  <si>
    <t>Instruction-path values validated before reaching CSS/export.</t>
  </si>
  <si>
    <t>HLTH-001</t>
  </si>
  <si>
    <t>Health 2.0 checks</t>
  </si>
  <si>
    <t>Alt text, hidden text, mixed language, unsupported features, section inconsistency, broken lists, empty paragraphs, layout anomalies, duplicated formatting, broken links.</t>
  </si>
  <si>
    <t>HLTH-002</t>
  </si>
  <si>
    <t>Deterministic fixes with preview</t>
  </si>
  <si>
    <t>Fix proposals through the change model.</t>
  </si>
  <si>
    <t>HLTH-003</t>
  </si>
  <si>
    <t>AI explanations only</t>
  </si>
  <si>
    <t>AI explains issues; never scores.</t>
  </si>
  <si>
    <t>REV-002</t>
  </si>
  <si>
    <t>Review Changes UI</t>
  </si>
  <si>
    <t>Categories FORMAT/STRUCTURE/CONTENT/METADATA/PRESERVATION/TRANSLATION.</t>
  </si>
  <si>
    <t>REV-003</t>
  </si>
  <si>
    <t>Content changes need acceptance</t>
  </si>
  <si>
    <t>Enforced server-side.</t>
  </si>
  <si>
    <t>backend</t>
  </si>
  <si>
    <t>REV-004</t>
  </si>
  <si>
    <t>Repair</t>
  </si>
  <si>
    <t>Detected issue, proposed fix, preview, apply.</t>
  </si>
  <si>
    <t>REV-005</t>
  </si>
  <si>
    <t>Clean copy</t>
  </si>
  <si>
    <t>Explicit: remove comments, accept tracked changes, remove hidden text, remove metadata, normalise formatting.</t>
  </si>
  <si>
    <t>FEAT-001</t>
  </si>
  <si>
    <t>Batch formatting</t>
  </si>
  <si>
    <t>One template/reference over many documents as jobs.</t>
  </si>
  <si>
    <t>backend/jobs</t>
  </si>
  <si>
    <t>FEAT-002</t>
  </si>
  <si>
    <t>Batch export</t>
  </si>
  <si>
    <t>Many documents to a zip.</t>
  </si>
  <si>
    <t>FEAT-003</t>
  </si>
  <si>
    <t>Batch translation</t>
  </si>
  <si>
    <t>After the translation MVP.</t>
  </si>
  <si>
    <t>FEAT-010</t>
  </si>
  <si>
    <t>Accessibility checker</t>
  </si>
  <si>
    <t>Heading hierarchy, alt text, link labels, table headers, reading order, language, contrast.</t>
  </si>
  <si>
    <t>FEAT-011</t>
  </si>
  <si>
    <t>App accessibility fixes</t>
  </si>
  <si>
    <t>Zero serious axe violations on main pages and the editor.</t>
  </si>
  <si>
    <t>JOB-001</t>
  </si>
  <si>
    <t>Job safety</t>
  </si>
  <si>
    <t>idempotency_key, retry_count, timeout, cancellation, stuck detection, backoff, dead-letter.</t>
  </si>
  <si>
    <t>STOR-001</t>
  </si>
  <si>
    <t>Storage retention and deletion</t>
  </si>
  <si>
    <t>Source files, exports, OCR artifacts: retention, deletion, access control, content types, size limits.</t>
  </si>
  <si>
    <t>OBS-001</t>
  </si>
  <si>
    <t>Metrics</t>
  </si>
  <si>
    <t>Latency, failure rate, job/AI/export metrics without content.</t>
  </si>
  <si>
    <t>AUD-15</t>
  </si>
  <si>
    <t>OBS-002</t>
  </si>
  <si>
    <t>Operation and job IDs in logs</t>
  </si>
  <si>
    <t>Request, operation and job IDs everywhere.</t>
  </si>
  <si>
    <t>OBS-003</t>
  </si>
  <si>
    <t>Operations data</t>
  </si>
  <si>
    <t>Failed jobs, processing failures, usage spikes, AI/export failures, storage, abuse - minimal admin API.</t>
  </si>
  <si>
    <t>INFRA-010</t>
  </si>
  <si>
    <t>Deployment verified</t>
  </si>
  <si>
    <t>Docker images build and start; Postgres, Redis, storage, worker, frontend, backend.</t>
  </si>
  <si>
    <t>docker, CI</t>
  </si>
  <si>
    <t>INFRA-011</t>
  </si>
  <si>
    <t>CI gates</t>
  </si>
  <si>
    <t>Backend, frontend, E2E, lint, typecheck, build, migrations, security audit, document fidelity tests.</t>
  </si>
  <si>
    <t>.github/workflows</t>
  </si>
  <si>
    <t>AUD-15,AUD-20</t>
  </si>
  <si>
    <t>TEST-040</t>
  </si>
  <si>
    <t>Playwright workflow coverage</t>
  </si>
  <si>
    <t>The 24 workflows of the brief.</t>
  </si>
  <si>
    <t>TEST-041</t>
  </si>
  <si>
    <t>Performance gates</t>
  </si>
  <si>
    <t>Regression thresholds relative to baseline.</t>
  </si>
  <si>
    <t>TEST-043</t>
  </si>
  <si>
    <t>Browser matrix</t>
  </si>
  <si>
    <t>Chromium, Firefox, WebKit.</t>
  </si>
  <si>
    <t>TEST-006</t>
  </si>
  <si>
    <t>E2E backend removes its temp directory</t>
  </si>
  <si>
    <t>scripts/e2e_server.py leaves %TEMP%/smartdoc-e2e-* behind after every Playwright run (10 found on 2026-09-27).</t>
  </si>
  <si>
    <t>backend/scripts/e2e_server.py</t>
  </si>
  <si>
    <t>DOCS-010</t>
  </si>
  <si>
    <t>final-production-readiness.md</t>
  </si>
  <si>
    <t>The 16-section final report.</t>
  </si>
  <si>
    <t>DOCS-011</t>
  </si>
  <si>
    <t>Documentation tree</t>
  </si>
  <si>
    <t>docs/{architecture,document-model,docx,pdf,translation,ai,formatting,security,testing,deployment,billing,operations}.</t>
  </si>
  <si>
    <t>CRITICAL_FIXES — Audit findings and P0 tasks</t>
  </si>
  <si>
    <t>The 20 findings of the 2026-09-26 audit (current known risks) with fix progress, then every P0 task. Report: https://claude.ai/artifact/WKskiyexTDLAHe1BfjvWR1 — a finding is RESOLVED when every linked fix task is DONE.</t>
  </si>
  <si>
    <t>Findings</t>
  </si>
  <si>
    <t>Resolved</t>
  </si>
  <si>
    <t>Open</t>
  </si>
  <si>
    <t>P0 tasks</t>
  </si>
  <si>
    <t>P0 done</t>
  </si>
  <si>
    <t>Audit findings (current known risks)</t>
  </si>
  <si>
    <t>Finding ID</t>
  </si>
  <si>
    <t>Progress</t>
  </si>
  <si>
    <t>Finding</t>
  </si>
  <si>
    <t>Fix Tasks</t>
  </si>
  <si>
    <t>Active</t>
  </si>
  <si>
    <t>Blocked/Failed</t>
  </si>
  <si>
    <t>Editor save can discard nested blocks (lists, pictures, code, quotes inside cells/items)</t>
  </si>
  <si>
    <t>EDIT-001,EDIT-002,EDIT-003,EDIT-005,EDIT-006</t>
  </si>
  <si>
    <t>AI fidelity check misses omissions, negation removal, number changes, inserted text</t>
  </si>
  <si>
    <t>AI-001,AI-002,AI-003,AI-004</t>
  </si>
  <si>
    <t>Import/export silently changes hidden text, numbering, section headers, metadata, alt text, structure</t>
  </si>
  <si>
    <t>FID-002,DOCX-011,DOCX-013,DOCX-015,DOCX-025</t>
  </si>
  <si>
    <t>List numbering changes ('Чл. 1.' -&gt; '1.', '(a)' -&gt; 'a.', start values)</t>
  </si>
  <si>
    <t>AI instruction operations can delete/insert/move content without preview</t>
  </si>
  <si>
    <t>AI-005,AI-006,AI-007,REV-003</t>
  </si>
  <si>
    <t>Content controls, metadata, comment threads, sensitivity information lost</t>
  </si>
  <si>
    <t>DOCX-012,DOCX-021,DOCX-023</t>
  </si>
  <si>
    <t>Image fidelity gaps: alt text, crop, rotation, formats</t>
  </si>
  <si>
    <t>Table export changes header state, borders, alignment, widths, geometry</t>
  </si>
  <si>
    <t>Large images cause huge memory consumption</t>
  </si>
  <si>
    <t>SEC-012,SEC-013</t>
  </si>
  <si>
    <t>Large tables have a performance problem</t>
  </si>
  <si>
    <t>Plan limits have a concurrency race</t>
  </si>
  <si>
    <t>Malformed DOCX leads to HTTP 500</t>
  </si>
  <si>
    <t>SEC-010,SEC-019</t>
  </si>
  <si>
    <t>Dangerous href/field instructions must be filtered</t>
  </si>
  <si>
    <t>SEC-014,SEC-015,SEC-016</t>
  </si>
  <si>
    <t>Account essentials missing: reset, verification, change, deletion</t>
  </si>
  <si>
    <t>ACCT-002,ACCT-003,ACCT-004,ACCT-005</t>
  </si>
  <si>
    <t>Operations/monitoring must be confirmed</t>
  </si>
  <si>
    <t>OBS-001,OBS-002,INFRA-010</t>
  </si>
  <si>
    <t>Whole-document autosave must be optimised</t>
  </si>
  <si>
    <t>PERF-003,PERF-004</t>
  </si>
  <si>
    <t>PDF multilingual rendering must be reliable</t>
  </si>
  <si>
    <t>FONT-003,FONT-006</t>
  </si>
  <si>
    <t>Export metadata must be correct</t>
  </si>
  <si>
    <t>DOCX-012,DOCX-020</t>
  </si>
  <si>
    <t>AUD-19</t>
  </si>
  <si>
    <t>Canonical model must represent more than paragraphs + runs + simple tables</t>
  </si>
  <si>
    <t>CORE-001,DOCX-015,DOCX-016,DOCX-017</t>
  </si>
  <si>
    <t>Tests can miss import-side data loss (model-relative comparison)</t>
  </si>
  <si>
    <t>TEST-020,TEST-021,TEST-022</t>
  </si>
  <si>
    <t>P0 tasks (live from MASTER)</t>
  </si>
  <si>
    <t>DOCUMENT_FIDELITY — Content preservation</t>
  </si>
  <si>
    <t>Canonical model, fidelity reports, capability matrix, change/review model. Categories: CORE, FIDELITY, REVIEW. Rows are formulas over MASTER — change task data in MASTER or with tools/tracker/tracker.py.</t>
  </si>
  <si>
    <t>Tasks (live from MASTER)</t>
  </si>
  <si>
    <t>DOCX_OOXML — DOCX / OOXML preservation</t>
  </si>
  <si>
    <t>Import and export fidelity for Word documents. Categories: DOCX. Rows are formulas over MASTER — change task data in MASTER or with tools/tracker/tracker.py.</t>
  </si>
  <si>
    <t>PDF — PDF engine</t>
  </si>
  <si>
    <t>PDF export and PDF parsing. Categories: PDF. Rows are formulas over MASTER — change task data in MASTER or with tools/tracker/tracker.py.</t>
  </si>
  <si>
    <t>EDITOR — Editor integrity</t>
  </si>
  <si>
    <t>Tiptap mapping and save integrity. Categories: EDITOR. Rows are formulas over MASTER — change task data in MASTER or with tools/tracker/tracker.py.</t>
  </si>
  <si>
    <t>FORMATTING — Formatting and Document Health</t>
  </si>
  <si>
    <t>Formatting engine, Format by Example, Document Health. Categories: FORMATTING, HEALTH. Rows are formulas over MASTER — change task data in MASTER or with tools/tracker/tracker.py.</t>
  </si>
  <si>
    <t>AI — AI fidelity</t>
  </si>
  <si>
    <t>Fidelity checks, proposals and review, budgets. Categories: AI. Rows are formulas over MASTER — change task data in MASTER or with tools/tracker/tracker.py.</t>
  </si>
  <si>
    <t>SECURITY — Security and accounts</t>
  </si>
  <si>
    <t>Security hardening and account essentials. Categories: SECURITY, ACCOUNT. Rows are formulas over MASTER — change task data in MASTER or with tools/tracker/tracker.py.</t>
  </si>
  <si>
    <t>PERFORMANCE — Performance</t>
  </si>
  <si>
    <t>Measured results — brief §80-81: measure, then set regression thresholds relative to the baseline (no invented SLOs)</t>
  </si>
  <si>
    <t>Bench ID</t>
  </si>
  <si>
    <t>Metric</t>
  </si>
  <si>
    <t>Unit</t>
  </si>
  <si>
    <t>Scenario</t>
  </si>
  <si>
    <t>Baseline</t>
  </si>
  <si>
    <t>Baseline Source</t>
  </si>
  <si>
    <t>Current</t>
  </si>
  <si>
    <t>Measured On</t>
  </si>
  <si>
    <t>Threshold</t>
  </si>
  <si>
    <t>BENCH-001</t>
  </si>
  <si>
    <t>duration</t>
  </si>
  <si>
    <t>s</t>
  </si>
  <si>
    <t>DOCX export: table 500x8 (4,000 cells)</t>
  </si>
  <si>
    <t>audit perf_table.py (400 cells 3.8 s; 1,600 cells 53.7 s; quadratic)</t>
  </si>
  <si>
    <t>BENCH-002</t>
  </si>
  <si>
    <t>PDF export: table 500x8</t>
  </si>
  <si>
    <t>audit perf_table.py (linear)</t>
  </si>
  <si>
    <t>BENCH-003</t>
  </si>
  <si>
    <t>Import: 300-page text DOCX (1,650 elements)</t>
  </si>
  <si>
    <t>audit perf_backend.py</t>
  </si>
  <si>
    <t>BENCH-004</t>
  </si>
  <si>
    <t>DOCX export: 300-page text document</t>
  </si>
  <si>
    <t>BENCH-005</t>
  </si>
  <si>
    <t>PDF export: 300-page text document</t>
  </si>
  <si>
    <t>BENCH-006</t>
  </si>
  <si>
    <t>memory growth</t>
  </si>
  <si>
    <t>MB</t>
  </si>
  <si>
    <t>PDF export: 39 KB DOCX holding a 12000x12000 PNG</t>
  </si>
  <si>
    <t>audit pixel_bomb.py (14000x14000 crashes the export)</t>
  </si>
  <si>
    <t>BENCH-007</t>
  </si>
  <si>
    <t>PDF export: 4 JPEG images 2400x1800</t>
  </si>
  <si>
    <t>audit perf_backend.py (6.3 s)</t>
  </si>
  <si>
    <t>BENCH-008</t>
  </si>
  <si>
    <t>Editor: type 20 characters at 12,196 elements (1M-character paste)</t>
  </si>
  <si>
    <t>audit perf_browser.js (~470 ms per key)</t>
  </si>
  <si>
    <t>BENCH-009</t>
  </si>
  <si>
    <t>Editor: type 20 characters, 300-page document</t>
  </si>
  <si>
    <t>audit perf_browser.js</t>
  </si>
  <si>
    <t>BENCH-010</t>
  </si>
  <si>
    <t>request size</t>
  </si>
  <si>
    <t>Autosave request: 300-page document</t>
  </si>
  <si>
    <t>audit perf_browser.js (whole elements list per save)</t>
  </si>
  <si>
    <t>BENCH-011</t>
  </si>
  <si>
    <t>Autosave request: 1M-character paste</t>
  </si>
  <si>
    <t>BENCH-012</t>
  </si>
  <si>
    <t>storage</t>
  </si>
  <si>
    <t>Stored history: one 300-page document, 50 steps</t>
  </si>
  <si>
    <t>audit (2.8 MB per full copy; 7.2 MB when the JSON is ASCII-escaped)</t>
  </si>
  <si>
    <t>BENCH-013</t>
  </si>
  <si>
    <t>Paste: 2M characters (the cap)</t>
  </si>
  <si>
    <t>audit perf_backend.py (17.5k elements, 7.1 MB JSON)</t>
  </si>
  <si>
    <t>Performance tasks (live from MASTER)</t>
  </si>
  <si>
    <t>TESTING — Testing</t>
  </si>
  <si>
    <t>Test runs (oldest first)</t>
  </si>
  <si>
    <t>Run ID</t>
  </si>
  <si>
    <t>Command</t>
  </si>
  <si>
    <t>Passed</t>
  </si>
  <si>
    <t>Skipped</t>
  </si>
  <si>
    <t>Date</t>
  </si>
  <si>
    <t>Duration (s)</t>
  </si>
  <si>
    <t>RUN-0001</t>
  </si>
  <si>
    <t>backend-pytest</t>
  </si>
  <si>
    <t>PASS</t>
  </si>
  <si>
    <t>cd backend &amp;&amp; venv/Scripts/python -m pytest -q -p no:cacheprovider</t>
  </si>
  <si>
    <t>Skip: optional real-Word check (SMARTDOC_REAL_DOCX unset). 1 DeprecationWarning (starlette/anyio). Audit measured 93% line coverage on 2026-09-26.</t>
  </si>
  <si>
    <t>ea69829</t>
  </si>
  <si>
    <t>RUN-0002</t>
  </si>
  <si>
    <t>frontend-lint</t>
  </si>
  <si>
    <t>cd frontend &amp;&amp; npm run lint</t>
  </si>
  <si>
    <t>eslint: 0 problems</t>
  </si>
  <si>
    <t>RUN-0003</t>
  </si>
  <si>
    <t>frontend-tsc</t>
  </si>
  <si>
    <t>cd frontend &amp;&amp; npx tsc --noEmit</t>
  </si>
  <si>
    <t>0 type errors</t>
  </si>
  <si>
    <t>RUN-0004</t>
  </si>
  <si>
    <t>frontend-vitest</t>
  </si>
  <si>
    <t>cd frontend &amp;&amp; npm test</t>
  </si>
  <si>
    <t>6 test files</t>
  </si>
  <si>
    <t>RUN-0005</t>
  </si>
  <si>
    <t>frontend-build</t>
  </si>
  <si>
    <t>cd frontend &amp;&amp; npm run build</t>
  </si>
  <si>
    <t>Next.js production build, 11 routes</t>
  </si>
  <si>
    <t>RUN-0006</t>
  </si>
  <si>
    <t>e2e-playwright</t>
  </si>
  <si>
    <t>cd frontend &amp;&amp; npm run test:e2e</t>
  </si>
  <si>
    <t>Edge; throwaway backend on SQLite (:8100) + production build (:3100). 16 workflows in 5 spec files; the brief asks for 24 (TEST-040). Leaves %TEMP%/smartdoc-e2e-* dirs behind (TEST-006).</t>
  </si>
  <si>
    <t>RUN-0007</t>
  </si>
  <si>
    <t>migrations</t>
  </si>
  <si>
    <t>alembic upgrade head &amp;&amp; alembic check &amp;&amp; alembic downgrade base &amp;&amp; alembic upgrade head (scratch SQLite); alembic upgrade head --sql (PostgreSQL dialect)</t>
  </si>
  <si>
    <t>head 85211092fe4c; 'No new upgrade operations detected'; offline SQL: 14 tables at head, RLS enabled on every table</t>
  </si>
  <si>
    <t>RUN-0008</t>
  </si>
  <si>
    <t>supabase</t>
  </si>
  <si>
    <t>Supabase MCP: list_migrations, get_advisors security+performance, list_tables (project edmmjmsynjziahwtjuke)</t>
  </si>
  <si>
    <t>8/8 migrations applied; 14 tables, RLS on all; advisors only INFO: 14x rls_enabled_no_policy (by design: the API connects as owner, PostgREST roles see nothing), 8x unused_index (low traffic)</t>
  </si>
  <si>
    <t>RUN-0009</t>
  </si>
  <si>
    <t>pip-audit</t>
  </si>
  <si>
    <t>uvx pip-audit --disable-pip -r backend/requirements.lock; same for requirements-dev.lock</t>
  </si>
  <si>
    <t>No known vulnerabilities in either lock file</t>
  </si>
  <si>
    <t>RUN-0010</t>
  </si>
  <si>
    <t>npm-audit</t>
  </si>
  <si>
    <t>cd frontend &amp;&amp; npm audit; npm audit --omit=dev</t>
  </si>
  <si>
    <t>0 vulnerabilities across 633 dependencies</t>
  </si>
  <si>
    <t>RUN-0011</t>
  </si>
  <si>
    <t>docker-compose</t>
  </si>
  <si>
    <t>PARTIAL</t>
  </si>
  <si>
    <t>docker compose config --quiet</t>
  </si>
  <si>
    <t>compose file valid (8 services: postgres, redis, minio, minio-bucket, migrate, worker, backend, frontend); images NOT built: Docker daemon not running on this machine (CI builds them on main)</t>
  </si>
  <si>
    <t>RUN-0012</t>
  </si>
  <si>
    <t>Phase 1 editor integrity: +16 tests (nesting model, nested API/exports, health links)</t>
  </si>
  <si>
    <t>RUN-0013</t>
  </si>
  <si>
    <t>cd frontend &amp;&amp; npx vitest run</t>
  </si>
  <si>
    <t>+31: nestedBlocks.test.ts (28), useAutoSave.test.tsx (3); tsc and eslint clean</t>
  </si>
  <si>
    <t>RUN-0014</t>
  </si>
  <si>
    <t>cd frontend &amp;&amp; npx playwright test</t>
  </si>
  <si>
    <t>+1: e2e/nested.spec.ts (paste, autosave, reload)</t>
  </si>
  <si>
    <t>RUN-0015</t>
  </si>
  <si>
    <t>+29 test_fidelity_report.py</t>
  </si>
  <si>
    <t>RUN-0016</t>
  </si>
  <si>
    <t>+3 FidelityPanel.test.tsx</t>
  </si>
  <si>
    <t>RUN-0017</t>
  </si>
  <si>
    <t>+fidelity.spec.ts; nested.spec.ts made deterministic (focus check, Ctrl+End) after one run pasted at the document start</t>
  </si>
  <si>
    <t>RUN-0018</t>
  </si>
  <si>
    <t>+6 test_export_fidelity.py</t>
  </si>
  <si>
    <t>RUN-0019</t>
  </si>
  <si>
    <t>+4 ExportResult.test.tsx</t>
  </si>
  <si>
    <t>RUN-0020</t>
  </si>
  <si>
    <t>export test checks the export's content message</t>
  </si>
  <si>
    <t>RUN-0021</t>
  </si>
  <si>
    <t>+6 test_capabilities.py</t>
  </si>
  <si>
    <t>Testing tasks (live from MASTER)</t>
  </si>
  <si>
    <t>PRODUCT_FEATURES — Product features</t>
  </si>
  <si>
    <t>Feature backlog — brief §61-62</t>
  </si>
  <si>
    <t>Feature</t>
  </si>
  <si>
    <t>Bucket</t>
  </si>
  <si>
    <t>Linked Tasks</t>
  </si>
  <si>
    <t>Linked Done</t>
  </si>
  <si>
    <t>Linked Total</t>
  </si>
  <si>
    <t>Document integrity</t>
  </si>
  <si>
    <t>NOW</t>
  </si>
  <si>
    <t>EDIT-001,EDIT-005,FID-002</t>
  </si>
  <si>
    <t>Brief 62: NOW #1</t>
  </si>
  <si>
    <t>Fidelity</t>
  </si>
  <si>
    <t>DOCX-011,TEST-022</t>
  </si>
  <si>
    <t>Brief 62: NOW #2</t>
  </si>
  <si>
    <t>Security</t>
  </si>
  <si>
    <t>SEC-010,SEC-012,SEC-014</t>
  </si>
  <si>
    <t>Brief 62: NOW #3</t>
  </si>
  <si>
    <t>Performance</t>
  </si>
  <si>
    <t>PERF-001,PERF-003,PERF-004</t>
  </si>
  <si>
    <t>Brief 62: NOW #4</t>
  </si>
  <si>
    <t>PDF -&gt; editable</t>
  </si>
  <si>
    <t>P2E-002,P2E-005</t>
  </si>
  <si>
    <t>Brief 62: NOW #5</t>
  </si>
  <si>
    <t>TRAN-001,TRAN-006</t>
  </si>
  <si>
    <t>Brief 62: NOW #6</t>
  </si>
  <si>
    <t>FONT-002,FONT-003</t>
  </si>
  <si>
    <t>Brief 62: NOW #7</t>
  </si>
  <si>
    <t>Review Changes</t>
  </si>
  <si>
    <t>REV-001,REV-002</t>
  </si>
  <si>
    <t>Brief 62: NOW #8</t>
  </si>
  <si>
    <t>HLTH-001,HLTH-002</t>
  </si>
  <si>
    <t>Brief 62: NOW #9</t>
  </si>
  <si>
    <t>FMT-001,FMT-002,FMT-003</t>
  </si>
  <si>
    <t>Brief 62: NOW #10</t>
  </si>
  <si>
    <t>OCR</t>
  </si>
  <si>
    <t>Part of PDF -&gt; editable (brief 43)</t>
  </si>
  <si>
    <t>Multilingual support</t>
  </si>
  <si>
    <t>TRAN-007,FONT-003</t>
  </si>
  <si>
    <t>Part of translation + FontResolver</t>
  </si>
  <si>
    <t>RTL</t>
  </si>
  <si>
    <t>FONT-003,FONT-004</t>
  </si>
  <si>
    <t>Part of FontResolver</t>
  </si>
  <si>
    <t>CJK</t>
  </si>
  <si>
    <t>Glossary</t>
  </si>
  <si>
    <t>Part of translation MVP (brief 49)</t>
  </si>
  <si>
    <t>Terminology lock</t>
  </si>
  <si>
    <t>Citation preservation</t>
  </si>
  <si>
    <t>Preservation is fidelity work; a citation editor is LATER</t>
  </si>
  <si>
    <t>Bibliography preservation</t>
  </si>
  <si>
    <t>Preservation is fidelity work</t>
  </si>
  <si>
    <t>Content controls</t>
  </si>
  <si>
    <t>Preserve now; editing content controls NEXT</t>
  </si>
  <si>
    <t>Custom fields</t>
  </si>
  <si>
    <t>Preserve custom properties and fields now; an editor NEXT</t>
  </si>
  <si>
    <t>Document compare</t>
  </si>
  <si>
    <t>NEXT</t>
  </si>
  <si>
    <t>Brief 62: NEXT</t>
  </si>
  <si>
    <t>Version compare</t>
  </si>
  <si>
    <t>Brief 62: NEXT (batch processing)</t>
  </si>
  <si>
    <t>After the translation MVP</t>
  </si>
  <si>
    <t>Table repair</t>
  </si>
  <si>
    <t>List repair</t>
  </si>
  <si>
    <t>Brief 62: NEXT (accessibility)</t>
  </si>
  <si>
    <t>Heading hierarchy checker</t>
  </si>
  <si>
    <t>Link checker</t>
  </si>
  <si>
    <t>Alt-text checker</t>
  </si>
  <si>
    <t>HLTH-001,FEAT-010</t>
  </si>
  <si>
    <t>Metadata editor</t>
  </si>
  <si>
    <t>Global style replacement</t>
  </si>
  <si>
    <t>Find/replace with formatting</t>
  </si>
  <si>
    <t>Tracked change cleanup</t>
  </si>
  <si>
    <t>Template extraction</t>
  </si>
  <si>
    <t>Document-to-template</t>
  </si>
  <si>
    <t>Template matching</t>
  </si>
  <si>
    <t>Advanced template sharing</t>
  </si>
  <si>
    <t>Teams</t>
  </si>
  <si>
    <t>Translation memory</t>
  </si>
  <si>
    <t>PDF merge/split</t>
  </si>
  <si>
    <t>Page reorder</t>
  </si>
  <si>
    <t>Page rotate</t>
  </si>
  <si>
    <t>Page delete</t>
  </si>
  <si>
    <t>Page extract</t>
  </si>
  <si>
    <t>Merge documents</t>
  </si>
  <si>
    <t>LATER</t>
  </si>
  <si>
    <t>Split documents</t>
  </si>
  <si>
    <t>Watermark</t>
  </si>
  <si>
    <t>Forms (advanced)</t>
  </si>
  <si>
    <t>Brief 62: LATER</t>
  </si>
  <si>
    <t>SmartArt editing</t>
  </si>
  <si>
    <t>Brief 62: LATER; SmartArt is preserved, not edited</t>
  </si>
  <si>
    <t>OLE</t>
  </si>
  <si>
    <t>Brief 62: LATER; OLE objects preserved, not edited</t>
  </si>
  <si>
    <t>Full tracked-change editor</t>
  </si>
  <si>
    <t>Advanced citation manager</t>
  </si>
  <si>
    <t>Advanced drawing editor</t>
  </si>
  <si>
    <t>Layout-preserving PDF editing (frames/anchors)</t>
  </si>
  <si>
    <t>ARCHITECTURE_ONLY</t>
  </si>
  <si>
    <t>Phase 9: architecture and hooks only</t>
  </si>
  <si>
    <t>Product tasks (live from MASTER)</t>
  </si>
  <si>
    <t>TRANSLATION — Translation and fonts</t>
  </si>
  <si>
    <t>Translation MVP and FontResolver. Categories: TRANSLATION, FONT. Rows are formulas over MASTER — change task data in MASTER or with tools/tracker/tracker.py.</t>
  </si>
  <si>
    <t>PDF_TO_EDITABLE — PDF to editable</t>
  </si>
  <si>
    <t>PDF to editable document conversion. Categories: P2E. Rows are formulas over MASTER — change task data in MASTER or with tools/tracker/tracker.py.</t>
  </si>
  <si>
    <t>BILLING_PLANS — Plans and billing</t>
  </si>
  <si>
    <t>Initial plan hypothesis — brief §64: configurable defaults, not final prices; confirm against measured AI and infrastructure cost. Blue = input.</t>
  </si>
  <si>
    <t>Usage unit / feature</t>
  </si>
  <si>
    <t>FREE</t>
  </si>
  <si>
    <t>PRO</t>
  </si>
  <si>
    <t>BUSINESS</t>
  </si>
  <si>
    <t>Documents / month</t>
  </si>
  <si>
    <t>BUSINESS: per workspace</t>
  </si>
  <si>
    <t>PDF conversion pages / month</t>
  </si>
  <si>
    <t>OCR pages / month</t>
  </si>
  <si>
    <t>Translation characters / month</t>
  </si>
  <si>
    <t>AI operations / month</t>
  </si>
  <si>
    <t>Exports / month</t>
  </si>
  <si>
    <t>high</t>
  </si>
  <si>
    <t>BUSINESS: 'high export limits', no number given</t>
  </si>
  <si>
    <t>Templates</t>
  </si>
  <si>
    <t>basic</t>
  </si>
  <si>
    <t>custom</t>
  </si>
  <si>
    <t>shared</t>
  </si>
  <si>
    <t>Formatting</t>
  </si>
  <si>
    <t>Format by Example</t>
  </si>
  <si>
    <t>-</t>
  </si>
  <si>
    <t>Advanced Document Health</t>
  </si>
  <si>
    <t>yes</t>
  </si>
  <si>
    <t>Version history</t>
  </si>
  <si>
    <t>no</t>
  </si>
  <si>
    <t>reasonable limits</t>
  </si>
  <si>
    <t>Team workspace</t>
  </si>
  <si>
    <t>Priority processing</t>
  </si>
  <si>
    <t>Advanced controls</t>
  </si>
  <si>
    <t>Billing and plan tasks (live from MASTER)</t>
  </si>
  <si>
    <t>INFRA — Infrastructure</t>
  </si>
  <si>
    <t>Tracker, jobs, storage, observability, deployment, documentation. Categories: INFRA, JOBS, STORAGE, OBSERVABILITY, DOCS. Rows are formulas over MASTER — change task data in MASTER or with tools/tracker/tracker.py.</t>
  </si>
  <si>
    <t>Timestamp</t>
  </si>
  <si>
    <t>Task ID</t>
  </si>
  <si>
    <t>Change</t>
  </si>
  <si>
    <t>Files</t>
  </si>
  <si>
    <t>Created SmartDoc_Master_Implementation_Tracker.xlsx from the 2026-09-26 audit findings and the brief's phases: 151 tasks, 20 findings, 15 release gates.</t>
  </si>
  <si>
    <t>tools/tracker/tracker.py, tools/tracker/seed.py</t>
  </si>
  <si>
    <t>N/A</t>
  </si>
  <si>
    <t>Built the Excel control centre: MASTER with 151 stable-ID tasks from the audit findings and the brief's 19 phases, CRITICAL_FIXES (20 findings -&gt; fix tasks, live status), 14 category views, DASHBOARD (totals, completion/verified %, phase %, category %, P0/P1 remaining), CHANGE_LOG, SESSION_STATE, RELEASE_GATES GATE-001..015. Formulas verified in Excel against independently computed values.</t>
  </si>
  <si>
    <t>tools/tracker/*, SmartDoc_Master_Implementation_Tracker.xlsx, .gitignore</t>
  </si>
  <si>
    <t>Resume reminder set with the platform scheduler; it fired and resumed the work. It only fires while this session is open and idle, which is recorded in AI-CONTINUATION.md.</t>
  </si>
  <si>
    <t>Created the checkpoint system: AI-CONTINUATION.md with CURRENT STATE / LAST VERIFIED / WHAT WAS CHANGED / WHAT PASSED / WHAT FAILED / WHAT REMAINS / NEXT ACTION / IMPORTANT WARNINGS, session-state.json mirrored into SESSION_STATE by tracker.py state, and the brief saved verbatim for future sessions.</t>
  </si>
  <si>
    <t>docs/AI-CONTINUATION.md, docs/session-state.json, docs/implementation-brief.md</t>
  </si>
  <si>
    <t>Baseline backend suite: 643 passed, 1 skipped (optional real-Word check), 0 failed in 88 s on ea69829. Recorded as RUN-0001.</t>
  </si>
  <si>
    <t>Baseline frontend: eslint clean, tsc clean, Vitest 46 passed in 6 files, production build succeeded. Recorded as RUN-0002..RUN-0005.</t>
  </si>
  <si>
    <t>Baseline E2E: 16 Playwright workflows passed against the throwaway stack (SQLite backend :8100, production build :3100). The brief's 24-workflow target is TEST-040; temp-dir leak logged as TEST-006.</t>
  </si>
  <si>
    <t>Baseline database: alembic head 85211092fe4c, check reports no drift, full down/up cycle clean; PostgreSQL offline SQL builds 14 tables with RLS; Supabase has all 8 migrations and only INFO-level advisor notices.</t>
  </si>
  <si>
    <t>Baseline dependency audit: pip-audit finds no known vulnerabilities in requirements.lock or requirements-dev.lock; npm audit reports 0 vulnerabilities (production and dev).</t>
  </si>
  <si>
    <t>Baseline infrastructure inspected: compose file valid with 8 services, arq worker and in-process job backends, local and S3 storage providers. Docker images were not built (daemon not running) - left to INFRA-010.</t>
  </si>
  <si>
    <t>Baseline fixtures: the repository's 12 golden DOCX are generated by python-docx (not Word-authored) plus one PDF; the audit's 17 Word-authored fixtures still live outside the repo and move in with TEST-020.</t>
  </si>
  <si>
    <t>Wrote docs/architecture/current-baseline.md: stack versions, the 11 baseline checks with commands and results, the migration chain and live database state, fixture inventory, audit performance figures, and what the baseline could not verify (Docker images, real AI model, Stripe, e-mail, hosting).</t>
  </si>
  <si>
    <t>INFRA-001, INFRA-002, INFRA-003, TEST-001, TEST-002, TEST-003, TEST-004, TEST-005, SEC-001, INFRA-004, DOCS-001</t>
  </si>
  <si>
    <t>Phase 0 committed (4da4ecb, pushed to feature/smartdoc-production-hardening): tracker, checkpoint system and measured baseline. All 11 phase-0 tasks DONE; no production code changed.</t>
  </si>
  <si>
    <t>see commit 4da4ecb</t>
  </si>
  <si>
    <t>Model now holds blocks nested inside table cells, list items and quotes as Elements (authoritative when set; inline keeps plain text), plus list numbering start/format; nesting capped at 8 levels (422 beyond). schemaVersion stays 1: the fields are additive.</t>
  </si>
  <si>
    <t>backend/app/models/document.py, backend/tests/test_document_nesting.py</t>
  </si>
  <si>
    <t>Regenerated the OpenAPI schema and the frontend's generated types for the nested-block and numbering fields; the contract test and the type check pass.</t>
  </si>
  <si>
    <t>frontend/types/generated/*, frontend/types/document.ts</t>
  </si>
  <si>
    <t>Backend readers now see nested blocks: pasted pictures inside cells/list items/quotes are validated and moved to asset storage like top-level ones (security and quota), exports fetch their assets, and the links health check covers list items, cells and nested blocks.</t>
  </si>
  <si>
    <t>backend/app/services/image_assets.py, backend/app/services/document_service.py, backend/app/formatting/health.py</t>
  </si>
  <si>
    <t>Word export renders nested blocks in cells, list items and quotes in reading order (verified by text order), numbers lists from their start in their format, and writes pictures' alt text.</t>
  </si>
  <si>
    <t>backend/app/export/docx_export.py</t>
  </si>
  <si>
    <t>PDF export renders nested blocks and list numbering (start/format); nested numbered levels now use the same a./i. sequence as the Word export instead of 1. everywhere.</t>
  </si>
  <si>
    <t>backend/app/export/pdf_export.py</t>
  </si>
  <si>
    <t>The editor mapping is total over the schema (tested against getSchema(editorExtensions)); anything unknown stops the save with a visible 'Not saved' message instead of being dropped, and the last saved version stays untouched.</t>
  </si>
  <si>
    <t>frontend/editor/*</t>
  </si>
  <si>
    <t>frontend/editor/nestedBlocks.test.ts (7 refusal cases); frontend/editor/useAutoSave.test.tsx (3)</t>
  </si>
  <si>
    <t>Playwright pastes rich HTML (lists, code and a picture in table cells; a list in a quote; code in a list item; a list starting at 3 in letters), waits for autosave and reloads: everything is still there and no 'Not saved' appears.</t>
  </si>
  <si>
    <t>frontend/e2e/nested.spec.ts</t>
  </si>
  <si>
    <t>CORE-001, CORE-002, CORE-003, EDIT-001, EDIT-002, EDIT-003, EDIT-004, EDIT-005, EDIT-006, DOCX-001, PDF-001</t>
  </si>
  <si>
    <t>Committed phase-01a-editor-integrity (1fe27a9, pushed): nested blocks in cells, list items and quotes survive the editor, the backend and both exports; unknown content stops the save visibly. AUD-01 fix tasks all DONE.</t>
  </si>
  <si>
    <t>Import now produces a Document Fidelity Report: the importer's notes as items (feature, policy, count, content lost) plus an independent content check - the source's words (DOCX XML read separately from the importer, Markdown by what it renders, PDF extracted text) against the document's, in order. 'Verified' only when identical; differences listed with context (missing/added/changed/moved).</t>
  </si>
  <si>
    <t>backend/app/fidelity/*, backend/app/models/document.py, backend/app/services/ingestion_service.py</t>
  </si>
  <si>
    <t>Every importer note now carries a stable feature key and a brief-§90 policy class; review count and content-loss count are derived from them.</t>
  </si>
  <si>
    <t>The editor shows the import's verdict in the status bar and a Проверка panel: content verified / differs (with word-level differences) / body complete but some content left out, then each item by policy. Browser check with a05 caught and fixed a misleading 'No content changes' when header text had been left out.</t>
  </si>
  <si>
    <t>frontend/editor/panels/FidelityPanel.tsx, frontend/editor/EditorStatusBar.tsx, frontend/editor/DocumentEditorShell.tsx</t>
  </si>
  <si>
    <t>FID-001, FID-004, FID-005, INFRA-005</t>
  </si>
  <si>
    <t>Committed phase-01b-fidelity-report (8a330be, pushed): import fidelity report with policy classes and an independent word-level content check, shown in the editor; throwaway preview scripts.</t>
  </si>
  <si>
    <t>Exports now report what they approximate or leave out (missing pictures, WebP a Word file can't hold, tables restyled for Word-sourced documents, edited kept fragments, page breaks in PDF tables, PDF comments/equations/fields/internal links, scripts the PDF can't lay out, alt text) and re-read the file: a Word export must hold exactly the document's words, a PDF every word in order (its own list numbers and page headers allowed). Shown under the Download button; the job result carries it.</t>
  </si>
  <si>
    <t>Committed phase-01c-export-report (e55412f, pushed): export fidelity report with read-back content check, shown in the Export menu.</t>
  </si>
  <si>
    <t>Added the machine-readable capability matrix (brief §91): 67 document features with import/edit/export/round-trip support and the policy the fidelity report uses, served at GET /api/v1/capabilities. Tests tie it to the code both ways, require a test for every clean round trip and a task for every unreported gap; writing it exposed unreported gaps now tracked (EDIT-012, DOCX-027).</t>
  </si>
  <si>
    <t>backend/app/capabilities.py, backend/app/api/capabilities.py, backend/app/main.py, backend/tests/test_capabilities.py, frontend/types/generated/*</t>
  </si>
  <si>
    <t>SESSION_STATE — Where the work stands</t>
  </si>
  <si>
    <t>Resume with: Прочети docs/AI-CONTINUATION.md и продължи от next task.</t>
  </si>
  <si>
    <t>Field</t>
  </si>
  <si>
    <t>Value</t>
  </si>
  <si>
    <t>1 — Editor integrity + content preservation — IN_PROGRESS</t>
  </si>
  <si>
    <t>FID-002 — Explicit importer detections for the gaps the capability matrix marks not_detected: hidden text, caps/small caps, underline variants, content controls, autolinks, crop/rotation, custom properties/metadata, numbering formats/starts/continuation, bullets in cells, table geometry, empty paragraphs removed, SmartArt/charts naming.</t>
  </si>
  <si>
    <t>CORE-004 — Capability matrix: 67 features, GET /api/v1/capabilities, tests tying it to the code both ways.</t>
  </si>
  <si>
    <t>CORE-004 — capability matrix — PASS (700 passed) — 2026-09-27 · command: cd backend &amp;&amp; venv/Scripts/python -m pytest -q</t>
  </si>
  <si>
    <t>Current Branch</t>
  </si>
  <si>
    <t>feature/smartdoc-production-hardening</t>
  </si>
  <si>
    <t>Current Commit</t>
  </si>
  <si>
    <t>e55412f (+ uncommitted changes)</t>
  </si>
  <si>
    <t>backend 700/700 (+1 skip); vitest 84/84 (unchanged); e2e 18/18 (unchanged); tsc</t>
  </si>
  <si>
    <t>none</t>
  </si>
  <si>
    <t>SEC-021 (needs Boril, not blocking the work): корекции.docx in the public history carries MSIP sensitivity-label properties with the organisation's tenant ID; leave / scrub HEAD / purge history?</t>
  </si>
  <si>
    <t>FID-002 — Importer detections, one per not_detected capability, each turning its policy from not_detected to lossy/unsupported with a test (update app/capabilities.py as each lands)</t>
  </si>
  <si>
    <t>extend backend/tests/test_fidelity_report.py with a Word-built case per detection</t>
  </si>
  <si>
    <t>cd backend &amp;&amp; venv/Scripts/python -m pytest -q tests/test_fidelity_report.py tests/test_capabilities.py</t>
  </si>
  <si>
    <t>2026-09-27T08:33:54+03:00</t>
  </si>
  <si>
    <t>Resume Instructions</t>
  </si>
  <si>
    <t>Прочети docs/AI-CONTINUATION.md и продължи от next task.</t>
  </si>
  <si>
    <t>Excel Status</t>
  </si>
  <si>
    <t>Production Code Changed</t>
  </si>
  <si>
    <t>DB Migrations Applied</t>
  </si>
  <si>
    <t>RELEASE_GATES — Release gates</t>
  </si>
  <si>
    <t>Gates</t>
  </si>
  <si>
    <t>FAIL</t>
  </si>
  <si>
    <t>NOT_EVALUATED</t>
  </si>
  <si>
    <t>Gate ID</t>
  </si>
  <si>
    <t>Gate</t>
  </si>
  <si>
    <t>GATE-001</t>
  </si>
  <si>
    <t>No silent content loss</t>
  </si>
  <si>
    <t>TEST-022,EDIT-006,FID-002</t>
  </si>
  <si>
    <t>GATE-002</t>
  </si>
  <si>
    <t>No unauthorized document access</t>
  </si>
  <si>
    <t>GATE-003</t>
  </si>
  <si>
    <t>AI cannot silently change content</t>
  </si>
  <si>
    <t>AI-004,AI-006</t>
  </si>
  <si>
    <t>GATE-004</t>
  </si>
  <si>
    <t>Plan limits atomic</t>
  </si>
  <si>
    <t>GATE-005</t>
  </si>
  <si>
    <t>Safe file uploads</t>
  </si>
  <si>
    <t>SEC-010,SEC-011,SEC-012</t>
  </si>
  <si>
    <t>GATE-006</t>
  </si>
  <si>
    <t>DOCX valid</t>
  </si>
  <si>
    <t>GATE-007</t>
  </si>
  <si>
    <t>PDF valid</t>
  </si>
  <si>
    <t>GATE-008</t>
  </si>
  <si>
    <t>Multilingual PDF readable</t>
  </si>
  <si>
    <t>GATE-009</t>
  </si>
  <si>
    <t>PDF conversion has confidence/reporting</t>
  </si>
  <si>
    <t>GATE-010</t>
  </si>
  <si>
    <t>Translation preserves formatting</t>
  </si>
  <si>
    <t>GATE-011</t>
  </si>
  <si>
    <t>No destructive translation overwrite</t>
  </si>
  <si>
    <t>GATE-012</t>
  </si>
  <si>
    <t>Critical E2E passes</t>
  </si>
  <si>
    <t>GATE-013</t>
  </si>
  <si>
    <t>Migrations clean</t>
  </si>
  <si>
    <t>GATE-014</t>
  </si>
  <si>
    <t>No high-severity security findings</t>
  </si>
  <si>
    <t>TEST-030,SEC-001</t>
  </si>
  <si>
    <t>GATE-015</t>
  </si>
  <si>
    <t>Monitoring exists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</si>
</sst>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yyyy\-mm\-dd\ hh:mm"/>
  </numFmts>
  <fonts count="11" x14ac:knownFonts="1">
    <font>
      <sz val="11"/>
      <color theme="1"/>
      <name val="Calibri"/>
      <family val="2"/>
      <scheme val="minor"/>
    </font>
    <font>
      <b/>
      <sz val="11"/>
      <name val="Arial"/>
    </font>
    <font>
      <b/>
      <sz val="10"/>
      <name val="Arial"/>
    </font>
    <font>
      <sz val="10"/>
      <name val="Arial"/>
    </font>
    <font>
      <b/>
      <sz val="16"/>
      <color rgb="FF1F3864"/>
      <name val="Arial"/>
    </font>
    <font>
      <i/>
      <sz val="10"/>
      <color rgb="FF595959"/>
      <name val="Arial"/>
    </font>
    <font>
      <b/>
      <sz val="12"/>
      <color rgb="FF1F3864"/>
      <name val="Arial"/>
    </font>
    <font>
      <b/>
      <sz val="10"/>
      <color rgb="FF404040"/>
      <name val="Arial"/>
    </font>
    <font>
      <b/>
      <sz val="10"/>
      <color rgb="FFFFFFFF"/>
      <name val="Arial"/>
    </font>
    <font>
      <u/>
      <sz val="10"/>
      <color rgb="FF0563C1"/>
      <name val="Arial"/>
    </font>
    <font>
      <sz val="10"/>
      <color rgb="FF0000FF"/>
      <name val="Arial"/>
    </font>
  </fonts>
  <fills count="5">
    <fill>
      <patternFill patternType="none"/>
    </fill>
    <fill>
      <patternFill patternType="gray125"/>
    </fill>
    <fill>
      <patternFill patternType="solid">
        <fgColor rgb="FFD9E1F2"/>
      </patternFill>
    </fill>
    <fill>
      <patternFill patternType="solid">
        <fgColor rgb="FFF2F2F2"/>
      </patternFill>
    </fill>
    <fill>
      <patternFill patternType="solid">
        <fgColor rgb="FF1F3864"/>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2">
    <xf numFmtId="0" fontId="0" fillId="0" borderId="0" xfId="0"/>
    <xf numFmtId="0" fontId="3" fillId="0" borderId="0" xfId="0" applyFont="1" applyAlignment="1">
      <alignment vertical="top"/>
    </xf>
    <xf numFmtId="0" fontId="2" fillId="0" borderId="0" xfId="0" applyFont="1" applyAlignment="1">
      <alignment vertical="top"/>
    </xf>
    <xf numFmtId="0" fontId="4" fillId="0" borderId="0" xfId="0" applyFont="1"/>
    <xf numFmtId="0" fontId="5" fillId="0" borderId="0" xfId="0" applyFont="1"/>
    <xf numFmtId="0" fontId="6" fillId="0" borderId="0" xfId="0" applyFont="1"/>
    <xf numFmtId="0" fontId="7" fillId="2" borderId="1" xfId="0" applyFont="1" applyFill="1" applyBorder="1" applyAlignment="1">
      <alignment vertical="top"/>
    </xf>
    <xf numFmtId="1" fontId="1" fillId="3" borderId="1" xfId="0" applyNumberFormat="1" applyFont="1" applyFill="1" applyBorder="1" applyAlignment="1">
      <alignment horizontal="center" vertical="top"/>
    </xf>
    <xf numFmtId="0" fontId="5" fillId="0" borderId="1" xfId="0" applyFont="1" applyBorder="1" applyAlignment="1">
      <alignment vertical="top"/>
    </xf>
    <xf numFmtId="164" fontId="1" fillId="3" borderId="1" xfId="0" applyNumberFormat="1" applyFont="1" applyFill="1" applyBorder="1" applyAlignment="1">
      <alignment horizontal="center" vertical="top"/>
    </xf>
    <xf numFmtId="0" fontId="8" fillId="4" borderId="1" xfId="0" applyFont="1" applyFill="1" applyBorder="1" applyAlignment="1">
      <alignment vertical="center" wrapText="1"/>
    </xf>
    <xf numFmtId="0" fontId="2" fillId="0" borderId="1" xfId="0" applyFont="1" applyBorder="1" applyAlignment="1">
      <alignment horizontal="center" vertical="top"/>
    </xf>
    <xf numFmtId="0" fontId="3" fillId="0" borderId="1" xfId="0" applyFont="1" applyBorder="1" applyAlignment="1">
      <alignment vertical="top"/>
    </xf>
    <xf numFmtId="1" fontId="3" fillId="0" borderId="1" xfId="0" applyNumberFormat="1" applyFont="1" applyBorder="1" applyAlignment="1">
      <alignment horizontal="center" vertical="top"/>
    </xf>
    <xf numFmtId="164" fontId="3" fillId="0" borderId="1" xfId="0" applyNumberFormat="1" applyFont="1" applyBorder="1" applyAlignment="1">
      <alignment horizontal="center" vertical="top"/>
    </xf>
    <xf numFmtId="0" fontId="2" fillId="0" borderId="1" xfId="0" applyFont="1" applyBorder="1" applyAlignment="1">
      <alignment vertical="top"/>
    </xf>
    <xf numFmtId="0" fontId="3" fillId="0" borderId="1" xfId="0" applyFont="1" applyBorder="1" applyAlignment="1">
      <alignment horizontal="center" vertical="top"/>
    </xf>
    <xf numFmtId="0" fontId="9" fillId="0" borderId="1" xfId="0" applyFont="1" applyBorder="1" applyAlignment="1">
      <alignment vertical="top"/>
    </xf>
    <xf numFmtId="0" fontId="3" fillId="0" borderId="1" xfId="0" applyFont="1" applyBorder="1" applyAlignment="1">
      <alignment vertical="top" wrapText="1"/>
    </xf>
    <xf numFmtId="165" fontId="3" fillId="0" borderId="1" xfId="0" applyNumberFormat="1" applyFont="1" applyBorder="1" applyAlignment="1">
      <alignment vertical="top"/>
    </xf>
    <xf numFmtId="3" fontId="10" fillId="0" borderId="1" xfId="0" applyNumberFormat="1" applyFont="1" applyBorder="1" applyAlignment="1">
      <alignment horizontal="center" vertical="top"/>
    </xf>
    <xf numFmtId="0" fontId="10" fillId="0" borderId="1" xfId="0" applyFont="1" applyBorder="1" applyAlignment="1">
      <alignment horizontal="center" vertical="top"/>
    </xf>
  </cellXfs>
  <cellStyles count="1">
    <cellStyle name="Normal" xfId="0" builtinId="0"/>
  </cellStyles>
  <dxfs count="341">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color rgb="FF1F4E78"/>
      </font>
      <fill>
        <patternFill patternType="solid">
          <fgColor rgb="FFDDEBF7"/>
          <bgColor rgb="FFDDEBF7"/>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color rgb="FF833C0B"/>
      </font>
      <fill>
        <patternFill patternType="solid">
          <fgColor rgb="FFFCE4D6"/>
          <bgColor rgb="FFFCE4D6"/>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375623"/>
      </font>
      <fill>
        <patternFill patternType="solid">
          <fgColor rgb="FFE2EFDA"/>
          <bgColor rgb="FFE2EFDA"/>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
      <font>
        <b/>
        <color rgb="FFC65911"/>
      </font>
    </dxf>
    <dxf>
      <font>
        <b/>
        <color rgb="FF9C0006"/>
      </font>
      <fill>
        <patternFill patternType="solid">
          <fgColor rgb="FFFFC7CE"/>
          <bgColor rgb="FFFFC7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9C0006"/>
      </font>
      <fill>
        <patternFill patternType="solid">
          <fgColor rgb="FFFFC7CE"/>
          <bgColor rgb="FFFFC7CE"/>
        </patternFill>
      </fill>
    </dxf>
    <dxf>
      <font>
        <b/>
        <color rgb="FF9C0006"/>
      </font>
      <fill>
        <patternFill patternType="solid">
          <fgColor rgb="FFFFC7CE"/>
          <bgColor rgb="FFFFC7CE"/>
        </patternFill>
      </fill>
    </dxf>
    <dxf>
      <font>
        <b/>
        <color rgb="FF9C0006"/>
      </font>
      <fill>
        <patternFill patternType="solid">
          <fgColor rgb="FFFFC7CE"/>
          <bgColor rgb="FFFFC7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375623"/>
      </font>
      <fill>
        <patternFill patternType="solid">
          <fgColor rgb="FFE2EFDA"/>
          <bgColor rgb="FFE2EFDA"/>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F3864"/>
    <pageSetUpPr fitToPage="1"/>
  </sheetPr>
  <dimension ref="A1:N72"/>
  <sheetViews>
    <sheetView tabSelected="1" workbookViewId="0">
      <pane ySplit="3" topLeftCell="A4" activePane="bottomLeft" state="frozen"/>
      <selection pane="bottomLeft"/>
    </sheetView>
  </sheetViews>
  <sheetFormatPr defaultRowHeight="15" x14ac:dyDescent="0.25"/>
  <cols>
    <col min="1" max="1" width="34" customWidth="1"/>
    <col min="2" max="2" width="13" customWidth="1"/>
    <col min="3" max="3" width="50" customWidth="1"/>
    <col min="4" max="4" width="3" customWidth="1"/>
    <col min="5" max="5" width="16" customWidth="1"/>
    <col min="6" max="6" width="36" customWidth="1"/>
    <col min="7" max="8" width="9" customWidth="1"/>
    <col min="9" max="9" width="10" customWidth="1"/>
    <col min="10" max="10" width="11" customWidth="1"/>
    <col min="11" max="12" width="9" customWidth="1"/>
    <col min="13" max="13" width="10" customWidth="1"/>
    <col min="14" max="14" width="11" customWidth="1"/>
  </cols>
  <sheetData>
    <row r="1" spans="1:6" ht="20.25" x14ac:dyDescent="0.3">
      <c r="A1" s="3" t="s">
        <v>0</v>
      </c>
    </row>
    <row r="2" spans="1:6" x14ac:dyDescent="0.25">
      <c r="A2" s="4" t="s">
        <v>1</v>
      </c>
    </row>
    <row r="4" spans="1:6" ht="15.75" x14ac:dyDescent="0.25">
      <c r="A4" s="5" t="s">
        <v>2</v>
      </c>
      <c r="E4" s="5" t="s">
        <v>3</v>
      </c>
    </row>
    <row r="5" spans="1:6" x14ac:dyDescent="0.25">
      <c r="A5" s="6" t="s">
        <v>4</v>
      </c>
      <c r="B5" s="7">
        <f>COUNTIF(MASTER!$A$2:$A$2000,"?*")</f>
        <v>160</v>
      </c>
      <c r="C5" s="8" t="s">
        <v>5</v>
      </c>
      <c r="E5" s="6" t="s">
        <v>6</v>
      </c>
      <c r="F5" s="1" t="str">
        <f>IF(SESSION_STATE!$B$5="","",SESSION_STATE!$B$5)</f>
        <v>1 — Editor integrity + content preservation — IN_PROGRESS</v>
      </c>
    </row>
    <row r="6" spans="1:6" x14ac:dyDescent="0.25">
      <c r="A6" s="6" t="s">
        <v>7</v>
      </c>
      <c r="B6" s="7">
        <f>COUNTIF(MASTER!$G$2:$G$2000,"DONE")</f>
        <v>27</v>
      </c>
      <c r="C6" s="8" t="s">
        <v>8</v>
      </c>
      <c r="E6" s="6" t="s">
        <v>9</v>
      </c>
      <c r="F6" s="1" t="str">
        <f>IF(SESSION_STATE!$B$6="","",SESSION_STATE!$B$6)</f>
        <v>FID-002 — Explicit importer detections for the gaps the capability matrix marks not_detected: hidden text, caps/small caps, underline variants, content controls, autolinks, crop/rotation, custom properties/metadata, numbering formats/starts/continuation, bullets in cells, table geometry, empty paragraphs removed, SmartArt/charts naming.</v>
      </c>
    </row>
    <row r="7" spans="1:6" x14ac:dyDescent="0.25">
      <c r="A7" s="6" t="s">
        <v>10</v>
      </c>
      <c r="B7" s="7">
        <f>COUNTIF(MASTER!$G$2:$G$2000,"VERIFIED")+B6</f>
        <v>28</v>
      </c>
      <c r="C7" s="8" t="s">
        <v>11</v>
      </c>
      <c r="E7" s="6" t="s">
        <v>12</v>
      </c>
      <c r="F7" s="1" t="str">
        <f>IF(SESSION_STATE!$B$7="","",SESSION_STATE!$B$7)</f>
        <v>CORE-004 — Capability matrix: 67 features, GET /api/v1/capabilities, tests tying it to the code both ways.</v>
      </c>
    </row>
    <row r="8" spans="1:6" x14ac:dyDescent="0.25">
      <c r="A8" s="6" t="s">
        <v>13</v>
      </c>
      <c r="B8" s="7">
        <f>COUNTIF(MASTER!$G$2:$G$2000,"IN_PROGRESS")+COUNTIF(MASTER!$G$2:$G$2000,"IMPLEMENTED")+COUNTIF(MASTER!$G$2:$G$2000,"TESTING")</f>
        <v>4</v>
      </c>
      <c r="C8" s="8" t="s">
        <v>14</v>
      </c>
      <c r="E8" s="6" t="s">
        <v>15</v>
      </c>
      <c r="F8" s="1" t="str">
        <f>IF(SESSION_STATE!$B$8="","",SESSION_STATE!$B$8)</f>
        <v>CORE-004 — capability matrix — PASS (700 passed) — 2026-09-27 · command: cd backend &amp;&amp; venv/Scripts/python -m pytest -q</v>
      </c>
    </row>
    <row r="9" spans="1:6" x14ac:dyDescent="0.25">
      <c r="A9" s="6" t="s">
        <v>16</v>
      </c>
      <c r="B9" s="7">
        <f>COUNTIF(MASTER!$G$2:$G$2000,"BLOCKED")</f>
        <v>1</v>
      </c>
      <c r="C9" s="8" t="s">
        <v>17</v>
      </c>
      <c r="E9" s="6" t="s">
        <v>18</v>
      </c>
      <c r="F9" s="1" t="str">
        <f>IF(SESSION_STATE!$B$14="","",SESSION_STATE!$B$14)</f>
        <v>FID-002 — Importer detections, one per not_detected capability, each turning its policy from not_detected to lossy/unsupported with a test (update app/capabilities.py as each lands)</v>
      </c>
    </row>
    <row r="10" spans="1:6" x14ac:dyDescent="0.25">
      <c r="A10" s="6" t="s">
        <v>19</v>
      </c>
      <c r="B10" s="7">
        <f>COUNTIF(MASTER!$G$2:$G$2000,"FAILED")</f>
        <v>0</v>
      </c>
      <c r="C10" s="8" t="s">
        <v>20</v>
      </c>
      <c r="E10" s="6" t="s">
        <v>21</v>
      </c>
      <c r="F10" s="1" t="str">
        <f>IF(SESSION_STATE!$B$15="","",SESSION_STATE!$B$15)</f>
        <v>extend backend/tests/test_fidelity_report.py with a Word-built case per detection</v>
      </c>
    </row>
    <row r="11" spans="1:6" x14ac:dyDescent="0.25">
      <c r="A11" s="6" t="s">
        <v>22</v>
      </c>
      <c r="B11" s="7">
        <f>COUNTIF(MASTER!$G$2:$G$2000,"DEFERRED")</f>
        <v>0</v>
      </c>
      <c r="C11" s="8" t="s">
        <v>23</v>
      </c>
      <c r="E11" s="6" t="s">
        <v>24</v>
      </c>
      <c r="F11" s="1" t="str">
        <f>IF(SESSION_STATE!$B$16="","",SESSION_STATE!$B$16)</f>
        <v>cd backend &amp;&amp; venv/Scripts/python -m pytest -q tests/test_fidelity_report.py tests/test_capabilities.py</v>
      </c>
    </row>
    <row r="12" spans="1:6" x14ac:dyDescent="0.25">
      <c r="A12" s="6" t="s">
        <v>25</v>
      </c>
      <c r="B12" s="7">
        <f>COUNTIF(MASTER!$G$2:$G$2000,"NOT_STARTED")</f>
        <v>127</v>
      </c>
      <c r="C12" s="8"/>
      <c r="E12" s="6" t="s">
        <v>26</v>
      </c>
      <c r="F12" s="1" t="str">
        <f>IF(SESSION_STATE!$B$11="","",SESSION_STATE!$B$11)</f>
        <v>backend 700/700 (+1 skip); vitest 84/84 (unchanged); e2e 18/18 (unchanged); tsc</v>
      </c>
    </row>
    <row r="13" spans="1:6" x14ac:dyDescent="0.25">
      <c r="A13" s="6" t="s">
        <v>27</v>
      </c>
      <c r="B13" s="7">
        <f>B5-B6</f>
        <v>133</v>
      </c>
      <c r="C13" s="8" t="s">
        <v>28</v>
      </c>
      <c r="E13" s="6" t="s">
        <v>29</v>
      </c>
      <c r="F13" s="1" t="str">
        <f>IF(SESSION_STATE!$B$12="","",SESSION_STATE!$B$12)</f>
        <v>none</v>
      </c>
    </row>
    <row r="14" spans="1:6" x14ac:dyDescent="0.25">
      <c r="A14" s="6" t="s">
        <v>30</v>
      </c>
      <c r="B14" s="9">
        <f>IF(B5=0,0,B6/B5)</f>
        <v>0.16875000000000001</v>
      </c>
      <c r="C14" s="8" t="s">
        <v>31</v>
      </c>
      <c r="E14" s="6" t="s">
        <v>32</v>
      </c>
      <c r="F14" s="1" t="str">
        <f>IF(SESSION_STATE!$B$13="","",SESSION_STATE!$B$13)</f>
        <v>SEC-021 (needs Boril, not blocking the work): корекции.docx in the public history carries MSIP sensitivity-label properties with the organisation's tenant ID; leave / scrub HEAD / purge history?</v>
      </c>
    </row>
    <row r="15" spans="1:6" x14ac:dyDescent="0.25">
      <c r="A15" s="6" t="s">
        <v>33</v>
      </c>
      <c r="B15" s="9">
        <f>IF(B5=0,0,B7/B5)</f>
        <v>0.17499999999999999</v>
      </c>
      <c r="C15" s="8" t="s">
        <v>34</v>
      </c>
      <c r="E15" s="6" t="s">
        <v>35</v>
      </c>
      <c r="F15" s="1" t="str">
        <f>IF(SESSION_STATE!$B$17="","",SESSION_STATE!$B$17)</f>
        <v>2026-09-27T08:33:54+03:00</v>
      </c>
    </row>
    <row r="16" spans="1:6" x14ac:dyDescent="0.25">
      <c r="A16" s="6" t="s">
        <v>36</v>
      </c>
      <c r="B16" s="7">
        <f>COUNTIFS(MASTER!$F$2:$F$2000,"P0",MASTER!$G$2:$G$2000,"&lt;&gt;DONE")</f>
        <v>61</v>
      </c>
      <c r="C16" s="8" t="s">
        <v>37</v>
      </c>
    </row>
    <row r="17" spans="1:14" ht="15.75" x14ac:dyDescent="0.25">
      <c r="A17" s="6" t="s">
        <v>38</v>
      </c>
      <c r="B17" s="7">
        <f>COUNTIFS(MASTER!$F$2:$F$2000,"P1",MASTER!$G$2:$G$2000,"&lt;&gt;DONE")</f>
        <v>51</v>
      </c>
      <c r="C17" s="8" t="s">
        <v>39</v>
      </c>
      <c r="E17" s="5" t="s">
        <v>40</v>
      </c>
    </row>
    <row r="18" spans="1:14" x14ac:dyDescent="0.25">
      <c r="A18" s="6" t="s">
        <v>41</v>
      </c>
      <c r="B18" s="7">
        <f>CRITICAL_FIXES!B4</f>
        <v>1</v>
      </c>
      <c r="C18" s="8" t="s">
        <v>42</v>
      </c>
      <c r="E18" s="10" t="s">
        <v>43</v>
      </c>
      <c r="F18" s="10" t="s">
        <v>44</v>
      </c>
      <c r="G18" s="10" t="s">
        <v>45</v>
      </c>
      <c r="H18" s="10" t="s">
        <v>46</v>
      </c>
      <c r="I18" s="10" t="s">
        <v>47</v>
      </c>
      <c r="J18" s="10" t="s">
        <v>13</v>
      </c>
      <c r="K18" s="10" t="s">
        <v>16</v>
      </c>
      <c r="L18" s="10" t="s">
        <v>19</v>
      </c>
      <c r="M18" s="10" t="s">
        <v>48</v>
      </c>
      <c r="N18" s="10" t="s">
        <v>33</v>
      </c>
    </row>
    <row r="19" spans="1:14" x14ac:dyDescent="0.25">
      <c r="A19" s="6" t="s">
        <v>49</v>
      </c>
      <c r="B19" s="7">
        <f>RELEASE_GATES!B4</f>
        <v>0</v>
      </c>
      <c r="C19" s="8" t="s">
        <v>50</v>
      </c>
      <c r="E19" s="11">
        <v>0</v>
      </c>
      <c r="F19" s="12" t="s">
        <v>51</v>
      </c>
      <c r="G19" s="13">
        <f>COUNTIF(MASTER!$B$2:$B$2000,$E19)</f>
        <v>11</v>
      </c>
      <c r="H19" s="13">
        <f>COUNTIFS(MASTER!$B$2:$B$2000,$E19,MASTER!$G$2:$G$2000,"DONE")</f>
        <v>11</v>
      </c>
      <c r="I19" s="13">
        <f>COUNTIFS(MASTER!$B$2:$B$2000,$E19,MASTER!$G$2:$G$2000,"VERIFIED")+H19</f>
        <v>11</v>
      </c>
      <c r="J19" s="13">
        <f>COUNTIFS(MASTER!$B$2:$B$2000,$E19,MASTER!$G$2:$G$2000,"IN_PROGRESS")+COUNTIFS(MASTER!$B$2:$B$2000,$E19,MASTER!$G$2:$G$2000,"IMPLEMENTED")+COUNTIFS(MASTER!$B$2:$B$2000,$E19,MASTER!$G$2:$G$2000,"TESTING")</f>
        <v>0</v>
      </c>
      <c r="K19" s="13">
        <f>COUNTIFS(MASTER!$B$2:$B$2000,$E19,MASTER!$G$2:$G$2000,"BLOCKED")</f>
        <v>0</v>
      </c>
      <c r="L19" s="13">
        <f>COUNTIFS(MASTER!$B$2:$B$2000,$E19,MASTER!$G$2:$G$2000,"FAILED")</f>
        <v>0</v>
      </c>
      <c r="M19" s="14">
        <f t="shared" ref="M19:M37" si="0">IF(G19=0,0,H19/G19)</f>
        <v>1</v>
      </c>
      <c r="N19" s="14">
        <f t="shared" ref="N19:N37" si="1">IF(G19=0,0,I19/G19)</f>
        <v>1</v>
      </c>
    </row>
    <row r="20" spans="1:14" x14ac:dyDescent="0.25">
      <c r="A20" s="6" t="s">
        <v>52</v>
      </c>
      <c r="B20" s="7">
        <f>RELEASE_GATES!C4</f>
        <v>0</v>
      </c>
      <c r="C20" s="8"/>
      <c r="E20" s="11">
        <v>1</v>
      </c>
      <c r="F20" s="12" t="s">
        <v>53</v>
      </c>
      <c r="G20" s="13">
        <f>COUNTIF(MASTER!$B$2:$B$2000,$E20)</f>
        <v>25</v>
      </c>
      <c r="H20" s="13">
        <f>COUNTIFS(MASTER!$B$2:$B$2000,$E20,MASTER!$G$2:$G$2000,"DONE")</f>
        <v>16</v>
      </c>
      <c r="I20" s="13">
        <f>COUNTIFS(MASTER!$B$2:$B$2000,$E20,MASTER!$G$2:$G$2000,"VERIFIED")+H20</f>
        <v>17</v>
      </c>
      <c r="J20" s="13">
        <f>COUNTIFS(MASTER!$B$2:$B$2000,$E20,MASTER!$G$2:$G$2000,"IN_PROGRESS")+COUNTIFS(MASTER!$B$2:$B$2000,$E20,MASTER!$G$2:$G$2000,"IMPLEMENTED")+COUNTIFS(MASTER!$B$2:$B$2000,$E20,MASTER!$G$2:$G$2000,"TESTING")</f>
        <v>2</v>
      </c>
      <c r="K20" s="13">
        <f>COUNTIFS(MASTER!$B$2:$B$2000,$E20,MASTER!$G$2:$G$2000,"BLOCKED")</f>
        <v>0</v>
      </c>
      <c r="L20" s="13">
        <f>COUNTIFS(MASTER!$B$2:$B$2000,$E20,MASTER!$G$2:$G$2000,"FAILED")</f>
        <v>0</v>
      </c>
      <c r="M20" s="14">
        <f t="shared" si="0"/>
        <v>0.64</v>
      </c>
      <c r="N20" s="14">
        <f t="shared" si="1"/>
        <v>0.68</v>
      </c>
    </row>
    <row r="21" spans="1:14" x14ac:dyDescent="0.25">
      <c r="E21" s="11">
        <v>2</v>
      </c>
      <c r="F21" s="12" t="s">
        <v>54</v>
      </c>
      <c r="G21" s="13">
        <f>COUNTIF(MASTER!$B$2:$B$2000,$E21)</f>
        <v>11</v>
      </c>
      <c r="H21" s="13">
        <f>COUNTIFS(MASTER!$B$2:$B$2000,$E21,MASTER!$G$2:$G$2000,"DONE")</f>
        <v>0</v>
      </c>
      <c r="I21" s="13">
        <f>COUNTIFS(MASTER!$B$2:$B$2000,$E21,MASTER!$G$2:$G$2000,"VERIFIED")+H21</f>
        <v>0</v>
      </c>
      <c r="J21" s="13">
        <f>COUNTIFS(MASTER!$B$2:$B$2000,$E21,MASTER!$G$2:$G$2000,"IN_PROGRESS")+COUNTIFS(MASTER!$B$2:$B$2000,$E21,MASTER!$G$2:$G$2000,"IMPLEMENTED")+COUNTIFS(MASTER!$B$2:$B$2000,$E21,MASTER!$G$2:$G$2000,"TESTING")</f>
        <v>1</v>
      </c>
      <c r="K21" s="13">
        <f>COUNTIFS(MASTER!$B$2:$B$2000,$E21,MASTER!$G$2:$G$2000,"BLOCKED")</f>
        <v>0</v>
      </c>
      <c r="L21" s="13">
        <f>COUNTIFS(MASTER!$B$2:$B$2000,$E21,MASTER!$G$2:$G$2000,"FAILED")</f>
        <v>0</v>
      </c>
      <c r="M21" s="14">
        <f t="shared" si="0"/>
        <v>0</v>
      </c>
      <c r="N21" s="14">
        <f t="shared" si="1"/>
        <v>0</v>
      </c>
    </row>
    <row r="22" spans="1:14" ht="15.75" x14ac:dyDescent="0.25">
      <c r="A22" s="5" t="s">
        <v>55</v>
      </c>
      <c r="E22" s="11">
        <v>3</v>
      </c>
      <c r="F22" s="12" t="s">
        <v>56</v>
      </c>
      <c r="G22" s="13">
        <f>COUNTIF(MASTER!$B$2:$B$2000,$E22)</f>
        <v>23</v>
      </c>
      <c r="H22" s="13">
        <f>COUNTIFS(MASTER!$B$2:$B$2000,$E22,MASTER!$G$2:$G$2000,"DONE")</f>
        <v>0</v>
      </c>
      <c r="I22" s="13">
        <f>COUNTIFS(MASTER!$B$2:$B$2000,$E22,MASTER!$G$2:$G$2000,"VERIFIED")+H22</f>
        <v>0</v>
      </c>
      <c r="J22" s="13">
        <f>COUNTIFS(MASTER!$B$2:$B$2000,$E22,MASTER!$G$2:$G$2000,"IN_PROGRESS")+COUNTIFS(MASTER!$B$2:$B$2000,$E22,MASTER!$G$2:$G$2000,"IMPLEMENTED")+COUNTIFS(MASTER!$B$2:$B$2000,$E22,MASTER!$G$2:$G$2000,"TESTING")</f>
        <v>1</v>
      </c>
      <c r="K22" s="13">
        <f>COUNTIFS(MASTER!$B$2:$B$2000,$E22,MASTER!$G$2:$G$2000,"BLOCKED")</f>
        <v>0</v>
      </c>
      <c r="L22" s="13">
        <f>COUNTIFS(MASTER!$B$2:$B$2000,$E22,MASTER!$G$2:$G$2000,"FAILED")</f>
        <v>0</v>
      </c>
      <c r="M22" s="14">
        <f t="shared" si="0"/>
        <v>0</v>
      </c>
      <c r="N22" s="14">
        <f t="shared" si="1"/>
        <v>0</v>
      </c>
    </row>
    <row r="23" spans="1:14" x14ac:dyDescent="0.25">
      <c r="A23" s="10" t="s">
        <v>57</v>
      </c>
      <c r="B23" s="10" t="s">
        <v>45</v>
      </c>
      <c r="C23" s="10" t="s">
        <v>58</v>
      </c>
      <c r="E23" s="11">
        <v>4</v>
      </c>
      <c r="F23" s="12" t="s">
        <v>59</v>
      </c>
      <c r="G23" s="13">
        <f>COUNTIF(MASTER!$B$2:$B$2000,$E23)</f>
        <v>13</v>
      </c>
      <c r="H23" s="13">
        <f>COUNTIFS(MASTER!$B$2:$B$2000,$E23,MASTER!$G$2:$G$2000,"DONE")</f>
        <v>0</v>
      </c>
      <c r="I23" s="13">
        <f>COUNTIFS(MASTER!$B$2:$B$2000,$E23,MASTER!$G$2:$G$2000,"VERIFIED")+H23</f>
        <v>0</v>
      </c>
      <c r="J23" s="13">
        <f>COUNTIFS(MASTER!$B$2:$B$2000,$E23,MASTER!$G$2:$G$2000,"IN_PROGRESS")+COUNTIFS(MASTER!$B$2:$B$2000,$E23,MASTER!$G$2:$G$2000,"IMPLEMENTED")+COUNTIFS(MASTER!$B$2:$B$2000,$E23,MASTER!$G$2:$G$2000,"TESTING")</f>
        <v>0</v>
      </c>
      <c r="K23" s="13">
        <f>COUNTIFS(MASTER!$B$2:$B$2000,$E23,MASTER!$G$2:$G$2000,"BLOCKED")</f>
        <v>1</v>
      </c>
      <c r="L23" s="13">
        <f>COUNTIFS(MASTER!$B$2:$B$2000,$E23,MASTER!$G$2:$G$2000,"FAILED")</f>
        <v>0</v>
      </c>
      <c r="M23" s="14">
        <f t="shared" si="0"/>
        <v>0</v>
      </c>
      <c r="N23" s="14">
        <f t="shared" si="1"/>
        <v>0</v>
      </c>
    </row>
    <row r="24" spans="1:14" x14ac:dyDescent="0.25">
      <c r="A24" s="15" t="s">
        <v>60</v>
      </c>
      <c r="B24" s="13">
        <f>COUNTIF(MASTER!$G$2:$G$2000,A24)</f>
        <v>127</v>
      </c>
      <c r="C24" s="12" t="s">
        <v>61</v>
      </c>
      <c r="E24" s="11">
        <v>5</v>
      </c>
      <c r="F24" s="12" t="s">
        <v>62</v>
      </c>
      <c r="G24" s="13">
        <f>COUNTIF(MASTER!$B$2:$B$2000,$E24)</f>
        <v>8</v>
      </c>
      <c r="H24" s="13">
        <f>COUNTIFS(MASTER!$B$2:$B$2000,$E24,MASTER!$G$2:$G$2000,"DONE")</f>
        <v>0</v>
      </c>
      <c r="I24" s="13">
        <f>COUNTIFS(MASTER!$B$2:$B$2000,$E24,MASTER!$G$2:$G$2000,"VERIFIED")+H24</f>
        <v>0</v>
      </c>
      <c r="J24" s="13">
        <f>COUNTIFS(MASTER!$B$2:$B$2000,$E24,MASTER!$G$2:$G$2000,"IN_PROGRESS")+COUNTIFS(MASTER!$B$2:$B$2000,$E24,MASTER!$G$2:$G$2000,"IMPLEMENTED")+COUNTIFS(MASTER!$B$2:$B$2000,$E24,MASTER!$G$2:$G$2000,"TESTING")</f>
        <v>0</v>
      </c>
      <c r="K24" s="13">
        <f>COUNTIFS(MASTER!$B$2:$B$2000,$E24,MASTER!$G$2:$G$2000,"BLOCKED")</f>
        <v>0</v>
      </c>
      <c r="L24" s="13">
        <f>COUNTIFS(MASTER!$B$2:$B$2000,$E24,MASTER!$G$2:$G$2000,"FAILED")</f>
        <v>0</v>
      </c>
      <c r="M24" s="14">
        <f t="shared" si="0"/>
        <v>0</v>
      </c>
      <c r="N24" s="14">
        <f t="shared" si="1"/>
        <v>0</v>
      </c>
    </row>
    <row r="25" spans="1:14" x14ac:dyDescent="0.25">
      <c r="A25" s="15" t="s">
        <v>63</v>
      </c>
      <c r="B25" s="13">
        <f>COUNTIF(MASTER!$G$2:$G$2000,A25)</f>
        <v>3</v>
      </c>
      <c r="C25" s="12" t="s">
        <v>64</v>
      </c>
      <c r="E25" s="11">
        <v>6</v>
      </c>
      <c r="F25" s="12" t="s">
        <v>65</v>
      </c>
      <c r="G25" s="13">
        <f>COUNTIF(MASTER!$B$2:$B$2000,$E25)</f>
        <v>13</v>
      </c>
      <c r="H25" s="13">
        <f>COUNTIFS(MASTER!$B$2:$B$2000,$E25,MASTER!$G$2:$G$2000,"DONE")</f>
        <v>0</v>
      </c>
      <c r="I25" s="13">
        <f>COUNTIFS(MASTER!$B$2:$B$2000,$E25,MASTER!$G$2:$G$2000,"VERIFIED")+H25</f>
        <v>0</v>
      </c>
      <c r="J25" s="13">
        <f>COUNTIFS(MASTER!$B$2:$B$2000,$E25,MASTER!$G$2:$G$2000,"IN_PROGRESS")+COUNTIFS(MASTER!$B$2:$B$2000,$E25,MASTER!$G$2:$G$2000,"IMPLEMENTED")+COUNTIFS(MASTER!$B$2:$B$2000,$E25,MASTER!$G$2:$G$2000,"TESTING")</f>
        <v>0</v>
      </c>
      <c r="K25" s="13">
        <f>COUNTIFS(MASTER!$B$2:$B$2000,$E25,MASTER!$G$2:$G$2000,"BLOCKED")</f>
        <v>0</v>
      </c>
      <c r="L25" s="13">
        <f>COUNTIFS(MASTER!$B$2:$B$2000,$E25,MASTER!$G$2:$G$2000,"FAILED")</f>
        <v>0</v>
      </c>
      <c r="M25" s="14">
        <f t="shared" si="0"/>
        <v>0</v>
      </c>
      <c r="N25" s="14">
        <f t="shared" si="1"/>
        <v>0</v>
      </c>
    </row>
    <row r="26" spans="1:14" x14ac:dyDescent="0.25">
      <c r="A26" s="15" t="s">
        <v>66</v>
      </c>
      <c r="B26" s="13">
        <f>COUNTIF(MASTER!$G$2:$G$2000,A26)</f>
        <v>1</v>
      </c>
      <c r="C26" s="12" t="s">
        <v>67</v>
      </c>
      <c r="E26" s="11">
        <v>7</v>
      </c>
      <c r="F26" s="12" t="s">
        <v>68</v>
      </c>
      <c r="G26" s="13">
        <f>COUNTIF(MASTER!$B$2:$B$2000,$E26)</f>
        <v>3</v>
      </c>
      <c r="H26" s="13">
        <f>COUNTIFS(MASTER!$B$2:$B$2000,$E26,MASTER!$G$2:$G$2000,"DONE")</f>
        <v>0</v>
      </c>
      <c r="I26" s="13">
        <f>COUNTIFS(MASTER!$B$2:$B$2000,$E26,MASTER!$G$2:$G$2000,"VERIFIED")+H26</f>
        <v>0</v>
      </c>
      <c r="J26" s="13">
        <f>COUNTIFS(MASTER!$B$2:$B$2000,$E26,MASTER!$G$2:$G$2000,"IN_PROGRESS")+COUNTIFS(MASTER!$B$2:$B$2000,$E26,MASTER!$G$2:$G$2000,"IMPLEMENTED")+COUNTIFS(MASTER!$B$2:$B$2000,$E26,MASTER!$G$2:$G$2000,"TESTING")</f>
        <v>0</v>
      </c>
      <c r="K26" s="13">
        <f>COUNTIFS(MASTER!$B$2:$B$2000,$E26,MASTER!$G$2:$G$2000,"BLOCKED")</f>
        <v>0</v>
      </c>
      <c r="L26" s="13">
        <f>COUNTIFS(MASTER!$B$2:$B$2000,$E26,MASTER!$G$2:$G$2000,"FAILED")</f>
        <v>0</v>
      </c>
      <c r="M26" s="14">
        <f t="shared" si="0"/>
        <v>0</v>
      </c>
      <c r="N26" s="14">
        <f t="shared" si="1"/>
        <v>0</v>
      </c>
    </row>
    <row r="27" spans="1:14" x14ac:dyDescent="0.25">
      <c r="A27" s="15" t="s">
        <v>69</v>
      </c>
      <c r="B27" s="13">
        <f>COUNTIF(MASTER!$G$2:$G$2000,A27)</f>
        <v>1</v>
      </c>
      <c r="C27" s="12" t="s">
        <v>70</v>
      </c>
      <c r="E27" s="11">
        <v>8</v>
      </c>
      <c r="F27" s="12" t="s">
        <v>71</v>
      </c>
      <c r="G27" s="13">
        <f>COUNTIF(MASTER!$B$2:$B$2000,$E27)</f>
        <v>8</v>
      </c>
      <c r="H27" s="13">
        <f>COUNTIFS(MASTER!$B$2:$B$2000,$E27,MASTER!$G$2:$G$2000,"DONE")</f>
        <v>0</v>
      </c>
      <c r="I27" s="13">
        <f>COUNTIFS(MASTER!$B$2:$B$2000,$E27,MASTER!$G$2:$G$2000,"VERIFIED")+H27</f>
        <v>0</v>
      </c>
      <c r="J27" s="13">
        <f>COUNTIFS(MASTER!$B$2:$B$2000,$E27,MASTER!$G$2:$G$2000,"IN_PROGRESS")+COUNTIFS(MASTER!$B$2:$B$2000,$E27,MASTER!$G$2:$G$2000,"IMPLEMENTED")+COUNTIFS(MASTER!$B$2:$B$2000,$E27,MASTER!$G$2:$G$2000,"TESTING")</f>
        <v>0</v>
      </c>
      <c r="K27" s="13">
        <f>COUNTIFS(MASTER!$B$2:$B$2000,$E27,MASTER!$G$2:$G$2000,"BLOCKED")</f>
        <v>0</v>
      </c>
      <c r="L27" s="13">
        <f>COUNTIFS(MASTER!$B$2:$B$2000,$E27,MASTER!$G$2:$G$2000,"FAILED")</f>
        <v>0</v>
      </c>
      <c r="M27" s="14">
        <f t="shared" si="0"/>
        <v>0</v>
      </c>
      <c r="N27" s="14">
        <f t="shared" si="1"/>
        <v>0</v>
      </c>
    </row>
    <row r="28" spans="1:14" x14ac:dyDescent="0.25">
      <c r="A28" s="15" t="s">
        <v>72</v>
      </c>
      <c r="B28" s="13">
        <f>COUNTIF(MASTER!$G$2:$G$2000,A28)</f>
        <v>0</v>
      </c>
      <c r="C28" s="12" t="s">
        <v>73</v>
      </c>
      <c r="E28" s="11">
        <v>9</v>
      </c>
      <c r="F28" s="12" t="s">
        <v>74</v>
      </c>
      <c r="G28" s="13">
        <f>COUNTIF(MASTER!$B$2:$B$2000,$E28)</f>
        <v>2</v>
      </c>
      <c r="H28" s="13">
        <f>COUNTIFS(MASTER!$B$2:$B$2000,$E28,MASTER!$G$2:$G$2000,"DONE")</f>
        <v>0</v>
      </c>
      <c r="I28" s="13">
        <f>COUNTIFS(MASTER!$B$2:$B$2000,$E28,MASTER!$G$2:$G$2000,"VERIFIED")+H28</f>
        <v>0</v>
      </c>
      <c r="J28" s="13">
        <f>COUNTIFS(MASTER!$B$2:$B$2000,$E28,MASTER!$G$2:$G$2000,"IN_PROGRESS")+COUNTIFS(MASTER!$B$2:$B$2000,$E28,MASTER!$G$2:$G$2000,"IMPLEMENTED")+COUNTIFS(MASTER!$B$2:$B$2000,$E28,MASTER!$G$2:$G$2000,"TESTING")</f>
        <v>0</v>
      </c>
      <c r="K28" s="13">
        <f>COUNTIFS(MASTER!$B$2:$B$2000,$E28,MASTER!$G$2:$G$2000,"BLOCKED")</f>
        <v>0</v>
      </c>
      <c r="L28" s="13">
        <f>COUNTIFS(MASTER!$B$2:$B$2000,$E28,MASTER!$G$2:$G$2000,"FAILED")</f>
        <v>0</v>
      </c>
      <c r="M28" s="14">
        <f t="shared" si="0"/>
        <v>0</v>
      </c>
      <c r="N28" s="14">
        <f t="shared" si="1"/>
        <v>0</v>
      </c>
    </row>
    <row r="29" spans="1:14" x14ac:dyDescent="0.25">
      <c r="A29" s="15" t="s">
        <v>75</v>
      </c>
      <c r="B29" s="13">
        <f>COUNTIF(MASTER!$G$2:$G$2000,A29)</f>
        <v>1</v>
      </c>
      <c r="C29" s="12" t="s">
        <v>76</v>
      </c>
      <c r="E29" s="11">
        <v>10</v>
      </c>
      <c r="F29" s="12" t="s">
        <v>77</v>
      </c>
      <c r="G29" s="13">
        <f>COUNTIF(MASTER!$B$2:$B$2000,$E29)</f>
        <v>10</v>
      </c>
      <c r="H29" s="13">
        <f>COUNTIFS(MASTER!$B$2:$B$2000,$E29,MASTER!$G$2:$G$2000,"DONE")</f>
        <v>0</v>
      </c>
      <c r="I29" s="13">
        <f>COUNTIFS(MASTER!$B$2:$B$2000,$E29,MASTER!$G$2:$G$2000,"VERIFIED")+H29</f>
        <v>0</v>
      </c>
      <c r="J29" s="13">
        <f>COUNTIFS(MASTER!$B$2:$B$2000,$E29,MASTER!$G$2:$G$2000,"IN_PROGRESS")+COUNTIFS(MASTER!$B$2:$B$2000,$E29,MASTER!$G$2:$G$2000,"IMPLEMENTED")+COUNTIFS(MASTER!$B$2:$B$2000,$E29,MASTER!$G$2:$G$2000,"TESTING")</f>
        <v>0</v>
      </c>
      <c r="K29" s="13">
        <f>COUNTIFS(MASTER!$B$2:$B$2000,$E29,MASTER!$G$2:$G$2000,"BLOCKED")</f>
        <v>0</v>
      </c>
      <c r="L29" s="13">
        <f>COUNTIFS(MASTER!$B$2:$B$2000,$E29,MASTER!$G$2:$G$2000,"FAILED")</f>
        <v>0</v>
      </c>
      <c r="M29" s="14">
        <f t="shared" si="0"/>
        <v>0</v>
      </c>
      <c r="N29" s="14">
        <f t="shared" si="1"/>
        <v>0</v>
      </c>
    </row>
    <row r="30" spans="1:14" x14ac:dyDescent="0.25">
      <c r="A30" s="15" t="s">
        <v>78</v>
      </c>
      <c r="B30" s="13">
        <f>COUNTIF(MASTER!$G$2:$G$2000,A30)</f>
        <v>27</v>
      </c>
      <c r="C30" s="12" t="s">
        <v>79</v>
      </c>
      <c r="E30" s="11">
        <v>11</v>
      </c>
      <c r="F30" s="12" t="s">
        <v>80</v>
      </c>
      <c r="G30" s="13">
        <f>COUNTIF(MASTER!$B$2:$B$2000,$E30)</f>
        <v>6</v>
      </c>
      <c r="H30" s="13">
        <f>COUNTIFS(MASTER!$B$2:$B$2000,$E30,MASTER!$G$2:$G$2000,"DONE")</f>
        <v>0</v>
      </c>
      <c r="I30" s="13">
        <f>COUNTIFS(MASTER!$B$2:$B$2000,$E30,MASTER!$G$2:$G$2000,"VERIFIED")+H30</f>
        <v>0</v>
      </c>
      <c r="J30" s="13">
        <f>COUNTIFS(MASTER!$B$2:$B$2000,$E30,MASTER!$G$2:$G$2000,"IN_PROGRESS")+COUNTIFS(MASTER!$B$2:$B$2000,$E30,MASTER!$G$2:$G$2000,"IMPLEMENTED")+COUNTIFS(MASTER!$B$2:$B$2000,$E30,MASTER!$G$2:$G$2000,"TESTING")</f>
        <v>0</v>
      </c>
      <c r="K30" s="13">
        <f>COUNTIFS(MASTER!$B$2:$B$2000,$E30,MASTER!$G$2:$G$2000,"BLOCKED")</f>
        <v>0</v>
      </c>
      <c r="L30" s="13">
        <f>COUNTIFS(MASTER!$B$2:$B$2000,$E30,MASTER!$G$2:$G$2000,"FAILED")</f>
        <v>0</v>
      </c>
      <c r="M30" s="14">
        <f t="shared" si="0"/>
        <v>0</v>
      </c>
      <c r="N30" s="14">
        <f t="shared" si="1"/>
        <v>0</v>
      </c>
    </row>
    <row r="31" spans="1:14" x14ac:dyDescent="0.25">
      <c r="A31" s="15" t="s">
        <v>81</v>
      </c>
      <c r="B31" s="13">
        <f>COUNTIF(MASTER!$G$2:$G$2000,A31)</f>
        <v>0</v>
      </c>
      <c r="C31" s="12" t="s">
        <v>82</v>
      </c>
      <c r="E31" s="11">
        <v>12</v>
      </c>
      <c r="F31" s="12" t="s">
        <v>83</v>
      </c>
      <c r="G31" s="13">
        <f>COUNTIF(MASTER!$B$2:$B$2000,$E31)</f>
        <v>4</v>
      </c>
      <c r="H31" s="13">
        <f>COUNTIFS(MASTER!$B$2:$B$2000,$E31,MASTER!$G$2:$G$2000,"DONE")</f>
        <v>0</v>
      </c>
      <c r="I31" s="13">
        <f>COUNTIFS(MASTER!$B$2:$B$2000,$E31,MASTER!$G$2:$G$2000,"VERIFIED")+H31</f>
        <v>0</v>
      </c>
      <c r="J31" s="13">
        <f>COUNTIFS(MASTER!$B$2:$B$2000,$E31,MASTER!$G$2:$G$2000,"IN_PROGRESS")+COUNTIFS(MASTER!$B$2:$B$2000,$E31,MASTER!$G$2:$G$2000,"IMPLEMENTED")+COUNTIFS(MASTER!$B$2:$B$2000,$E31,MASTER!$G$2:$G$2000,"TESTING")</f>
        <v>0</v>
      </c>
      <c r="K31" s="13">
        <f>COUNTIFS(MASTER!$B$2:$B$2000,$E31,MASTER!$G$2:$G$2000,"BLOCKED")</f>
        <v>0</v>
      </c>
      <c r="L31" s="13">
        <f>COUNTIFS(MASTER!$B$2:$B$2000,$E31,MASTER!$G$2:$G$2000,"FAILED")</f>
        <v>0</v>
      </c>
      <c r="M31" s="14">
        <f t="shared" si="0"/>
        <v>0</v>
      </c>
      <c r="N31" s="14">
        <f t="shared" si="1"/>
        <v>0</v>
      </c>
    </row>
    <row r="32" spans="1:14" x14ac:dyDescent="0.25">
      <c r="A32" s="15" t="s">
        <v>84</v>
      </c>
      <c r="B32" s="13">
        <f>COUNTIF(MASTER!$G$2:$G$2000,A32)</f>
        <v>0</v>
      </c>
      <c r="C32" s="12" t="s">
        <v>85</v>
      </c>
      <c r="E32" s="11">
        <v>13</v>
      </c>
      <c r="F32" s="12" t="s">
        <v>86</v>
      </c>
      <c r="G32" s="13">
        <f>COUNTIF(MASTER!$B$2:$B$2000,$E32)</f>
        <v>3</v>
      </c>
      <c r="H32" s="13">
        <f>COUNTIFS(MASTER!$B$2:$B$2000,$E32,MASTER!$G$2:$G$2000,"DONE")</f>
        <v>0</v>
      </c>
      <c r="I32" s="13">
        <f>COUNTIFS(MASTER!$B$2:$B$2000,$E32,MASTER!$G$2:$G$2000,"VERIFIED")+H32</f>
        <v>0</v>
      </c>
      <c r="J32" s="13">
        <f>COUNTIFS(MASTER!$B$2:$B$2000,$E32,MASTER!$G$2:$G$2000,"IN_PROGRESS")+COUNTIFS(MASTER!$B$2:$B$2000,$E32,MASTER!$G$2:$G$2000,"IMPLEMENTED")+COUNTIFS(MASTER!$B$2:$B$2000,$E32,MASTER!$G$2:$G$2000,"TESTING")</f>
        <v>0</v>
      </c>
      <c r="K32" s="13">
        <f>COUNTIFS(MASTER!$B$2:$B$2000,$E32,MASTER!$G$2:$G$2000,"BLOCKED")</f>
        <v>0</v>
      </c>
      <c r="L32" s="13">
        <f>COUNTIFS(MASTER!$B$2:$B$2000,$E32,MASTER!$G$2:$G$2000,"FAILED")</f>
        <v>0</v>
      </c>
      <c r="M32" s="14">
        <f t="shared" si="0"/>
        <v>0</v>
      </c>
      <c r="N32" s="14">
        <f t="shared" si="1"/>
        <v>0</v>
      </c>
    </row>
    <row r="33" spans="1:14" x14ac:dyDescent="0.25">
      <c r="A33" s="15" t="s">
        <v>87</v>
      </c>
      <c r="B33" s="13">
        <f>COUNTIF(MASTER!$G$2:$G$2000,A33)</f>
        <v>0</v>
      </c>
      <c r="C33" s="12" t="s">
        <v>88</v>
      </c>
      <c r="E33" s="11">
        <v>14</v>
      </c>
      <c r="F33" s="12" t="s">
        <v>89</v>
      </c>
      <c r="G33" s="13">
        <f>COUNTIF(MASTER!$B$2:$B$2000,$E33)</f>
        <v>4</v>
      </c>
      <c r="H33" s="13">
        <f>COUNTIFS(MASTER!$B$2:$B$2000,$E33,MASTER!$G$2:$G$2000,"DONE")</f>
        <v>0</v>
      </c>
      <c r="I33" s="13">
        <f>COUNTIFS(MASTER!$B$2:$B$2000,$E33,MASTER!$G$2:$G$2000,"VERIFIED")+H33</f>
        <v>0</v>
      </c>
      <c r="J33" s="13">
        <f>COUNTIFS(MASTER!$B$2:$B$2000,$E33,MASTER!$G$2:$G$2000,"IN_PROGRESS")+COUNTIFS(MASTER!$B$2:$B$2000,$E33,MASTER!$G$2:$G$2000,"IMPLEMENTED")+COUNTIFS(MASTER!$B$2:$B$2000,$E33,MASTER!$G$2:$G$2000,"TESTING")</f>
        <v>0</v>
      </c>
      <c r="K33" s="13">
        <f>COUNTIFS(MASTER!$B$2:$B$2000,$E33,MASTER!$G$2:$G$2000,"BLOCKED")</f>
        <v>0</v>
      </c>
      <c r="L33" s="13">
        <f>COUNTIFS(MASTER!$B$2:$B$2000,$E33,MASTER!$G$2:$G$2000,"FAILED")</f>
        <v>0</v>
      </c>
      <c r="M33" s="14">
        <f t="shared" si="0"/>
        <v>0</v>
      </c>
      <c r="N33" s="14">
        <f t="shared" si="1"/>
        <v>0</v>
      </c>
    </row>
    <row r="34" spans="1:14" x14ac:dyDescent="0.25">
      <c r="E34" s="11">
        <v>15</v>
      </c>
      <c r="F34" s="12" t="s">
        <v>90</v>
      </c>
      <c r="G34" s="13">
        <f>COUNTIF(MASTER!$B$2:$B$2000,$E34)</f>
        <v>3</v>
      </c>
      <c r="H34" s="13">
        <f>COUNTIFS(MASTER!$B$2:$B$2000,$E34,MASTER!$G$2:$G$2000,"DONE")</f>
        <v>0</v>
      </c>
      <c r="I34" s="13">
        <f>COUNTIFS(MASTER!$B$2:$B$2000,$E34,MASTER!$G$2:$G$2000,"VERIFIED")+H34</f>
        <v>0</v>
      </c>
      <c r="J34" s="13">
        <f>COUNTIFS(MASTER!$B$2:$B$2000,$E34,MASTER!$G$2:$G$2000,"IN_PROGRESS")+COUNTIFS(MASTER!$B$2:$B$2000,$E34,MASTER!$G$2:$G$2000,"IMPLEMENTED")+COUNTIFS(MASTER!$B$2:$B$2000,$E34,MASTER!$G$2:$G$2000,"TESTING")</f>
        <v>0</v>
      </c>
      <c r="K34" s="13">
        <f>COUNTIFS(MASTER!$B$2:$B$2000,$E34,MASTER!$G$2:$G$2000,"BLOCKED")</f>
        <v>0</v>
      </c>
      <c r="L34" s="13">
        <f>COUNTIFS(MASTER!$B$2:$B$2000,$E34,MASTER!$G$2:$G$2000,"FAILED")</f>
        <v>0</v>
      </c>
      <c r="M34" s="14">
        <f t="shared" si="0"/>
        <v>0</v>
      </c>
      <c r="N34" s="14">
        <f t="shared" si="1"/>
        <v>0</v>
      </c>
    </row>
    <row r="35" spans="1:14" ht="15.75" x14ac:dyDescent="0.25">
      <c r="A35" s="5" t="s">
        <v>91</v>
      </c>
      <c r="E35" s="11">
        <v>16</v>
      </c>
      <c r="F35" s="12" t="s">
        <v>92</v>
      </c>
      <c r="G35" s="13">
        <f>COUNTIF(MASTER!$B$2:$B$2000,$E35)</f>
        <v>5</v>
      </c>
      <c r="H35" s="13">
        <f>COUNTIFS(MASTER!$B$2:$B$2000,$E35,MASTER!$G$2:$G$2000,"DONE")</f>
        <v>0</v>
      </c>
      <c r="I35" s="13">
        <f>COUNTIFS(MASTER!$B$2:$B$2000,$E35,MASTER!$G$2:$G$2000,"VERIFIED")+H35</f>
        <v>0</v>
      </c>
      <c r="J35" s="13">
        <f>COUNTIFS(MASTER!$B$2:$B$2000,$E35,MASTER!$G$2:$G$2000,"IN_PROGRESS")+COUNTIFS(MASTER!$B$2:$B$2000,$E35,MASTER!$G$2:$G$2000,"IMPLEMENTED")+COUNTIFS(MASTER!$B$2:$B$2000,$E35,MASTER!$G$2:$G$2000,"TESTING")</f>
        <v>0</v>
      </c>
      <c r="K35" s="13">
        <f>COUNTIFS(MASTER!$B$2:$B$2000,$E35,MASTER!$G$2:$G$2000,"BLOCKED")</f>
        <v>0</v>
      </c>
      <c r="L35" s="13">
        <f>COUNTIFS(MASTER!$B$2:$B$2000,$E35,MASTER!$G$2:$G$2000,"FAILED")</f>
        <v>0</v>
      </c>
      <c r="M35" s="14">
        <f t="shared" si="0"/>
        <v>0</v>
      </c>
      <c r="N35" s="14">
        <f t="shared" si="1"/>
        <v>0</v>
      </c>
    </row>
    <row r="36" spans="1:14" x14ac:dyDescent="0.25">
      <c r="A36" s="10" t="s">
        <v>93</v>
      </c>
      <c r="B36" s="10" t="s">
        <v>94</v>
      </c>
      <c r="C36" s="10" t="s">
        <v>95</v>
      </c>
      <c r="E36" s="11">
        <v>17</v>
      </c>
      <c r="F36" s="12" t="s">
        <v>96</v>
      </c>
      <c r="G36" s="13">
        <f>COUNTIF(MASTER!$B$2:$B$2000,$E36)</f>
        <v>6</v>
      </c>
      <c r="H36" s="13">
        <f>COUNTIFS(MASTER!$B$2:$B$2000,$E36,MASTER!$G$2:$G$2000,"DONE")</f>
        <v>0</v>
      </c>
      <c r="I36" s="13">
        <f>COUNTIFS(MASTER!$B$2:$B$2000,$E36,MASTER!$G$2:$G$2000,"VERIFIED")+H36</f>
        <v>0</v>
      </c>
      <c r="J36" s="13">
        <f>COUNTIFS(MASTER!$B$2:$B$2000,$E36,MASTER!$G$2:$G$2000,"IN_PROGRESS")+COUNTIFS(MASTER!$B$2:$B$2000,$E36,MASTER!$G$2:$G$2000,"IMPLEMENTED")+COUNTIFS(MASTER!$B$2:$B$2000,$E36,MASTER!$G$2:$G$2000,"TESTING")</f>
        <v>0</v>
      </c>
      <c r="K36" s="13">
        <f>COUNTIFS(MASTER!$B$2:$B$2000,$E36,MASTER!$G$2:$G$2000,"BLOCKED")</f>
        <v>0</v>
      </c>
      <c r="L36" s="13">
        <f>COUNTIFS(MASTER!$B$2:$B$2000,$E36,MASTER!$G$2:$G$2000,"FAILED")</f>
        <v>0</v>
      </c>
      <c r="M36" s="14">
        <f t="shared" si="0"/>
        <v>0</v>
      </c>
      <c r="N36" s="14">
        <f t="shared" si="1"/>
        <v>0</v>
      </c>
    </row>
    <row r="37" spans="1:14" x14ac:dyDescent="0.25">
      <c r="A37" s="15" t="str">
        <f>TESTING!B28&amp;" — "&amp;TESTING!A28</f>
        <v>backend-pytest — RUN-0021</v>
      </c>
      <c r="B37" s="16" t="str">
        <f>TESTING!C28&amp;""</f>
        <v>PASS</v>
      </c>
      <c r="C37" s="12" t="str">
        <f>TESTING!E28&amp;" passed · "&amp;TESTING!F28&amp;" failed · "&amp;TESTING!H28&amp;" skipped"</f>
        <v>700 passed · 0 failed · 1 skipped</v>
      </c>
      <c r="E37" s="11">
        <v>18</v>
      </c>
      <c r="F37" s="12" t="s">
        <v>97</v>
      </c>
      <c r="G37" s="13">
        <f>COUNTIF(MASTER!$B$2:$B$2000,$E37)</f>
        <v>2</v>
      </c>
      <c r="H37" s="13">
        <f>COUNTIFS(MASTER!$B$2:$B$2000,$E37,MASTER!$G$2:$G$2000,"DONE")</f>
        <v>0</v>
      </c>
      <c r="I37" s="13">
        <f>COUNTIFS(MASTER!$B$2:$B$2000,$E37,MASTER!$G$2:$G$2000,"VERIFIED")+H37</f>
        <v>0</v>
      </c>
      <c r="J37" s="13">
        <f>COUNTIFS(MASTER!$B$2:$B$2000,$E37,MASTER!$G$2:$G$2000,"IN_PROGRESS")+COUNTIFS(MASTER!$B$2:$B$2000,$E37,MASTER!$G$2:$G$2000,"IMPLEMENTED")+COUNTIFS(MASTER!$B$2:$B$2000,$E37,MASTER!$G$2:$G$2000,"TESTING")</f>
        <v>0</v>
      </c>
      <c r="K37" s="13">
        <f>COUNTIFS(MASTER!$B$2:$B$2000,$E37,MASTER!$G$2:$G$2000,"BLOCKED")</f>
        <v>0</v>
      </c>
      <c r="L37" s="13">
        <f>COUNTIFS(MASTER!$B$2:$B$2000,$E37,MASTER!$G$2:$G$2000,"FAILED")</f>
        <v>0</v>
      </c>
      <c r="M37" s="14">
        <f t="shared" si="0"/>
        <v>0</v>
      </c>
      <c r="N37" s="14">
        <f t="shared" si="1"/>
        <v>0</v>
      </c>
    </row>
    <row r="38" spans="1:14" x14ac:dyDescent="0.25">
      <c r="A38" s="15" t="str">
        <f>TESTING!B27&amp;" — "&amp;TESTING!A27</f>
        <v>e2e-playwright — RUN-0020</v>
      </c>
      <c r="B38" s="16" t="str">
        <f>TESTING!C27&amp;""</f>
        <v>PASS</v>
      </c>
      <c r="C38" s="12" t="str">
        <f>TESTING!E27&amp;" passed · "&amp;TESTING!F27&amp;" failed · "&amp;TESTING!H27&amp;" skipped"</f>
        <v>18 passed · 0 failed · 0 skipped</v>
      </c>
    </row>
    <row r="39" spans="1:14" ht="15.75" x14ac:dyDescent="0.25">
      <c r="A39" s="15" t="str">
        <f>TESTING!B26&amp;" — "&amp;TESTING!A26</f>
        <v>frontend-vitest — RUN-0019</v>
      </c>
      <c r="B39" s="16" t="str">
        <f>TESTING!C26&amp;""</f>
        <v>PASS</v>
      </c>
      <c r="C39" s="12" t="str">
        <f>TESTING!E26&amp;" passed · "&amp;TESTING!F26&amp;" failed · "&amp;TESTING!H26&amp;" skipped"</f>
        <v>84 passed · 0 failed · 0 skipped</v>
      </c>
      <c r="E39" s="5" t="s">
        <v>98</v>
      </c>
    </row>
    <row r="40" spans="1:14" x14ac:dyDescent="0.25">
      <c r="A40" s="15" t="str">
        <f>TESTING!B25&amp;" — "&amp;TESTING!A25</f>
        <v>backend-pytest — RUN-0018</v>
      </c>
      <c r="B40" s="16" t="str">
        <f>TESTING!C25&amp;""</f>
        <v>PASS</v>
      </c>
      <c r="C40" s="12" t="str">
        <f>TESTING!E25&amp;" passed · "&amp;TESTING!F25&amp;" failed · "&amp;TESTING!H25&amp;" skipped"</f>
        <v>694 passed · 0 failed · 1 skipped</v>
      </c>
      <c r="E40" s="10" t="s">
        <v>99</v>
      </c>
      <c r="F40" s="10" t="s">
        <v>100</v>
      </c>
      <c r="G40" s="10" t="s">
        <v>45</v>
      </c>
      <c r="H40" s="10" t="s">
        <v>46</v>
      </c>
      <c r="I40" s="10" t="s">
        <v>47</v>
      </c>
      <c r="J40" s="10" t="s">
        <v>13</v>
      </c>
      <c r="K40" s="10" t="s">
        <v>16</v>
      </c>
      <c r="L40" s="10" t="s">
        <v>19</v>
      </c>
      <c r="M40" s="10" t="s">
        <v>48</v>
      </c>
      <c r="N40" s="10" t="s">
        <v>33</v>
      </c>
    </row>
    <row r="41" spans="1:14" x14ac:dyDescent="0.25">
      <c r="A41" s="15" t="str">
        <f>TESTING!B24&amp;" — "&amp;TESTING!A24</f>
        <v>e2e-playwright — RUN-0017</v>
      </c>
      <c r="B41" s="16" t="str">
        <f>TESTING!C24&amp;""</f>
        <v>PASS</v>
      </c>
      <c r="C41" s="12" t="str">
        <f>TESTING!E24&amp;" passed · "&amp;TESTING!F24&amp;" failed · "&amp;TESTING!H24&amp;" skipped"</f>
        <v>18 passed · 0 failed · 0 skipped</v>
      </c>
      <c r="E41" s="15" t="s">
        <v>101</v>
      </c>
      <c r="F41" s="17" t="s">
        <v>102</v>
      </c>
      <c r="G41" s="13">
        <f>COUNTIF(MASTER!$C$2:$C$2000,$E41)</f>
        <v>5</v>
      </c>
      <c r="H41" s="13">
        <f>COUNTIFS(MASTER!$C$2:$C$2000,$E41,MASTER!$G$2:$G$2000,"DONE")</f>
        <v>3</v>
      </c>
      <c r="I41" s="13">
        <f>COUNTIFS(MASTER!$C$2:$C$2000,$E41,MASTER!$G$2:$G$2000,"VERIFIED")+H41</f>
        <v>4</v>
      </c>
      <c r="J41" s="13">
        <f>COUNTIFS(MASTER!$C$2:$C$2000,$E41,MASTER!$G$2:$G$2000,"IN_PROGRESS")+COUNTIFS(MASTER!$C$2:$C$2000,$E41,MASTER!$G$2:$G$2000,"IMPLEMENTED")+COUNTIFS(MASTER!$C$2:$C$2000,$E41,MASTER!$G$2:$G$2000,"TESTING")</f>
        <v>0</v>
      </c>
      <c r="K41" s="13">
        <f>COUNTIFS(MASTER!$C$2:$C$2000,$E41,MASTER!$G$2:$G$2000,"BLOCKED")</f>
        <v>0</v>
      </c>
      <c r="L41" s="13">
        <f>COUNTIFS(MASTER!$C$2:$C$2000,$E41,MASTER!$G$2:$G$2000,"FAILED")</f>
        <v>0</v>
      </c>
      <c r="M41" s="14">
        <f t="shared" ref="M41:M63" si="2">IF(G41=0,0,H41/G41)</f>
        <v>0.6</v>
      </c>
      <c r="N41" s="14">
        <f t="shared" ref="N41:N63" si="3">IF(G41=0,0,I41/G41)</f>
        <v>0.8</v>
      </c>
    </row>
    <row r="42" spans="1:14" x14ac:dyDescent="0.25">
      <c r="A42" s="15" t="str">
        <f>TESTING!B23&amp;" — "&amp;TESTING!A23</f>
        <v>frontend-vitest — RUN-0016</v>
      </c>
      <c r="B42" s="16" t="str">
        <f>TESTING!C23&amp;""</f>
        <v>PASS</v>
      </c>
      <c r="C42" s="12" t="str">
        <f>TESTING!E23&amp;" passed · "&amp;TESTING!F23&amp;" failed · "&amp;TESTING!H23&amp;" skipped"</f>
        <v>80 passed · 0 failed · 0 skipped</v>
      </c>
      <c r="E42" s="15" t="s">
        <v>103</v>
      </c>
      <c r="F42" s="17" t="s">
        <v>102</v>
      </c>
      <c r="G42" s="13">
        <f>COUNTIF(MASTER!$C$2:$C$2000,$E42)</f>
        <v>5</v>
      </c>
      <c r="H42" s="13">
        <f>COUNTIFS(MASTER!$C$2:$C$2000,$E42,MASTER!$G$2:$G$2000,"DONE")</f>
        <v>4</v>
      </c>
      <c r="I42" s="13">
        <f>COUNTIFS(MASTER!$C$2:$C$2000,$E42,MASTER!$G$2:$G$2000,"VERIFIED")+H42</f>
        <v>4</v>
      </c>
      <c r="J42" s="13">
        <f>COUNTIFS(MASTER!$C$2:$C$2000,$E42,MASTER!$G$2:$G$2000,"IN_PROGRESS")+COUNTIFS(MASTER!$C$2:$C$2000,$E42,MASTER!$G$2:$G$2000,"IMPLEMENTED")+COUNTIFS(MASTER!$C$2:$C$2000,$E42,MASTER!$G$2:$G$2000,"TESTING")</f>
        <v>1</v>
      </c>
      <c r="K42" s="13">
        <f>COUNTIFS(MASTER!$C$2:$C$2000,$E42,MASTER!$G$2:$G$2000,"BLOCKED")</f>
        <v>0</v>
      </c>
      <c r="L42" s="13">
        <f>COUNTIFS(MASTER!$C$2:$C$2000,$E42,MASTER!$G$2:$G$2000,"FAILED")</f>
        <v>0</v>
      </c>
      <c r="M42" s="14">
        <f t="shared" si="2"/>
        <v>0.8</v>
      </c>
      <c r="N42" s="14">
        <f t="shared" si="3"/>
        <v>0.8</v>
      </c>
    </row>
    <row r="43" spans="1:14" x14ac:dyDescent="0.25">
      <c r="E43" s="15" t="s">
        <v>104</v>
      </c>
      <c r="F43" s="17" t="s">
        <v>102</v>
      </c>
      <c r="G43" s="13">
        <f>COUNTIF(MASTER!$C$2:$C$2000,$E43)</f>
        <v>5</v>
      </c>
      <c r="H43" s="13">
        <f>COUNTIFS(MASTER!$C$2:$C$2000,$E43,MASTER!$G$2:$G$2000,"DONE")</f>
        <v>0</v>
      </c>
      <c r="I43" s="13">
        <f>COUNTIFS(MASTER!$C$2:$C$2000,$E43,MASTER!$G$2:$G$2000,"VERIFIED")+H43</f>
        <v>0</v>
      </c>
      <c r="J43" s="13">
        <f>COUNTIFS(MASTER!$C$2:$C$2000,$E43,MASTER!$G$2:$G$2000,"IN_PROGRESS")+COUNTIFS(MASTER!$C$2:$C$2000,$E43,MASTER!$G$2:$G$2000,"IMPLEMENTED")+COUNTIFS(MASTER!$C$2:$C$2000,$E43,MASTER!$G$2:$G$2000,"TESTING")</f>
        <v>0</v>
      </c>
      <c r="K43" s="13">
        <f>COUNTIFS(MASTER!$C$2:$C$2000,$E43,MASTER!$G$2:$G$2000,"BLOCKED")</f>
        <v>0</v>
      </c>
      <c r="L43" s="13">
        <f>COUNTIFS(MASTER!$C$2:$C$2000,$E43,MASTER!$G$2:$G$2000,"FAILED")</f>
        <v>0</v>
      </c>
      <c r="M43" s="14">
        <f t="shared" si="2"/>
        <v>0</v>
      </c>
      <c r="N43" s="14">
        <f t="shared" si="3"/>
        <v>0</v>
      </c>
    </row>
    <row r="44" spans="1:14" ht="15.75" x14ac:dyDescent="0.25">
      <c r="A44" s="5" t="s">
        <v>105</v>
      </c>
      <c r="E44" s="15" t="s">
        <v>106</v>
      </c>
      <c r="F44" s="17" t="s">
        <v>107</v>
      </c>
      <c r="G44" s="13">
        <f>COUNTIF(MASTER!$C$2:$C$2000,$E44)</f>
        <v>19</v>
      </c>
      <c r="H44" s="13">
        <f>COUNTIFS(MASTER!$C$2:$C$2000,$E44,MASTER!$G$2:$G$2000,"DONE")</f>
        <v>1</v>
      </c>
      <c r="I44" s="13">
        <f>COUNTIFS(MASTER!$C$2:$C$2000,$E44,MASTER!$G$2:$G$2000,"VERIFIED")+H44</f>
        <v>1</v>
      </c>
      <c r="J44" s="13">
        <f>COUNTIFS(MASTER!$C$2:$C$2000,$E44,MASTER!$G$2:$G$2000,"IN_PROGRESS")+COUNTIFS(MASTER!$C$2:$C$2000,$E44,MASTER!$G$2:$G$2000,"IMPLEMENTED")+COUNTIFS(MASTER!$C$2:$C$2000,$E44,MASTER!$G$2:$G$2000,"TESTING")</f>
        <v>1</v>
      </c>
      <c r="K44" s="13">
        <f>COUNTIFS(MASTER!$C$2:$C$2000,$E44,MASTER!$G$2:$G$2000,"BLOCKED")</f>
        <v>0</v>
      </c>
      <c r="L44" s="13">
        <f>COUNTIFS(MASTER!$C$2:$C$2000,$E44,MASTER!$G$2:$G$2000,"FAILED")</f>
        <v>0</v>
      </c>
      <c r="M44" s="14">
        <f t="shared" si="2"/>
        <v>5.2631578947368418E-2</v>
      </c>
      <c r="N44" s="14">
        <f t="shared" si="3"/>
        <v>5.2631578947368418E-2</v>
      </c>
    </row>
    <row r="45" spans="1:14" x14ac:dyDescent="0.25">
      <c r="A45" s="17" t="s">
        <v>108</v>
      </c>
      <c r="B45" s="1" t="s">
        <v>109</v>
      </c>
      <c r="E45" s="15" t="s">
        <v>110</v>
      </c>
      <c r="F45" s="17" t="s">
        <v>110</v>
      </c>
      <c r="G45" s="13">
        <f>COUNTIF(MASTER!$C$2:$C$2000,$E45)</f>
        <v>5</v>
      </c>
      <c r="H45" s="13">
        <f>COUNTIFS(MASTER!$C$2:$C$2000,$E45,MASTER!$G$2:$G$2000,"DONE")</f>
        <v>1</v>
      </c>
      <c r="I45" s="13">
        <f>COUNTIFS(MASTER!$C$2:$C$2000,$E45,MASTER!$G$2:$G$2000,"VERIFIED")+H45</f>
        <v>1</v>
      </c>
      <c r="J45" s="13">
        <f>COUNTIFS(MASTER!$C$2:$C$2000,$E45,MASTER!$G$2:$G$2000,"IN_PROGRESS")+COUNTIFS(MASTER!$C$2:$C$2000,$E45,MASTER!$G$2:$G$2000,"IMPLEMENTED")+COUNTIFS(MASTER!$C$2:$C$2000,$E45,MASTER!$G$2:$G$2000,"TESTING")</f>
        <v>0</v>
      </c>
      <c r="K45" s="13">
        <f>COUNTIFS(MASTER!$C$2:$C$2000,$E45,MASTER!$G$2:$G$2000,"BLOCKED")</f>
        <v>0</v>
      </c>
      <c r="L45" s="13">
        <f>COUNTIFS(MASTER!$C$2:$C$2000,$E45,MASTER!$G$2:$G$2000,"FAILED")</f>
        <v>0</v>
      </c>
      <c r="M45" s="14">
        <f t="shared" si="2"/>
        <v>0.2</v>
      </c>
      <c r="N45" s="14">
        <f t="shared" si="3"/>
        <v>0.2</v>
      </c>
    </row>
    <row r="46" spans="1:14" x14ac:dyDescent="0.25">
      <c r="A46" s="17" t="s">
        <v>111</v>
      </c>
      <c r="B46" s="1" t="s">
        <v>112</v>
      </c>
      <c r="E46" s="15" t="s">
        <v>113</v>
      </c>
      <c r="F46" s="17" t="s">
        <v>113</v>
      </c>
      <c r="G46" s="13">
        <f>COUNTIF(MASTER!$C$2:$C$2000,$E46)</f>
        <v>12</v>
      </c>
      <c r="H46" s="13">
        <f>COUNTIFS(MASTER!$C$2:$C$2000,$E46,MASTER!$G$2:$G$2000,"DONE")</f>
        <v>6</v>
      </c>
      <c r="I46" s="13">
        <f>COUNTIFS(MASTER!$C$2:$C$2000,$E46,MASTER!$G$2:$G$2000,"VERIFIED")+H46</f>
        <v>6</v>
      </c>
      <c r="J46" s="13">
        <f>COUNTIFS(MASTER!$C$2:$C$2000,$E46,MASTER!$G$2:$G$2000,"IN_PROGRESS")+COUNTIFS(MASTER!$C$2:$C$2000,$E46,MASTER!$G$2:$G$2000,"IMPLEMENTED")+COUNTIFS(MASTER!$C$2:$C$2000,$E46,MASTER!$G$2:$G$2000,"TESTING")</f>
        <v>0</v>
      </c>
      <c r="K46" s="13">
        <f>COUNTIFS(MASTER!$C$2:$C$2000,$E46,MASTER!$G$2:$G$2000,"BLOCKED")</f>
        <v>0</v>
      </c>
      <c r="L46" s="13">
        <f>COUNTIFS(MASTER!$C$2:$C$2000,$E46,MASTER!$G$2:$G$2000,"FAILED")</f>
        <v>0</v>
      </c>
      <c r="M46" s="14">
        <f t="shared" si="2"/>
        <v>0.5</v>
      </c>
      <c r="N46" s="14">
        <f t="shared" si="3"/>
        <v>0.5</v>
      </c>
    </row>
    <row r="47" spans="1:14" x14ac:dyDescent="0.25">
      <c r="A47" s="17" t="s">
        <v>114</v>
      </c>
      <c r="B47" s="1" t="s">
        <v>115</v>
      </c>
      <c r="E47" s="15" t="s">
        <v>116</v>
      </c>
      <c r="F47" s="17" t="s">
        <v>116</v>
      </c>
      <c r="G47" s="13">
        <f>COUNTIF(MASTER!$C$2:$C$2000,$E47)</f>
        <v>5</v>
      </c>
      <c r="H47" s="13">
        <f>COUNTIFS(MASTER!$C$2:$C$2000,$E47,MASTER!$G$2:$G$2000,"DONE")</f>
        <v>0</v>
      </c>
      <c r="I47" s="13">
        <f>COUNTIFS(MASTER!$C$2:$C$2000,$E47,MASTER!$G$2:$G$2000,"VERIFIED")+H47</f>
        <v>0</v>
      </c>
      <c r="J47" s="13">
        <f>COUNTIFS(MASTER!$C$2:$C$2000,$E47,MASTER!$G$2:$G$2000,"IN_PROGRESS")+COUNTIFS(MASTER!$C$2:$C$2000,$E47,MASTER!$G$2:$G$2000,"IMPLEMENTED")+COUNTIFS(MASTER!$C$2:$C$2000,$E47,MASTER!$G$2:$G$2000,"TESTING")</f>
        <v>0</v>
      </c>
      <c r="K47" s="13">
        <f>COUNTIFS(MASTER!$C$2:$C$2000,$E47,MASTER!$G$2:$G$2000,"BLOCKED")</f>
        <v>0</v>
      </c>
      <c r="L47" s="13">
        <f>COUNTIFS(MASTER!$C$2:$C$2000,$E47,MASTER!$G$2:$G$2000,"FAILED")</f>
        <v>0</v>
      </c>
      <c r="M47" s="14">
        <f t="shared" si="2"/>
        <v>0</v>
      </c>
      <c r="N47" s="14">
        <f t="shared" si="3"/>
        <v>0</v>
      </c>
    </row>
    <row r="48" spans="1:14" x14ac:dyDescent="0.25">
      <c r="A48" s="17" t="s">
        <v>102</v>
      </c>
      <c r="B48" s="1" t="s">
        <v>117</v>
      </c>
      <c r="E48" s="15" t="s">
        <v>118</v>
      </c>
      <c r="F48" s="17" t="s">
        <v>116</v>
      </c>
      <c r="G48" s="13">
        <f>COUNTIF(MASTER!$C$2:$C$2000,$E48)</f>
        <v>3</v>
      </c>
      <c r="H48" s="13">
        <f>COUNTIFS(MASTER!$C$2:$C$2000,$E48,MASTER!$G$2:$G$2000,"DONE")</f>
        <v>0</v>
      </c>
      <c r="I48" s="13">
        <f>COUNTIFS(MASTER!$C$2:$C$2000,$E48,MASTER!$G$2:$G$2000,"VERIFIED")+H48</f>
        <v>0</v>
      </c>
      <c r="J48" s="13">
        <f>COUNTIFS(MASTER!$C$2:$C$2000,$E48,MASTER!$G$2:$G$2000,"IN_PROGRESS")+COUNTIFS(MASTER!$C$2:$C$2000,$E48,MASTER!$G$2:$G$2000,"IMPLEMENTED")+COUNTIFS(MASTER!$C$2:$C$2000,$E48,MASTER!$G$2:$G$2000,"TESTING")</f>
        <v>0</v>
      </c>
      <c r="K48" s="13">
        <f>COUNTIFS(MASTER!$C$2:$C$2000,$E48,MASTER!$G$2:$G$2000,"BLOCKED")</f>
        <v>0</v>
      </c>
      <c r="L48" s="13">
        <f>COUNTIFS(MASTER!$C$2:$C$2000,$E48,MASTER!$G$2:$G$2000,"FAILED")</f>
        <v>0</v>
      </c>
      <c r="M48" s="14">
        <f t="shared" si="2"/>
        <v>0</v>
      </c>
      <c r="N48" s="14">
        <f t="shared" si="3"/>
        <v>0</v>
      </c>
    </row>
    <row r="49" spans="1:14" x14ac:dyDescent="0.25">
      <c r="A49" s="17" t="s">
        <v>107</v>
      </c>
      <c r="B49" s="1" t="s">
        <v>119</v>
      </c>
      <c r="E49" s="15" t="s">
        <v>120</v>
      </c>
      <c r="F49" s="17" t="s">
        <v>120</v>
      </c>
      <c r="G49" s="13">
        <f>COUNTIF(MASTER!$C$2:$C$2000,$E49)</f>
        <v>9</v>
      </c>
      <c r="H49" s="13">
        <f>COUNTIFS(MASTER!$C$2:$C$2000,$E49,MASTER!$G$2:$G$2000,"DONE")</f>
        <v>0</v>
      </c>
      <c r="I49" s="13">
        <f>COUNTIFS(MASTER!$C$2:$C$2000,$E49,MASTER!$G$2:$G$2000,"VERIFIED")+H49</f>
        <v>0</v>
      </c>
      <c r="J49" s="13">
        <f>COUNTIFS(MASTER!$C$2:$C$2000,$E49,MASTER!$G$2:$G$2000,"IN_PROGRESS")+COUNTIFS(MASTER!$C$2:$C$2000,$E49,MASTER!$G$2:$G$2000,"IMPLEMENTED")+COUNTIFS(MASTER!$C$2:$C$2000,$E49,MASTER!$G$2:$G$2000,"TESTING")</f>
        <v>1</v>
      </c>
      <c r="K49" s="13">
        <f>COUNTIFS(MASTER!$C$2:$C$2000,$E49,MASTER!$G$2:$G$2000,"BLOCKED")</f>
        <v>0</v>
      </c>
      <c r="L49" s="13">
        <f>COUNTIFS(MASTER!$C$2:$C$2000,$E49,MASTER!$G$2:$G$2000,"FAILED")</f>
        <v>0</v>
      </c>
      <c r="M49" s="14">
        <f t="shared" si="2"/>
        <v>0</v>
      </c>
      <c r="N49" s="14">
        <f t="shared" si="3"/>
        <v>0</v>
      </c>
    </row>
    <row r="50" spans="1:14" x14ac:dyDescent="0.25">
      <c r="A50" s="17" t="s">
        <v>110</v>
      </c>
      <c r="B50" s="1" t="s">
        <v>121</v>
      </c>
      <c r="E50" s="15" t="s">
        <v>122</v>
      </c>
      <c r="F50" s="17" t="s">
        <v>122</v>
      </c>
      <c r="G50" s="13">
        <f>COUNTIF(MASTER!$C$2:$C$2000,$E50)</f>
        <v>13</v>
      </c>
      <c r="H50" s="13">
        <f>COUNTIFS(MASTER!$C$2:$C$2000,$E50,MASTER!$G$2:$G$2000,"DONE")</f>
        <v>1</v>
      </c>
      <c r="I50" s="13">
        <f>COUNTIFS(MASTER!$C$2:$C$2000,$E50,MASTER!$G$2:$G$2000,"VERIFIED")+H50</f>
        <v>1</v>
      </c>
      <c r="J50" s="13">
        <f>COUNTIFS(MASTER!$C$2:$C$2000,$E50,MASTER!$G$2:$G$2000,"IN_PROGRESS")+COUNTIFS(MASTER!$C$2:$C$2000,$E50,MASTER!$G$2:$G$2000,"IMPLEMENTED")+COUNTIFS(MASTER!$C$2:$C$2000,$E50,MASTER!$G$2:$G$2000,"TESTING")</f>
        <v>0</v>
      </c>
      <c r="K50" s="13">
        <f>COUNTIFS(MASTER!$C$2:$C$2000,$E50,MASTER!$G$2:$G$2000,"BLOCKED")</f>
        <v>1</v>
      </c>
      <c r="L50" s="13">
        <f>COUNTIFS(MASTER!$C$2:$C$2000,$E50,MASTER!$G$2:$G$2000,"FAILED")</f>
        <v>0</v>
      </c>
      <c r="M50" s="14">
        <f t="shared" si="2"/>
        <v>7.6923076923076927E-2</v>
      </c>
      <c r="N50" s="14">
        <f t="shared" si="3"/>
        <v>7.6923076923076927E-2</v>
      </c>
    </row>
    <row r="51" spans="1:14" x14ac:dyDescent="0.25">
      <c r="A51" s="17" t="s">
        <v>113</v>
      </c>
      <c r="B51" s="1" t="s">
        <v>123</v>
      </c>
      <c r="E51" s="15" t="s">
        <v>124</v>
      </c>
      <c r="F51" s="17" t="s">
        <v>122</v>
      </c>
      <c r="G51" s="13">
        <f>COUNTIF(MASTER!$C$2:$C$2000,$E51)</f>
        <v>7</v>
      </c>
      <c r="H51" s="13">
        <f>COUNTIFS(MASTER!$C$2:$C$2000,$E51,MASTER!$G$2:$G$2000,"DONE")</f>
        <v>0</v>
      </c>
      <c r="I51" s="13">
        <f>COUNTIFS(MASTER!$C$2:$C$2000,$E51,MASTER!$G$2:$G$2000,"VERIFIED")+H51</f>
        <v>0</v>
      </c>
      <c r="J51" s="13">
        <f>COUNTIFS(MASTER!$C$2:$C$2000,$E51,MASTER!$G$2:$G$2000,"IN_PROGRESS")+COUNTIFS(MASTER!$C$2:$C$2000,$E51,MASTER!$G$2:$G$2000,"IMPLEMENTED")+COUNTIFS(MASTER!$C$2:$C$2000,$E51,MASTER!$G$2:$G$2000,"TESTING")</f>
        <v>0</v>
      </c>
      <c r="K51" s="13">
        <f>COUNTIFS(MASTER!$C$2:$C$2000,$E51,MASTER!$G$2:$G$2000,"BLOCKED")</f>
        <v>0</v>
      </c>
      <c r="L51" s="13">
        <f>COUNTIFS(MASTER!$C$2:$C$2000,$E51,MASTER!$G$2:$G$2000,"FAILED")</f>
        <v>0</v>
      </c>
      <c r="M51" s="14">
        <f t="shared" si="2"/>
        <v>0</v>
      </c>
      <c r="N51" s="14">
        <f t="shared" si="3"/>
        <v>0</v>
      </c>
    </row>
    <row r="52" spans="1:14" x14ac:dyDescent="0.25">
      <c r="A52" s="17" t="s">
        <v>116</v>
      </c>
      <c r="B52" s="1" t="s">
        <v>125</v>
      </c>
      <c r="E52" s="15" t="s">
        <v>126</v>
      </c>
      <c r="F52" s="17" t="s">
        <v>126</v>
      </c>
      <c r="G52" s="13">
        <f>COUNTIF(MASTER!$C$2:$C$2000,$E52)</f>
        <v>7</v>
      </c>
      <c r="H52" s="13">
        <f>COUNTIFS(MASTER!$C$2:$C$2000,$E52,MASTER!$G$2:$G$2000,"DONE")</f>
        <v>0</v>
      </c>
      <c r="I52" s="13">
        <f>COUNTIFS(MASTER!$C$2:$C$2000,$E52,MASTER!$G$2:$G$2000,"VERIFIED")+H52</f>
        <v>0</v>
      </c>
      <c r="J52" s="13">
        <f>COUNTIFS(MASTER!$C$2:$C$2000,$E52,MASTER!$G$2:$G$2000,"IN_PROGRESS")+COUNTIFS(MASTER!$C$2:$C$2000,$E52,MASTER!$G$2:$G$2000,"IMPLEMENTED")+COUNTIFS(MASTER!$C$2:$C$2000,$E52,MASTER!$G$2:$G$2000,"TESTING")</f>
        <v>0</v>
      </c>
      <c r="K52" s="13">
        <f>COUNTIFS(MASTER!$C$2:$C$2000,$E52,MASTER!$G$2:$G$2000,"BLOCKED")</f>
        <v>0</v>
      </c>
      <c r="L52" s="13">
        <f>COUNTIFS(MASTER!$C$2:$C$2000,$E52,MASTER!$G$2:$G$2000,"FAILED")</f>
        <v>0</v>
      </c>
      <c r="M52" s="14">
        <f t="shared" si="2"/>
        <v>0</v>
      </c>
      <c r="N52" s="14">
        <f t="shared" si="3"/>
        <v>0</v>
      </c>
    </row>
    <row r="53" spans="1:14" x14ac:dyDescent="0.25">
      <c r="A53" s="17" t="s">
        <v>120</v>
      </c>
      <c r="B53" s="1" t="s">
        <v>127</v>
      </c>
      <c r="E53" s="15" t="s">
        <v>72</v>
      </c>
      <c r="F53" s="17" t="s">
        <v>72</v>
      </c>
      <c r="G53" s="13">
        <f>COUNTIF(MASTER!$C$2:$C$2000,$E53)</f>
        <v>15</v>
      </c>
      <c r="H53" s="13">
        <f>COUNTIFS(MASTER!$C$2:$C$2000,$E53,MASTER!$G$2:$G$2000,"DONE")</f>
        <v>5</v>
      </c>
      <c r="I53" s="13">
        <f>COUNTIFS(MASTER!$C$2:$C$2000,$E53,MASTER!$G$2:$G$2000,"VERIFIED")+H53</f>
        <v>5</v>
      </c>
      <c r="J53" s="13">
        <f>COUNTIFS(MASTER!$C$2:$C$2000,$E53,MASTER!$G$2:$G$2000,"IN_PROGRESS")+COUNTIFS(MASTER!$C$2:$C$2000,$E53,MASTER!$G$2:$G$2000,"IMPLEMENTED")+COUNTIFS(MASTER!$C$2:$C$2000,$E53,MASTER!$G$2:$G$2000,"TESTING")</f>
        <v>1</v>
      </c>
      <c r="K53" s="13">
        <f>COUNTIFS(MASTER!$C$2:$C$2000,$E53,MASTER!$G$2:$G$2000,"BLOCKED")</f>
        <v>0</v>
      </c>
      <c r="L53" s="13">
        <f>COUNTIFS(MASTER!$C$2:$C$2000,$E53,MASTER!$G$2:$G$2000,"FAILED")</f>
        <v>0</v>
      </c>
      <c r="M53" s="14">
        <f t="shared" si="2"/>
        <v>0.33333333333333331</v>
      </c>
      <c r="N53" s="14">
        <f t="shared" si="3"/>
        <v>0.33333333333333331</v>
      </c>
    </row>
    <row r="54" spans="1:14" x14ac:dyDescent="0.25">
      <c r="A54" s="17" t="s">
        <v>122</v>
      </c>
      <c r="B54" s="1" t="s">
        <v>128</v>
      </c>
      <c r="E54" s="15" t="s">
        <v>129</v>
      </c>
      <c r="F54" s="17" t="s">
        <v>130</v>
      </c>
      <c r="G54" s="13">
        <f>COUNTIF(MASTER!$C$2:$C$2000,$E54)</f>
        <v>5</v>
      </c>
      <c r="H54" s="13">
        <f>COUNTIFS(MASTER!$C$2:$C$2000,$E54,MASTER!$G$2:$G$2000,"DONE")</f>
        <v>0</v>
      </c>
      <c r="I54" s="13">
        <f>COUNTIFS(MASTER!$C$2:$C$2000,$E54,MASTER!$G$2:$G$2000,"VERIFIED")+H54</f>
        <v>0</v>
      </c>
      <c r="J54" s="13">
        <f>COUNTIFS(MASTER!$C$2:$C$2000,$E54,MASTER!$G$2:$G$2000,"IN_PROGRESS")+COUNTIFS(MASTER!$C$2:$C$2000,$E54,MASTER!$G$2:$G$2000,"IMPLEMENTED")+COUNTIFS(MASTER!$C$2:$C$2000,$E54,MASTER!$G$2:$G$2000,"TESTING")</f>
        <v>0</v>
      </c>
      <c r="K54" s="13">
        <f>COUNTIFS(MASTER!$C$2:$C$2000,$E54,MASTER!$G$2:$G$2000,"BLOCKED")</f>
        <v>0</v>
      </c>
      <c r="L54" s="13">
        <f>COUNTIFS(MASTER!$C$2:$C$2000,$E54,MASTER!$G$2:$G$2000,"FAILED")</f>
        <v>0</v>
      </c>
      <c r="M54" s="14">
        <f t="shared" si="2"/>
        <v>0</v>
      </c>
      <c r="N54" s="14">
        <f t="shared" si="3"/>
        <v>0</v>
      </c>
    </row>
    <row r="55" spans="1:14" x14ac:dyDescent="0.25">
      <c r="A55" s="17" t="s">
        <v>126</v>
      </c>
      <c r="B55" s="1" t="s">
        <v>131</v>
      </c>
      <c r="E55" s="15" t="s">
        <v>132</v>
      </c>
      <c r="F55" s="17" t="s">
        <v>132</v>
      </c>
      <c r="G55" s="13">
        <f>COUNTIF(MASTER!$C$2:$C$2000,$E55)</f>
        <v>10</v>
      </c>
      <c r="H55" s="13">
        <f>COUNTIFS(MASTER!$C$2:$C$2000,$E55,MASTER!$G$2:$G$2000,"DONE")</f>
        <v>0</v>
      </c>
      <c r="I55" s="13">
        <f>COUNTIFS(MASTER!$C$2:$C$2000,$E55,MASTER!$G$2:$G$2000,"VERIFIED")+H55</f>
        <v>0</v>
      </c>
      <c r="J55" s="13">
        <f>COUNTIFS(MASTER!$C$2:$C$2000,$E55,MASTER!$G$2:$G$2000,"IN_PROGRESS")+COUNTIFS(MASTER!$C$2:$C$2000,$E55,MASTER!$G$2:$G$2000,"IMPLEMENTED")+COUNTIFS(MASTER!$C$2:$C$2000,$E55,MASTER!$G$2:$G$2000,"TESTING")</f>
        <v>0</v>
      </c>
      <c r="K55" s="13">
        <f>COUNTIFS(MASTER!$C$2:$C$2000,$E55,MASTER!$G$2:$G$2000,"BLOCKED")</f>
        <v>0</v>
      </c>
      <c r="L55" s="13">
        <f>COUNTIFS(MASTER!$C$2:$C$2000,$E55,MASTER!$G$2:$G$2000,"FAILED")</f>
        <v>0</v>
      </c>
      <c r="M55" s="14">
        <f t="shared" si="2"/>
        <v>0</v>
      </c>
      <c r="N55" s="14">
        <f t="shared" si="3"/>
        <v>0</v>
      </c>
    </row>
    <row r="56" spans="1:14" x14ac:dyDescent="0.25">
      <c r="A56" s="17" t="s">
        <v>72</v>
      </c>
      <c r="B56" s="1" t="s">
        <v>133</v>
      </c>
      <c r="E56" s="15" t="s">
        <v>134</v>
      </c>
      <c r="F56" s="17" t="s">
        <v>132</v>
      </c>
      <c r="G56" s="13">
        <f>COUNTIF(MASTER!$C$2:$C$2000,$E56)</f>
        <v>6</v>
      </c>
      <c r="H56" s="13">
        <f>COUNTIFS(MASTER!$C$2:$C$2000,$E56,MASTER!$G$2:$G$2000,"DONE")</f>
        <v>0</v>
      </c>
      <c r="I56" s="13">
        <f>COUNTIFS(MASTER!$C$2:$C$2000,$E56,MASTER!$G$2:$G$2000,"VERIFIED")+H56</f>
        <v>0</v>
      </c>
      <c r="J56" s="13">
        <f>COUNTIFS(MASTER!$C$2:$C$2000,$E56,MASTER!$G$2:$G$2000,"IN_PROGRESS")+COUNTIFS(MASTER!$C$2:$C$2000,$E56,MASTER!$G$2:$G$2000,"IMPLEMENTED")+COUNTIFS(MASTER!$C$2:$C$2000,$E56,MASTER!$G$2:$G$2000,"TESTING")</f>
        <v>0</v>
      </c>
      <c r="K56" s="13">
        <f>COUNTIFS(MASTER!$C$2:$C$2000,$E56,MASTER!$G$2:$G$2000,"BLOCKED")</f>
        <v>0</v>
      </c>
      <c r="L56" s="13">
        <f>COUNTIFS(MASTER!$C$2:$C$2000,$E56,MASTER!$G$2:$G$2000,"FAILED")</f>
        <v>0</v>
      </c>
      <c r="M56" s="14">
        <f t="shared" si="2"/>
        <v>0</v>
      </c>
      <c r="N56" s="14">
        <f t="shared" si="3"/>
        <v>0</v>
      </c>
    </row>
    <row r="57" spans="1:14" x14ac:dyDescent="0.25">
      <c r="A57" s="17" t="s">
        <v>130</v>
      </c>
      <c r="B57" s="1" t="s">
        <v>135</v>
      </c>
      <c r="E57" s="15" t="s">
        <v>136</v>
      </c>
      <c r="F57" s="17" t="s">
        <v>137</v>
      </c>
      <c r="G57" s="13">
        <f>COUNTIF(MASTER!$C$2:$C$2000,$E57)</f>
        <v>9</v>
      </c>
      <c r="H57" s="13">
        <f>COUNTIFS(MASTER!$C$2:$C$2000,$E57,MASTER!$G$2:$G$2000,"DONE")</f>
        <v>0</v>
      </c>
      <c r="I57" s="13">
        <f>COUNTIFS(MASTER!$C$2:$C$2000,$E57,MASTER!$G$2:$G$2000,"VERIFIED")+H57</f>
        <v>0</v>
      </c>
      <c r="J57" s="13">
        <f>COUNTIFS(MASTER!$C$2:$C$2000,$E57,MASTER!$G$2:$G$2000,"IN_PROGRESS")+COUNTIFS(MASTER!$C$2:$C$2000,$E57,MASTER!$G$2:$G$2000,"IMPLEMENTED")+COUNTIFS(MASTER!$C$2:$C$2000,$E57,MASTER!$G$2:$G$2000,"TESTING")</f>
        <v>0</v>
      </c>
      <c r="K57" s="13">
        <f>COUNTIFS(MASTER!$C$2:$C$2000,$E57,MASTER!$G$2:$G$2000,"BLOCKED")</f>
        <v>0</v>
      </c>
      <c r="L57" s="13">
        <f>COUNTIFS(MASTER!$C$2:$C$2000,$E57,MASTER!$G$2:$G$2000,"FAILED")</f>
        <v>0</v>
      </c>
      <c r="M57" s="14">
        <f t="shared" si="2"/>
        <v>0</v>
      </c>
      <c r="N57" s="14">
        <f t="shared" si="3"/>
        <v>0</v>
      </c>
    </row>
    <row r="58" spans="1:14" x14ac:dyDescent="0.25">
      <c r="A58" s="17" t="s">
        <v>132</v>
      </c>
      <c r="B58" s="1" t="s">
        <v>138</v>
      </c>
      <c r="E58" s="15" t="s">
        <v>139</v>
      </c>
      <c r="F58" s="17" t="s">
        <v>140</v>
      </c>
      <c r="G58" s="13">
        <f>COUNTIF(MASTER!$C$2:$C$2000,$E58)</f>
        <v>5</v>
      </c>
      <c r="H58" s="13">
        <f>COUNTIFS(MASTER!$C$2:$C$2000,$E58,MASTER!$G$2:$G$2000,"DONE")</f>
        <v>0</v>
      </c>
      <c r="I58" s="13">
        <f>COUNTIFS(MASTER!$C$2:$C$2000,$E58,MASTER!$G$2:$G$2000,"VERIFIED")+H58</f>
        <v>0</v>
      </c>
      <c r="J58" s="13">
        <f>COUNTIFS(MASTER!$C$2:$C$2000,$E58,MASTER!$G$2:$G$2000,"IN_PROGRESS")+COUNTIFS(MASTER!$C$2:$C$2000,$E58,MASTER!$G$2:$G$2000,"IMPLEMENTED")+COUNTIFS(MASTER!$C$2:$C$2000,$E58,MASTER!$G$2:$G$2000,"TESTING")</f>
        <v>0</v>
      </c>
      <c r="K58" s="13">
        <f>COUNTIFS(MASTER!$C$2:$C$2000,$E58,MASTER!$G$2:$G$2000,"BLOCKED")</f>
        <v>0</v>
      </c>
      <c r="L58" s="13">
        <f>COUNTIFS(MASTER!$C$2:$C$2000,$E58,MASTER!$G$2:$G$2000,"FAILED")</f>
        <v>0</v>
      </c>
      <c r="M58" s="14">
        <f t="shared" si="2"/>
        <v>0</v>
      </c>
      <c r="N58" s="14">
        <f t="shared" si="3"/>
        <v>0</v>
      </c>
    </row>
    <row r="59" spans="1:14" x14ac:dyDescent="0.25">
      <c r="A59" s="17" t="s">
        <v>137</v>
      </c>
      <c r="B59" s="1" t="s">
        <v>141</v>
      </c>
      <c r="E59" s="15" t="s">
        <v>142</v>
      </c>
      <c r="F59" s="17" t="s">
        <v>142</v>
      </c>
      <c r="G59" s="13">
        <f>COUNTIF(MASTER!$C$2:$C$2000,$E59)</f>
        <v>7</v>
      </c>
      <c r="H59" s="13">
        <f>COUNTIFS(MASTER!$C$2:$C$2000,$E59,MASTER!$G$2:$G$2000,"DONE")</f>
        <v>5</v>
      </c>
      <c r="I59" s="13">
        <f>COUNTIFS(MASTER!$C$2:$C$2000,$E59,MASTER!$G$2:$G$2000,"VERIFIED")+H59</f>
        <v>5</v>
      </c>
      <c r="J59" s="13">
        <f>COUNTIFS(MASTER!$C$2:$C$2000,$E59,MASTER!$G$2:$G$2000,"IN_PROGRESS")+COUNTIFS(MASTER!$C$2:$C$2000,$E59,MASTER!$G$2:$G$2000,"IMPLEMENTED")+COUNTIFS(MASTER!$C$2:$C$2000,$E59,MASTER!$G$2:$G$2000,"TESTING")</f>
        <v>0</v>
      </c>
      <c r="K59" s="13">
        <f>COUNTIFS(MASTER!$C$2:$C$2000,$E59,MASTER!$G$2:$G$2000,"BLOCKED")</f>
        <v>0</v>
      </c>
      <c r="L59" s="13">
        <f>COUNTIFS(MASTER!$C$2:$C$2000,$E59,MASTER!$G$2:$G$2000,"FAILED")</f>
        <v>0</v>
      </c>
      <c r="M59" s="14">
        <f t="shared" si="2"/>
        <v>0.7142857142857143</v>
      </c>
      <c r="N59" s="14">
        <f t="shared" si="3"/>
        <v>0.7142857142857143</v>
      </c>
    </row>
    <row r="60" spans="1:14" x14ac:dyDescent="0.25">
      <c r="A60" s="17" t="s">
        <v>140</v>
      </c>
      <c r="B60" s="1" t="s">
        <v>143</v>
      </c>
      <c r="E60" s="15" t="s">
        <v>144</v>
      </c>
      <c r="F60" s="17" t="s">
        <v>142</v>
      </c>
      <c r="G60" s="13">
        <f>COUNTIF(MASTER!$C$2:$C$2000,$E60)</f>
        <v>1</v>
      </c>
      <c r="H60" s="13">
        <f>COUNTIFS(MASTER!$C$2:$C$2000,$E60,MASTER!$G$2:$G$2000,"DONE")</f>
        <v>0</v>
      </c>
      <c r="I60" s="13">
        <f>COUNTIFS(MASTER!$C$2:$C$2000,$E60,MASTER!$G$2:$G$2000,"VERIFIED")+H60</f>
        <v>0</v>
      </c>
      <c r="J60" s="13">
        <f>COUNTIFS(MASTER!$C$2:$C$2000,$E60,MASTER!$G$2:$G$2000,"IN_PROGRESS")+COUNTIFS(MASTER!$C$2:$C$2000,$E60,MASTER!$G$2:$G$2000,"IMPLEMENTED")+COUNTIFS(MASTER!$C$2:$C$2000,$E60,MASTER!$G$2:$G$2000,"TESTING")</f>
        <v>0</v>
      </c>
      <c r="K60" s="13">
        <f>COUNTIFS(MASTER!$C$2:$C$2000,$E60,MASTER!$G$2:$G$2000,"BLOCKED")</f>
        <v>0</v>
      </c>
      <c r="L60" s="13">
        <f>COUNTIFS(MASTER!$C$2:$C$2000,$E60,MASTER!$G$2:$G$2000,"FAILED")</f>
        <v>0</v>
      </c>
      <c r="M60" s="14">
        <f t="shared" si="2"/>
        <v>0</v>
      </c>
      <c r="N60" s="14">
        <f t="shared" si="3"/>
        <v>0</v>
      </c>
    </row>
    <row r="61" spans="1:14" x14ac:dyDescent="0.25">
      <c r="A61" s="17" t="s">
        <v>142</v>
      </c>
      <c r="B61" s="1" t="s">
        <v>145</v>
      </c>
      <c r="E61" s="15" t="s">
        <v>146</v>
      </c>
      <c r="F61" s="17" t="s">
        <v>142</v>
      </c>
      <c r="G61" s="13">
        <f>COUNTIF(MASTER!$C$2:$C$2000,$E61)</f>
        <v>1</v>
      </c>
      <c r="H61" s="13">
        <f>COUNTIFS(MASTER!$C$2:$C$2000,$E61,MASTER!$G$2:$G$2000,"DONE")</f>
        <v>0</v>
      </c>
      <c r="I61" s="13">
        <f>COUNTIFS(MASTER!$C$2:$C$2000,$E61,MASTER!$G$2:$G$2000,"VERIFIED")+H61</f>
        <v>0</v>
      </c>
      <c r="J61" s="13">
        <f>COUNTIFS(MASTER!$C$2:$C$2000,$E61,MASTER!$G$2:$G$2000,"IN_PROGRESS")+COUNTIFS(MASTER!$C$2:$C$2000,$E61,MASTER!$G$2:$G$2000,"IMPLEMENTED")+COUNTIFS(MASTER!$C$2:$C$2000,$E61,MASTER!$G$2:$G$2000,"TESTING")</f>
        <v>0</v>
      </c>
      <c r="K61" s="13">
        <f>COUNTIFS(MASTER!$C$2:$C$2000,$E61,MASTER!$G$2:$G$2000,"BLOCKED")</f>
        <v>0</v>
      </c>
      <c r="L61" s="13">
        <f>COUNTIFS(MASTER!$C$2:$C$2000,$E61,MASTER!$G$2:$G$2000,"FAILED")</f>
        <v>0</v>
      </c>
      <c r="M61" s="14">
        <f t="shared" si="2"/>
        <v>0</v>
      </c>
      <c r="N61" s="14">
        <f t="shared" si="3"/>
        <v>0</v>
      </c>
    </row>
    <row r="62" spans="1:14" x14ac:dyDescent="0.25">
      <c r="A62" s="17" t="s">
        <v>147</v>
      </c>
      <c r="B62" s="1" t="s">
        <v>148</v>
      </c>
      <c r="E62" s="15" t="s">
        <v>149</v>
      </c>
      <c r="F62" s="17" t="s">
        <v>142</v>
      </c>
      <c r="G62" s="13">
        <f>COUNTIF(MASTER!$C$2:$C$2000,$E62)</f>
        <v>3</v>
      </c>
      <c r="H62" s="13">
        <f>COUNTIFS(MASTER!$C$2:$C$2000,$E62,MASTER!$G$2:$G$2000,"DONE")</f>
        <v>0</v>
      </c>
      <c r="I62" s="13">
        <f>COUNTIFS(MASTER!$C$2:$C$2000,$E62,MASTER!$G$2:$G$2000,"VERIFIED")+H62</f>
        <v>0</v>
      </c>
      <c r="J62" s="13">
        <f>COUNTIFS(MASTER!$C$2:$C$2000,$E62,MASTER!$G$2:$G$2000,"IN_PROGRESS")+COUNTIFS(MASTER!$C$2:$C$2000,$E62,MASTER!$G$2:$G$2000,"IMPLEMENTED")+COUNTIFS(MASTER!$C$2:$C$2000,$E62,MASTER!$G$2:$G$2000,"TESTING")</f>
        <v>0</v>
      </c>
      <c r="K62" s="13">
        <f>COUNTIFS(MASTER!$C$2:$C$2000,$E62,MASTER!$G$2:$G$2000,"BLOCKED")</f>
        <v>0</v>
      </c>
      <c r="L62" s="13">
        <f>COUNTIFS(MASTER!$C$2:$C$2000,$E62,MASTER!$G$2:$G$2000,"FAILED")</f>
        <v>0</v>
      </c>
      <c r="M62" s="14">
        <f t="shared" si="2"/>
        <v>0</v>
      </c>
      <c r="N62" s="14">
        <f t="shared" si="3"/>
        <v>0</v>
      </c>
    </row>
    <row r="63" spans="1:14" x14ac:dyDescent="0.25">
      <c r="A63" s="17" t="s">
        <v>150</v>
      </c>
      <c r="B63" s="1" t="s">
        <v>151</v>
      </c>
      <c r="E63" s="15" t="s">
        <v>152</v>
      </c>
      <c r="F63" s="17" t="s">
        <v>142</v>
      </c>
      <c r="G63" s="13">
        <f>COUNTIF(MASTER!$C$2:$C$2000,$E63)</f>
        <v>3</v>
      </c>
      <c r="H63" s="13">
        <f>COUNTIFS(MASTER!$C$2:$C$2000,$E63,MASTER!$G$2:$G$2000,"DONE")</f>
        <v>1</v>
      </c>
      <c r="I63" s="13">
        <f>COUNTIFS(MASTER!$C$2:$C$2000,$E63,MASTER!$G$2:$G$2000,"VERIFIED")+H63</f>
        <v>1</v>
      </c>
      <c r="J63" s="13">
        <f>COUNTIFS(MASTER!$C$2:$C$2000,$E63,MASTER!$G$2:$G$2000,"IN_PROGRESS")+COUNTIFS(MASTER!$C$2:$C$2000,$E63,MASTER!$G$2:$G$2000,"IMPLEMENTED")+COUNTIFS(MASTER!$C$2:$C$2000,$E63,MASTER!$G$2:$G$2000,"TESTING")</f>
        <v>0</v>
      </c>
      <c r="K63" s="13">
        <f>COUNTIFS(MASTER!$C$2:$C$2000,$E63,MASTER!$G$2:$G$2000,"BLOCKED")</f>
        <v>0</v>
      </c>
      <c r="L63" s="13">
        <f>COUNTIFS(MASTER!$C$2:$C$2000,$E63,MASTER!$G$2:$G$2000,"FAILED")</f>
        <v>0</v>
      </c>
      <c r="M63" s="14">
        <f t="shared" si="2"/>
        <v>0.33333333333333331</v>
      </c>
      <c r="N63" s="14">
        <f t="shared" si="3"/>
        <v>0.33333333333333331</v>
      </c>
    </row>
    <row r="64" spans="1:14" x14ac:dyDescent="0.25">
      <c r="A64" s="17" t="s">
        <v>153</v>
      </c>
      <c r="B64" s="1" t="s">
        <v>154</v>
      </c>
    </row>
    <row r="66" spans="1:1" ht="15.75" x14ac:dyDescent="0.25">
      <c r="A66" s="5" t="s">
        <v>155</v>
      </c>
    </row>
    <row r="67" spans="1:1" x14ac:dyDescent="0.25">
      <c r="A67" s="1" t="s">
        <v>156</v>
      </c>
    </row>
    <row r="68" spans="1:1" x14ac:dyDescent="0.25">
      <c r="A68" s="1" t="s">
        <v>157</v>
      </c>
    </row>
    <row r="69" spans="1:1" x14ac:dyDescent="0.25">
      <c r="A69" s="1" t="s">
        <v>158</v>
      </c>
    </row>
    <row r="70" spans="1:1" x14ac:dyDescent="0.25">
      <c r="A70" s="1" t="s">
        <v>159</v>
      </c>
    </row>
    <row r="71" spans="1:1" x14ac:dyDescent="0.25">
      <c r="A71" s="1" t="s">
        <v>160</v>
      </c>
    </row>
    <row r="72" spans="1:1" x14ac:dyDescent="0.25">
      <c r="A72" s="1" t="s">
        <v>161</v>
      </c>
    </row>
  </sheetData>
  <conditionalFormatting sqref="A24:A33">
    <cfRule type="cellIs" dxfId="340" priority="5" operator="equal">
      <formula>"IN_PROGRESS"</formula>
    </cfRule>
    <cfRule type="cellIs" dxfId="339" priority="6" operator="equal">
      <formula>"BLOCKED"</formula>
    </cfRule>
    <cfRule type="cellIs" dxfId="338" priority="7" operator="equal">
      <formula>"IMPLEMENTED"</formula>
    </cfRule>
    <cfRule type="cellIs" dxfId="337" priority="8" operator="equal">
      <formula>"TESTING"</formula>
    </cfRule>
    <cfRule type="cellIs" dxfId="336" priority="9" operator="equal">
      <formula>"VERIFIED"</formula>
    </cfRule>
    <cfRule type="cellIs" dxfId="335" priority="10" operator="equal">
      <formula>"DONE"</formula>
    </cfRule>
    <cfRule type="cellIs" dxfId="334" priority="11" operator="equal">
      <formula>"FAILED"</formula>
    </cfRule>
    <cfRule type="cellIs" dxfId="333" priority="12" operator="equal">
      <formula>"DEFERRED"</formula>
    </cfRule>
    <cfRule type="cellIs" dxfId="332" priority="13" operator="equal">
      <formula>"UNKNOWN"</formula>
    </cfRule>
  </conditionalFormatting>
  <conditionalFormatting sqref="B9:B10">
    <cfRule type="cellIs" dxfId="331" priority="1" operator="greaterThan">
      <formula>0</formula>
    </cfRule>
  </conditionalFormatting>
  <conditionalFormatting sqref="B16">
    <cfRule type="cellIs" dxfId="330" priority="3" operator="greaterThan">
      <formula>0</formula>
    </cfRule>
  </conditionalFormatting>
  <conditionalFormatting sqref="B20">
    <cfRule type="cellIs" dxfId="329" priority="4" operator="greaterThan">
      <formula>0</formula>
    </cfRule>
  </conditionalFormatting>
  <conditionalFormatting sqref="B37:B42">
    <cfRule type="cellIs" dxfId="328" priority="14" operator="equal">
      <formula>"PASS"</formula>
    </cfRule>
    <cfRule type="cellIs" dxfId="327" priority="15" operator="equal">
      <formula>"FAIL"</formula>
    </cfRule>
    <cfRule type="cellIs" dxfId="326" priority="16" operator="equal">
      <formula>"PARTIAL"</formula>
    </cfRule>
  </conditionalFormatting>
  <conditionalFormatting sqref="M19:N37">
    <cfRule type="dataBar" priority="17">
      <dataBar>
        <cfvo type="num" val="0"/>
        <cfvo type="num" val="1"/>
        <color rgb="FF63BE7B"/>
      </dataBar>
    </cfRule>
  </conditionalFormatting>
  <conditionalFormatting sqref="M41:N63">
    <cfRule type="dataBar" priority="18">
      <dataBar>
        <cfvo type="num" val="0"/>
        <cfvo type="num" val="1"/>
        <color rgb="FF63BE7B"/>
      </dataBar>
    </cfRule>
  </conditionalFormatting>
  <hyperlinks>
    <hyperlink ref="F41" location="'DOCUMENT_FIDELITY'!A1" display="DOCUMENT_FIDELITY" xr:uid="{00000000-0004-0000-0000-000000000000}"/>
    <hyperlink ref="F42" location="'DOCUMENT_FIDELITY'!A1" display="DOCUMENT_FIDELITY" xr:uid="{00000000-0004-0000-0000-000001000000}"/>
    <hyperlink ref="F43" location="'DOCUMENT_FIDELITY'!A1" display="DOCUMENT_FIDELITY" xr:uid="{00000000-0004-0000-0000-000002000000}"/>
    <hyperlink ref="F44" location="'DOCX_OOXML'!A1" display="DOCX_OOXML" xr:uid="{00000000-0004-0000-0000-000003000000}"/>
    <hyperlink ref="A45" location="'DASHBOARD'!A1" display="DASHBOARD" xr:uid="{00000000-0004-0000-0000-000004000000}"/>
    <hyperlink ref="F45" location="'PDF'!A1" display="PDF" xr:uid="{00000000-0004-0000-0000-000005000000}"/>
    <hyperlink ref="A46" location="'MASTER'!A1" display="MASTER" xr:uid="{00000000-0004-0000-0000-000006000000}"/>
    <hyperlink ref="F46" location="'EDITOR'!A1" display="EDITOR" xr:uid="{00000000-0004-0000-0000-000007000000}"/>
    <hyperlink ref="A47" location="'CRITICAL_FIXES'!A1" display="CRITICAL_FIXES" xr:uid="{00000000-0004-0000-0000-000008000000}"/>
    <hyperlink ref="F47" location="'FORMATTING'!A1" display="FORMATTING" xr:uid="{00000000-0004-0000-0000-000009000000}"/>
    <hyperlink ref="A48" location="'DOCUMENT_FIDELITY'!A1" display="DOCUMENT_FIDELITY" xr:uid="{00000000-0004-0000-0000-00000A000000}"/>
    <hyperlink ref="F48" location="'FORMATTING'!A1" display="FORMATTING" xr:uid="{00000000-0004-0000-0000-00000B000000}"/>
    <hyperlink ref="A49" location="'DOCX_OOXML'!A1" display="DOCX_OOXML" xr:uid="{00000000-0004-0000-0000-00000C000000}"/>
    <hyperlink ref="F49" location="'AI'!A1" display="AI" xr:uid="{00000000-0004-0000-0000-00000D000000}"/>
    <hyperlink ref="A50" location="'PDF'!A1" display="PDF" xr:uid="{00000000-0004-0000-0000-00000E000000}"/>
    <hyperlink ref="F50" location="'SECURITY'!A1" display="SECURITY" xr:uid="{00000000-0004-0000-0000-00000F000000}"/>
    <hyperlink ref="A51" location="'EDITOR'!A1" display="EDITOR" xr:uid="{00000000-0004-0000-0000-000010000000}"/>
    <hyperlink ref="F51" location="'SECURITY'!A1" display="SECURITY" xr:uid="{00000000-0004-0000-0000-000011000000}"/>
    <hyperlink ref="A52" location="'FORMATTING'!A1" display="FORMATTING" xr:uid="{00000000-0004-0000-0000-000012000000}"/>
    <hyperlink ref="F52" location="'PERFORMANCE'!A1" display="PERFORMANCE" xr:uid="{00000000-0004-0000-0000-000013000000}"/>
    <hyperlink ref="A53" location="'AI'!A1" display="AI" xr:uid="{00000000-0004-0000-0000-000014000000}"/>
    <hyperlink ref="F53" location="'TESTING'!A1" display="TESTING" xr:uid="{00000000-0004-0000-0000-000015000000}"/>
    <hyperlink ref="A54" location="'SECURITY'!A1" display="SECURITY" xr:uid="{00000000-0004-0000-0000-000016000000}"/>
    <hyperlink ref="F54" location="'PRODUCT_FEATURES'!A1" display="PRODUCT_FEATURES" xr:uid="{00000000-0004-0000-0000-000017000000}"/>
    <hyperlink ref="A55" location="'PERFORMANCE'!A1" display="PERFORMANCE" xr:uid="{00000000-0004-0000-0000-000018000000}"/>
    <hyperlink ref="F55" location="'TRANSLATION'!A1" display="TRANSLATION" xr:uid="{00000000-0004-0000-0000-000019000000}"/>
    <hyperlink ref="A56" location="'TESTING'!A1" display="TESTING" xr:uid="{00000000-0004-0000-0000-00001A000000}"/>
    <hyperlink ref="F56" location="'TRANSLATION'!A1" display="TRANSLATION" xr:uid="{00000000-0004-0000-0000-00001B000000}"/>
    <hyperlink ref="A57" location="'PRODUCT_FEATURES'!A1" display="PRODUCT_FEATURES" xr:uid="{00000000-0004-0000-0000-00001C000000}"/>
    <hyperlink ref="F57" location="'PDF_TO_EDITABLE'!A1" display="PDF_TO_EDITABLE" xr:uid="{00000000-0004-0000-0000-00001D000000}"/>
    <hyperlink ref="A58" location="'TRANSLATION'!A1" display="TRANSLATION" xr:uid="{00000000-0004-0000-0000-00001E000000}"/>
    <hyperlink ref="F58" location="'BILLING_PLANS'!A1" display="BILLING_PLANS" xr:uid="{00000000-0004-0000-0000-00001F000000}"/>
    <hyperlink ref="A59" location="'PDF_TO_EDITABLE'!A1" display="PDF_TO_EDITABLE" xr:uid="{00000000-0004-0000-0000-000020000000}"/>
    <hyperlink ref="F59" location="'INFRA'!A1" display="INFRA" xr:uid="{00000000-0004-0000-0000-000021000000}"/>
    <hyperlink ref="A60" location="'BILLING_PLANS'!A1" display="BILLING_PLANS" xr:uid="{00000000-0004-0000-0000-000022000000}"/>
    <hyperlink ref="F60" location="'INFRA'!A1" display="INFRA" xr:uid="{00000000-0004-0000-0000-000023000000}"/>
    <hyperlink ref="A61" location="'INFRA'!A1" display="INFRA" xr:uid="{00000000-0004-0000-0000-000024000000}"/>
    <hyperlink ref="F61" location="'INFRA'!A1" display="INFRA" xr:uid="{00000000-0004-0000-0000-000025000000}"/>
    <hyperlink ref="A62" location="'CHANGE_LOG'!A1" display="CHANGE_LOG" xr:uid="{00000000-0004-0000-0000-000026000000}"/>
    <hyperlink ref="F62" location="'INFRA'!A1" display="INFRA" xr:uid="{00000000-0004-0000-0000-000027000000}"/>
    <hyperlink ref="A63" location="'SESSION_STATE'!A1" display="SESSION_STATE" xr:uid="{00000000-0004-0000-0000-000028000000}"/>
    <hyperlink ref="F63" location="'INFRA'!A1" display="INFRA" xr:uid="{00000000-0004-0000-0000-000029000000}"/>
    <hyperlink ref="A64" location="'RELEASE_GATES'!A1" display="RELEASE_GATES" xr:uid="{00000000-0004-0000-0000-00002A000000}"/>
  </hyperlinks>
  <pageMargins left="0.75" right="0.75" top="1" bottom="1" header="0.5" footer="0.5"/>
  <pageSetup fitToHeight="0"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A1:S161"/>
  <sheetViews>
    <sheetView workbookViewId="0">
      <pane xSplit="1" ySplit="1" topLeftCell="B2" activePane="bottomRight" state="frozen"/>
      <selection pane="topRight"/>
      <selection pane="bottomLeft"/>
      <selection pane="bottomRight"/>
    </sheetView>
  </sheetViews>
  <sheetFormatPr defaultRowHeight="15" x14ac:dyDescent="0.25"/>
  <cols>
    <col min="1" max="1" width="12" customWidth="1"/>
    <col min="2" max="2" width="7" customWidth="1"/>
    <col min="3" max="3" width="14" customWidth="1"/>
    <col min="4" max="4" width="42" customWidth="1"/>
    <col min="5" max="5" width="60" customWidth="1"/>
    <col min="6" max="6" width="9" customWidth="1"/>
    <col min="7" max="7" width="14" customWidth="1"/>
    <col min="8" max="8" width="45" customWidth="1"/>
    <col min="9" max="9" width="40" customWidth="1"/>
    <col min="10" max="10" width="24" customWidth="1"/>
    <col min="11" max="11" width="22" customWidth="1"/>
    <col min="12" max="12" width="9" customWidth="1"/>
    <col min="13" max="15" width="17" customWidth="1"/>
    <col min="16" max="16" width="10" customWidth="1"/>
    <col min="17" max="17" width="45" customWidth="1"/>
    <col min="18" max="18" width="11" customWidth="1"/>
    <col min="19" max="19" width="16" customWidth="1"/>
  </cols>
  <sheetData>
    <row r="1" spans="1:19" x14ac:dyDescent="0.25">
      <c r="A1" s="10" t="s">
        <v>162</v>
      </c>
      <c r="B1" s="10" t="s">
        <v>43</v>
      </c>
      <c r="C1" s="10" t="s">
        <v>99</v>
      </c>
      <c r="D1" s="10" t="s">
        <v>163</v>
      </c>
      <c r="E1" s="10" t="s">
        <v>164</v>
      </c>
      <c r="F1" s="10" t="s">
        <v>165</v>
      </c>
      <c r="G1" s="10" t="s">
        <v>57</v>
      </c>
      <c r="H1" s="10" t="s">
        <v>166</v>
      </c>
      <c r="I1" s="10" t="s">
        <v>167</v>
      </c>
      <c r="J1" s="10" t="s">
        <v>168</v>
      </c>
      <c r="K1" s="10" t="s">
        <v>169</v>
      </c>
      <c r="L1" s="10" t="s">
        <v>170</v>
      </c>
      <c r="M1" s="10" t="s">
        <v>171</v>
      </c>
      <c r="N1" s="10" t="s">
        <v>172</v>
      </c>
      <c r="O1" s="10" t="s">
        <v>15</v>
      </c>
      <c r="P1" s="10" t="s">
        <v>173</v>
      </c>
      <c r="Q1" s="10" t="s">
        <v>174</v>
      </c>
      <c r="R1" s="10" t="s">
        <v>175</v>
      </c>
      <c r="S1" s="10" t="s">
        <v>176</v>
      </c>
    </row>
    <row r="2" spans="1:19" ht="76.5" x14ac:dyDescent="0.25">
      <c r="A2" s="15" t="s">
        <v>177</v>
      </c>
      <c r="B2" s="16">
        <v>0</v>
      </c>
      <c r="C2" s="12" t="s">
        <v>142</v>
      </c>
      <c r="D2" s="18" t="s">
        <v>178</v>
      </c>
      <c r="E2" s="18" t="s">
        <v>179</v>
      </c>
      <c r="F2" s="12" t="s">
        <v>180</v>
      </c>
      <c r="G2" s="12" t="s">
        <v>78</v>
      </c>
      <c r="H2" s="18" t="s">
        <v>181</v>
      </c>
      <c r="I2" s="18" t="s">
        <v>182</v>
      </c>
      <c r="J2" s="18" t="s">
        <v>183</v>
      </c>
      <c r="K2" s="18"/>
      <c r="L2" s="12" t="s">
        <v>184</v>
      </c>
      <c r="M2" s="19">
        <v>46292.160995370366</v>
      </c>
      <c r="N2" s="19">
        <v>46292.171400462961</v>
      </c>
      <c r="O2" s="19">
        <v>46292.171400462961</v>
      </c>
      <c r="P2" s="12" t="s">
        <v>185</v>
      </c>
      <c r="Q2" s="18"/>
      <c r="R2" s="12"/>
      <c r="S2" s="12"/>
    </row>
    <row r="3" spans="1:19" ht="51" x14ac:dyDescent="0.25">
      <c r="A3" s="15" t="s">
        <v>186</v>
      </c>
      <c r="B3" s="16">
        <v>0</v>
      </c>
      <c r="C3" s="12" t="s">
        <v>142</v>
      </c>
      <c r="D3" s="18" t="s">
        <v>187</v>
      </c>
      <c r="E3" s="18" t="s">
        <v>188</v>
      </c>
      <c r="F3" s="12" t="s">
        <v>180</v>
      </c>
      <c r="G3" s="12" t="s">
        <v>78</v>
      </c>
      <c r="H3" s="18" t="s">
        <v>189</v>
      </c>
      <c r="I3" s="18" t="s">
        <v>190</v>
      </c>
      <c r="J3" s="18" t="s">
        <v>191</v>
      </c>
      <c r="K3" s="18" t="s">
        <v>177</v>
      </c>
      <c r="L3" s="12" t="s">
        <v>184</v>
      </c>
      <c r="M3" s="19">
        <v>46292.161874999998</v>
      </c>
      <c r="N3" s="19">
        <v>46292.171435185177</v>
      </c>
      <c r="O3" s="19">
        <v>46292.171435185177</v>
      </c>
      <c r="P3" s="12" t="s">
        <v>185</v>
      </c>
      <c r="Q3" s="18"/>
      <c r="R3" s="12"/>
      <c r="S3" s="12"/>
    </row>
    <row r="4" spans="1:19" ht="38.25" x14ac:dyDescent="0.25">
      <c r="A4" s="15" t="s">
        <v>192</v>
      </c>
      <c r="B4" s="16">
        <v>0</v>
      </c>
      <c r="C4" s="12" t="s">
        <v>142</v>
      </c>
      <c r="D4" s="18" t="s">
        <v>193</v>
      </c>
      <c r="E4" s="18" t="s">
        <v>194</v>
      </c>
      <c r="F4" s="12" t="s">
        <v>195</v>
      </c>
      <c r="G4" s="12" t="s">
        <v>78</v>
      </c>
      <c r="H4" s="18" t="s">
        <v>196</v>
      </c>
      <c r="I4" s="18" t="s">
        <v>197</v>
      </c>
      <c r="J4" s="18" t="s">
        <v>198</v>
      </c>
      <c r="K4" s="18"/>
      <c r="L4" s="12" t="s">
        <v>184</v>
      </c>
      <c r="M4" s="19">
        <v>46292.161030092589</v>
      </c>
      <c r="N4" s="19">
        <v>46292.171469907407</v>
      </c>
      <c r="O4" s="19">
        <v>46292.171469907407</v>
      </c>
      <c r="P4" s="12" t="s">
        <v>185</v>
      </c>
      <c r="Q4" s="18"/>
      <c r="R4" s="12"/>
      <c r="S4" s="12"/>
    </row>
    <row r="5" spans="1:19" ht="25.5" x14ac:dyDescent="0.25">
      <c r="A5" s="15" t="s">
        <v>199</v>
      </c>
      <c r="B5" s="16">
        <v>0</v>
      </c>
      <c r="C5" s="12" t="s">
        <v>72</v>
      </c>
      <c r="D5" s="18" t="s">
        <v>200</v>
      </c>
      <c r="E5" s="18" t="s">
        <v>201</v>
      </c>
      <c r="F5" s="12" t="s">
        <v>180</v>
      </c>
      <c r="G5" s="12" t="s">
        <v>78</v>
      </c>
      <c r="H5" s="18" t="s">
        <v>202</v>
      </c>
      <c r="I5" s="18" t="s">
        <v>203</v>
      </c>
      <c r="J5" s="18" t="s">
        <v>204</v>
      </c>
      <c r="K5" s="18"/>
      <c r="L5" s="12" t="s">
        <v>184</v>
      </c>
      <c r="M5" s="19">
        <v>46292.167349537027</v>
      </c>
      <c r="N5" s="19">
        <v>46292.17150462963</v>
      </c>
      <c r="O5" s="19">
        <v>46292.17150462963</v>
      </c>
      <c r="P5" s="12" t="s">
        <v>185</v>
      </c>
      <c r="Q5" s="18"/>
      <c r="R5" s="12"/>
      <c r="S5" s="12"/>
    </row>
    <row r="6" spans="1:19" ht="25.5" x14ac:dyDescent="0.25">
      <c r="A6" s="15" t="s">
        <v>205</v>
      </c>
      <c r="B6" s="16">
        <v>0</v>
      </c>
      <c r="C6" s="12" t="s">
        <v>72</v>
      </c>
      <c r="D6" s="18" t="s">
        <v>206</v>
      </c>
      <c r="E6" s="18" t="s">
        <v>207</v>
      </c>
      <c r="F6" s="12" t="s">
        <v>180</v>
      </c>
      <c r="G6" s="12" t="s">
        <v>78</v>
      </c>
      <c r="H6" s="18" t="s">
        <v>208</v>
      </c>
      <c r="I6" s="18" t="s">
        <v>209</v>
      </c>
      <c r="J6" s="18" t="s">
        <v>210</v>
      </c>
      <c r="K6" s="18"/>
      <c r="L6" s="12" t="s">
        <v>184</v>
      </c>
      <c r="M6" s="19">
        <v>46292.167395833327</v>
      </c>
      <c r="N6" s="19">
        <v>46292.171550925923</v>
      </c>
      <c r="O6" s="19">
        <v>46292.171550925923</v>
      </c>
      <c r="P6" s="12" t="s">
        <v>185</v>
      </c>
      <c r="Q6" s="18"/>
      <c r="R6" s="12"/>
      <c r="S6" s="12"/>
    </row>
    <row r="7" spans="1:19" ht="25.5" x14ac:dyDescent="0.25">
      <c r="A7" s="15" t="s">
        <v>211</v>
      </c>
      <c r="B7" s="16">
        <v>0</v>
      </c>
      <c r="C7" s="12" t="s">
        <v>72</v>
      </c>
      <c r="D7" s="18" t="s">
        <v>212</v>
      </c>
      <c r="E7" s="18" t="s">
        <v>213</v>
      </c>
      <c r="F7" s="12" t="s">
        <v>180</v>
      </c>
      <c r="G7" s="12" t="s">
        <v>78</v>
      </c>
      <c r="H7" s="18" t="s">
        <v>214</v>
      </c>
      <c r="I7" s="18" t="s">
        <v>215</v>
      </c>
      <c r="J7" s="18" t="s">
        <v>216</v>
      </c>
      <c r="K7" s="18"/>
      <c r="L7" s="12" t="s">
        <v>184</v>
      </c>
      <c r="M7" s="19">
        <v>46292.167430555557</v>
      </c>
      <c r="N7" s="19">
        <v>46292.171585648153</v>
      </c>
      <c r="O7" s="19">
        <v>46292.171585648153</v>
      </c>
      <c r="P7" s="12" t="s">
        <v>185</v>
      </c>
      <c r="Q7" s="18"/>
      <c r="R7" s="12"/>
      <c r="S7" s="12"/>
    </row>
    <row r="8" spans="1:19" ht="38.25" x14ac:dyDescent="0.25">
      <c r="A8" s="15" t="s">
        <v>217</v>
      </c>
      <c r="B8" s="16">
        <v>0</v>
      </c>
      <c r="C8" s="12" t="s">
        <v>72</v>
      </c>
      <c r="D8" s="18" t="s">
        <v>218</v>
      </c>
      <c r="E8" s="18" t="s">
        <v>219</v>
      </c>
      <c r="F8" s="12" t="s">
        <v>180</v>
      </c>
      <c r="G8" s="12" t="s">
        <v>78</v>
      </c>
      <c r="H8" s="18" t="s">
        <v>220</v>
      </c>
      <c r="I8" s="18" t="s">
        <v>221</v>
      </c>
      <c r="J8" s="18" t="s">
        <v>222</v>
      </c>
      <c r="K8" s="18"/>
      <c r="L8" s="12" t="s">
        <v>184</v>
      </c>
      <c r="M8" s="19">
        <v>46292.16746527778</v>
      </c>
      <c r="N8" s="19">
        <v>46292.171620370369</v>
      </c>
      <c r="O8" s="19">
        <v>46292.171620370369</v>
      </c>
      <c r="P8" s="12" t="s">
        <v>185</v>
      </c>
      <c r="Q8" s="18"/>
      <c r="R8" s="12"/>
      <c r="S8" s="12"/>
    </row>
    <row r="9" spans="1:19" ht="38.25" x14ac:dyDescent="0.25">
      <c r="A9" s="15" t="s">
        <v>223</v>
      </c>
      <c r="B9" s="16">
        <v>0</v>
      </c>
      <c r="C9" s="12" t="s">
        <v>122</v>
      </c>
      <c r="D9" s="18" t="s">
        <v>224</v>
      </c>
      <c r="E9" s="18" t="s">
        <v>225</v>
      </c>
      <c r="F9" s="12" t="s">
        <v>195</v>
      </c>
      <c r="G9" s="12" t="s">
        <v>78</v>
      </c>
      <c r="H9" s="18" t="s">
        <v>226</v>
      </c>
      <c r="I9" s="18" t="s">
        <v>227</v>
      </c>
      <c r="J9" s="18" t="s">
        <v>228</v>
      </c>
      <c r="K9" s="18"/>
      <c r="L9" s="12" t="s">
        <v>184</v>
      </c>
      <c r="M9" s="19">
        <v>46292.167500000003</v>
      </c>
      <c r="N9" s="19">
        <v>46292.171689814822</v>
      </c>
      <c r="O9" s="19">
        <v>46292.171689814822</v>
      </c>
      <c r="P9" s="12" t="s">
        <v>185</v>
      </c>
      <c r="Q9" s="18"/>
      <c r="R9" s="12"/>
      <c r="S9" s="12"/>
    </row>
    <row r="10" spans="1:19" ht="51" x14ac:dyDescent="0.25">
      <c r="A10" s="15" t="s">
        <v>229</v>
      </c>
      <c r="B10" s="16">
        <v>0</v>
      </c>
      <c r="C10" s="12" t="s">
        <v>142</v>
      </c>
      <c r="D10" s="18" t="s">
        <v>230</v>
      </c>
      <c r="E10" s="18" t="s">
        <v>231</v>
      </c>
      <c r="F10" s="12" t="s">
        <v>195</v>
      </c>
      <c r="G10" s="12" t="s">
        <v>78</v>
      </c>
      <c r="H10" s="18" t="s">
        <v>232</v>
      </c>
      <c r="I10" s="18" t="s">
        <v>233</v>
      </c>
      <c r="J10" s="18" t="s">
        <v>234</v>
      </c>
      <c r="K10" s="18"/>
      <c r="L10" s="12" t="s">
        <v>184</v>
      </c>
      <c r="M10" s="19">
        <v>46292.167534722219</v>
      </c>
      <c r="N10" s="19">
        <v>46292.171736111108</v>
      </c>
      <c r="O10" s="19">
        <v>46292.171736111108</v>
      </c>
      <c r="P10" s="12" t="s">
        <v>185</v>
      </c>
      <c r="Q10" s="18" t="s">
        <v>235</v>
      </c>
      <c r="R10" s="12"/>
      <c r="S10" s="12"/>
    </row>
    <row r="11" spans="1:19" ht="38.25" x14ac:dyDescent="0.25">
      <c r="A11" s="15" t="s">
        <v>236</v>
      </c>
      <c r="B11" s="16">
        <v>0</v>
      </c>
      <c r="C11" s="12" t="s">
        <v>72</v>
      </c>
      <c r="D11" s="18" t="s">
        <v>237</v>
      </c>
      <c r="E11" s="18" t="s">
        <v>238</v>
      </c>
      <c r="F11" s="12" t="s">
        <v>195</v>
      </c>
      <c r="G11" s="12" t="s">
        <v>78</v>
      </c>
      <c r="H11" s="18" t="s">
        <v>239</v>
      </c>
      <c r="I11" s="18" t="s">
        <v>240</v>
      </c>
      <c r="J11" s="18" t="s">
        <v>241</v>
      </c>
      <c r="K11" s="18"/>
      <c r="L11" s="12" t="s">
        <v>184</v>
      </c>
      <c r="M11" s="19">
        <v>46292.167569444442</v>
      </c>
      <c r="N11" s="19">
        <v>46292.171655092592</v>
      </c>
      <c r="O11" s="19">
        <v>46292.171655092592</v>
      </c>
      <c r="P11" s="12" t="s">
        <v>185</v>
      </c>
      <c r="Q11" s="18"/>
      <c r="R11" s="12"/>
      <c r="S11" s="12"/>
    </row>
    <row r="12" spans="1:19" ht="38.25" x14ac:dyDescent="0.25">
      <c r="A12" s="15" t="s">
        <v>242</v>
      </c>
      <c r="B12" s="16">
        <v>0</v>
      </c>
      <c r="C12" s="12" t="s">
        <v>152</v>
      </c>
      <c r="D12" s="18" t="s">
        <v>243</v>
      </c>
      <c r="E12" s="18" t="s">
        <v>244</v>
      </c>
      <c r="F12" s="12" t="s">
        <v>180</v>
      </c>
      <c r="G12" s="12" t="s">
        <v>78</v>
      </c>
      <c r="H12" s="18" t="s">
        <v>245</v>
      </c>
      <c r="I12" s="18" t="s">
        <v>246</v>
      </c>
      <c r="J12" s="18" t="s">
        <v>191</v>
      </c>
      <c r="K12" s="18" t="s">
        <v>247</v>
      </c>
      <c r="L12" s="12" t="s">
        <v>184</v>
      </c>
      <c r="M12" s="19">
        <v>46292.16815972222</v>
      </c>
      <c r="N12" s="19">
        <v>46292.171770833331</v>
      </c>
      <c r="O12" s="19">
        <v>46292.171770833331</v>
      </c>
      <c r="P12" s="12" t="s">
        <v>185</v>
      </c>
      <c r="Q12" s="18"/>
      <c r="R12" s="12"/>
      <c r="S12" s="12"/>
    </row>
    <row r="13" spans="1:19" ht="76.5" x14ac:dyDescent="0.25">
      <c r="A13" s="15" t="s">
        <v>248</v>
      </c>
      <c r="B13" s="16">
        <v>1</v>
      </c>
      <c r="C13" s="12" t="s">
        <v>101</v>
      </c>
      <c r="D13" s="18" t="s">
        <v>249</v>
      </c>
      <c r="E13" s="18" t="s">
        <v>250</v>
      </c>
      <c r="F13" s="12" t="s">
        <v>180</v>
      </c>
      <c r="G13" s="12" t="s">
        <v>78</v>
      </c>
      <c r="H13" s="18" t="s">
        <v>251</v>
      </c>
      <c r="I13" s="18" t="s">
        <v>252</v>
      </c>
      <c r="J13" s="18" t="s">
        <v>253</v>
      </c>
      <c r="K13" s="18"/>
      <c r="L13" s="12" t="s">
        <v>254</v>
      </c>
      <c r="M13" s="19">
        <v>46292.175925925927</v>
      </c>
      <c r="N13" s="19">
        <v>46292.196493055562</v>
      </c>
      <c r="O13" s="19">
        <v>46292.196493055562</v>
      </c>
      <c r="P13" s="12" t="s">
        <v>255</v>
      </c>
      <c r="Q13" s="18" t="s">
        <v>256</v>
      </c>
      <c r="R13" s="12"/>
      <c r="S13" s="12" t="s">
        <v>257</v>
      </c>
    </row>
    <row r="14" spans="1:19" ht="38.25" x14ac:dyDescent="0.25">
      <c r="A14" s="15" t="s">
        <v>258</v>
      </c>
      <c r="B14" s="16">
        <v>1</v>
      </c>
      <c r="C14" s="12" t="s">
        <v>101</v>
      </c>
      <c r="D14" s="18" t="s">
        <v>259</v>
      </c>
      <c r="E14" s="18" t="s">
        <v>260</v>
      </c>
      <c r="F14" s="12" t="s">
        <v>180</v>
      </c>
      <c r="G14" s="12" t="s">
        <v>78</v>
      </c>
      <c r="H14" s="18" t="s">
        <v>261</v>
      </c>
      <c r="I14" s="18" t="s">
        <v>262</v>
      </c>
      <c r="J14" s="18" t="s">
        <v>263</v>
      </c>
      <c r="K14" s="18" t="s">
        <v>248</v>
      </c>
      <c r="L14" s="12" t="s">
        <v>264</v>
      </c>
      <c r="M14" s="19">
        <v>46292.189768518518</v>
      </c>
      <c r="N14" s="19">
        <v>46292.196527777778</v>
      </c>
      <c r="O14" s="19">
        <v>46292.196527777778</v>
      </c>
      <c r="P14" s="12" t="s">
        <v>255</v>
      </c>
      <c r="Q14" s="18"/>
      <c r="R14" s="12" t="s">
        <v>248</v>
      </c>
      <c r="S14" s="12" t="s">
        <v>265</v>
      </c>
    </row>
    <row r="15" spans="1:19" ht="76.5" x14ac:dyDescent="0.25">
      <c r="A15" s="15" t="s">
        <v>266</v>
      </c>
      <c r="B15" s="16">
        <v>1</v>
      </c>
      <c r="C15" s="12" t="s">
        <v>101</v>
      </c>
      <c r="D15" s="18" t="s">
        <v>267</v>
      </c>
      <c r="E15" s="18" t="s">
        <v>268</v>
      </c>
      <c r="F15" s="12" t="s">
        <v>180</v>
      </c>
      <c r="G15" s="12" t="s">
        <v>78</v>
      </c>
      <c r="H15" s="18" t="s">
        <v>269</v>
      </c>
      <c r="I15" s="18" t="s">
        <v>270</v>
      </c>
      <c r="J15" s="18" t="s">
        <v>271</v>
      </c>
      <c r="K15" s="18" t="s">
        <v>248</v>
      </c>
      <c r="L15" s="12" t="s">
        <v>254</v>
      </c>
      <c r="M15" s="19">
        <v>46292.189803240741</v>
      </c>
      <c r="N15" s="19">
        <v>46292.196562500001</v>
      </c>
      <c r="O15" s="19">
        <v>46292.196562500001</v>
      </c>
      <c r="P15" s="12" t="s">
        <v>255</v>
      </c>
      <c r="Q15" s="18"/>
      <c r="R15" s="12" t="s">
        <v>248</v>
      </c>
      <c r="S15" s="12" t="s">
        <v>265</v>
      </c>
    </row>
    <row r="16" spans="1:19" ht="51" x14ac:dyDescent="0.25">
      <c r="A16" s="15" t="s">
        <v>272</v>
      </c>
      <c r="B16" s="16">
        <v>1</v>
      </c>
      <c r="C16" s="12" t="s">
        <v>113</v>
      </c>
      <c r="D16" s="18" t="s">
        <v>273</v>
      </c>
      <c r="E16" s="18" t="s">
        <v>274</v>
      </c>
      <c r="F16" s="12" t="s">
        <v>180</v>
      </c>
      <c r="G16" s="12" t="s">
        <v>78</v>
      </c>
      <c r="H16" s="18" t="s">
        <v>275</v>
      </c>
      <c r="I16" s="18" t="s">
        <v>276</v>
      </c>
      <c r="J16" s="18" t="s">
        <v>277</v>
      </c>
      <c r="K16" s="18" t="s">
        <v>258</v>
      </c>
      <c r="L16" s="12" t="s">
        <v>254</v>
      </c>
      <c r="M16" s="19">
        <v>46292.18990740741</v>
      </c>
      <c r="N16" s="19">
        <v>46292.196597222217</v>
      </c>
      <c r="O16" s="19">
        <v>46292.196597222217</v>
      </c>
      <c r="P16" s="12" t="s">
        <v>255</v>
      </c>
      <c r="Q16" s="18"/>
      <c r="R16" s="12"/>
      <c r="S16" s="12" t="s">
        <v>265</v>
      </c>
    </row>
    <row r="17" spans="1:19" ht="51" x14ac:dyDescent="0.25">
      <c r="A17" s="15" t="s">
        <v>278</v>
      </c>
      <c r="B17" s="16">
        <v>1</v>
      </c>
      <c r="C17" s="12" t="s">
        <v>113</v>
      </c>
      <c r="D17" s="18" t="s">
        <v>279</v>
      </c>
      <c r="E17" s="18" t="s">
        <v>280</v>
      </c>
      <c r="F17" s="12" t="s">
        <v>180</v>
      </c>
      <c r="G17" s="12" t="s">
        <v>78</v>
      </c>
      <c r="H17" s="18" t="s">
        <v>275</v>
      </c>
      <c r="I17" s="18" t="s">
        <v>276</v>
      </c>
      <c r="J17" s="18" t="s">
        <v>277</v>
      </c>
      <c r="K17" s="18" t="s">
        <v>258</v>
      </c>
      <c r="L17" s="12" t="s">
        <v>254</v>
      </c>
      <c r="M17" s="19">
        <v>46292.190300925933</v>
      </c>
      <c r="N17" s="19">
        <v>46292.196643518517</v>
      </c>
      <c r="O17" s="19">
        <v>46292.196643518517</v>
      </c>
      <c r="P17" s="12" t="s">
        <v>255</v>
      </c>
      <c r="Q17" s="18"/>
      <c r="R17" s="12"/>
      <c r="S17" s="12" t="s">
        <v>265</v>
      </c>
    </row>
    <row r="18" spans="1:19" ht="51" x14ac:dyDescent="0.25">
      <c r="A18" s="15" t="s">
        <v>281</v>
      </c>
      <c r="B18" s="16">
        <v>1</v>
      </c>
      <c r="C18" s="12" t="s">
        <v>113</v>
      </c>
      <c r="D18" s="18" t="s">
        <v>282</v>
      </c>
      <c r="E18" s="18" t="s">
        <v>283</v>
      </c>
      <c r="F18" s="12" t="s">
        <v>180</v>
      </c>
      <c r="G18" s="12" t="s">
        <v>78</v>
      </c>
      <c r="H18" s="18" t="s">
        <v>275</v>
      </c>
      <c r="I18" s="18" t="s">
        <v>276</v>
      </c>
      <c r="J18" s="18" t="s">
        <v>277</v>
      </c>
      <c r="K18" s="18" t="s">
        <v>258</v>
      </c>
      <c r="L18" s="12" t="s">
        <v>254</v>
      </c>
      <c r="M18" s="19">
        <v>46292.189988425933</v>
      </c>
      <c r="N18" s="19">
        <v>46292.19667824074</v>
      </c>
      <c r="O18" s="19">
        <v>46292.19667824074</v>
      </c>
      <c r="P18" s="12" t="s">
        <v>255</v>
      </c>
      <c r="Q18" s="18"/>
      <c r="R18" s="12"/>
      <c r="S18" s="12" t="s">
        <v>265</v>
      </c>
    </row>
    <row r="19" spans="1:19" ht="51" x14ac:dyDescent="0.25">
      <c r="A19" s="15" t="s">
        <v>284</v>
      </c>
      <c r="B19" s="16">
        <v>1</v>
      </c>
      <c r="C19" s="12" t="s">
        <v>113</v>
      </c>
      <c r="D19" s="18" t="s">
        <v>285</v>
      </c>
      <c r="E19" s="18" t="s">
        <v>286</v>
      </c>
      <c r="F19" s="12" t="s">
        <v>180</v>
      </c>
      <c r="G19" s="12" t="s">
        <v>78</v>
      </c>
      <c r="H19" s="18" t="s">
        <v>275</v>
      </c>
      <c r="I19" s="18" t="s">
        <v>276</v>
      </c>
      <c r="J19" s="18" t="s">
        <v>277</v>
      </c>
      <c r="K19" s="18" t="s">
        <v>287</v>
      </c>
      <c r="L19" s="12" t="s">
        <v>254</v>
      </c>
      <c r="M19" s="19">
        <v>46292.190023148149</v>
      </c>
      <c r="N19" s="19">
        <v>46292.196712962963</v>
      </c>
      <c r="O19" s="19">
        <v>46292.196712962963</v>
      </c>
      <c r="P19" s="12" t="s">
        <v>255</v>
      </c>
      <c r="Q19" s="18"/>
      <c r="R19" s="12"/>
      <c r="S19" s="12" t="s">
        <v>265</v>
      </c>
    </row>
    <row r="20" spans="1:19" ht="63.75" x14ac:dyDescent="0.25">
      <c r="A20" s="15" t="s">
        <v>288</v>
      </c>
      <c r="B20" s="16">
        <v>1</v>
      </c>
      <c r="C20" s="12" t="s">
        <v>113</v>
      </c>
      <c r="D20" s="18" t="s">
        <v>289</v>
      </c>
      <c r="E20" s="18" t="s">
        <v>290</v>
      </c>
      <c r="F20" s="12" t="s">
        <v>180</v>
      </c>
      <c r="G20" s="12" t="s">
        <v>78</v>
      </c>
      <c r="H20" s="18" t="s">
        <v>291</v>
      </c>
      <c r="I20" s="18" t="s">
        <v>292</v>
      </c>
      <c r="J20" s="18" t="s">
        <v>277</v>
      </c>
      <c r="K20" s="18" t="s">
        <v>284</v>
      </c>
      <c r="L20" s="12" t="s">
        <v>254</v>
      </c>
      <c r="M20" s="19">
        <v>46292.190057870372</v>
      </c>
      <c r="N20" s="19">
        <v>46292.196747685193</v>
      </c>
      <c r="O20" s="19">
        <v>46292.196747685193</v>
      </c>
      <c r="P20" s="12" t="s">
        <v>255</v>
      </c>
      <c r="Q20" s="18"/>
      <c r="R20" s="12"/>
      <c r="S20" s="12" t="s">
        <v>265</v>
      </c>
    </row>
    <row r="21" spans="1:19" ht="38.25" x14ac:dyDescent="0.25">
      <c r="A21" s="15" t="s">
        <v>293</v>
      </c>
      <c r="B21" s="16">
        <v>1</v>
      </c>
      <c r="C21" s="12" t="s">
        <v>113</v>
      </c>
      <c r="D21" s="18" t="s">
        <v>294</v>
      </c>
      <c r="E21" s="18" t="s">
        <v>295</v>
      </c>
      <c r="F21" s="12" t="s">
        <v>195</v>
      </c>
      <c r="G21" s="12" t="s">
        <v>60</v>
      </c>
      <c r="H21" s="18"/>
      <c r="I21" s="18"/>
      <c r="J21" s="18" t="s">
        <v>277</v>
      </c>
      <c r="K21" s="18"/>
      <c r="L21" s="12" t="s">
        <v>264</v>
      </c>
      <c r="M21" s="19"/>
      <c r="N21" s="19"/>
      <c r="O21" s="19"/>
      <c r="P21" s="12"/>
      <c r="Q21" s="18"/>
      <c r="R21" s="12" t="s">
        <v>288</v>
      </c>
      <c r="S21" s="12" t="s">
        <v>296</v>
      </c>
    </row>
    <row r="22" spans="1:19" ht="25.5" x14ac:dyDescent="0.25">
      <c r="A22" s="15" t="s">
        <v>297</v>
      </c>
      <c r="B22" s="16">
        <v>1</v>
      </c>
      <c r="C22" s="12" t="s">
        <v>113</v>
      </c>
      <c r="D22" s="18" t="s">
        <v>298</v>
      </c>
      <c r="E22" s="18" t="s">
        <v>299</v>
      </c>
      <c r="F22" s="12" t="s">
        <v>195</v>
      </c>
      <c r="G22" s="12" t="s">
        <v>60</v>
      </c>
      <c r="H22" s="18"/>
      <c r="I22" s="18"/>
      <c r="J22" s="18" t="s">
        <v>277</v>
      </c>
      <c r="K22" s="18"/>
      <c r="L22" s="12" t="s">
        <v>264</v>
      </c>
      <c r="M22" s="19"/>
      <c r="N22" s="19"/>
      <c r="O22" s="19"/>
      <c r="P22" s="12"/>
      <c r="Q22" s="18"/>
      <c r="R22" s="12" t="s">
        <v>288</v>
      </c>
      <c r="S22" s="12" t="s">
        <v>300</v>
      </c>
    </row>
    <row r="23" spans="1:19" ht="25.5" x14ac:dyDescent="0.25">
      <c r="A23" s="15" t="s">
        <v>301</v>
      </c>
      <c r="B23" s="16">
        <v>1</v>
      </c>
      <c r="C23" s="12" t="s">
        <v>113</v>
      </c>
      <c r="D23" s="18" t="s">
        <v>302</v>
      </c>
      <c r="E23" s="18" t="s">
        <v>303</v>
      </c>
      <c r="F23" s="12" t="s">
        <v>304</v>
      </c>
      <c r="G23" s="12" t="s">
        <v>60</v>
      </c>
      <c r="H23" s="18"/>
      <c r="I23" s="18"/>
      <c r="J23" s="18" t="s">
        <v>277</v>
      </c>
      <c r="K23" s="18"/>
      <c r="L23" s="12" t="s">
        <v>184</v>
      </c>
      <c r="M23" s="19"/>
      <c r="N23" s="19"/>
      <c r="O23" s="19"/>
      <c r="P23" s="12"/>
      <c r="Q23" s="18"/>
      <c r="R23" s="12" t="s">
        <v>288</v>
      </c>
      <c r="S23" s="12" t="s">
        <v>265</v>
      </c>
    </row>
    <row r="24" spans="1:19" ht="38.25" x14ac:dyDescent="0.25">
      <c r="A24" s="15" t="s">
        <v>305</v>
      </c>
      <c r="B24" s="16">
        <v>1</v>
      </c>
      <c r="C24" s="12" t="s">
        <v>113</v>
      </c>
      <c r="D24" s="18" t="s">
        <v>306</v>
      </c>
      <c r="E24" s="18" t="s">
        <v>307</v>
      </c>
      <c r="F24" s="12" t="s">
        <v>304</v>
      </c>
      <c r="G24" s="12" t="s">
        <v>60</v>
      </c>
      <c r="H24" s="18"/>
      <c r="I24" s="18"/>
      <c r="J24" s="18" t="s">
        <v>277</v>
      </c>
      <c r="K24" s="18"/>
      <c r="L24" s="12" t="s">
        <v>184</v>
      </c>
      <c r="M24" s="19"/>
      <c r="N24" s="19"/>
      <c r="O24" s="19"/>
      <c r="P24" s="12"/>
      <c r="Q24" s="18"/>
      <c r="R24" s="12" t="s">
        <v>288</v>
      </c>
      <c r="S24" s="12" t="s">
        <v>308</v>
      </c>
    </row>
    <row r="25" spans="1:19" ht="25.5" x14ac:dyDescent="0.25">
      <c r="A25" s="15" t="s">
        <v>309</v>
      </c>
      <c r="B25" s="16">
        <v>1</v>
      </c>
      <c r="C25" s="12" t="s">
        <v>113</v>
      </c>
      <c r="D25" s="18" t="s">
        <v>310</v>
      </c>
      <c r="E25" s="18" t="s">
        <v>311</v>
      </c>
      <c r="F25" s="12" t="s">
        <v>312</v>
      </c>
      <c r="G25" s="12" t="s">
        <v>60</v>
      </c>
      <c r="H25" s="18"/>
      <c r="I25" s="18"/>
      <c r="J25" s="18" t="s">
        <v>277</v>
      </c>
      <c r="K25" s="18"/>
      <c r="L25" s="12" t="s">
        <v>184</v>
      </c>
      <c r="M25" s="19"/>
      <c r="N25" s="19"/>
      <c r="O25" s="19"/>
      <c r="P25" s="12"/>
      <c r="Q25" s="18"/>
      <c r="R25" s="12" t="s">
        <v>288</v>
      </c>
      <c r="S25" s="12" t="s">
        <v>265</v>
      </c>
    </row>
    <row r="26" spans="1:19" ht="25.5" x14ac:dyDescent="0.25">
      <c r="A26" s="15" t="s">
        <v>313</v>
      </c>
      <c r="B26" s="16">
        <v>1</v>
      </c>
      <c r="C26" s="12" t="s">
        <v>113</v>
      </c>
      <c r="D26" s="18" t="s">
        <v>314</v>
      </c>
      <c r="E26" s="18" t="s">
        <v>315</v>
      </c>
      <c r="F26" s="12" t="s">
        <v>180</v>
      </c>
      <c r="G26" s="12" t="s">
        <v>78</v>
      </c>
      <c r="H26" s="18" t="s">
        <v>316</v>
      </c>
      <c r="I26" s="18" t="s">
        <v>317</v>
      </c>
      <c r="J26" s="18" t="s">
        <v>277</v>
      </c>
      <c r="K26" s="18" t="s">
        <v>288</v>
      </c>
      <c r="L26" s="12" t="s">
        <v>254</v>
      </c>
      <c r="M26" s="19">
        <v>46292.193043981482</v>
      </c>
      <c r="N26" s="19">
        <v>46292.196782407409</v>
      </c>
      <c r="O26" s="19">
        <v>46292.196782407409</v>
      </c>
      <c r="P26" s="12" t="s">
        <v>255</v>
      </c>
      <c r="Q26" s="18"/>
      <c r="R26" s="12"/>
      <c r="S26" s="12" t="s">
        <v>265</v>
      </c>
    </row>
    <row r="27" spans="1:19" ht="25.5" x14ac:dyDescent="0.25">
      <c r="A27" s="15" t="s">
        <v>318</v>
      </c>
      <c r="B27" s="16">
        <v>1</v>
      </c>
      <c r="C27" s="12" t="s">
        <v>113</v>
      </c>
      <c r="D27" s="18" t="s">
        <v>319</v>
      </c>
      <c r="E27" s="18" t="s">
        <v>320</v>
      </c>
      <c r="F27" s="12" t="s">
        <v>304</v>
      </c>
      <c r="G27" s="12" t="s">
        <v>60</v>
      </c>
      <c r="H27" s="18"/>
      <c r="I27" s="18"/>
      <c r="J27" s="18" t="s">
        <v>277</v>
      </c>
      <c r="K27" s="18"/>
      <c r="L27" s="12" t="s">
        <v>184</v>
      </c>
      <c r="M27" s="19"/>
      <c r="N27" s="19"/>
      <c r="O27" s="19"/>
      <c r="P27" s="12"/>
      <c r="Q27" s="18"/>
      <c r="R27" s="12"/>
      <c r="S27" s="12" t="s">
        <v>321</v>
      </c>
    </row>
    <row r="28" spans="1:19" ht="89.25" x14ac:dyDescent="0.25">
      <c r="A28" s="15" t="s">
        <v>322</v>
      </c>
      <c r="B28" s="16">
        <v>1</v>
      </c>
      <c r="C28" s="12" t="s">
        <v>106</v>
      </c>
      <c r="D28" s="18" t="s">
        <v>323</v>
      </c>
      <c r="E28" s="18" t="s">
        <v>324</v>
      </c>
      <c r="F28" s="12" t="s">
        <v>180</v>
      </c>
      <c r="G28" s="12" t="s">
        <v>78</v>
      </c>
      <c r="H28" s="18" t="s">
        <v>325</v>
      </c>
      <c r="I28" s="18" t="s">
        <v>326</v>
      </c>
      <c r="J28" s="18" t="s">
        <v>327</v>
      </c>
      <c r="K28" s="18" t="s">
        <v>266</v>
      </c>
      <c r="L28" s="12" t="s">
        <v>254</v>
      </c>
      <c r="M28" s="19">
        <v>46292.189837962957</v>
      </c>
      <c r="N28" s="19">
        <v>46292.196828703702</v>
      </c>
      <c r="O28" s="19">
        <v>46292.196828703702</v>
      </c>
      <c r="P28" s="12" t="s">
        <v>255</v>
      </c>
      <c r="Q28" s="18"/>
      <c r="R28" s="12"/>
      <c r="S28" s="12" t="s">
        <v>265</v>
      </c>
    </row>
    <row r="29" spans="1:19" ht="63.75" x14ac:dyDescent="0.25">
      <c r="A29" s="15" t="s">
        <v>328</v>
      </c>
      <c r="B29" s="16">
        <v>1</v>
      </c>
      <c r="C29" s="12" t="s">
        <v>110</v>
      </c>
      <c r="D29" s="18" t="s">
        <v>329</v>
      </c>
      <c r="E29" s="18" t="s">
        <v>330</v>
      </c>
      <c r="F29" s="12" t="s">
        <v>180</v>
      </c>
      <c r="G29" s="12" t="s">
        <v>78</v>
      </c>
      <c r="H29" s="18" t="s">
        <v>331</v>
      </c>
      <c r="I29" s="18" t="s">
        <v>332</v>
      </c>
      <c r="J29" s="18" t="s">
        <v>327</v>
      </c>
      <c r="K29" s="18" t="s">
        <v>266</v>
      </c>
      <c r="L29" s="12" t="s">
        <v>264</v>
      </c>
      <c r="M29" s="19">
        <v>46292.189872685187</v>
      </c>
      <c r="N29" s="19">
        <v>46292.196863425917</v>
      </c>
      <c r="O29" s="19">
        <v>46292.196863425917</v>
      </c>
      <c r="P29" s="12" t="s">
        <v>255</v>
      </c>
      <c r="Q29" s="18"/>
      <c r="R29" s="12"/>
      <c r="S29" s="12" t="s">
        <v>265</v>
      </c>
    </row>
    <row r="30" spans="1:19" ht="51" x14ac:dyDescent="0.25">
      <c r="A30" s="15" t="s">
        <v>333</v>
      </c>
      <c r="B30" s="16">
        <v>1</v>
      </c>
      <c r="C30" s="12" t="s">
        <v>103</v>
      </c>
      <c r="D30" s="18" t="s">
        <v>334</v>
      </c>
      <c r="E30" s="18" t="s">
        <v>335</v>
      </c>
      <c r="F30" s="12" t="s">
        <v>180</v>
      </c>
      <c r="G30" s="12" t="s">
        <v>78</v>
      </c>
      <c r="H30" s="18" t="s">
        <v>336</v>
      </c>
      <c r="I30" s="18" t="s">
        <v>337</v>
      </c>
      <c r="J30" s="18" t="s">
        <v>253</v>
      </c>
      <c r="K30" s="18"/>
      <c r="L30" s="12" t="s">
        <v>264</v>
      </c>
      <c r="M30" s="19">
        <v>46292.217905092592</v>
      </c>
      <c r="N30" s="19">
        <v>46292.219282407408</v>
      </c>
      <c r="O30" s="19">
        <v>46292.219282407408</v>
      </c>
      <c r="P30" s="12" t="s">
        <v>338</v>
      </c>
      <c r="Q30" s="18"/>
      <c r="R30" s="12"/>
      <c r="S30" s="12" t="s">
        <v>296</v>
      </c>
    </row>
    <row r="31" spans="1:19" ht="102" x14ac:dyDescent="0.25">
      <c r="A31" s="15" t="s">
        <v>339</v>
      </c>
      <c r="B31" s="16">
        <v>1</v>
      </c>
      <c r="C31" s="12" t="s">
        <v>103</v>
      </c>
      <c r="D31" s="18" t="s">
        <v>340</v>
      </c>
      <c r="E31" s="18" t="s">
        <v>341</v>
      </c>
      <c r="F31" s="12" t="s">
        <v>180</v>
      </c>
      <c r="G31" s="12" t="s">
        <v>63</v>
      </c>
      <c r="H31" s="18"/>
      <c r="I31" s="18"/>
      <c r="J31" s="18" t="s">
        <v>342</v>
      </c>
      <c r="K31" s="18" t="s">
        <v>333</v>
      </c>
      <c r="L31" s="12" t="s">
        <v>254</v>
      </c>
      <c r="M31" s="19">
        <v>46292.21802083333</v>
      </c>
      <c r="N31" s="19"/>
      <c r="O31" s="19"/>
      <c r="P31" s="12"/>
      <c r="Q31" s="18" t="s">
        <v>343</v>
      </c>
      <c r="R31" s="12" t="s">
        <v>333</v>
      </c>
      <c r="S31" s="12" t="s">
        <v>344</v>
      </c>
    </row>
    <row r="32" spans="1:19" ht="89.25" x14ac:dyDescent="0.25">
      <c r="A32" s="15" t="s">
        <v>345</v>
      </c>
      <c r="B32" s="16">
        <v>1</v>
      </c>
      <c r="C32" s="12" t="s">
        <v>103</v>
      </c>
      <c r="D32" s="18" t="s">
        <v>346</v>
      </c>
      <c r="E32" s="18" t="s">
        <v>347</v>
      </c>
      <c r="F32" s="12" t="s">
        <v>180</v>
      </c>
      <c r="G32" s="12" t="s">
        <v>78</v>
      </c>
      <c r="H32" s="18" t="s">
        <v>348</v>
      </c>
      <c r="I32" s="18" t="s">
        <v>349</v>
      </c>
      <c r="J32" s="18" t="s">
        <v>327</v>
      </c>
      <c r="K32" s="18" t="s">
        <v>333</v>
      </c>
      <c r="L32" s="12" t="s">
        <v>264</v>
      </c>
      <c r="M32" s="19">
        <v>46292.349918981483</v>
      </c>
      <c r="N32" s="19">
        <v>46292.351134259261</v>
      </c>
      <c r="O32" s="19">
        <v>46292.351134259261</v>
      </c>
      <c r="P32" s="12" t="s">
        <v>350</v>
      </c>
      <c r="Q32" s="18"/>
      <c r="R32" s="12" t="s">
        <v>333</v>
      </c>
      <c r="S32" s="12" t="s">
        <v>351</v>
      </c>
    </row>
    <row r="33" spans="1:19" ht="51" x14ac:dyDescent="0.25">
      <c r="A33" s="15" t="s">
        <v>352</v>
      </c>
      <c r="B33" s="16">
        <v>1</v>
      </c>
      <c r="C33" s="12" t="s">
        <v>103</v>
      </c>
      <c r="D33" s="18" t="s">
        <v>353</v>
      </c>
      <c r="E33" s="18" t="s">
        <v>354</v>
      </c>
      <c r="F33" s="12" t="s">
        <v>180</v>
      </c>
      <c r="G33" s="12" t="s">
        <v>78</v>
      </c>
      <c r="H33" s="18" t="s">
        <v>355</v>
      </c>
      <c r="I33" s="18" t="s">
        <v>356</v>
      </c>
      <c r="J33" s="18" t="s">
        <v>277</v>
      </c>
      <c r="K33" s="18" t="s">
        <v>339</v>
      </c>
      <c r="L33" s="12" t="s">
        <v>264</v>
      </c>
      <c r="M33" s="19">
        <v>46292.217986111107</v>
      </c>
      <c r="N33" s="19">
        <v>46292.219317129631</v>
      </c>
      <c r="O33" s="19">
        <v>46292.219317129631</v>
      </c>
      <c r="P33" s="12" t="s">
        <v>338</v>
      </c>
      <c r="Q33" s="18"/>
      <c r="R33" s="12" t="s">
        <v>333</v>
      </c>
      <c r="S33" s="12" t="s">
        <v>296</v>
      </c>
    </row>
    <row r="34" spans="1:19" ht="51" x14ac:dyDescent="0.25">
      <c r="A34" s="15" t="s">
        <v>357</v>
      </c>
      <c r="B34" s="16">
        <v>1</v>
      </c>
      <c r="C34" s="12" t="s">
        <v>103</v>
      </c>
      <c r="D34" s="18" t="s">
        <v>358</v>
      </c>
      <c r="E34" s="18" t="s">
        <v>359</v>
      </c>
      <c r="F34" s="12" t="s">
        <v>180</v>
      </c>
      <c r="G34" s="12" t="s">
        <v>78</v>
      </c>
      <c r="H34" s="18" t="s">
        <v>360</v>
      </c>
      <c r="I34" s="18" t="s">
        <v>361</v>
      </c>
      <c r="J34" s="18" t="s">
        <v>253</v>
      </c>
      <c r="K34" s="18" t="s">
        <v>333</v>
      </c>
      <c r="L34" s="12" t="s">
        <v>184</v>
      </c>
      <c r="M34" s="19">
        <v>46292.217939814807</v>
      </c>
      <c r="N34" s="19">
        <v>46292.219351851847</v>
      </c>
      <c r="O34" s="19">
        <v>46292.219351851847</v>
      </c>
      <c r="P34" s="12" t="s">
        <v>338</v>
      </c>
      <c r="Q34" s="18"/>
      <c r="R34" s="12" t="s">
        <v>333</v>
      </c>
      <c r="S34" s="12" t="s">
        <v>296</v>
      </c>
    </row>
    <row r="35" spans="1:19" ht="63.75" x14ac:dyDescent="0.25">
      <c r="A35" s="15" t="s">
        <v>362</v>
      </c>
      <c r="B35" s="16">
        <v>1</v>
      </c>
      <c r="C35" s="12" t="s">
        <v>101</v>
      </c>
      <c r="D35" s="18" t="s">
        <v>363</v>
      </c>
      <c r="E35" s="18" t="s">
        <v>364</v>
      </c>
      <c r="F35" s="12" t="s">
        <v>195</v>
      </c>
      <c r="G35" s="12" t="s">
        <v>75</v>
      </c>
      <c r="H35" s="18" t="s">
        <v>365</v>
      </c>
      <c r="I35" s="18" t="s">
        <v>366</v>
      </c>
      <c r="J35" s="18" t="s">
        <v>367</v>
      </c>
      <c r="K35" s="18" t="s">
        <v>357</v>
      </c>
      <c r="L35" s="12" t="s">
        <v>184</v>
      </c>
      <c r="M35" s="19">
        <v>46292.356574074067</v>
      </c>
      <c r="N35" s="19"/>
      <c r="O35" s="19">
        <v>46292.356574074067</v>
      </c>
      <c r="P35" s="12"/>
      <c r="Q35" s="18" t="s">
        <v>368</v>
      </c>
      <c r="R35" s="12"/>
      <c r="S35" s="12" t="s">
        <v>369</v>
      </c>
    </row>
    <row r="36" spans="1:19" ht="51" x14ac:dyDescent="0.25">
      <c r="A36" s="15" t="s">
        <v>370</v>
      </c>
      <c r="B36" s="16">
        <v>1</v>
      </c>
      <c r="C36" s="12" t="s">
        <v>72</v>
      </c>
      <c r="D36" s="18" t="s">
        <v>371</v>
      </c>
      <c r="E36" s="18" t="s">
        <v>372</v>
      </c>
      <c r="F36" s="12" t="s">
        <v>180</v>
      </c>
      <c r="G36" s="12" t="s">
        <v>69</v>
      </c>
      <c r="H36" s="18" t="s">
        <v>373</v>
      </c>
      <c r="I36" s="18" t="s">
        <v>374</v>
      </c>
      <c r="J36" s="18" t="s">
        <v>375</v>
      </c>
      <c r="K36" s="18" t="s">
        <v>376</v>
      </c>
      <c r="L36" s="12" t="s">
        <v>264</v>
      </c>
      <c r="M36" s="19">
        <v>46292.193078703713</v>
      </c>
      <c r="N36" s="19"/>
      <c r="O36" s="19"/>
      <c r="P36" s="12"/>
      <c r="Q36" s="18"/>
      <c r="R36" s="12"/>
      <c r="S36" s="12" t="s">
        <v>265</v>
      </c>
    </row>
    <row r="37" spans="1:19" ht="51" x14ac:dyDescent="0.25">
      <c r="A37" s="15" t="s">
        <v>377</v>
      </c>
      <c r="B37" s="16">
        <v>1</v>
      </c>
      <c r="C37" s="12" t="s">
        <v>142</v>
      </c>
      <c r="D37" s="18" t="s">
        <v>378</v>
      </c>
      <c r="E37" s="18" t="s">
        <v>379</v>
      </c>
      <c r="F37" s="12" t="s">
        <v>304</v>
      </c>
      <c r="G37" s="12" t="s">
        <v>78</v>
      </c>
      <c r="H37" s="18" t="s">
        <v>380</v>
      </c>
      <c r="I37" s="18" t="s">
        <v>381</v>
      </c>
      <c r="J37" s="18" t="s">
        <v>382</v>
      </c>
      <c r="K37" s="18"/>
      <c r="L37" s="12" t="s">
        <v>184</v>
      </c>
      <c r="M37" s="19">
        <v>46292.218136574083</v>
      </c>
      <c r="N37" s="19">
        <v>46292.219386574077</v>
      </c>
      <c r="O37" s="19">
        <v>46292.219386574077</v>
      </c>
      <c r="P37" s="12" t="s">
        <v>338</v>
      </c>
      <c r="Q37" s="18"/>
      <c r="R37" s="12"/>
      <c r="S37" s="12"/>
    </row>
    <row r="38" spans="1:19" ht="63.75" x14ac:dyDescent="0.25">
      <c r="A38" s="15" t="s">
        <v>383</v>
      </c>
      <c r="B38" s="16">
        <v>2</v>
      </c>
      <c r="C38" s="12" t="s">
        <v>120</v>
      </c>
      <c r="D38" s="18" t="s">
        <v>384</v>
      </c>
      <c r="E38" s="18" t="s">
        <v>385</v>
      </c>
      <c r="F38" s="12" t="s">
        <v>180</v>
      </c>
      <c r="G38" s="12" t="s">
        <v>63</v>
      </c>
      <c r="H38" s="18"/>
      <c r="I38" s="18"/>
      <c r="J38" s="18" t="s">
        <v>386</v>
      </c>
      <c r="K38" s="18"/>
      <c r="L38" s="12" t="s">
        <v>254</v>
      </c>
      <c r="M38" s="19">
        <v>46292.218055555553</v>
      </c>
      <c r="N38" s="19"/>
      <c r="O38" s="19"/>
      <c r="P38" s="12"/>
      <c r="Q38" s="18" t="s">
        <v>387</v>
      </c>
      <c r="R38" s="12"/>
      <c r="S38" s="12" t="s">
        <v>388</v>
      </c>
    </row>
    <row r="39" spans="1:19" ht="25.5" x14ac:dyDescent="0.25">
      <c r="A39" s="15" t="s">
        <v>389</v>
      </c>
      <c r="B39" s="16">
        <v>2</v>
      </c>
      <c r="C39" s="12" t="s">
        <v>120</v>
      </c>
      <c r="D39" s="18" t="s">
        <v>390</v>
      </c>
      <c r="E39" s="18" t="s">
        <v>391</v>
      </c>
      <c r="F39" s="12" t="s">
        <v>180</v>
      </c>
      <c r="G39" s="12" t="s">
        <v>60</v>
      </c>
      <c r="H39" s="18"/>
      <c r="I39" s="18"/>
      <c r="J39" s="18" t="s">
        <v>386</v>
      </c>
      <c r="K39" s="18" t="s">
        <v>383</v>
      </c>
      <c r="L39" s="12" t="s">
        <v>254</v>
      </c>
      <c r="M39" s="19"/>
      <c r="N39" s="19"/>
      <c r="O39" s="19"/>
      <c r="P39" s="12"/>
      <c r="Q39" s="18"/>
      <c r="R39" s="12" t="s">
        <v>383</v>
      </c>
      <c r="S39" s="12" t="s">
        <v>388</v>
      </c>
    </row>
    <row r="40" spans="1:19" x14ac:dyDescent="0.25">
      <c r="A40" s="15" t="s">
        <v>392</v>
      </c>
      <c r="B40" s="16">
        <v>2</v>
      </c>
      <c r="C40" s="12" t="s">
        <v>120</v>
      </c>
      <c r="D40" s="18" t="s">
        <v>393</v>
      </c>
      <c r="E40" s="18" t="s">
        <v>394</v>
      </c>
      <c r="F40" s="12" t="s">
        <v>180</v>
      </c>
      <c r="G40" s="12" t="s">
        <v>60</v>
      </c>
      <c r="H40" s="18"/>
      <c r="I40" s="18"/>
      <c r="J40" s="18" t="s">
        <v>386</v>
      </c>
      <c r="K40" s="18" t="s">
        <v>383</v>
      </c>
      <c r="L40" s="12" t="s">
        <v>264</v>
      </c>
      <c r="M40" s="19"/>
      <c r="N40" s="19"/>
      <c r="O40" s="19"/>
      <c r="P40" s="12"/>
      <c r="Q40" s="18"/>
      <c r="R40" s="12" t="s">
        <v>383</v>
      </c>
      <c r="S40" s="12" t="s">
        <v>388</v>
      </c>
    </row>
    <row r="41" spans="1:19" ht="38.25" x14ac:dyDescent="0.25">
      <c r="A41" s="15" t="s">
        <v>395</v>
      </c>
      <c r="B41" s="16">
        <v>2</v>
      </c>
      <c r="C41" s="12" t="s">
        <v>120</v>
      </c>
      <c r="D41" s="18" t="s">
        <v>396</v>
      </c>
      <c r="E41" s="18" t="s">
        <v>397</v>
      </c>
      <c r="F41" s="12" t="s">
        <v>180</v>
      </c>
      <c r="G41" s="12" t="s">
        <v>60</v>
      </c>
      <c r="H41" s="18"/>
      <c r="I41" s="18"/>
      <c r="J41" s="18" t="s">
        <v>204</v>
      </c>
      <c r="K41" s="18" t="s">
        <v>392</v>
      </c>
      <c r="L41" s="12" t="s">
        <v>184</v>
      </c>
      <c r="M41" s="19"/>
      <c r="N41" s="19"/>
      <c r="O41" s="19"/>
      <c r="P41" s="12"/>
      <c r="Q41" s="18"/>
      <c r="R41" s="12" t="s">
        <v>383</v>
      </c>
      <c r="S41" s="12" t="s">
        <v>388</v>
      </c>
    </row>
    <row r="42" spans="1:19" x14ac:dyDescent="0.25">
      <c r="A42" s="15" t="s">
        <v>398</v>
      </c>
      <c r="B42" s="16">
        <v>2</v>
      </c>
      <c r="C42" s="12" t="s">
        <v>120</v>
      </c>
      <c r="D42" s="18" t="s">
        <v>399</v>
      </c>
      <c r="E42" s="18" t="s">
        <v>400</v>
      </c>
      <c r="F42" s="12" t="s">
        <v>180</v>
      </c>
      <c r="G42" s="12" t="s">
        <v>60</v>
      </c>
      <c r="H42" s="18"/>
      <c r="I42" s="18"/>
      <c r="J42" s="18" t="s">
        <v>386</v>
      </c>
      <c r="K42" s="18"/>
      <c r="L42" s="12" t="s">
        <v>264</v>
      </c>
      <c r="M42" s="19"/>
      <c r="N42" s="19"/>
      <c r="O42" s="19"/>
      <c r="P42" s="12"/>
      <c r="Q42" s="18"/>
      <c r="R42" s="12"/>
      <c r="S42" s="12" t="s">
        <v>401</v>
      </c>
    </row>
    <row r="43" spans="1:19" ht="25.5" x14ac:dyDescent="0.25">
      <c r="A43" s="15" t="s">
        <v>402</v>
      </c>
      <c r="B43" s="16">
        <v>2</v>
      </c>
      <c r="C43" s="12" t="s">
        <v>120</v>
      </c>
      <c r="D43" s="18" t="s">
        <v>403</v>
      </c>
      <c r="E43" s="18" t="s">
        <v>404</v>
      </c>
      <c r="F43" s="12" t="s">
        <v>180</v>
      </c>
      <c r="G43" s="12" t="s">
        <v>60</v>
      </c>
      <c r="H43" s="18"/>
      <c r="I43" s="18"/>
      <c r="J43" s="18" t="s">
        <v>405</v>
      </c>
      <c r="K43" s="18" t="s">
        <v>406</v>
      </c>
      <c r="L43" s="12" t="s">
        <v>254</v>
      </c>
      <c r="M43" s="19"/>
      <c r="N43" s="19"/>
      <c r="O43" s="19"/>
      <c r="P43" s="12"/>
      <c r="Q43" s="18"/>
      <c r="R43" s="12" t="s">
        <v>398</v>
      </c>
      <c r="S43" s="12" t="s">
        <v>401</v>
      </c>
    </row>
    <row r="44" spans="1:19" x14ac:dyDescent="0.25">
      <c r="A44" s="15" t="s">
        <v>407</v>
      </c>
      <c r="B44" s="16">
        <v>2</v>
      </c>
      <c r="C44" s="12" t="s">
        <v>120</v>
      </c>
      <c r="D44" s="18" t="s">
        <v>408</v>
      </c>
      <c r="E44" s="18" t="s">
        <v>409</v>
      </c>
      <c r="F44" s="12" t="s">
        <v>180</v>
      </c>
      <c r="G44" s="12" t="s">
        <v>60</v>
      </c>
      <c r="H44" s="18"/>
      <c r="I44" s="18"/>
      <c r="J44" s="18" t="s">
        <v>277</v>
      </c>
      <c r="K44" s="18" t="s">
        <v>402</v>
      </c>
      <c r="L44" s="12" t="s">
        <v>264</v>
      </c>
      <c r="M44" s="19"/>
      <c r="N44" s="19"/>
      <c r="O44" s="19"/>
      <c r="P44" s="12"/>
      <c r="Q44" s="18"/>
      <c r="R44" s="12" t="s">
        <v>402</v>
      </c>
      <c r="S44" s="12" t="s">
        <v>401</v>
      </c>
    </row>
    <row r="45" spans="1:19" x14ac:dyDescent="0.25">
      <c r="A45" s="15" t="s">
        <v>410</v>
      </c>
      <c r="B45" s="16">
        <v>2</v>
      </c>
      <c r="C45" s="12" t="s">
        <v>120</v>
      </c>
      <c r="D45" s="18" t="s">
        <v>411</v>
      </c>
      <c r="E45" s="18" t="s">
        <v>412</v>
      </c>
      <c r="F45" s="12" t="s">
        <v>195</v>
      </c>
      <c r="G45" s="12" t="s">
        <v>60</v>
      </c>
      <c r="H45" s="18"/>
      <c r="I45" s="18"/>
      <c r="J45" s="18" t="s">
        <v>386</v>
      </c>
      <c r="K45" s="18"/>
      <c r="L45" s="12" t="s">
        <v>264</v>
      </c>
      <c r="M45" s="19"/>
      <c r="N45" s="19"/>
      <c r="O45" s="19"/>
      <c r="P45" s="12"/>
      <c r="Q45" s="18"/>
      <c r="R45" s="12"/>
      <c r="S45" s="12" t="s">
        <v>388</v>
      </c>
    </row>
    <row r="46" spans="1:19" x14ac:dyDescent="0.25">
      <c r="A46" s="15" t="s">
        <v>413</v>
      </c>
      <c r="B46" s="16">
        <v>2</v>
      </c>
      <c r="C46" s="12" t="s">
        <v>120</v>
      </c>
      <c r="D46" s="18" t="s">
        <v>414</v>
      </c>
      <c r="E46" s="18" t="s">
        <v>415</v>
      </c>
      <c r="F46" s="12" t="s">
        <v>195</v>
      </c>
      <c r="G46" s="12" t="s">
        <v>60</v>
      </c>
      <c r="H46" s="18"/>
      <c r="I46" s="18"/>
      <c r="J46" s="18" t="s">
        <v>386</v>
      </c>
      <c r="K46" s="18"/>
      <c r="L46" s="12" t="s">
        <v>264</v>
      </c>
      <c r="M46" s="19"/>
      <c r="N46" s="19"/>
      <c r="O46" s="19"/>
      <c r="P46" s="12"/>
      <c r="Q46" s="18"/>
      <c r="R46" s="12"/>
      <c r="S46" s="12"/>
    </row>
    <row r="47" spans="1:19" ht="51" x14ac:dyDescent="0.25">
      <c r="A47" s="15" t="s">
        <v>416</v>
      </c>
      <c r="B47" s="16">
        <v>2</v>
      </c>
      <c r="C47" s="12" t="s">
        <v>104</v>
      </c>
      <c r="D47" s="18" t="s">
        <v>417</v>
      </c>
      <c r="E47" s="18" t="s">
        <v>418</v>
      </c>
      <c r="F47" s="12" t="s">
        <v>180</v>
      </c>
      <c r="G47" s="12" t="s">
        <v>60</v>
      </c>
      <c r="H47" s="18"/>
      <c r="I47" s="18"/>
      <c r="J47" s="18" t="s">
        <v>253</v>
      </c>
      <c r="K47" s="18"/>
      <c r="L47" s="12" t="s">
        <v>264</v>
      </c>
      <c r="M47" s="19"/>
      <c r="N47" s="19"/>
      <c r="O47" s="19"/>
      <c r="P47" s="12"/>
      <c r="Q47" s="18"/>
      <c r="R47" s="12"/>
      <c r="S47" s="12" t="s">
        <v>401</v>
      </c>
    </row>
    <row r="48" spans="1:19" ht="25.5" x14ac:dyDescent="0.25">
      <c r="A48" s="15" t="s">
        <v>419</v>
      </c>
      <c r="B48" s="16">
        <v>2</v>
      </c>
      <c r="C48" s="12" t="s">
        <v>101</v>
      </c>
      <c r="D48" s="18" t="s">
        <v>420</v>
      </c>
      <c r="E48" s="18" t="s">
        <v>421</v>
      </c>
      <c r="F48" s="12" t="s">
        <v>195</v>
      </c>
      <c r="G48" s="12" t="s">
        <v>60</v>
      </c>
      <c r="H48" s="18"/>
      <c r="I48" s="18"/>
      <c r="J48" s="18" t="s">
        <v>405</v>
      </c>
      <c r="K48" s="18" t="s">
        <v>416</v>
      </c>
      <c r="L48" s="12" t="s">
        <v>264</v>
      </c>
      <c r="M48" s="19"/>
      <c r="N48" s="19"/>
      <c r="O48" s="19"/>
      <c r="P48" s="12"/>
      <c r="Q48" s="18"/>
      <c r="R48" s="12"/>
      <c r="S48" s="12" t="s">
        <v>401</v>
      </c>
    </row>
    <row r="49" spans="1:19" ht="25.5" x14ac:dyDescent="0.25">
      <c r="A49" s="15" t="s">
        <v>422</v>
      </c>
      <c r="B49" s="16">
        <v>3</v>
      </c>
      <c r="C49" s="12" t="s">
        <v>106</v>
      </c>
      <c r="D49" s="18" t="s">
        <v>423</v>
      </c>
      <c r="E49" s="18" t="s">
        <v>424</v>
      </c>
      <c r="F49" s="12" t="s">
        <v>180</v>
      </c>
      <c r="G49" s="12" t="s">
        <v>60</v>
      </c>
      <c r="H49" s="18"/>
      <c r="I49" s="18"/>
      <c r="J49" s="18" t="s">
        <v>425</v>
      </c>
      <c r="K49" s="18"/>
      <c r="L49" s="12" t="s">
        <v>264</v>
      </c>
      <c r="M49" s="19"/>
      <c r="N49" s="19"/>
      <c r="O49" s="19"/>
      <c r="P49" s="12"/>
      <c r="Q49" s="18"/>
      <c r="R49" s="12"/>
      <c r="S49" s="12" t="s">
        <v>426</v>
      </c>
    </row>
    <row r="50" spans="1:19" ht="38.25" x14ac:dyDescent="0.25">
      <c r="A50" s="15" t="s">
        <v>427</v>
      </c>
      <c r="B50" s="16">
        <v>3</v>
      </c>
      <c r="C50" s="12" t="s">
        <v>106</v>
      </c>
      <c r="D50" s="18" t="s">
        <v>428</v>
      </c>
      <c r="E50" s="18" t="s">
        <v>429</v>
      </c>
      <c r="F50" s="12" t="s">
        <v>180</v>
      </c>
      <c r="G50" s="12" t="s">
        <v>60</v>
      </c>
      <c r="H50" s="18"/>
      <c r="I50" s="18"/>
      <c r="J50" s="18" t="s">
        <v>327</v>
      </c>
      <c r="K50" s="18" t="s">
        <v>422</v>
      </c>
      <c r="L50" s="12" t="s">
        <v>254</v>
      </c>
      <c r="M50" s="19"/>
      <c r="N50" s="19"/>
      <c r="O50" s="19"/>
      <c r="P50" s="12"/>
      <c r="Q50" s="18"/>
      <c r="R50" s="12" t="s">
        <v>422</v>
      </c>
      <c r="S50" s="12" t="s">
        <v>426</v>
      </c>
    </row>
    <row r="51" spans="1:19" ht="25.5" x14ac:dyDescent="0.25">
      <c r="A51" s="15" t="s">
        <v>430</v>
      </c>
      <c r="B51" s="16">
        <v>3</v>
      </c>
      <c r="C51" s="12" t="s">
        <v>106</v>
      </c>
      <c r="D51" s="18" t="s">
        <v>431</v>
      </c>
      <c r="E51" s="18" t="s">
        <v>432</v>
      </c>
      <c r="F51" s="12" t="s">
        <v>180</v>
      </c>
      <c r="G51" s="12" t="s">
        <v>60</v>
      </c>
      <c r="H51" s="18"/>
      <c r="I51" s="18"/>
      <c r="J51" s="18" t="s">
        <v>327</v>
      </c>
      <c r="K51" s="18" t="s">
        <v>422</v>
      </c>
      <c r="L51" s="12" t="s">
        <v>264</v>
      </c>
      <c r="M51" s="19"/>
      <c r="N51" s="19"/>
      <c r="O51" s="19"/>
      <c r="P51" s="12"/>
      <c r="Q51" s="18"/>
      <c r="R51" s="12"/>
      <c r="S51" s="12" t="s">
        <v>433</v>
      </c>
    </row>
    <row r="52" spans="1:19" ht="38.25" x14ac:dyDescent="0.25">
      <c r="A52" s="15" t="s">
        <v>434</v>
      </c>
      <c r="B52" s="16">
        <v>3</v>
      </c>
      <c r="C52" s="12" t="s">
        <v>106</v>
      </c>
      <c r="D52" s="18" t="s">
        <v>435</v>
      </c>
      <c r="E52" s="18" t="s">
        <v>436</v>
      </c>
      <c r="F52" s="12" t="s">
        <v>180</v>
      </c>
      <c r="G52" s="12" t="s">
        <v>60</v>
      </c>
      <c r="H52" s="18"/>
      <c r="I52" s="18"/>
      <c r="J52" s="18" t="s">
        <v>437</v>
      </c>
      <c r="K52" s="18" t="s">
        <v>427</v>
      </c>
      <c r="L52" s="12" t="s">
        <v>254</v>
      </c>
      <c r="M52" s="19"/>
      <c r="N52" s="19"/>
      <c r="O52" s="19"/>
      <c r="P52" s="12"/>
      <c r="Q52" s="18"/>
      <c r="R52" s="12"/>
      <c r="S52" s="12" t="s">
        <v>296</v>
      </c>
    </row>
    <row r="53" spans="1:19" ht="38.25" x14ac:dyDescent="0.25">
      <c r="A53" s="15" t="s">
        <v>438</v>
      </c>
      <c r="B53" s="16">
        <v>3</v>
      </c>
      <c r="C53" s="12" t="s">
        <v>106</v>
      </c>
      <c r="D53" s="18" t="s">
        <v>439</v>
      </c>
      <c r="E53" s="18" t="s">
        <v>440</v>
      </c>
      <c r="F53" s="12" t="s">
        <v>195</v>
      </c>
      <c r="G53" s="12" t="s">
        <v>60</v>
      </c>
      <c r="H53" s="18"/>
      <c r="I53" s="18"/>
      <c r="J53" s="18" t="s">
        <v>437</v>
      </c>
      <c r="K53" s="18" t="s">
        <v>427</v>
      </c>
      <c r="L53" s="12" t="s">
        <v>264</v>
      </c>
      <c r="M53" s="19"/>
      <c r="N53" s="19"/>
      <c r="O53" s="19"/>
      <c r="P53" s="12"/>
      <c r="Q53" s="18"/>
      <c r="R53" s="12"/>
      <c r="S53" s="12" t="s">
        <v>296</v>
      </c>
    </row>
    <row r="54" spans="1:19" ht="38.25" x14ac:dyDescent="0.25">
      <c r="A54" s="15" t="s">
        <v>441</v>
      </c>
      <c r="B54" s="16">
        <v>3</v>
      </c>
      <c r="C54" s="12" t="s">
        <v>106</v>
      </c>
      <c r="D54" s="18" t="s">
        <v>442</v>
      </c>
      <c r="E54" s="18" t="s">
        <v>443</v>
      </c>
      <c r="F54" s="12" t="s">
        <v>180</v>
      </c>
      <c r="G54" s="12" t="s">
        <v>60</v>
      </c>
      <c r="H54" s="18"/>
      <c r="I54" s="18"/>
      <c r="J54" s="18" t="s">
        <v>444</v>
      </c>
      <c r="K54" s="18" t="s">
        <v>427</v>
      </c>
      <c r="L54" s="12" t="s">
        <v>254</v>
      </c>
      <c r="M54" s="19"/>
      <c r="N54" s="19"/>
      <c r="O54" s="19"/>
      <c r="P54" s="12"/>
      <c r="Q54" s="18"/>
      <c r="R54" s="12"/>
      <c r="S54" s="12" t="s">
        <v>296</v>
      </c>
    </row>
    <row r="55" spans="1:19" ht="25.5" x14ac:dyDescent="0.25">
      <c r="A55" s="15" t="s">
        <v>445</v>
      </c>
      <c r="B55" s="16">
        <v>3</v>
      </c>
      <c r="C55" s="12" t="s">
        <v>106</v>
      </c>
      <c r="D55" s="18" t="s">
        <v>446</v>
      </c>
      <c r="E55" s="18" t="s">
        <v>447</v>
      </c>
      <c r="F55" s="12" t="s">
        <v>180</v>
      </c>
      <c r="G55" s="12" t="s">
        <v>60</v>
      </c>
      <c r="H55" s="18"/>
      <c r="I55" s="18"/>
      <c r="J55" s="18" t="s">
        <v>444</v>
      </c>
      <c r="K55" s="18" t="s">
        <v>427</v>
      </c>
      <c r="L55" s="12" t="s">
        <v>254</v>
      </c>
      <c r="M55" s="19"/>
      <c r="N55" s="19"/>
      <c r="O55" s="19"/>
      <c r="P55" s="12"/>
      <c r="Q55" s="18"/>
      <c r="R55" s="12"/>
      <c r="S55" s="12" t="s">
        <v>448</v>
      </c>
    </row>
    <row r="56" spans="1:19" ht="25.5" x14ac:dyDescent="0.25">
      <c r="A56" s="15" t="s">
        <v>449</v>
      </c>
      <c r="B56" s="16">
        <v>3</v>
      </c>
      <c r="C56" s="12" t="s">
        <v>106</v>
      </c>
      <c r="D56" s="18" t="s">
        <v>450</v>
      </c>
      <c r="E56" s="18" t="s">
        <v>451</v>
      </c>
      <c r="F56" s="12" t="s">
        <v>180</v>
      </c>
      <c r="G56" s="12" t="s">
        <v>60</v>
      </c>
      <c r="H56" s="18"/>
      <c r="I56" s="18"/>
      <c r="J56" s="18" t="s">
        <v>444</v>
      </c>
      <c r="K56" s="18" t="s">
        <v>427</v>
      </c>
      <c r="L56" s="12" t="s">
        <v>254</v>
      </c>
      <c r="M56" s="19"/>
      <c r="N56" s="19"/>
      <c r="O56" s="19"/>
      <c r="P56" s="12"/>
      <c r="Q56" s="18"/>
      <c r="R56" s="12"/>
      <c r="S56" s="12" t="s">
        <v>308</v>
      </c>
    </row>
    <row r="57" spans="1:19" ht="25.5" x14ac:dyDescent="0.25">
      <c r="A57" s="15" t="s">
        <v>452</v>
      </c>
      <c r="B57" s="16">
        <v>3</v>
      </c>
      <c r="C57" s="12" t="s">
        <v>106</v>
      </c>
      <c r="D57" s="18" t="s">
        <v>453</v>
      </c>
      <c r="E57" s="18" t="s">
        <v>454</v>
      </c>
      <c r="F57" s="12" t="s">
        <v>180</v>
      </c>
      <c r="G57" s="12" t="s">
        <v>63</v>
      </c>
      <c r="H57" s="18"/>
      <c r="I57" s="18"/>
      <c r="J57" s="18" t="s">
        <v>444</v>
      </c>
      <c r="K57" s="18" t="s">
        <v>427</v>
      </c>
      <c r="L57" s="12" t="s">
        <v>264</v>
      </c>
      <c r="M57" s="19">
        <v>46292.190092592587</v>
      </c>
      <c r="N57" s="19"/>
      <c r="O57" s="19"/>
      <c r="P57" s="12"/>
      <c r="Q57" s="18" t="s">
        <v>455</v>
      </c>
      <c r="R57" s="12"/>
      <c r="S57" s="12" t="s">
        <v>300</v>
      </c>
    </row>
    <row r="58" spans="1:19" x14ac:dyDescent="0.25">
      <c r="A58" s="15" t="s">
        <v>456</v>
      </c>
      <c r="B58" s="16">
        <v>3</v>
      </c>
      <c r="C58" s="12" t="s">
        <v>106</v>
      </c>
      <c r="D58" s="18" t="s">
        <v>457</v>
      </c>
      <c r="E58" s="18" t="s">
        <v>458</v>
      </c>
      <c r="F58" s="12" t="s">
        <v>195</v>
      </c>
      <c r="G58" s="12" t="s">
        <v>60</v>
      </c>
      <c r="H58" s="18"/>
      <c r="I58" s="18"/>
      <c r="J58" s="18" t="s">
        <v>327</v>
      </c>
      <c r="K58" s="18" t="s">
        <v>427</v>
      </c>
      <c r="L58" s="12" t="s">
        <v>264</v>
      </c>
      <c r="M58" s="19"/>
      <c r="N58" s="19"/>
      <c r="O58" s="19"/>
      <c r="P58" s="12"/>
      <c r="Q58" s="18"/>
      <c r="R58" s="12"/>
      <c r="S58" s="12" t="s">
        <v>296</v>
      </c>
    </row>
    <row r="59" spans="1:19" ht="38.25" x14ac:dyDescent="0.25">
      <c r="A59" s="15" t="s">
        <v>459</v>
      </c>
      <c r="B59" s="16">
        <v>3</v>
      </c>
      <c r="C59" s="12" t="s">
        <v>106</v>
      </c>
      <c r="D59" s="18" t="s">
        <v>460</v>
      </c>
      <c r="E59" s="18" t="s">
        <v>461</v>
      </c>
      <c r="F59" s="12" t="s">
        <v>195</v>
      </c>
      <c r="G59" s="12" t="s">
        <v>60</v>
      </c>
      <c r="H59" s="18"/>
      <c r="I59" s="18"/>
      <c r="J59" s="18" t="s">
        <v>462</v>
      </c>
      <c r="K59" s="18" t="s">
        <v>427</v>
      </c>
      <c r="L59" s="12" t="s">
        <v>264</v>
      </c>
      <c r="M59" s="19"/>
      <c r="N59" s="19"/>
      <c r="O59" s="19"/>
      <c r="P59" s="12"/>
      <c r="Q59" s="18"/>
      <c r="R59" s="12"/>
      <c r="S59" s="12" t="s">
        <v>463</v>
      </c>
    </row>
    <row r="60" spans="1:19" ht="25.5" x14ac:dyDescent="0.25">
      <c r="A60" s="15" t="s">
        <v>464</v>
      </c>
      <c r="B60" s="16">
        <v>3</v>
      </c>
      <c r="C60" s="12" t="s">
        <v>106</v>
      </c>
      <c r="D60" s="18" t="s">
        <v>465</v>
      </c>
      <c r="E60" s="18" t="s">
        <v>466</v>
      </c>
      <c r="F60" s="12" t="s">
        <v>195</v>
      </c>
      <c r="G60" s="12" t="s">
        <v>60</v>
      </c>
      <c r="H60" s="18"/>
      <c r="I60" s="18"/>
      <c r="J60" s="18" t="s">
        <v>327</v>
      </c>
      <c r="K60" s="18" t="s">
        <v>427</v>
      </c>
      <c r="L60" s="12" t="s">
        <v>184</v>
      </c>
      <c r="M60" s="19"/>
      <c r="N60" s="19"/>
      <c r="O60" s="19"/>
      <c r="P60" s="12"/>
      <c r="Q60" s="18"/>
      <c r="R60" s="12"/>
      <c r="S60" s="12" t="s">
        <v>467</v>
      </c>
    </row>
    <row r="61" spans="1:19" x14ac:dyDescent="0.25">
      <c r="A61" s="15" t="s">
        <v>468</v>
      </c>
      <c r="B61" s="16">
        <v>3</v>
      </c>
      <c r="C61" s="12" t="s">
        <v>106</v>
      </c>
      <c r="D61" s="18" t="s">
        <v>469</v>
      </c>
      <c r="E61" s="18" t="s">
        <v>470</v>
      </c>
      <c r="F61" s="12" t="s">
        <v>195</v>
      </c>
      <c r="G61" s="12" t="s">
        <v>60</v>
      </c>
      <c r="H61" s="18"/>
      <c r="I61" s="18"/>
      <c r="J61" s="18" t="s">
        <v>462</v>
      </c>
      <c r="K61" s="18" t="s">
        <v>427</v>
      </c>
      <c r="L61" s="12" t="s">
        <v>264</v>
      </c>
      <c r="M61" s="19"/>
      <c r="N61" s="19"/>
      <c r="O61" s="19"/>
      <c r="P61" s="12"/>
      <c r="Q61" s="18"/>
      <c r="R61" s="12"/>
      <c r="S61" s="12" t="s">
        <v>296</v>
      </c>
    </row>
    <row r="62" spans="1:19" x14ac:dyDescent="0.25">
      <c r="A62" s="15" t="s">
        <v>471</v>
      </c>
      <c r="B62" s="16">
        <v>3</v>
      </c>
      <c r="C62" s="12" t="s">
        <v>106</v>
      </c>
      <c r="D62" s="18" t="s">
        <v>472</v>
      </c>
      <c r="E62" s="18" t="s">
        <v>473</v>
      </c>
      <c r="F62" s="12" t="s">
        <v>195</v>
      </c>
      <c r="G62" s="12" t="s">
        <v>60</v>
      </c>
      <c r="H62" s="18"/>
      <c r="I62" s="18"/>
      <c r="J62" s="18" t="s">
        <v>462</v>
      </c>
      <c r="K62" s="18" t="s">
        <v>427</v>
      </c>
      <c r="L62" s="12" t="s">
        <v>264</v>
      </c>
      <c r="M62" s="19"/>
      <c r="N62" s="19"/>
      <c r="O62" s="19"/>
      <c r="P62" s="12"/>
      <c r="Q62" s="18"/>
      <c r="R62" s="12"/>
      <c r="S62" s="12" t="s">
        <v>467</v>
      </c>
    </row>
    <row r="63" spans="1:19" x14ac:dyDescent="0.25">
      <c r="A63" s="15" t="s">
        <v>474</v>
      </c>
      <c r="B63" s="16">
        <v>3</v>
      </c>
      <c r="C63" s="12" t="s">
        <v>106</v>
      </c>
      <c r="D63" s="18" t="s">
        <v>475</v>
      </c>
      <c r="E63" s="18" t="s">
        <v>476</v>
      </c>
      <c r="F63" s="12" t="s">
        <v>195</v>
      </c>
      <c r="G63" s="12" t="s">
        <v>60</v>
      </c>
      <c r="H63" s="18"/>
      <c r="I63" s="18"/>
      <c r="J63" s="18" t="s">
        <v>327</v>
      </c>
      <c r="K63" s="18" t="s">
        <v>427</v>
      </c>
      <c r="L63" s="12" t="s">
        <v>264</v>
      </c>
      <c r="M63" s="19"/>
      <c r="N63" s="19"/>
      <c r="O63" s="19"/>
      <c r="P63" s="12"/>
      <c r="Q63" s="18"/>
      <c r="R63" s="12"/>
      <c r="S63" s="12" t="s">
        <v>296</v>
      </c>
    </row>
    <row r="64" spans="1:19" x14ac:dyDescent="0.25">
      <c r="A64" s="15" t="s">
        <v>477</v>
      </c>
      <c r="B64" s="16">
        <v>3</v>
      </c>
      <c r="C64" s="12" t="s">
        <v>106</v>
      </c>
      <c r="D64" s="18" t="s">
        <v>478</v>
      </c>
      <c r="E64" s="18" t="s">
        <v>479</v>
      </c>
      <c r="F64" s="12" t="s">
        <v>180</v>
      </c>
      <c r="G64" s="12" t="s">
        <v>60</v>
      </c>
      <c r="H64" s="18"/>
      <c r="I64" s="18"/>
      <c r="J64" s="18" t="s">
        <v>480</v>
      </c>
      <c r="K64" s="18" t="s">
        <v>434</v>
      </c>
      <c r="L64" s="12" t="s">
        <v>264</v>
      </c>
      <c r="M64" s="19"/>
      <c r="N64" s="19"/>
      <c r="O64" s="19"/>
      <c r="P64" s="12"/>
      <c r="Q64" s="18"/>
      <c r="R64" s="12"/>
      <c r="S64" s="12" t="s">
        <v>296</v>
      </c>
    </row>
    <row r="65" spans="1:19" ht="25.5" x14ac:dyDescent="0.25">
      <c r="A65" s="15" t="s">
        <v>481</v>
      </c>
      <c r="B65" s="16">
        <v>3</v>
      </c>
      <c r="C65" s="12" t="s">
        <v>106</v>
      </c>
      <c r="D65" s="18" t="s">
        <v>482</v>
      </c>
      <c r="E65" s="18" t="s">
        <v>483</v>
      </c>
      <c r="F65" s="12" t="s">
        <v>180</v>
      </c>
      <c r="G65" s="12" t="s">
        <v>60</v>
      </c>
      <c r="H65" s="18"/>
      <c r="I65" s="18"/>
      <c r="J65" s="18" t="s">
        <v>342</v>
      </c>
      <c r="K65" s="18"/>
      <c r="L65" s="12" t="s">
        <v>184</v>
      </c>
      <c r="M65" s="19"/>
      <c r="N65" s="19"/>
      <c r="O65" s="19"/>
      <c r="P65" s="12"/>
      <c r="Q65" s="18"/>
      <c r="R65" s="12"/>
      <c r="S65" s="12" t="s">
        <v>484</v>
      </c>
    </row>
    <row r="66" spans="1:19" ht="25.5" x14ac:dyDescent="0.25">
      <c r="A66" s="15" t="s">
        <v>485</v>
      </c>
      <c r="B66" s="16">
        <v>3</v>
      </c>
      <c r="C66" s="12" t="s">
        <v>116</v>
      </c>
      <c r="D66" s="18" t="s">
        <v>486</v>
      </c>
      <c r="E66" s="18" t="s">
        <v>487</v>
      </c>
      <c r="F66" s="12" t="s">
        <v>180</v>
      </c>
      <c r="G66" s="12" t="s">
        <v>60</v>
      </c>
      <c r="H66" s="18"/>
      <c r="I66" s="18"/>
      <c r="J66" s="18" t="s">
        <v>488</v>
      </c>
      <c r="K66" s="18"/>
      <c r="L66" s="12" t="s">
        <v>264</v>
      </c>
      <c r="M66" s="19"/>
      <c r="N66" s="19"/>
      <c r="O66" s="19"/>
      <c r="P66" s="12"/>
      <c r="Q66" s="18"/>
      <c r="R66" s="12"/>
      <c r="S66" s="12" t="s">
        <v>296</v>
      </c>
    </row>
    <row r="67" spans="1:19" ht="25.5" x14ac:dyDescent="0.25">
      <c r="A67" s="15" t="s">
        <v>489</v>
      </c>
      <c r="B67" s="16">
        <v>3</v>
      </c>
      <c r="C67" s="12" t="s">
        <v>72</v>
      </c>
      <c r="D67" s="18" t="s">
        <v>490</v>
      </c>
      <c r="E67" s="18" t="s">
        <v>491</v>
      </c>
      <c r="F67" s="12" t="s">
        <v>180</v>
      </c>
      <c r="G67" s="12" t="s">
        <v>60</v>
      </c>
      <c r="H67" s="18"/>
      <c r="I67" s="18"/>
      <c r="J67" s="18" t="s">
        <v>492</v>
      </c>
      <c r="K67" s="18"/>
      <c r="L67" s="12" t="s">
        <v>184</v>
      </c>
      <c r="M67" s="19"/>
      <c r="N67" s="19"/>
      <c r="O67" s="19"/>
      <c r="P67" s="12"/>
      <c r="Q67" s="18"/>
      <c r="R67" s="12"/>
      <c r="S67" s="12" t="s">
        <v>369</v>
      </c>
    </row>
    <row r="68" spans="1:19" x14ac:dyDescent="0.25">
      <c r="A68" s="15" t="s">
        <v>493</v>
      </c>
      <c r="B68" s="16">
        <v>3</v>
      </c>
      <c r="C68" s="12" t="s">
        <v>72</v>
      </c>
      <c r="D68" s="18" t="s">
        <v>494</v>
      </c>
      <c r="E68" s="18" t="s">
        <v>495</v>
      </c>
      <c r="F68" s="12" t="s">
        <v>180</v>
      </c>
      <c r="G68" s="12" t="s">
        <v>60</v>
      </c>
      <c r="H68" s="18"/>
      <c r="I68" s="18"/>
      <c r="J68" s="18" t="s">
        <v>204</v>
      </c>
      <c r="K68" s="18" t="s">
        <v>489</v>
      </c>
      <c r="L68" s="12" t="s">
        <v>184</v>
      </c>
      <c r="M68" s="19"/>
      <c r="N68" s="19"/>
      <c r="O68" s="19"/>
      <c r="P68" s="12"/>
      <c r="Q68" s="18"/>
      <c r="R68" s="12" t="s">
        <v>489</v>
      </c>
      <c r="S68" s="12" t="s">
        <v>369</v>
      </c>
    </row>
    <row r="69" spans="1:19" ht="38.25" x14ac:dyDescent="0.25">
      <c r="A69" s="15" t="s">
        <v>496</v>
      </c>
      <c r="B69" s="16">
        <v>3</v>
      </c>
      <c r="C69" s="12" t="s">
        <v>72</v>
      </c>
      <c r="D69" s="18" t="s">
        <v>497</v>
      </c>
      <c r="E69" s="18" t="s">
        <v>498</v>
      </c>
      <c r="F69" s="12" t="s">
        <v>180</v>
      </c>
      <c r="G69" s="12" t="s">
        <v>60</v>
      </c>
      <c r="H69" s="18"/>
      <c r="I69" s="18"/>
      <c r="J69" s="18" t="s">
        <v>204</v>
      </c>
      <c r="K69" s="18" t="s">
        <v>493</v>
      </c>
      <c r="L69" s="12" t="s">
        <v>264</v>
      </c>
      <c r="M69" s="19"/>
      <c r="N69" s="19"/>
      <c r="O69" s="19"/>
      <c r="P69" s="12"/>
      <c r="Q69" s="18"/>
      <c r="R69" s="12" t="s">
        <v>489</v>
      </c>
      <c r="S69" s="12" t="s">
        <v>369</v>
      </c>
    </row>
    <row r="70" spans="1:19" ht="25.5" x14ac:dyDescent="0.25">
      <c r="A70" s="15" t="s">
        <v>499</v>
      </c>
      <c r="B70" s="16">
        <v>3</v>
      </c>
      <c r="C70" s="12" t="s">
        <v>72</v>
      </c>
      <c r="D70" s="18" t="s">
        <v>500</v>
      </c>
      <c r="E70" s="18" t="s">
        <v>501</v>
      </c>
      <c r="F70" s="12" t="s">
        <v>195</v>
      </c>
      <c r="G70" s="12" t="s">
        <v>60</v>
      </c>
      <c r="H70" s="18"/>
      <c r="I70" s="18"/>
      <c r="J70" s="18" t="s">
        <v>204</v>
      </c>
      <c r="K70" s="18" t="s">
        <v>496</v>
      </c>
      <c r="L70" s="12" t="s">
        <v>184</v>
      </c>
      <c r="M70" s="19"/>
      <c r="N70" s="19"/>
      <c r="O70" s="19"/>
      <c r="P70" s="12"/>
      <c r="Q70" s="18"/>
      <c r="R70" s="12"/>
      <c r="S70" s="12" t="s">
        <v>369</v>
      </c>
    </row>
    <row r="71" spans="1:19" ht="38.25" x14ac:dyDescent="0.25">
      <c r="A71" s="15" t="s">
        <v>502</v>
      </c>
      <c r="B71" s="16">
        <v>3</v>
      </c>
      <c r="C71" s="12" t="s">
        <v>106</v>
      </c>
      <c r="D71" s="18" t="s">
        <v>503</v>
      </c>
      <c r="E71" s="18" t="s">
        <v>504</v>
      </c>
      <c r="F71" s="12" t="s">
        <v>180</v>
      </c>
      <c r="G71" s="12" t="s">
        <v>60</v>
      </c>
      <c r="H71" s="18"/>
      <c r="I71" s="18"/>
      <c r="J71" s="18" t="s">
        <v>342</v>
      </c>
      <c r="K71" s="18" t="s">
        <v>248</v>
      </c>
      <c r="L71" s="12" t="s">
        <v>254</v>
      </c>
      <c r="M71" s="19"/>
      <c r="N71" s="19"/>
      <c r="O71" s="19"/>
      <c r="P71" s="12"/>
      <c r="Q71" s="18"/>
      <c r="R71" s="12"/>
      <c r="S71" s="12" t="s">
        <v>505</v>
      </c>
    </row>
    <row r="72" spans="1:19" ht="25.5" x14ac:dyDescent="0.25">
      <c r="A72" s="15" t="s">
        <v>506</v>
      </c>
      <c r="B72" s="16">
        <v>4</v>
      </c>
      <c r="C72" s="12" t="s">
        <v>122</v>
      </c>
      <c r="D72" s="18" t="s">
        <v>507</v>
      </c>
      <c r="E72" s="18" t="s">
        <v>508</v>
      </c>
      <c r="F72" s="12" t="s">
        <v>180</v>
      </c>
      <c r="G72" s="12" t="s">
        <v>60</v>
      </c>
      <c r="H72" s="18"/>
      <c r="I72" s="18"/>
      <c r="J72" s="18" t="s">
        <v>342</v>
      </c>
      <c r="K72" s="18"/>
      <c r="L72" s="12" t="s">
        <v>264</v>
      </c>
      <c r="M72" s="19"/>
      <c r="N72" s="19"/>
      <c r="O72" s="19"/>
      <c r="P72" s="12"/>
      <c r="Q72" s="18"/>
      <c r="R72" s="12"/>
      <c r="S72" s="12" t="s">
        <v>509</v>
      </c>
    </row>
    <row r="73" spans="1:19" x14ac:dyDescent="0.25">
      <c r="A73" s="15" t="s">
        <v>510</v>
      </c>
      <c r="B73" s="16">
        <v>4</v>
      </c>
      <c r="C73" s="12" t="s">
        <v>122</v>
      </c>
      <c r="D73" s="18" t="s">
        <v>511</v>
      </c>
      <c r="E73" s="18" t="s">
        <v>512</v>
      </c>
      <c r="F73" s="12" t="s">
        <v>180</v>
      </c>
      <c r="G73" s="12" t="s">
        <v>60</v>
      </c>
      <c r="H73" s="18"/>
      <c r="I73" s="18"/>
      <c r="J73" s="18" t="s">
        <v>342</v>
      </c>
      <c r="K73" s="18"/>
      <c r="L73" s="12" t="s">
        <v>184</v>
      </c>
      <c r="M73" s="19"/>
      <c r="N73" s="19"/>
      <c r="O73" s="19"/>
      <c r="P73" s="12"/>
      <c r="Q73" s="18"/>
      <c r="R73" s="12"/>
      <c r="S73" s="12" t="s">
        <v>509</v>
      </c>
    </row>
    <row r="74" spans="1:19" ht="38.25" x14ac:dyDescent="0.25">
      <c r="A74" s="15" t="s">
        <v>513</v>
      </c>
      <c r="B74" s="16">
        <v>4</v>
      </c>
      <c r="C74" s="12" t="s">
        <v>122</v>
      </c>
      <c r="D74" s="18" t="s">
        <v>514</v>
      </c>
      <c r="E74" s="18" t="s">
        <v>515</v>
      </c>
      <c r="F74" s="12" t="s">
        <v>180</v>
      </c>
      <c r="G74" s="12" t="s">
        <v>60</v>
      </c>
      <c r="H74" s="18"/>
      <c r="I74" s="18"/>
      <c r="J74" s="18" t="s">
        <v>516</v>
      </c>
      <c r="K74" s="18"/>
      <c r="L74" s="12" t="s">
        <v>254</v>
      </c>
      <c r="M74" s="19"/>
      <c r="N74" s="19"/>
      <c r="O74" s="19"/>
      <c r="P74" s="12"/>
      <c r="Q74" s="18"/>
      <c r="R74" s="12"/>
      <c r="S74" s="12" t="s">
        <v>517</v>
      </c>
    </row>
    <row r="75" spans="1:19" x14ac:dyDescent="0.25">
      <c r="A75" s="15" t="s">
        <v>518</v>
      </c>
      <c r="B75" s="16">
        <v>4</v>
      </c>
      <c r="C75" s="12" t="s">
        <v>122</v>
      </c>
      <c r="D75" s="18" t="s">
        <v>519</v>
      </c>
      <c r="E75" s="18" t="s">
        <v>520</v>
      </c>
      <c r="F75" s="12" t="s">
        <v>195</v>
      </c>
      <c r="G75" s="12" t="s">
        <v>60</v>
      </c>
      <c r="H75" s="18"/>
      <c r="I75" s="18"/>
      <c r="J75" s="18" t="s">
        <v>516</v>
      </c>
      <c r="K75" s="18"/>
      <c r="L75" s="12" t="s">
        <v>264</v>
      </c>
      <c r="M75" s="19"/>
      <c r="N75" s="19"/>
      <c r="O75" s="19"/>
      <c r="P75" s="12"/>
      <c r="Q75" s="18"/>
      <c r="R75" s="12"/>
      <c r="S75" s="12" t="s">
        <v>517</v>
      </c>
    </row>
    <row r="76" spans="1:19" ht="25.5" x14ac:dyDescent="0.25">
      <c r="A76" s="15" t="s">
        <v>521</v>
      </c>
      <c r="B76" s="16">
        <v>4</v>
      </c>
      <c r="C76" s="12" t="s">
        <v>122</v>
      </c>
      <c r="D76" s="18" t="s">
        <v>522</v>
      </c>
      <c r="E76" s="18" t="s">
        <v>523</v>
      </c>
      <c r="F76" s="12" t="s">
        <v>180</v>
      </c>
      <c r="G76" s="12" t="s">
        <v>60</v>
      </c>
      <c r="H76" s="18"/>
      <c r="I76" s="18"/>
      <c r="J76" s="18" t="s">
        <v>524</v>
      </c>
      <c r="K76" s="18"/>
      <c r="L76" s="12" t="s">
        <v>264</v>
      </c>
      <c r="M76" s="19"/>
      <c r="N76" s="19"/>
      <c r="O76" s="19"/>
      <c r="P76" s="12"/>
      <c r="Q76" s="18"/>
      <c r="R76" s="12"/>
      <c r="S76" s="12" t="s">
        <v>525</v>
      </c>
    </row>
    <row r="77" spans="1:19" ht="25.5" x14ac:dyDescent="0.25">
      <c r="A77" s="15" t="s">
        <v>526</v>
      </c>
      <c r="B77" s="16">
        <v>4</v>
      </c>
      <c r="C77" s="12" t="s">
        <v>122</v>
      </c>
      <c r="D77" s="18" t="s">
        <v>527</v>
      </c>
      <c r="E77" s="18" t="s">
        <v>528</v>
      </c>
      <c r="F77" s="12" t="s">
        <v>180</v>
      </c>
      <c r="G77" s="12" t="s">
        <v>60</v>
      </c>
      <c r="H77" s="18"/>
      <c r="I77" s="18"/>
      <c r="J77" s="18" t="s">
        <v>327</v>
      </c>
      <c r="K77" s="18"/>
      <c r="L77" s="12" t="s">
        <v>264</v>
      </c>
      <c r="M77" s="19"/>
      <c r="N77" s="19"/>
      <c r="O77" s="19"/>
      <c r="P77" s="12"/>
      <c r="Q77" s="18"/>
      <c r="R77" s="12"/>
      <c r="S77" s="12" t="s">
        <v>525</v>
      </c>
    </row>
    <row r="78" spans="1:19" x14ac:dyDescent="0.25">
      <c r="A78" s="15" t="s">
        <v>529</v>
      </c>
      <c r="B78" s="16">
        <v>4</v>
      </c>
      <c r="C78" s="12" t="s">
        <v>122</v>
      </c>
      <c r="D78" s="18" t="s">
        <v>530</v>
      </c>
      <c r="E78" s="18" t="s">
        <v>531</v>
      </c>
      <c r="F78" s="12" t="s">
        <v>195</v>
      </c>
      <c r="G78" s="12" t="s">
        <v>60</v>
      </c>
      <c r="H78" s="18"/>
      <c r="I78" s="18"/>
      <c r="J78" s="18" t="s">
        <v>327</v>
      </c>
      <c r="K78" s="18" t="s">
        <v>521</v>
      </c>
      <c r="L78" s="12" t="s">
        <v>184</v>
      </c>
      <c r="M78" s="19"/>
      <c r="N78" s="19"/>
      <c r="O78" s="19"/>
      <c r="P78" s="12"/>
      <c r="Q78" s="18"/>
      <c r="R78" s="12"/>
      <c r="S78" s="12" t="s">
        <v>525</v>
      </c>
    </row>
    <row r="79" spans="1:19" x14ac:dyDescent="0.25">
      <c r="A79" s="15" t="s">
        <v>532</v>
      </c>
      <c r="B79" s="16">
        <v>4</v>
      </c>
      <c r="C79" s="12" t="s">
        <v>122</v>
      </c>
      <c r="D79" s="18" t="s">
        <v>533</v>
      </c>
      <c r="E79" s="18" t="s">
        <v>534</v>
      </c>
      <c r="F79" s="12" t="s">
        <v>195</v>
      </c>
      <c r="G79" s="12" t="s">
        <v>60</v>
      </c>
      <c r="H79" s="18"/>
      <c r="I79" s="18"/>
      <c r="J79" s="18" t="s">
        <v>516</v>
      </c>
      <c r="K79" s="18"/>
      <c r="L79" s="12" t="s">
        <v>184</v>
      </c>
      <c r="M79" s="19"/>
      <c r="N79" s="19"/>
      <c r="O79" s="19"/>
      <c r="P79" s="12"/>
      <c r="Q79" s="18"/>
      <c r="R79" s="12"/>
      <c r="S79" s="12"/>
    </row>
    <row r="80" spans="1:19" x14ac:dyDescent="0.25">
      <c r="A80" s="15" t="s">
        <v>535</v>
      </c>
      <c r="B80" s="16">
        <v>4</v>
      </c>
      <c r="C80" s="12" t="s">
        <v>122</v>
      </c>
      <c r="D80" s="18" t="s">
        <v>536</v>
      </c>
      <c r="E80" s="18" t="s">
        <v>537</v>
      </c>
      <c r="F80" s="12" t="s">
        <v>195</v>
      </c>
      <c r="G80" s="12" t="s">
        <v>60</v>
      </c>
      <c r="H80" s="18"/>
      <c r="I80" s="18"/>
      <c r="J80" s="18" t="s">
        <v>386</v>
      </c>
      <c r="K80" s="18" t="s">
        <v>413</v>
      </c>
      <c r="L80" s="12" t="s">
        <v>264</v>
      </c>
      <c r="M80" s="19"/>
      <c r="N80" s="19"/>
      <c r="O80" s="19"/>
      <c r="P80" s="12"/>
      <c r="Q80" s="18"/>
      <c r="R80" s="12"/>
      <c r="S80" s="12"/>
    </row>
    <row r="81" spans="1:19" ht="25.5" x14ac:dyDescent="0.25">
      <c r="A81" s="15" t="s">
        <v>538</v>
      </c>
      <c r="B81" s="16">
        <v>4</v>
      </c>
      <c r="C81" s="12" t="s">
        <v>122</v>
      </c>
      <c r="D81" s="18" t="s">
        <v>539</v>
      </c>
      <c r="E81" s="18" t="s">
        <v>540</v>
      </c>
      <c r="F81" s="12" t="s">
        <v>195</v>
      </c>
      <c r="G81" s="12" t="s">
        <v>60</v>
      </c>
      <c r="H81" s="18"/>
      <c r="I81" s="18"/>
      <c r="J81" s="18" t="s">
        <v>541</v>
      </c>
      <c r="K81" s="18"/>
      <c r="L81" s="12" t="s">
        <v>184</v>
      </c>
      <c r="M81" s="19"/>
      <c r="N81" s="19"/>
      <c r="O81" s="19"/>
      <c r="P81" s="12"/>
      <c r="Q81" s="18"/>
      <c r="R81" s="12"/>
      <c r="S81" s="12" t="s">
        <v>509</v>
      </c>
    </row>
    <row r="82" spans="1:19" x14ac:dyDescent="0.25">
      <c r="A82" s="15" t="s">
        <v>542</v>
      </c>
      <c r="B82" s="16">
        <v>4</v>
      </c>
      <c r="C82" s="12" t="s">
        <v>122</v>
      </c>
      <c r="D82" s="18" t="s">
        <v>543</v>
      </c>
      <c r="E82" s="18" t="s">
        <v>544</v>
      </c>
      <c r="F82" s="12" t="s">
        <v>304</v>
      </c>
      <c r="G82" s="12" t="s">
        <v>60</v>
      </c>
      <c r="H82" s="18"/>
      <c r="I82" s="18"/>
      <c r="J82" s="18" t="s">
        <v>210</v>
      </c>
      <c r="K82" s="18"/>
      <c r="L82" s="12" t="s">
        <v>264</v>
      </c>
      <c r="M82" s="19"/>
      <c r="N82" s="19"/>
      <c r="O82" s="19"/>
      <c r="P82" s="12"/>
      <c r="Q82" s="18"/>
      <c r="R82" s="12"/>
      <c r="S82" s="12"/>
    </row>
    <row r="83" spans="1:19" ht="25.5" x14ac:dyDescent="0.25">
      <c r="A83" s="15" t="s">
        <v>545</v>
      </c>
      <c r="B83" s="16">
        <v>4</v>
      </c>
      <c r="C83" s="12" t="s">
        <v>72</v>
      </c>
      <c r="D83" s="18" t="s">
        <v>546</v>
      </c>
      <c r="E83" s="18" t="s">
        <v>547</v>
      </c>
      <c r="F83" s="12" t="s">
        <v>180</v>
      </c>
      <c r="G83" s="12" t="s">
        <v>60</v>
      </c>
      <c r="H83" s="18"/>
      <c r="I83" s="18"/>
      <c r="J83" s="18" t="s">
        <v>204</v>
      </c>
      <c r="K83" s="18" t="s">
        <v>548</v>
      </c>
      <c r="L83" s="12" t="s">
        <v>184</v>
      </c>
      <c r="M83" s="19"/>
      <c r="N83" s="19"/>
      <c r="O83" s="19"/>
      <c r="P83" s="12"/>
      <c r="Q83" s="18"/>
      <c r="R83" s="12"/>
      <c r="S83" s="12" t="s">
        <v>549</v>
      </c>
    </row>
    <row r="84" spans="1:19" ht="63.75" x14ac:dyDescent="0.25">
      <c r="A84" s="15" t="s">
        <v>550</v>
      </c>
      <c r="B84" s="16">
        <v>4</v>
      </c>
      <c r="C84" s="12" t="s">
        <v>122</v>
      </c>
      <c r="D84" s="18" t="s">
        <v>551</v>
      </c>
      <c r="E84" s="18" t="s">
        <v>552</v>
      </c>
      <c r="F84" s="12" t="s">
        <v>304</v>
      </c>
      <c r="G84" s="12" t="s">
        <v>66</v>
      </c>
      <c r="H84" s="18"/>
      <c r="I84" s="18"/>
      <c r="J84" s="18" t="s">
        <v>553</v>
      </c>
      <c r="K84" s="18"/>
      <c r="L84" s="12" t="s">
        <v>184</v>
      </c>
      <c r="M84" s="19">
        <v>46292.170868055553</v>
      </c>
      <c r="N84" s="19"/>
      <c r="O84" s="19"/>
      <c r="P84" s="12"/>
      <c r="Q84" s="18" t="s">
        <v>554</v>
      </c>
      <c r="R84" s="12"/>
      <c r="S84" s="12"/>
    </row>
    <row r="85" spans="1:19" x14ac:dyDescent="0.25">
      <c r="A85" s="15" t="s">
        <v>555</v>
      </c>
      <c r="B85" s="16">
        <v>5</v>
      </c>
      <c r="C85" s="12" t="s">
        <v>126</v>
      </c>
      <c r="D85" s="18" t="s">
        <v>556</v>
      </c>
      <c r="E85" s="18" t="s">
        <v>557</v>
      </c>
      <c r="F85" s="12" t="s">
        <v>180</v>
      </c>
      <c r="G85" s="12" t="s">
        <v>60</v>
      </c>
      <c r="H85" s="18"/>
      <c r="I85" s="18"/>
      <c r="J85" s="18" t="s">
        <v>327</v>
      </c>
      <c r="K85" s="18"/>
      <c r="L85" s="12" t="s">
        <v>254</v>
      </c>
      <c r="M85" s="19"/>
      <c r="N85" s="19"/>
      <c r="O85" s="19"/>
      <c r="P85" s="12"/>
      <c r="Q85" s="18"/>
      <c r="R85" s="12"/>
      <c r="S85" s="12" t="s">
        <v>558</v>
      </c>
    </row>
    <row r="86" spans="1:19" x14ac:dyDescent="0.25">
      <c r="A86" s="15" t="s">
        <v>559</v>
      </c>
      <c r="B86" s="16">
        <v>5</v>
      </c>
      <c r="C86" s="12" t="s">
        <v>126</v>
      </c>
      <c r="D86" s="18" t="s">
        <v>560</v>
      </c>
      <c r="E86" s="18" t="s">
        <v>561</v>
      </c>
      <c r="F86" s="12" t="s">
        <v>195</v>
      </c>
      <c r="G86" s="12" t="s">
        <v>60</v>
      </c>
      <c r="H86" s="18"/>
      <c r="I86" s="18"/>
      <c r="J86" s="18" t="s">
        <v>562</v>
      </c>
      <c r="K86" s="18"/>
      <c r="L86" s="12" t="s">
        <v>184</v>
      </c>
      <c r="M86" s="19"/>
      <c r="N86" s="19"/>
      <c r="O86" s="19"/>
      <c r="P86" s="12"/>
      <c r="Q86" s="18"/>
      <c r="R86" s="12"/>
      <c r="S86" s="12" t="s">
        <v>558</v>
      </c>
    </row>
    <row r="87" spans="1:19" ht="25.5" x14ac:dyDescent="0.25">
      <c r="A87" s="15" t="s">
        <v>563</v>
      </c>
      <c r="B87" s="16">
        <v>5</v>
      </c>
      <c r="C87" s="12" t="s">
        <v>126</v>
      </c>
      <c r="D87" s="18" t="s">
        <v>564</v>
      </c>
      <c r="E87" s="18" t="s">
        <v>565</v>
      </c>
      <c r="F87" s="12" t="s">
        <v>195</v>
      </c>
      <c r="G87" s="12" t="s">
        <v>60</v>
      </c>
      <c r="H87" s="18"/>
      <c r="I87" s="18"/>
      <c r="J87" s="18" t="s">
        <v>566</v>
      </c>
      <c r="K87" s="18"/>
      <c r="L87" s="12" t="s">
        <v>254</v>
      </c>
      <c r="M87" s="19"/>
      <c r="N87" s="19"/>
      <c r="O87" s="19"/>
      <c r="P87" s="12"/>
      <c r="Q87" s="18"/>
      <c r="R87" s="12"/>
      <c r="S87" s="12" t="s">
        <v>321</v>
      </c>
    </row>
    <row r="88" spans="1:19" ht="25.5" x14ac:dyDescent="0.25">
      <c r="A88" s="15" t="s">
        <v>567</v>
      </c>
      <c r="B88" s="16">
        <v>5</v>
      </c>
      <c r="C88" s="12" t="s">
        <v>126</v>
      </c>
      <c r="D88" s="18" t="s">
        <v>568</v>
      </c>
      <c r="E88" s="18" t="s">
        <v>569</v>
      </c>
      <c r="F88" s="12" t="s">
        <v>195</v>
      </c>
      <c r="G88" s="12" t="s">
        <v>60</v>
      </c>
      <c r="H88" s="18"/>
      <c r="I88" s="18"/>
      <c r="J88" s="18" t="s">
        <v>405</v>
      </c>
      <c r="K88" s="18"/>
      <c r="L88" s="12" t="s">
        <v>254</v>
      </c>
      <c r="M88" s="19"/>
      <c r="N88" s="19"/>
      <c r="O88" s="19"/>
      <c r="P88" s="12"/>
      <c r="Q88" s="18"/>
      <c r="R88" s="12"/>
      <c r="S88" s="12" t="s">
        <v>321</v>
      </c>
    </row>
    <row r="89" spans="1:19" x14ac:dyDescent="0.25">
      <c r="A89" s="15" t="s">
        <v>570</v>
      </c>
      <c r="B89" s="16">
        <v>5</v>
      </c>
      <c r="C89" s="12" t="s">
        <v>126</v>
      </c>
      <c r="D89" s="18" t="s">
        <v>571</v>
      </c>
      <c r="E89" s="18" t="s">
        <v>572</v>
      </c>
      <c r="F89" s="12" t="s">
        <v>304</v>
      </c>
      <c r="G89" s="12" t="s">
        <v>60</v>
      </c>
      <c r="H89" s="18"/>
      <c r="I89" s="18"/>
      <c r="J89" s="18" t="s">
        <v>277</v>
      </c>
      <c r="K89" s="18"/>
      <c r="L89" s="12" t="s">
        <v>264</v>
      </c>
      <c r="M89" s="19"/>
      <c r="N89" s="19"/>
      <c r="O89" s="19"/>
      <c r="P89" s="12"/>
      <c r="Q89" s="18"/>
      <c r="R89" s="12"/>
      <c r="S89" s="12" t="s">
        <v>321</v>
      </c>
    </row>
    <row r="90" spans="1:19" x14ac:dyDescent="0.25">
      <c r="A90" s="15" t="s">
        <v>573</v>
      </c>
      <c r="B90" s="16">
        <v>5</v>
      </c>
      <c r="C90" s="12" t="s">
        <v>126</v>
      </c>
      <c r="D90" s="18" t="s">
        <v>574</v>
      </c>
      <c r="E90" s="18" t="s">
        <v>575</v>
      </c>
      <c r="F90" s="12" t="s">
        <v>304</v>
      </c>
      <c r="G90" s="12" t="s">
        <v>60</v>
      </c>
      <c r="H90" s="18"/>
      <c r="I90" s="18"/>
      <c r="J90" s="18" t="s">
        <v>576</v>
      </c>
      <c r="K90" s="18"/>
      <c r="L90" s="12" t="s">
        <v>184</v>
      </c>
      <c r="M90" s="19"/>
      <c r="N90" s="19"/>
      <c r="O90" s="19"/>
      <c r="P90" s="12"/>
      <c r="Q90" s="18"/>
      <c r="R90" s="12"/>
      <c r="S90" s="12"/>
    </row>
    <row r="91" spans="1:19" ht="25.5" x14ac:dyDescent="0.25">
      <c r="A91" s="15" t="s">
        <v>577</v>
      </c>
      <c r="B91" s="16">
        <v>5</v>
      </c>
      <c r="C91" s="12" t="s">
        <v>126</v>
      </c>
      <c r="D91" s="18" t="s">
        <v>578</v>
      </c>
      <c r="E91" s="18" t="s">
        <v>579</v>
      </c>
      <c r="F91" s="12" t="s">
        <v>195</v>
      </c>
      <c r="G91" s="12" t="s">
        <v>60</v>
      </c>
      <c r="H91" s="18"/>
      <c r="I91" s="18"/>
      <c r="J91" s="18" t="s">
        <v>580</v>
      </c>
      <c r="K91" s="18"/>
      <c r="L91" s="12" t="s">
        <v>184</v>
      </c>
      <c r="M91" s="19"/>
      <c r="N91" s="19"/>
      <c r="O91" s="19"/>
      <c r="P91" s="12"/>
      <c r="Q91" s="18"/>
      <c r="R91" s="12"/>
      <c r="S91" s="12" t="s">
        <v>581</v>
      </c>
    </row>
    <row r="92" spans="1:19" x14ac:dyDescent="0.25">
      <c r="A92" s="15" t="s">
        <v>582</v>
      </c>
      <c r="B92" s="16">
        <v>6</v>
      </c>
      <c r="C92" s="12" t="s">
        <v>124</v>
      </c>
      <c r="D92" s="18" t="s">
        <v>583</v>
      </c>
      <c r="E92" s="18" t="s">
        <v>584</v>
      </c>
      <c r="F92" s="12" t="s">
        <v>180</v>
      </c>
      <c r="G92" s="12" t="s">
        <v>60</v>
      </c>
      <c r="H92" s="18"/>
      <c r="I92" s="18"/>
      <c r="J92" s="18" t="s">
        <v>405</v>
      </c>
      <c r="K92" s="18"/>
      <c r="L92" s="12" t="s">
        <v>264</v>
      </c>
      <c r="M92" s="19"/>
      <c r="N92" s="19"/>
      <c r="O92" s="19"/>
      <c r="P92" s="12"/>
      <c r="Q92" s="18"/>
      <c r="R92" s="12"/>
      <c r="S92" s="12" t="s">
        <v>585</v>
      </c>
    </row>
    <row r="93" spans="1:19" ht="25.5" x14ac:dyDescent="0.25">
      <c r="A93" s="15" t="s">
        <v>586</v>
      </c>
      <c r="B93" s="16">
        <v>6</v>
      </c>
      <c r="C93" s="12" t="s">
        <v>124</v>
      </c>
      <c r="D93" s="18" t="s">
        <v>587</v>
      </c>
      <c r="E93" s="18" t="s">
        <v>588</v>
      </c>
      <c r="F93" s="12" t="s">
        <v>180</v>
      </c>
      <c r="G93" s="12" t="s">
        <v>60</v>
      </c>
      <c r="H93" s="18"/>
      <c r="I93" s="18"/>
      <c r="J93" s="18" t="s">
        <v>589</v>
      </c>
      <c r="K93" s="18" t="s">
        <v>582</v>
      </c>
      <c r="L93" s="12" t="s">
        <v>254</v>
      </c>
      <c r="M93" s="19"/>
      <c r="N93" s="19"/>
      <c r="O93" s="19"/>
      <c r="P93" s="12"/>
      <c r="Q93" s="18"/>
      <c r="R93" s="12"/>
      <c r="S93" s="12" t="s">
        <v>585</v>
      </c>
    </row>
    <row r="94" spans="1:19" x14ac:dyDescent="0.25">
      <c r="A94" s="15" t="s">
        <v>590</v>
      </c>
      <c r="B94" s="16">
        <v>6</v>
      </c>
      <c r="C94" s="12" t="s">
        <v>124</v>
      </c>
      <c r="D94" s="18" t="s">
        <v>591</v>
      </c>
      <c r="E94" s="18" t="s">
        <v>592</v>
      </c>
      <c r="F94" s="12" t="s">
        <v>180</v>
      </c>
      <c r="G94" s="12" t="s">
        <v>60</v>
      </c>
      <c r="H94" s="18"/>
      <c r="I94" s="18"/>
      <c r="J94" s="18" t="s">
        <v>589</v>
      </c>
      <c r="K94" s="18" t="s">
        <v>582</v>
      </c>
      <c r="L94" s="12" t="s">
        <v>264</v>
      </c>
      <c r="M94" s="19"/>
      <c r="N94" s="19"/>
      <c r="O94" s="19"/>
      <c r="P94" s="12"/>
      <c r="Q94" s="18"/>
      <c r="R94" s="12"/>
      <c r="S94" s="12" t="s">
        <v>585</v>
      </c>
    </row>
    <row r="95" spans="1:19" x14ac:dyDescent="0.25">
      <c r="A95" s="15" t="s">
        <v>593</v>
      </c>
      <c r="B95" s="16">
        <v>6</v>
      </c>
      <c r="C95" s="12" t="s">
        <v>124</v>
      </c>
      <c r="D95" s="18" t="s">
        <v>594</v>
      </c>
      <c r="E95" s="18" t="s">
        <v>595</v>
      </c>
      <c r="F95" s="12" t="s">
        <v>180</v>
      </c>
      <c r="G95" s="12" t="s">
        <v>60</v>
      </c>
      <c r="H95" s="18"/>
      <c r="I95" s="18"/>
      <c r="J95" s="18" t="s">
        <v>589</v>
      </c>
      <c r="K95" s="18"/>
      <c r="L95" s="12" t="s">
        <v>264</v>
      </c>
      <c r="M95" s="19"/>
      <c r="N95" s="19"/>
      <c r="O95" s="19"/>
      <c r="P95" s="12"/>
      <c r="Q95" s="18"/>
      <c r="R95" s="12"/>
      <c r="S95" s="12" t="s">
        <v>585</v>
      </c>
    </row>
    <row r="96" spans="1:19" ht="25.5" x14ac:dyDescent="0.25">
      <c r="A96" s="15" t="s">
        <v>596</v>
      </c>
      <c r="B96" s="16">
        <v>6</v>
      </c>
      <c r="C96" s="12" t="s">
        <v>124</v>
      </c>
      <c r="D96" s="18" t="s">
        <v>597</v>
      </c>
      <c r="E96" s="18" t="s">
        <v>598</v>
      </c>
      <c r="F96" s="12" t="s">
        <v>180</v>
      </c>
      <c r="G96" s="12" t="s">
        <v>60</v>
      </c>
      <c r="H96" s="18"/>
      <c r="I96" s="18"/>
      <c r="J96" s="18" t="s">
        <v>589</v>
      </c>
      <c r="K96" s="18"/>
      <c r="L96" s="12" t="s">
        <v>254</v>
      </c>
      <c r="M96" s="19"/>
      <c r="N96" s="19"/>
      <c r="O96" s="19"/>
      <c r="P96" s="12"/>
      <c r="Q96" s="18"/>
      <c r="R96" s="12"/>
      <c r="S96" s="12" t="s">
        <v>585</v>
      </c>
    </row>
    <row r="97" spans="1:19" x14ac:dyDescent="0.25">
      <c r="A97" s="15" t="s">
        <v>599</v>
      </c>
      <c r="B97" s="16">
        <v>6</v>
      </c>
      <c r="C97" s="12" t="s">
        <v>124</v>
      </c>
      <c r="D97" s="18" t="s">
        <v>600</v>
      </c>
      <c r="E97" s="18" t="s">
        <v>601</v>
      </c>
      <c r="F97" s="12" t="s">
        <v>195</v>
      </c>
      <c r="G97" s="12" t="s">
        <v>60</v>
      </c>
      <c r="H97" s="18"/>
      <c r="I97" s="18"/>
      <c r="J97" s="18" t="s">
        <v>405</v>
      </c>
      <c r="K97" s="18"/>
      <c r="L97" s="12" t="s">
        <v>184</v>
      </c>
      <c r="M97" s="19"/>
      <c r="N97" s="19"/>
      <c r="O97" s="19"/>
      <c r="P97" s="12"/>
      <c r="Q97" s="18"/>
      <c r="R97" s="12"/>
      <c r="S97" s="12" t="s">
        <v>585</v>
      </c>
    </row>
    <row r="98" spans="1:19" x14ac:dyDescent="0.25">
      <c r="A98" s="15" t="s">
        <v>602</v>
      </c>
      <c r="B98" s="16">
        <v>6</v>
      </c>
      <c r="C98" s="12" t="s">
        <v>124</v>
      </c>
      <c r="D98" s="18" t="s">
        <v>603</v>
      </c>
      <c r="E98" s="18" t="s">
        <v>604</v>
      </c>
      <c r="F98" s="12" t="s">
        <v>304</v>
      </c>
      <c r="G98" s="12" t="s">
        <v>60</v>
      </c>
      <c r="H98" s="18"/>
      <c r="I98" s="18"/>
      <c r="J98" s="18" t="s">
        <v>405</v>
      </c>
      <c r="K98" s="18" t="s">
        <v>582</v>
      </c>
      <c r="L98" s="12" t="s">
        <v>184</v>
      </c>
      <c r="M98" s="19"/>
      <c r="N98" s="19"/>
      <c r="O98" s="19"/>
      <c r="P98" s="12"/>
      <c r="Q98" s="18"/>
      <c r="R98" s="12"/>
      <c r="S98" s="12"/>
    </row>
    <row r="99" spans="1:19" ht="25.5" x14ac:dyDescent="0.25">
      <c r="A99" s="15" t="s">
        <v>605</v>
      </c>
      <c r="B99" s="16">
        <v>6</v>
      </c>
      <c r="C99" s="12" t="s">
        <v>139</v>
      </c>
      <c r="D99" s="18" t="s">
        <v>606</v>
      </c>
      <c r="E99" s="18" t="s">
        <v>607</v>
      </c>
      <c r="F99" s="12" t="s">
        <v>180</v>
      </c>
      <c r="G99" s="12" t="s">
        <v>60</v>
      </c>
      <c r="H99" s="18"/>
      <c r="I99" s="18"/>
      <c r="J99" s="18" t="s">
        <v>608</v>
      </c>
      <c r="K99" s="18"/>
      <c r="L99" s="12" t="s">
        <v>264</v>
      </c>
      <c r="M99" s="19"/>
      <c r="N99" s="19"/>
      <c r="O99" s="19"/>
      <c r="P99" s="12"/>
      <c r="Q99" s="18"/>
      <c r="R99" s="12"/>
      <c r="S99" s="12" t="s">
        <v>609</v>
      </c>
    </row>
    <row r="100" spans="1:19" ht="25.5" x14ac:dyDescent="0.25">
      <c r="A100" s="15" t="s">
        <v>610</v>
      </c>
      <c r="B100" s="16">
        <v>6</v>
      </c>
      <c r="C100" s="12" t="s">
        <v>139</v>
      </c>
      <c r="D100" s="18" t="s">
        <v>611</v>
      </c>
      <c r="E100" s="18" t="s">
        <v>612</v>
      </c>
      <c r="F100" s="12" t="s">
        <v>195</v>
      </c>
      <c r="G100" s="12" t="s">
        <v>60</v>
      </c>
      <c r="H100" s="18"/>
      <c r="I100" s="18"/>
      <c r="J100" s="18" t="s">
        <v>608</v>
      </c>
      <c r="K100" s="18" t="s">
        <v>605</v>
      </c>
      <c r="L100" s="12" t="s">
        <v>184</v>
      </c>
      <c r="M100" s="19"/>
      <c r="N100" s="19"/>
      <c r="O100" s="19"/>
      <c r="P100" s="12"/>
      <c r="Q100" s="18"/>
      <c r="R100" s="12"/>
      <c r="S100" s="12"/>
    </row>
    <row r="101" spans="1:19" x14ac:dyDescent="0.25">
      <c r="A101" s="15" t="s">
        <v>613</v>
      </c>
      <c r="B101" s="16">
        <v>6</v>
      </c>
      <c r="C101" s="12" t="s">
        <v>139</v>
      </c>
      <c r="D101" s="18" t="s">
        <v>614</v>
      </c>
      <c r="E101" s="18" t="s">
        <v>615</v>
      </c>
      <c r="F101" s="12" t="s">
        <v>180</v>
      </c>
      <c r="G101" s="12" t="s">
        <v>60</v>
      </c>
      <c r="H101" s="18"/>
      <c r="I101" s="18"/>
      <c r="J101" s="18" t="s">
        <v>405</v>
      </c>
      <c r="K101" s="18" t="s">
        <v>605</v>
      </c>
      <c r="L101" s="12" t="s">
        <v>254</v>
      </c>
      <c r="M101" s="19"/>
      <c r="N101" s="19"/>
      <c r="O101" s="19"/>
      <c r="P101" s="12"/>
      <c r="Q101" s="18"/>
      <c r="R101" s="12"/>
      <c r="S101" s="12" t="s">
        <v>609</v>
      </c>
    </row>
    <row r="102" spans="1:19" ht="25.5" x14ac:dyDescent="0.25">
      <c r="A102" s="15" t="s">
        <v>616</v>
      </c>
      <c r="B102" s="16">
        <v>6</v>
      </c>
      <c r="C102" s="12" t="s">
        <v>139</v>
      </c>
      <c r="D102" s="18" t="s">
        <v>617</v>
      </c>
      <c r="E102" s="18" t="s">
        <v>618</v>
      </c>
      <c r="F102" s="12" t="s">
        <v>195</v>
      </c>
      <c r="G102" s="12" t="s">
        <v>60</v>
      </c>
      <c r="H102" s="18"/>
      <c r="I102" s="18"/>
      <c r="J102" s="18" t="s">
        <v>608</v>
      </c>
      <c r="K102" s="18"/>
      <c r="L102" s="12" t="s">
        <v>264</v>
      </c>
      <c r="M102" s="19"/>
      <c r="N102" s="19"/>
      <c r="O102" s="19"/>
      <c r="P102" s="12"/>
      <c r="Q102" s="18"/>
      <c r="R102" s="12"/>
      <c r="S102" s="12"/>
    </row>
    <row r="103" spans="1:19" x14ac:dyDescent="0.25">
      <c r="A103" s="15" t="s">
        <v>619</v>
      </c>
      <c r="B103" s="16">
        <v>6</v>
      </c>
      <c r="C103" s="12" t="s">
        <v>139</v>
      </c>
      <c r="D103" s="18" t="s">
        <v>620</v>
      </c>
      <c r="E103" s="18" t="s">
        <v>621</v>
      </c>
      <c r="F103" s="12" t="s">
        <v>195</v>
      </c>
      <c r="G103" s="12" t="s">
        <v>60</v>
      </c>
      <c r="H103" s="18"/>
      <c r="I103" s="18"/>
      <c r="J103" s="18" t="s">
        <v>405</v>
      </c>
      <c r="K103" s="18" t="s">
        <v>605</v>
      </c>
      <c r="L103" s="12" t="s">
        <v>264</v>
      </c>
      <c r="M103" s="19"/>
      <c r="N103" s="19"/>
      <c r="O103" s="19"/>
      <c r="P103" s="12"/>
      <c r="Q103" s="18"/>
      <c r="R103" s="12"/>
      <c r="S103" s="12" t="s">
        <v>622</v>
      </c>
    </row>
    <row r="104" spans="1:19" ht="25.5" x14ac:dyDescent="0.25">
      <c r="A104" s="15" t="s">
        <v>623</v>
      </c>
      <c r="B104" s="16">
        <v>7</v>
      </c>
      <c r="C104" s="12" t="s">
        <v>110</v>
      </c>
      <c r="D104" s="18" t="s">
        <v>624</v>
      </c>
      <c r="E104" s="18" t="s">
        <v>625</v>
      </c>
      <c r="F104" s="12" t="s">
        <v>180</v>
      </c>
      <c r="G104" s="12" t="s">
        <v>60</v>
      </c>
      <c r="H104" s="18"/>
      <c r="I104" s="18"/>
      <c r="J104" s="18" t="s">
        <v>626</v>
      </c>
      <c r="K104" s="18"/>
      <c r="L104" s="12" t="s">
        <v>254</v>
      </c>
      <c r="M104" s="19"/>
      <c r="N104" s="19"/>
      <c r="O104" s="19"/>
      <c r="P104" s="12"/>
      <c r="Q104" s="18"/>
      <c r="R104" s="12"/>
      <c r="S104" s="12"/>
    </row>
    <row r="105" spans="1:19" x14ac:dyDescent="0.25">
      <c r="A105" s="15" t="s">
        <v>627</v>
      </c>
      <c r="B105" s="16">
        <v>7</v>
      </c>
      <c r="C105" s="12" t="s">
        <v>110</v>
      </c>
      <c r="D105" s="18" t="s">
        <v>628</v>
      </c>
      <c r="E105" s="18" t="s">
        <v>629</v>
      </c>
      <c r="F105" s="12" t="s">
        <v>180</v>
      </c>
      <c r="G105" s="12" t="s">
        <v>60</v>
      </c>
      <c r="H105" s="18"/>
      <c r="I105" s="18"/>
      <c r="J105" s="18" t="s">
        <v>626</v>
      </c>
      <c r="K105" s="18" t="s">
        <v>623</v>
      </c>
      <c r="L105" s="12" t="s">
        <v>264</v>
      </c>
      <c r="M105" s="19"/>
      <c r="N105" s="19"/>
      <c r="O105" s="19"/>
      <c r="P105" s="12"/>
      <c r="Q105" s="18"/>
      <c r="R105" s="12"/>
      <c r="S105" s="12"/>
    </row>
    <row r="106" spans="1:19" x14ac:dyDescent="0.25">
      <c r="A106" s="15" t="s">
        <v>630</v>
      </c>
      <c r="B106" s="16">
        <v>7</v>
      </c>
      <c r="C106" s="12" t="s">
        <v>110</v>
      </c>
      <c r="D106" s="18" t="s">
        <v>631</v>
      </c>
      <c r="E106" s="18" t="s">
        <v>632</v>
      </c>
      <c r="F106" s="12" t="s">
        <v>195</v>
      </c>
      <c r="G106" s="12" t="s">
        <v>60</v>
      </c>
      <c r="H106" s="18"/>
      <c r="I106" s="18"/>
      <c r="J106" s="18" t="s">
        <v>626</v>
      </c>
      <c r="K106" s="18" t="s">
        <v>623</v>
      </c>
      <c r="L106" s="12" t="s">
        <v>184</v>
      </c>
      <c r="M106" s="19"/>
      <c r="N106" s="19"/>
      <c r="O106" s="19"/>
      <c r="P106" s="12"/>
      <c r="Q106" s="18"/>
      <c r="R106" s="12"/>
      <c r="S106" s="12"/>
    </row>
    <row r="107" spans="1:19" x14ac:dyDescent="0.25">
      <c r="A107" s="15" t="s">
        <v>633</v>
      </c>
      <c r="B107" s="16">
        <v>8</v>
      </c>
      <c r="C107" s="12" t="s">
        <v>136</v>
      </c>
      <c r="D107" s="18" t="s">
        <v>634</v>
      </c>
      <c r="E107" s="18" t="s">
        <v>635</v>
      </c>
      <c r="F107" s="12" t="s">
        <v>180</v>
      </c>
      <c r="G107" s="12" t="s">
        <v>60</v>
      </c>
      <c r="H107" s="18"/>
      <c r="I107" s="18"/>
      <c r="J107" s="18" t="s">
        <v>253</v>
      </c>
      <c r="K107" s="18" t="s">
        <v>623</v>
      </c>
      <c r="L107" s="12" t="s">
        <v>264</v>
      </c>
      <c r="M107" s="19"/>
      <c r="N107" s="19"/>
      <c r="O107" s="19"/>
      <c r="P107" s="12"/>
      <c r="Q107" s="18"/>
      <c r="R107" s="12"/>
      <c r="S107" s="12"/>
    </row>
    <row r="108" spans="1:19" ht="25.5" x14ac:dyDescent="0.25">
      <c r="A108" s="15" t="s">
        <v>636</v>
      </c>
      <c r="B108" s="16">
        <v>8</v>
      </c>
      <c r="C108" s="12" t="s">
        <v>136</v>
      </c>
      <c r="D108" s="18" t="s">
        <v>637</v>
      </c>
      <c r="E108" s="18" t="s">
        <v>638</v>
      </c>
      <c r="F108" s="12" t="s">
        <v>180</v>
      </c>
      <c r="G108" s="12" t="s">
        <v>60</v>
      </c>
      <c r="H108" s="18"/>
      <c r="I108" s="18"/>
      <c r="J108" s="18" t="s">
        <v>639</v>
      </c>
      <c r="K108" s="18" t="s">
        <v>633</v>
      </c>
      <c r="L108" s="12" t="s">
        <v>254</v>
      </c>
      <c r="M108" s="19"/>
      <c r="N108" s="19"/>
      <c r="O108" s="19"/>
      <c r="P108" s="12"/>
      <c r="Q108" s="18"/>
      <c r="R108" s="12"/>
      <c r="S108" s="12"/>
    </row>
    <row r="109" spans="1:19" x14ac:dyDescent="0.25">
      <c r="A109" s="15" t="s">
        <v>640</v>
      </c>
      <c r="B109" s="16">
        <v>8</v>
      </c>
      <c r="C109" s="12" t="s">
        <v>136</v>
      </c>
      <c r="D109" s="18" t="s">
        <v>641</v>
      </c>
      <c r="E109" s="18" t="s">
        <v>642</v>
      </c>
      <c r="F109" s="12" t="s">
        <v>195</v>
      </c>
      <c r="G109" s="12" t="s">
        <v>60</v>
      </c>
      <c r="H109" s="18"/>
      <c r="I109" s="18"/>
      <c r="J109" s="18" t="s">
        <v>639</v>
      </c>
      <c r="K109" s="18" t="s">
        <v>633</v>
      </c>
      <c r="L109" s="12" t="s">
        <v>264</v>
      </c>
      <c r="M109" s="19"/>
      <c r="N109" s="19"/>
      <c r="O109" s="19"/>
      <c r="P109" s="12"/>
      <c r="Q109" s="18"/>
      <c r="R109" s="12"/>
      <c r="S109" s="12"/>
    </row>
    <row r="110" spans="1:19" x14ac:dyDescent="0.25">
      <c r="A110" s="15" t="s">
        <v>643</v>
      </c>
      <c r="B110" s="16">
        <v>8</v>
      </c>
      <c r="C110" s="12" t="s">
        <v>136</v>
      </c>
      <c r="D110" s="18" t="s">
        <v>644</v>
      </c>
      <c r="E110" s="18" t="s">
        <v>645</v>
      </c>
      <c r="F110" s="12" t="s">
        <v>195</v>
      </c>
      <c r="G110" s="12" t="s">
        <v>60</v>
      </c>
      <c r="H110" s="18"/>
      <c r="I110" s="18"/>
      <c r="J110" s="18" t="s">
        <v>639</v>
      </c>
      <c r="K110" s="18" t="s">
        <v>636</v>
      </c>
      <c r="L110" s="12" t="s">
        <v>254</v>
      </c>
      <c r="M110" s="19"/>
      <c r="N110" s="19"/>
      <c r="O110" s="19"/>
      <c r="P110" s="12"/>
      <c r="Q110" s="18"/>
      <c r="R110" s="12"/>
      <c r="S110" s="12"/>
    </row>
    <row r="111" spans="1:19" x14ac:dyDescent="0.25">
      <c r="A111" s="15" t="s">
        <v>646</v>
      </c>
      <c r="B111" s="16">
        <v>8</v>
      </c>
      <c r="C111" s="12" t="s">
        <v>136</v>
      </c>
      <c r="D111" s="18" t="s">
        <v>647</v>
      </c>
      <c r="E111" s="18" t="s">
        <v>648</v>
      </c>
      <c r="F111" s="12" t="s">
        <v>180</v>
      </c>
      <c r="G111" s="12" t="s">
        <v>60</v>
      </c>
      <c r="H111" s="18"/>
      <c r="I111" s="18"/>
      <c r="J111" s="18" t="s">
        <v>639</v>
      </c>
      <c r="K111" s="18" t="s">
        <v>636</v>
      </c>
      <c r="L111" s="12" t="s">
        <v>264</v>
      </c>
      <c r="M111" s="19"/>
      <c r="N111" s="19"/>
      <c r="O111" s="19"/>
      <c r="P111" s="12"/>
      <c r="Q111" s="18"/>
      <c r="R111" s="12"/>
      <c r="S111" s="12"/>
    </row>
    <row r="112" spans="1:19" ht="25.5" x14ac:dyDescent="0.25">
      <c r="A112" s="15" t="s">
        <v>649</v>
      </c>
      <c r="B112" s="16">
        <v>8</v>
      </c>
      <c r="C112" s="12" t="s">
        <v>136</v>
      </c>
      <c r="D112" s="18" t="s">
        <v>650</v>
      </c>
      <c r="E112" s="18" t="s">
        <v>651</v>
      </c>
      <c r="F112" s="12" t="s">
        <v>195</v>
      </c>
      <c r="G112" s="12" t="s">
        <v>60</v>
      </c>
      <c r="H112" s="18"/>
      <c r="I112" s="18"/>
      <c r="J112" s="18" t="s">
        <v>652</v>
      </c>
      <c r="K112" s="18"/>
      <c r="L112" s="12" t="s">
        <v>264</v>
      </c>
      <c r="M112" s="19"/>
      <c r="N112" s="19"/>
      <c r="O112" s="19"/>
      <c r="P112" s="12"/>
      <c r="Q112" s="18"/>
      <c r="R112" s="12"/>
      <c r="S112" s="12"/>
    </row>
    <row r="113" spans="1:19" x14ac:dyDescent="0.25">
      <c r="A113" s="15" t="s">
        <v>653</v>
      </c>
      <c r="B113" s="16">
        <v>8</v>
      </c>
      <c r="C113" s="12" t="s">
        <v>136</v>
      </c>
      <c r="D113" s="18" t="s">
        <v>654</v>
      </c>
      <c r="E113" s="18" t="s">
        <v>655</v>
      </c>
      <c r="F113" s="12" t="s">
        <v>195</v>
      </c>
      <c r="G113" s="12" t="s">
        <v>60</v>
      </c>
      <c r="H113" s="18"/>
      <c r="I113" s="18"/>
      <c r="J113" s="18" t="s">
        <v>656</v>
      </c>
      <c r="K113" s="18" t="s">
        <v>646</v>
      </c>
      <c r="L113" s="12" t="s">
        <v>264</v>
      </c>
      <c r="M113" s="19"/>
      <c r="N113" s="19"/>
      <c r="O113" s="19"/>
      <c r="P113" s="12"/>
      <c r="Q113" s="18"/>
      <c r="R113" s="12"/>
      <c r="S113" s="12"/>
    </row>
    <row r="114" spans="1:19" x14ac:dyDescent="0.25">
      <c r="A114" s="15" t="s">
        <v>657</v>
      </c>
      <c r="B114" s="16">
        <v>8</v>
      </c>
      <c r="C114" s="12" t="s">
        <v>136</v>
      </c>
      <c r="D114" s="18" t="s">
        <v>658</v>
      </c>
      <c r="E114" s="18" t="s">
        <v>659</v>
      </c>
      <c r="F114" s="12" t="s">
        <v>180</v>
      </c>
      <c r="G114" s="12" t="s">
        <v>60</v>
      </c>
      <c r="H114" s="18"/>
      <c r="I114" s="18"/>
      <c r="J114" s="18" t="s">
        <v>204</v>
      </c>
      <c r="K114" s="18" t="s">
        <v>636</v>
      </c>
      <c r="L114" s="12" t="s">
        <v>184</v>
      </c>
      <c r="M114" s="19"/>
      <c r="N114" s="19"/>
      <c r="O114" s="19"/>
      <c r="P114" s="12"/>
      <c r="Q114" s="18"/>
      <c r="R114" s="12"/>
      <c r="S114" s="12"/>
    </row>
    <row r="115" spans="1:19" x14ac:dyDescent="0.25">
      <c r="A115" s="15" t="s">
        <v>660</v>
      </c>
      <c r="B115" s="16">
        <v>9</v>
      </c>
      <c r="C115" s="12" t="s">
        <v>136</v>
      </c>
      <c r="D115" s="18" t="s">
        <v>661</v>
      </c>
      <c r="E115" s="18" t="s">
        <v>662</v>
      </c>
      <c r="F115" s="12" t="s">
        <v>304</v>
      </c>
      <c r="G115" s="12" t="s">
        <v>60</v>
      </c>
      <c r="H115" s="18"/>
      <c r="I115" s="18"/>
      <c r="J115" s="18" t="s">
        <v>663</v>
      </c>
      <c r="K115" s="18" t="s">
        <v>633</v>
      </c>
      <c r="L115" s="12" t="s">
        <v>264</v>
      </c>
      <c r="M115" s="19"/>
      <c r="N115" s="19"/>
      <c r="O115" s="19"/>
      <c r="P115" s="12"/>
      <c r="Q115" s="18"/>
      <c r="R115" s="12"/>
      <c r="S115" s="12"/>
    </row>
    <row r="116" spans="1:19" ht="25.5" x14ac:dyDescent="0.25">
      <c r="A116" s="15" t="s">
        <v>664</v>
      </c>
      <c r="B116" s="16">
        <v>9</v>
      </c>
      <c r="C116" s="12" t="s">
        <v>110</v>
      </c>
      <c r="D116" s="18" t="s">
        <v>665</v>
      </c>
      <c r="E116" s="18" t="s">
        <v>666</v>
      </c>
      <c r="F116" s="12" t="s">
        <v>304</v>
      </c>
      <c r="G116" s="12" t="s">
        <v>60</v>
      </c>
      <c r="H116" s="18"/>
      <c r="I116" s="18"/>
      <c r="J116" s="18" t="s">
        <v>639</v>
      </c>
      <c r="K116" s="18"/>
      <c r="L116" s="12" t="s">
        <v>264</v>
      </c>
      <c r="M116" s="19"/>
      <c r="N116" s="19"/>
      <c r="O116" s="19"/>
      <c r="P116" s="12"/>
      <c r="Q116" s="18"/>
      <c r="R116" s="12"/>
      <c r="S116" s="12"/>
    </row>
    <row r="117" spans="1:19" ht="25.5" x14ac:dyDescent="0.25">
      <c r="A117" s="15" t="s">
        <v>667</v>
      </c>
      <c r="B117" s="16">
        <v>10</v>
      </c>
      <c r="C117" s="12" t="s">
        <v>132</v>
      </c>
      <c r="D117" s="18" t="s">
        <v>668</v>
      </c>
      <c r="E117" s="18" t="s">
        <v>669</v>
      </c>
      <c r="F117" s="12" t="s">
        <v>180</v>
      </c>
      <c r="G117" s="12" t="s">
        <v>60</v>
      </c>
      <c r="H117" s="18"/>
      <c r="I117" s="18"/>
      <c r="J117" s="18" t="s">
        <v>670</v>
      </c>
      <c r="K117" s="18"/>
      <c r="L117" s="12" t="s">
        <v>254</v>
      </c>
      <c r="M117" s="19"/>
      <c r="N117" s="19"/>
      <c r="O117" s="19"/>
      <c r="P117" s="12"/>
      <c r="Q117" s="18"/>
      <c r="R117" s="12"/>
      <c r="S117" s="12"/>
    </row>
    <row r="118" spans="1:19" x14ac:dyDescent="0.25">
      <c r="A118" s="15" t="s">
        <v>671</v>
      </c>
      <c r="B118" s="16">
        <v>10</v>
      </c>
      <c r="C118" s="12" t="s">
        <v>132</v>
      </c>
      <c r="D118" s="18" t="s">
        <v>672</v>
      </c>
      <c r="E118" s="18" t="s">
        <v>673</v>
      </c>
      <c r="F118" s="12" t="s">
        <v>180</v>
      </c>
      <c r="G118" s="12" t="s">
        <v>60</v>
      </c>
      <c r="H118" s="18"/>
      <c r="I118" s="18"/>
      <c r="J118" s="18" t="s">
        <v>670</v>
      </c>
      <c r="K118" s="18" t="s">
        <v>667</v>
      </c>
      <c r="L118" s="12" t="s">
        <v>264</v>
      </c>
      <c r="M118" s="19"/>
      <c r="N118" s="19"/>
      <c r="O118" s="19"/>
      <c r="P118" s="12"/>
      <c r="Q118" s="18"/>
      <c r="R118" s="12"/>
      <c r="S118" s="12"/>
    </row>
    <row r="119" spans="1:19" ht="25.5" x14ac:dyDescent="0.25">
      <c r="A119" s="15" t="s">
        <v>674</v>
      </c>
      <c r="B119" s="16">
        <v>10</v>
      </c>
      <c r="C119" s="12" t="s">
        <v>132</v>
      </c>
      <c r="D119" s="18" t="s">
        <v>675</v>
      </c>
      <c r="E119" s="18" t="s">
        <v>676</v>
      </c>
      <c r="F119" s="12" t="s">
        <v>180</v>
      </c>
      <c r="G119" s="12" t="s">
        <v>60</v>
      </c>
      <c r="H119" s="18"/>
      <c r="I119" s="18"/>
      <c r="J119" s="18" t="s">
        <v>670</v>
      </c>
      <c r="K119" s="18" t="s">
        <v>667</v>
      </c>
      <c r="L119" s="12" t="s">
        <v>254</v>
      </c>
      <c r="M119" s="19"/>
      <c r="N119" s="19"/>
      <c r="O119" s="19"/>
      <c r="P119" s="12"/>
      <c r="Q119" s="18"/>
      <c r="R119" s="12"/>
      <c r="S119" s="12"/>
    </row>
    <row r="120" spans="1:19" x14ac:dyDescent="0.25">
      <c r="A120" s="15" t="s">
        <v>677</v>
      </c>
      <c r="B120" s="16">
        <v>10</v>
      </c>
      <c r="C120" s="12" t="s">
        <v>132</v>
      </c>
      <c r="D120" s="18" t="s">
        <v>678</v>
      </c>
      <c r="E120" s="18" t="s">
        <v>679</v>
      </c>
      <c r="F120" s="12" t="s">
        <v>195</v>
      </c>
      <c r="G120" s="12" t="s">
        <v>60</v>
      </c>
      <c r="H120" s="18"/>
      <c r="I120" s="18"/>
      <c r="J120" s="18" t="s">
        <v>680</v>
      </c>
      <c r="K120" s="18" t="s">
        <v>667</v>
      </c>
      <c r="L120" s="12" t="s">
        <v>264</v>
      </c>
      <c r="M120" s="19"/>
      <c r="N120" s="19"/>
      <c r="O120" s="19"/>
      <c r="P120" s="12"/>
      <c r="Q120" s="18"/>
      <c r="R120" s="12"/>
      <c r="S120" s="12"/>
    </row>
    <row r="121" spans="1:19" x14ac:dyDescent="0.25">
      <c r="A121" s="15" t="s">
        <v>681</v>
      </c>
      <c r="B121" s="16">
        <v>10</v>
      </c>
      <c r="C121" s="12" t="s">
        <v>132</v>
      </c>
      <c r="D121" s="18" t="s">
        <v>682</v>
      </c>
      <c r="E121" s="18" t="s">
        <v>683</v>
      </c>
      <c r="F121" s="12" t="s">
        <v>180</v>
      </c>
      <c r="G121" s="12" t="s">
        <v>60</v>
      </c>
      <c r="H121" s="18"/>
      <c r="I121" s="18"/>
      <c r="J121" s="18" t="s">
        <v>228</v>
      </c>
      <c r="K121" s="18" t="s">
        <v>684</v>
      </c>
      <c r="L121" s="12" t="s">
        <v>264</v>
      </c>
      <c r="M121" s="19"/>
      <c r="N121" s="19"/>
      <c r="O121" s="19"/>
      <c r="P121" s="12"/>
      <c r="Q121" s="18"/>
      <c r="R121" s="12"/>
      <c r="S121" s="12"/>
    </row>
    <row r="122" spans="1:19" x14ac:dyDescent="0.25">
      <c r="A122" s="15" t="s">
        <v>685</v>
      </c>
      <c r="B122" s="16">
        <v>10</v>
      </c>
      <c r="C122" s="12" t="s">
        <v>132</v>
      </c>
      <c r="D122" s="18" t="s">
        <v>686</v>
      </c>
      <c r="E122" s="18" t="s">
        <v>687</v>
      </c>
      <c r="F122" s="12" t="s">
        <v>180</v>
      </c>
      <c r="G122" s="12" t="s">
        <v>60</v>
      </c>
      <c r="H122" s="18"/>
      <c r="I122" s="18"/>
      <c r="J122" s="18" t="s">
        <v>228</v>
      </c>
      <c r="K122" s="18" t="s">
        <v>674</v>
      </c>
      <c r="L122" s="12" t="s">
        <v>264</v>
      </c>
      <c r="M122" s="19"/>
      <c r="N122" s="19"/>
      <c r="O122" s="19"/>
      <c r="P122" s="12"/>
      <c r="Q122" s="18"/>
      <c r="R122" s="12"/>
      <c r="S122" s="12"/>
    </row>
    <row r="123" spans="1:19" x14ac:dyDescent="0.25">
      <c r="A123" s="15" t="s">
        <v>688</v>
      </c>
      <c r="B123" s="16">
        <v>10</v>
      </c>
      <c r="C123" s="12" t="s">
        <v>132</v>
      </c>
      <c r="D123" s="18" t="s">
        <v>689</v>
      </c>
      <c r="E123" s="18" t="s">
        <v>690</v>
      </c>
      <c r="F123" s="12" t="s">
        <v>195</v>
      </c>
      <c r="G123" s="12" t="s">
        <v>60</v>
      </c>
      <c r="H123" s="18"/>
      <c r="I123" s="18"/>
      <c r="J123" s="18" t="s">
        <v>253</v>
      </c>
      <c r="K123" s="18"/>
      <c r="L123" s="12" t="s">
        <v>184</v>
      </c>
      <c r="M123" s="19"/>
      <c r="N123" s="19"/>
      <c r="O123" s="19"/>
      <c r="P123" s="12"/>
      <c r="Q123" s="18"/>
      <c r="R123" s="12"/>
      <c r="S123" s="12"/>
    </row>
    <row r="124" spans="1:19" ht="25.5" x14ac:dyDescent="0.25">
      <c r="A124" s="15" t="s">
        <v>691</v>
      </c>
      <c r="B124" s="16">
        <v>10</v>
      </c>
      <c r="C124" s="12" t="s">
        <v>132</v>
      </c>
      <c r="D124" s="18" t="s">
        <v>692</v>
      </c>
      <c r="E124" s="18" t="s">
        <v>693</v>
      </c>
      <c r="F124" s="12" t="s">
        <v>180</v>
      </c>
      <c r="G124" s="12" t="s">
        <v>60</v>
      </c>
      <c r="H124" s="18"/>
      <c r="I124" s="18"/>
      <c r="J124" s="18" t="s">
        <v>210</v>
      </c>
      <c r="K124" s="18" t="s">
        <v>681</v>
      </c>
      <c r="L124" s="12" t="s">
        <v>264</v>
      </c>
      <c r="M124" s="19"/>
      <c r="N124" s="19"/>
      <c r="O124" s="19"/>
      <c r="P124" s="12"/>
      <c r="Q124" s="18"/>
      <c r="R124" s="12"/>
      <c r="S124" s="12"/>
    </row>
    <row r="125" spans="1:19" x14ac:dyDescent="0.25">
      <c r="A125" s="15" t="s">
        <v>694</v>
      </c>
      <c r="B125" s="16">
        <v>10</v>
      </c>
      <c r="C125" s="12" t="s">
        <v>132</v>
      </c>
      <c r="D125" s="18" t="s">
        <v>695</v>
      </c>
      <c r="E125" s="18" t="s">
        <v>696</v>
      </c>
      <c r="F125" s="12" t="s">
        <v>195</v>
      </c>
      <c r="G125" s="12" t="s">
        <v>60</v>
      </c>
      <c r="H125" s="18"/>
      <c r="I125" s="18"/>
      <c r="J125" s="18" t="s">
        <v>608</v>
      </c>
      <c r="K125" s="18" t="s">
        <v>605</v>
      </c>
      <c r="L125" s="12" t="s">
        <v>184</v>
      </c>
      <c r="M125" s="19"/>
      <c r="N125" s="19"/>
      <c r="O125" s="19"/>
      <c r="P125" s="12"/>
      <c r="Q125" s="18"/>
      <c r="R125" s="12"/>
      <c r="S125" s="12"/>
    </row>
    <row r="126" spans="1:19" x14ac:dyDescent="0.25">
      <c r="A126" s="15" t="s">
        <v>697</v>
      </c>
      <c r="B126" s="16">
        <v>10</v>
      </c>
      <c r="C126" s="12" t="s">
        <v>132</v>
      </c>
      <c r="D126" s="18" t="s">
        <v>698</v>
      </c>
      <c r="E126" s="18" t="s">
        <v>699</v>
      </c>
      <c r="F126" s="12" t="s">
        <v>180</v>
      </c>
      <c r="G126" s="12" t="s">
        <v>60</v>
      </c>
      <c r="H126" s="18"/>
      <c r="I126" s="18"/>
      <c r="J126" s="18" t="s">
        <v>204</v>
      </c>
      <c r="K126" s="18" t="s">
        <v>685</v>
      </c>
      <c r="L126" s="12" t="s">
        <v>184</v>
      </c>
      <c r="M126" s="19"/>
      <c r="N126" s="19"/>
      <c r="O126" s="19"/>
      <c r="P126" s="12"/>
      <c r="Q126" s="18"/>
      <c r="R126" s="12"/>
      <c r="S126" s="12"/>
    </row>
    <row r="127" spans="1:19" x14ac:dyDescent="0.25">
      <c r="A127" s="15" t="s">
        <v>700</v>
      </c>
      <c r="B127" s="16">
        <v>11</v>
      </c>
      <c r="C127" s="12" t="s">
        <v>134</v>
      </c>
      <c r="D127" s="18" t="s">
        <v>701</v>
      </c>
      <c r="E127" s="18" t="s">
        <v>702</v>
      </c>
      <c r="F127" s="12" t="s">
        <v>180</v>
      </c>
      <c r="G127" s="12" t="s">
        <v>60</v>
      </c>
      <c r="H127" s="18"/>
      <c r="I127" s="18"/>
      <c r="J127" s="18" t="s">
        <v>703</v>
      </c>
      <c r="K127" s="18"/>
      <c r="L127" s="12" t="s">
        <v>264</v>
      </c>
      <c r="M127" s="19"/>
      <c r="N127" s="19"/>
      <c r="O127" s="19"/>
      <c r="P127" s="12"/>
      <c r="Q127" s="18"/>
      <c r="R127" s="12"/>
      <c r="S127" s="12" t="s">
        <v>704</v>
      </c>
    </row>
    <row r="128" spans="1:19" ht="25.5" x14ac:dyDescent="0.25">
      <c r="A128" s="15" t="s">
        <v>705</v>
      </c>
      <c r="B128" s="16">
        <v>11</v>
      </c>
      <c r="C128" s="12" t="s">
        <v>134</v>
      </c>
      <c r="D128" s="18" t="s">
        <v>706</v>
      </c>
      <c r="E128" s="18" t="s">
        <v>707</v>
      </c>
      <c r="F128" s="12" t="s">
        <v>180</v>
      </c>
      <c r="G128" s="12" t="s">
        <v>60</v>
      </c>
      <c r="H128" s="18"/>
      <c r="I128" s="18"/>
      <c r="J128" s="18" t="s">
        <v>703</v>
      </c>
      <c r="K128" s="18" t="s">
        <v>700</v>
      </c>
      <c r="L128" s="12" t="s">
        <v>264</v>
      </c>
      <c r="M128" s="19"/>
      <c r="N128" s="19"/>
      <c r="O128" s="19"/>
      <c r="P128" s="12"/>
      <c r="Q128" s="18"/>
      <c r="R128" s="12" t="s">
        <v>700</v>
      </c>
      <c r="S128" s="12" t="s">
        <v>704</v>
      </c>
    </row>
    <row r="129" spans="1:19" ht="25.5" x14ac:dyDescent="0.25">
      <c r="A129" s="15" t="s">
        <v>708</v>
      </c>
      <c r="B129" s="16">
        <v>11</v>
      </c>
      <c r="C129" s="12" t="s">
        <v>134</v>
      </c>
      <c r="D129" s="18" t="s">
        <v>709</v>
      </c>
      <c r="E129" s="18" t="s">
        <v>710</v>
      </c>
      <c r="F129" s="12" t="s">
        <v>180</v>
      </c>
      <c r="G129" s="12" t="s">
        <v>60</v>
      </c>
      <c r="H129" s="18"/>
      <c r="I129" s="18"/>
      <c r="J129" s="18" t="s">
        <v>327</v>
      </c>
      <c r="K129" s="18" t="s">
        <v>705</v>
      </c>
      <c r="L129" s="12" t="s">
        <v>254</v>
      </c>
      <c r="M129" s="19"/>
      <c r="N129" s="19"/>
      <c r="O129" s="19"/>
      <c r="P129" s="12"/>
      <c r="Q129" s="18"/>
      <c r="R129" s="12" t="s">
        <v>705</v>
      </c>
      <c r="S129" s="12" t="s">
        <v>704</v>
      </c>
    </row>
    <row r="130" spans="1:19" x14ac:dyDescent="0.25">
      <c r="A130" s="15" t="s">
        <v>711</v>
      </c>
      <c r="B130" s="16">
        <v>11</v>
      </c>
      <c r="C130" s="12" t="s">
        <v>134</v>
      </c>
      <c r="D130" s="18" t="s">
        <v>712</v>
      </c>
      <c r="E130" s="18" t="s">
        <v>713</v>
      </c>
      <c r="F130" s="12" t="s">
        <v>195</v>
      </c>
      <c r="G130" s="12" t="s">
        <v>60</v>
      </c>
      <c r="H130" s="18"/>
      <c r="I130" s="18"/>
      <c r="J130" s="18" t="s">
        <v>327</v>
      </c>
      <c r="K130" s="18" t="s">
        <v>705</v>
      </c>
      <c r="L130" s="12" t="s">
        <v>264</v>
      </c>
      <c r="M130" s="19"/>
      <c r="N130" s="19"/>
      <c r="O130" s="19"/>
      <c r="P130" s="12"/>
      <c r="Q130" s="18"/>
      <c r="R130" s="12" t="s">
        <v>705</v>
      </c>
      <c r="S130" s="12" t="s">
        <v>704</v>
      </c>
    </row>
    <row r="131" spans="1:19" x14ac:dyDescent="0.25">
      <c r="A131" s="15" t="s">
        <v>714</v>
      </c>
      <c r="B131" s="16">
        <v>11</v>
      </c>
      <c r="C131" s="12" t="s">
        <v>134</v>
      </c>
      <c r="D131" s="18" t="s">
        <v>715</v>
      </c>
      <c r="E131" s="18" t="s">
        <v>716</v>
      </c>
      <c r="F131" s="12" t="s">
        <v>304</v>
      </c>
      <c r="G131" s="12" t="s">
        <v>60</v>
      </c>
      <c r="H131" s="18"/>
      <c r="I131" s="18"/>
      <c r="J131" s="18" t="s">
        <v>210</v>
      </c>
      <c r="K131" s="18" t="s">
        <v>705</v>
      </c>
      <c r="L131" s="12" t="s">
        <v>184</v>
      </c>
      <c r="M131" s="19"/>
      <c r="N131" s="19"/>
      <c r="O131" s="19"/>
      <c r="P131" s="12"/>
      <c r="Q131" s="18"/>
      <c r="R131" s="12" t="s">
        <v>705</v>
      </c>
      <c r="S131" s="12"/>
    </row>
    <row r="132" spans="1:19" x14ac:dyDescent="0.25">
      <c r="A132" s="15" t="s">
        <v>717</v>
      </c>
      <c r="B132" s="16">
        <v>11</v>
      </c>
      <c r="C132" s="12" t="s">
        <v>134</v>
      </c>
      <c r="D132" s="18" t="s">
        <v>718</v>
      </c>
      <c r="E132" s="18" t="s">
        <v>719</v>
      </c>
      <c r="F132" s="12" t="s">
        <v>180</v>
      </c>
      <c r="G132" s="12" t="s">
        <v>60</v>
      </c>
      <c r="H132" s="18"/>
      <c r="I132" s="18"/>
      <c r="J132" s="18" t="s">
        <v>204</v>
      </c>
      <c r="K132" s="18" t="s">
        <v>708</v>
      </c>
      <c r="L132" s="12" t="s">
        <v>184</v>
      </c>
      <c r="M132" s="19"/>
      <c r="N132" s="19"/>
      <c r="O132" s="19"/>
      <c r="P132" s="12"/>
      <c r="Q132" s="18"/>
      <c r="R132" s="12" t="s">
        <v>708</v>
      </c>
      <c r="S132" s="12" t="s">
        <v>704</v>
      </c>
    </row>
    <row r="133" spans="1:19" ht="25.5" x14ac:dyDescent="0.25">
      <c r="A133" s="15" t="s">
        <v>720</v>
      </c>
      <c r="B133" s="16">
        <v>12</v>
      </c>
      <c r="C133" s="12" t="s">
        <v>116</v>
      </c>
      <c r="D133" s="18" t="s">
        <v>721</v>
      </c>
      <c r="E133" s="18" t="s">
        <v>722</v>
      </c>
      <c r="F133" s="12" t="s">
        <v>195</v>
      </c>
      <c r="G133" s="12" t="s">
        <v>60</v>
      </c>
      <c r="H133" s="18"/>
      <c r="I133" s="18"/>
      <c r="J133" s="18" t="s">
        <v>488</v>
      </c>
      <c r="K133" s="18" t="s">
        <v>445</v>
      </c>
      <c r="L133" s="12" t="s">
        <v>264</v>
      </c>
      <c r="M133" s="19"/>
      <c r="N133" s="19"/>
      <c r="O133" s="19"/>
      <c r="P133" s="12"/>
      <c r="Q133" s="18"/>
      <c r="R133" s="12"/>
      <c r="S133" s="12"/>
    </row>
    <row r="134" spans="1:19" x14ac:dyDescent="0.25">
      <c r="A134" s="15" t="s">
        <v>723</v>
      </c>
      <c r="B134" s="16">
        <v>12</v>
      </c>
      <c r="C134" s="12" t="s">
        <v>116</v>
      </c>
      <c r="D134" s="18" t="s">
        <v>724</v>
      </c>
      <c r="E134" s="18" t="s">
        <v>725</v>
      </c>
      <c r="F134" s="12" t="s">
        <v>195</v>
      </c>
      <c r="G134" s="12" t="s">
        <v>60</v>
      </c>
      <c r="H134" s="18"/>
      <c r="I134" s="18"/>
      <c r="J134" s="18" t="s">
        <v>488</v>
      </c>
      <c r="K134" s="18"/>
      <c r="L134" s="12" t="s">
        <v>264</v>
      </c>
      <c r="M134" s="19"/>
      <c r="N134" s="19"/>
      <c r="O134" s="19"/>
      <c r="P134" s="12"/>
      <c r="Q134" s="18"/>
      <c r="R134" s="12"/>
      <c r="S134" s="12"/>
    </row>
    <row r="135" spans="1:19" x14ac:dyDescent="0.25">
      <c r="A135" s="15" t="s">
        <v>726</v>
      </c>
      <c r="B135" s="16">
        <v>12</v>
      </c>
      <c r="C135" s="12" t="s">
        <v>116</v>
      </c>
      <c r="D135" s="18" t="s">
        <v>727</v>
      </c>
      <c r="E135" s="18" t="s">
        <v>728</v>
      </c>
      <c r="F135" s="12" t="s">
        <v>195</v>
      </c>
      <c r="G135" s="12" t="s">
        <v>60</v>
      </c>
      <c r="H135" s="18"/>
      <c r="I135" s="18"/>
      <c r="J135" s="18" t="s">
        <v>210</v>
      </c>
      <c r="K135" s="18"/>
      <c r="L135" s="12" t="s">
        <v>184</v>
      </c>
      <c r="M135" s="19"/>
      <c r="N135" s="19"/>
      <c r="O135" s="19"/>
      <c r="P135" s="12"/>
      <c r="Q135" s="18"/>
      <c r="R135" s="12"/>
      <c r="S135" s="12"/>
    </row>
    <row r="136" spans="1:19" x14ac:dyDescent="0.25">
      <c r="A136" s="15" t="s">
        <v>729</v>
      </c>
      <c r="B136" s="16">
        <v>12</v>
      </c>
      <c r="C136" s="12" t="s">
        <v>116</v>
      </c>
      <c r="D136" s="18" t="s">
        <v>730</v>
      </c>
      <c r="E136" s="18" t="s">
        <v>731</v>
      </c>
      <c r="F136" s="12" t="s">
        <v>195</v>
      </c>
      <c r="G136" s="12" t="s">
        <v>60</v>
      </c>
      <c r="H136" s="18"/>
      <c r="I136" s="18"/>
      <c r="J136" s="18" t="s">
        <v>386</v>
      </c>
      <c r="K136" s="18"/>
      <c r="L136" s="12" t="s">
        <v>184</v>
      </c>
      <c r="M136" s="19"/>
      <c r="N136" s="19"/>
      <c r="O136" s="19"/>
      <c r="P136" s="12"/>
      <c r="Q136" s="18"/>
      <c r="R136" s="12"/>
      <c r="S136" s="12"/>
    </row>
    <row r="137" spans="1:19" ht="38.25" x14ac:dyDescent="0.25">
      <c r="A137" s="15" t="s">
        <v>732</v>
      </c>
      <c r="B137" s="16">
        <v>13</v>
      </c>
      <c r="C137" s="12" t="s">
        <v>118</v>
      </c>
      <c r="D137" s="18" t="s">
        <v>733</v>
      </c>
      <c r="E137" s="18" t="s">
        <v>734</v>
      </c>
      <c r="F137" s="12" t="s">
        <v>195</v>
      </c>
      <c r="G137" s="12" t="s">
        <v>60</v>
      </c>
      <c r="H137" s="18"/>
      <c r="I137" s="18"/>
      <c r="J137" s="18" t="s">
        <v>488</v>
      </c>
      <c r="K137" s="18" t="s">
        <v>339</v>
      </c>
      <c r="L137" s="12" t="s">
        <v>264</v>
      </c>
      <c r="M137" s="19"/>
      <c r="N137" s="19"/>
      <c r="O137" s="19"/>
      <c r="P137" s="12"/>
      <c r="Q137" s="18"/>
      <c r="R137" s="12"/>
      <c r="S137" s="12"/>
    </row>
    <row r="138" spans="1:19" x14ac:dyDescent="0.25">
      <c r="A138" s="15" t="s">
        <v>735</v>
      </c>
      <c r="B138" s="16">
        <v>13</v>
      </c>
      <c r="C138" s="12" t="s">
        <v>118</v>
      </c>
      <c r="D138" s="18" t="s">
        <v>736</v>
      </c>
      <c r="E138" s="18" t="s">
        <v>737</v>
      </c>
      <c r="F138" s="12" t="s">
        <v>195</v>
      </c>
      <c r="G138" s="12" t="s">
        <v>60</v>
      </c>
      <c r="H138" s="18"/>
      <c r="I138" s="18"/>
      <c r="J138" s="18" t="s">
        <v>228</v>
      </c>
      <c r="K138" s="18" t="s">
        <v>416</v>
      </c>
      <c r="L138" s="12" t="s">
        <v>264</v>
      </c>
      <c r="M138" s="19"/>
      <c r="N138" s="19"/>
      <c r="O138" s="19"/>
      <c r="P138" s="12"/>
      <c r="Q138" s="18"/>
      <c r="R138" s="12"/>
      <c r="S138" s="12"/>
    </row>
    <row r="139" spans="1:19" x14ac:dyDescent="0.25">
      <c r="A139" s="15" t="s">
        <v>738</v>
      </c>
      <c r="B139" s="16">
        <v>13</v>
      </c>
      <c r="C139" s="12" t="s">
        <v>118</v>
      </c>
      <c r="D139" s="18" t="s">
        <v>739</v>
      </c>
      <c r="E139" s="18" t="s">
        <v>740</v>
      </c>
      <c r="F139" s="12" t="s">
        <v>304</v>
      </c>
      <c r="G139" s="12" t="s">
        <v>60</v>
      </c>
      <c r="H139" s="18"/>
      <c r="I139" s="18"/>
      <c r="J139" s="18" t="s">
        <v>386</v>
      </c>
      <c r="K139" s="18"/>
      <c r="L139" s="12" t="s">
        <v>184</v>
      </c>
      <c r="M139" s="19"/>
      <c r="N139" s="19"/>
      <c r="O139" s="19"/>
      <c r="P139" s="12"/>
      <c r="Q139" s="18"/>
      <c r="R139" s="12"/>
      <c r="S139" s="12"/>
    </row>
    <row r="140" spans="1:19" ht="38.25" x14ac:dyDescent="0.25">
      <c r="A140" s="15" t="s">
        <v>741</v>
      </c>
      <c r="B140" s="16">
        <v>14</v>
      </c>
      <c r="C140" s="12" t="s">
        <v>104</v>
      </c>
      <c r="D140" s="18" t="s">
        <v>742</v>
      </c>
      <c r="E140" s="18" t="s">
        <v>743</v>
      </c>
      <c r="F140" s="12" t="s">
        <v>180</v>
      </c>
      <c r="G140" s="12" t="s">
        <v>60</v>
      </c>
      <c r="H140" s="18"/>
      <c r="I140" s="18"/>
      <c r="J140" s="18" t="s">
        <v>210</v>
      </c>
      <c r="K140" s="18" t="s">
        <v>416</v>
      </c>
      <c r="L140" s="12" t="s">
        <v>264</v>
      </c>
      <c r="M140" s="19"/>
      <c r="N140" s="19"/>
      <c r="O140" s="19"/>
      <c r="P140" s="12"/>
      <c r="Q140" s="18"/>
      <c r="R140" s="12"/>
      <c r="S140" s="12" t="s">
        <v>401</v>
      </c>
    </row>
    <row r="141" spans="1:19" x14ac:dyDescent="0.25">
      <c r="A141" s="15" t="s">
        <v>744</v>
      </c>
      <c r="B141" s="16">
        <v>14</v>
      </c>
      <c r="C141" s="12" t="s">
        <v>104</v>
      </c>
      <c r="D141" s="18" t="s">
        <v>745</v>
      </c>
      <c r="E141" s="18" t="s">
        <v>746</v>
      </c>
      <c r="F141" s="12" t="s">
        <v>180</v>
      </c>
      <c r="G141" s="12" t="s">
        <v>60</v>
      </c>
      <c r="H141" s="18"/>
      <c r="I141" s="18"/>
      <c r="J141" s="18" t="s">
        <v>747</v>
      </c>
      <c r="K141" s="18" t="s">
        <v>416</v>
      </c>
      <c r="L141" s="12" t="s">
        <v>254</v>
      </c>
      <c r="M141" s="19"/>
      <c r="N141" s="19"/>
      <c r="O141" s="19"/>
      <c r="P141" s="12"/>
      <c r="Q141" s="18"/>
      <c r="R141" s="12" t="s">
        <v>741</v>
      </c>
      <c r="S141" s="12" t="s">
        <v>401</v>
      </c>
    </row>
    <row r="142" spans="1:19" x14ac:dyDescent="0.25">
      <c r="A142" s="15" t="s">
        <v>748</v>
      </c>
      <c r="B142" s="16">
        <v>14</v>
      </c>
      <c r="C142" s="12" t="s">
        <v>104</v>
      </c>
      <c r="D142" s="18" t="s">
        <v>749</v>
      </c>
      <c r="E142" s="18" t="s">
        <v>750</v>
      </c>
      <c r="F142" s="12" t="s">
        <v>304</v>
      </c>
      <c r="G142" s="12" t="s">
        <v>60</v>
      </c>
      <c r="H142" s="18"/>
      <c r="I142" s="18"/>
      <c r="J142" s="18" t="s">
        <v>228</v>
      </c>
      <c r="K142" s="18" t="s">
        <v>416</v>
      </c>
      <c r="L142" s="12" t="s">
        <v>264</v>
      </c>
      <c r="M142" s="19"/>
      <c r="N142" s="19"/>
      <c r="O142" s="19"/>
      <c r="P142" s="12"/>
      <c r="Q142" s="18"/>
      <c r="R142" s="12"/>
      <c r="S142" s="12"/>
    </row>
    <row r="143" spans="1:19" ht="25.5" x14ac:dyDescent="0.25">
      <c r="A143" s="15" t="s">
        <v>751</v>
      </c>
      <c r="B143" s="16">
        <v>14</v>
      </c>
      <c r="C143" s="12" t="s">
        <v>104</v>
      </c>
      <c r="D143" s="18" t="s">
        <v>752</v>
      </c>
      <c r="E143" s="18" t="s">
        <v>753</v>
      </c>
      <c r="F143" s="12" t="s">
        <v>304</v>
      </c>
      <c r="G143" s="12" t="s">
        <v>60</v>
      </c>
      <c r="H143" s="18"/>
      <c r="I143" s="18"/>
      <c r="J143" s="18" t="s">
        <v>228</v>
      </c>
      <c r="K143" s="18" t="s">
        <v>468</v>
      </c>
      <c r="L143" s="12" t="s">
        <v>264</v>
      </c>
      <c r="M143" s="19"/>
      <c r="N143" s="19"/>
      <c r="O143" s="19"/>
      <c r="P143" s="12"/>
      <c r="Q143" s="18"/>
      <c r="R143" s="12"/>
      <c r="S143" s="12"/>
    </row>
    <row r="144" spans="1:19" x14ac:dyDescent="0.25">
      <c r="A144" s="15" t="s">
        <v>754</v>
      </c>
      <c r="B144" s="16">
        <v>15</v>
      </c>
      <c r="C144" s="12" t="s">
        <v>129</v>
      </c>
      <c r="D144" s="18" t="s">
        <v>755</v>
      </c>
      <c r="E144" s="18" t="s">
        <v>756</v>
      </c>
      <c r="F144" s="12" t="s">
        <v>304</v>
      </c>
      <c r="G144" s="12" t="s">
        <v>60</v>
      </c>
      <c r="H144" s="18"/>
      <c r="I144" s="18"/>
      <c r="J144" s="18" t="s">
        <v>757</v>
      </c>
      <c r="K144" s="18"/>
      <c r="L144" s="12" t="s">
        <v>264</v>
      </c>
      <c r="M144" s="19"/>
      <c r="N144" s="19"/>
      <c r="O144" s="19"/>
      <c r="P144" s="12"/>
      <c r="Q144" s="18"/>
      <c r="R144" s="12"/>
      <c r="S144" s="12"/>
    </row>
    <row r="145" spans="1:19" x14ac:dyDescent="0.25">
      <c r="A145" s="15" t="s">
        <v>758</v>
      </c>
      <c r="B145" s="16">
        <v>15</v>
      </c>
      <c r="C145" s="12" t="s">
        <v>129</v>
      </c>
      <c r="D145" s="18" t="s">
        <v>759</v>
      </c>
      <c r="E145" s="18" t="s">
        <v>760</v>
      </c>
      <c r="F145" s="12" t="s">
        <v>304</v>
      </c>
      <c r="G145" s="12" t="s">
        <v>60</v>
      </c>
      <c r="H145" s="18"/>
      <c r="I145" s="18"/>
      <c r="J145" s="18" t="s">
        <v>757</v>
      </c>
      <c r="K145" s="18" t="s">
        <v>555</v>
      </c>
      <c r="L145" s="12" t="s">
        <v>184</v>
      </c>
      <c r="M145" s="19"/>
      <c r="N145" s="19"/>
      <c r="O145" s="19"/>
      <c r="P145" s="12"/>
      <c r="Q145" s="18"/>
      <c r="R145" s="12"/>
      <c r="S145" s="12"/>
    </row>
    <row r="146" spans="1:19" x14ac:dyDescent="0.25">
      <c r="A146" s="15" t="s">
        <v>761</v>
      </c>
      <c r="B146" s="16">
        <v>15</v>
      </c>
      <c r="C146" s="12" t="s">
        <v>129</v>
      </c>
      <c r="D146" s="18" t="s">
        <v>762</v>
      </c>
      <c r="E146" s="18" t="s">
        <v>763</v>
      </c>
      <c r="F146" s="12" t="s">
        <v>312</v>
      </c>
      <c r="G146" s="12" t="s">
        <v>60</v>
      </c>
      <c r="H146" s="18"/>
      <c r="I146" s="18"/>
      <c r="J146" s="18" t="s">
        <v>757</v>
      </c>
      <c r="K146" s="18" t="s">
        <v>685</v>
      </c>
      <c r="L146" s="12" t="s">
        <v>264</v>
      </c>
      <c r="M146" s="19"/>
      <c r="N146" s="19"/>
      <c r="O146" s="19"/>
      <c r="P146" s="12"/>
      <c r="Q146" s="18"/>
      <c r="R146" s="12"/>
      <c r="S146" s="12"/>
    </row>
    <row r="147" spans="1:19" ht="25.5" x14ac:dyDescent="0.25">
      <c r="A147" s="15" t="s">
        <v>764</v>
      </c>
      <c r="B147" s="16">
        <v>16</v>
      </c>
      <c r="C147" s="12" t="s">
        <v>129</v>
      </c>
      <c r="D147" s="18" t="s">
        <v>765</v>
      </c>
      <c r="E147" s="18" t="s">
        <v>766</v>
      </c>
      <c r="F147" s="12" t="s">
        <v>195</v>
      </c>
      <c r="G147" s="12" t="s">
        <v>60</v>
      </c>
      <c r="H147" s="18"/>
      <c r="I147" s="18"/>
      <c r="J147" s="18" t="s">
        <v>488</v>
      </c>
      <c r="K147" s="18" t="s">
        <v>732</v>
      </c>
      <c r="L147" s="12" t="s">
        <v>184</v>
      </c>
      <c r="M147" s="19"/>
      <c r="N147" s="19"/>
      <c r="O147" s="19"/>
      <c r="P147" s="12"/>
      <c r="Q147" s="18"/>
      <c r="R147" s="12"/>
      <c r="S147" s="12"/>
    </row>
    <row r="148" spans="1:19" x14ac:dyDescent="0.25">
      <c r="A148" s="15" t="s">
        <v>767</v>
      </c>
      <c r="B148" s="16">
        <v>16</v>
      </c>
      <c r="C148" s="12" t="s">
        <v>129</v>
      </c>
      <c r="D148" s="18" t="s">
        <v>768</v>
      </c>
      <c r="E148" s="18" t="s">
        <v>769</v>
      </c>
      <c r="F148" s="12" t="s">
        <v>195</v>
      </c>
      <c r="G148" s="12" t="s">
        <v>60</v>
      </c>
      <c r="H148" s="18"/>
      <c r="I148" s="18"/>
      <c r="J148" s="18" t="s">
        <v>210</v>
      </c>
      <c r="K148" s="18"/>
      <c r="L148" s="12" t="s">
        <v>184</v>
      </c>
      <c r="M148" s="19"/>
      <c r="N148" s="19"/>
      <c r="O148" s="19"/>
      <c r="P148" s="12"/>
      <c r="Q148" s="18"/>
      <c r="R148" s="12"/>
      <c r="S148" s="12"/>
    </row>
    <row r="149" spans="1:19" ht="25.5" x14ac:dyDescent="0.25">
      <c r="A149" s="15" t="s">
        <v>770</v>
      </c>
      <c r="B149" s="16">
        <v>5</v>
      </c>
      <c r="C149" s="12" t="s">
        <v>144</v>
      </c>
      <c r="D149" s="18" t="s">
        <v>771</v>
      </c>
      <c r="E149" s="18" t="s">
        <v>772</v>
      </c>
      <c r="F149" s="12" t="s">
        <v>195</v>
      </c>
      <c r="G149" s="12" t="s">
        <v>60</v>
      </c>
      <c r="H149" s="18"/>
      <c r="I149" s="18"/>
      <c r="J149" s="18" t="s">
        <v>757</v>
      </c>
      <c r="K149" s="18"/>
      <c r="L149" s="12" t="s">
        <v>264</v>
      </c>
      <c r="M149" s="19"/>
      <c r="N149" s="19"/>
      <c r="O149" s="19"/>
      <c r="P149" s="12"/>
      <c r="Q149" s="18"/>
      <c r="R149" s="12"/>
      <c r="S149" s="12"/>
    </row>
    <row r="150" spans="1:19" ht="25.5" x14ac:dyDescent="0.25">
      <c r="A150" s="15" t="s">
        <v>773</v>
      </c>
      <c r="B150" s="16">
        <v>6</v>
      </c>
      <c r="C150" s="12" t="s">
        <v>146</v>
      </c>
      <c r="D150" s="18" t="s">
        <v>774</v>
      </c>
      <c r="E150" s="18" t="s">
        <v>775</v>
      </c>
      <c r="F150" s="12" t="s">
        <v>195</v>
      </c>
      <c r="G150" s="12" t="s">
        <v>60</v>
      </c>
      <c r="H150" s="18"/>
      <c r="I150" s="18"/>
      <c r="J150" s="18" t="s">
        <v>425</v>
      </c>
      <c r="K150" s="18" t="s">
        <v>422</v>
      </c>
      <c r="L150" s="12" t="s">
        <v>264</v>
      </c>
      <c r="M150" s="19"/>
      <c r="N150" s="19"/>
      <c r="O150" s="19"/>
      <c r="P150" s="12"/>
      <c r="Q150" s="18"/>
      <c r="R150" s="12"/>
      <c r="S150" s="12"/>
    </row>
    <row r="151" spans="1:19" x14ac:dyDescent="0.25">
      <c r="A151" s="15" t="s">
        <v>776</v>
      </c>
      <c r="B151" s="16">
        <v>16</v>
      </c>
      <c r="C151" s="12" t="s">
        <v>149</v>
      </c>
      <c r="D151" s="18" t="s">
        <v>777</v>
      </c>
      <c r="E151" s="18" t="s">
        <v>778</v>
      </c>
      <c r="F151" s="12" t="s">
        <v>195</v>
      </c>
      <c r="G151" s="12" t="s">
        <v>60</v>
      </c>
      <c r="H151" s="18"/>
      <c r="I151" s="18"/>
      <c r="J151" s="18" t="s">
        <v>747</v>
      </c>
      <c r="K151" s="18"/>
      <c r="L151" s="12" t="s">
        <v>264</v>
      </c>
      <c r="M151" s="19"/>
      <c r="N151" s="19"/>
      <c r="O151" s="19"/>
      <c r="P151" s="12"/>
      <c r="Q151" s="18"/>
      <c r="R151" s="12"/>
      <c r="S151" s="12" t="s">
        <v>779</v>
      </c>
    </row>
    <row r="152" spans="1:19" x14ac:dyDescent="0.25">
      <c r="A152" s="15" t="s">
        <v>780</v>
      </c>
      <c r="B152" s="16">
        <v>16</v>
      </c>
      <c r="C152" s="12" t="s">
        <v>149</v>
      </c>
      <c r="D152" s="18" t="s">
        <v>781</v>
      </c>
      <c r="E152" s="18" t="s">
        <v>782</v>
      </c>
      <c r="F152" s="12" t="s">
        <v>195</v>
      </c>
      <c r="G152" s="12" t="s">
        <v>60</v>
      </c>
      <c r="H152" s="18"/>
      <c r="I152" s="18"/>
      <c r="J152" s="18" t="s">
        <v>747</v>
      </c>
      <c r="K152" s="18"/>
      <c r="L152" s="12" t="s">
        <v>184</v>
      </c>
      <c r="M152" s="19"/>
      <c r="N152" s="19"/>
      <c r="O152" s="19"/>
      <c r="P152" s="12"/>
      <c r="Q152" s="18"/>
      <c r="R152" s="12"/>
      <c r="S152" s="12" t="s">
        <v>779</v>
      </c>
    </row>
    <row r="153" spans="1:19" ht="25.5" x14ac:dyDescent="0.25">
      <c r="A153" s="15" t="s">
        <v>783</v>
      </c>
      <c r="B153" s="16">
        <v>16</v>
      </c>
      <c r="C153" s="12" t="s">
        <v>149</v>
      </c>
      <c r="D153" s="18" t="s">
        <v>784</v>
      </c>
      <c r="E153" s="18" t="s">
        <v>785</v>
      </c>
      <c r="F153" s="12" t="s">
        <v>304</v>
      </c>
      <c r="G153" s="12" t="s">
        <v>60</v>
      </c>
      <c r="H153" s="18"/>
      <c r="I153" s="18"/>
      <c r="J153" s="18" t="s">
        <v>747</v>
      </c>
      <c r="K153" s="18" t="s">
        <v>776</v>
      </c>
      <c r="L153" s="12" t="s">
        <v>184</v>
      </c>
      <c r="M153" s="19"/>
      <c r="N153" s="19"/>
      <c r="O153" s="19"/>
      <c r="P153" s="12"/>
      <c r="Q153" s="18"/>
      <c r="R153" s="12"/>
      <c r="S153" s="12" t="s">
        <v>779</v>
      </c>
    </row>
    <row r="154" spans="1:19" ht="25.5" x14ac:dyDescent="0.25">
      <c r="A154" s="15" t="s">
        <v>786</v>
      </c>
      <c r="B154" s="16">
        <v>17</v>
      </c>
      <c r="C154" s="12" t="s">
        <v>142</v>
      </c>
      <c r="D154" s="18" t="s">
        <v>787</v>
      </c>
      <c r="E154" s="18" t="s">
        <v>788</v>
      </c>
      <c r="F154" s="12" t="s">
        <v>195</v>
      </c>
      <c r="G154" s="12" t="s">
        <v>60</v>
      </c>
      <c r="H154" s="18"/>
      <c r="I154" s="18"/>
      <c r="J154" s="18" t="s">
        <v>789</v>
      </c>
      <c r="K154" s="18"/>
      <c r="L154" s="12" t="s">
        <v>254</v>
      </c>
      <c r="M154" s="19"/>
      <c r="N154" s="19"/>
      <c r="O154" s="19"/>
      <c r="P154" s="12"/>
      <c r="Q154" s="18"/>
      <c r="R154" s="12"/>
      <c r="S154" s="12" t="s">
        <v>779</v>
      </c>
    </row>
    <row r="155" spans="1:19" ht="25.5" x14ac:dyDescent="0.25">
      <c r="A155" s="15" t="s">
        <v>790</v>
      </c>
      <c r="B155" s="16">
        <v>17</v>
      </c>
      <c r="C155" s="12" t="s">
        <v>142</v>
      </c>
      <c r="D155" s="18" t="s">
        <v>791</v>
      </c>
      <c r="E155" s="18" t="s">
        <v>792</v>
      </c>
      <c r="F155" s="12" t="s">
        <v>180</v>
      </c>
      <c r="G155" s="12" t="s">
        <v>60</v>
      </c>
      <c r="H155" s="18"/>
      <c r="I155" s="18"/>
      <c r="J155" s="18" t="s">
        <v>793</v>
      </c>
      <c r="K155" s="18" t="s">
        <v>493</v>
      </c>
      <c r="L155" s="12" t="s">
        <v>264</v>
      </c>
      <c r="M155" s="19"/>
      <c r="N155" s="19"/>
      <c r="O155" s="19"/>
      <c r="P155" s="12"/>
      <c r="Q155" s="18"/>
      <c r="R155" s="12"/>
      <c r="S155" s="12" t="s">
        <v>794</v>
      </c>
    </row>
    <row r="156" spans="1:19" x14ac:dyDescent="0.25">
      <c r="A156" s="15" t="s">
        <v>795</v>
      </c>
      <c r="B156" s="16">
        <v>17</v>
      </c>
      <c r="C156" s="12" t="s">
        <v>72</v>
      </c>
      <c r="D156" s="18" t="s">
        <v>796</v>
      </c>
      <c r="E156" s="18" t="s">
        <v>797</v>
      </c>
      <c r="F156" s="12" t="s">
        <v>180</v>
      </c>
      <c r="G156" s="12" t="s">
        <v>60</v>
      </c>
      <c r="H156" s="18"/>
      <c r="I156" s="18"/>
      <c r="J156" s="18" t="s">
        <v>216</v>
      </c>
      <c r="K156" s="18"/>
      <c r="L156" s="12" t="s">
        <v>264</v>
      </c>
      <c r="M156" s="19"/>
      <c r="N156" s="19"/>
      <c r="O156" s="19"/>
      <c r="P156" s="12"/>
      <c r="Q156" s="18"/>
      <c r="R156" s="12"/>
      <c r="S156" s="12"/>
    </row>
    <row r="157" spans="1:19" x14ac:dyDescent="0.25">
      <c r="A157" s="15" t="s">
        <v>798</v>
      </c>
      <c r="B157" s="16">
        <v>17</v>
      </c>
      <c r="C157" s="12" t="s">
        <v>72</v>
      </c>
      <c r="D157" s="18" t="s">
        <v>799</v>
      </c>
      <c r="E157" s="18" t="s">
        <v>800</v>
      </c>
      <c r="F157" s="12" t="s">
        <v>195</v>
      </c>
      <c r="G157" s="12" t="s">
        <v>60</v>
      </c>
      <c r="H157" s="18"/>
      <c r="I157" s="18"/>
      <c r="J157" s="18" t="s">
        <v>562</v>
      </c>
      <c r="K157" s="18" t="s">
        <v>559</v>
      </c>
      <c r="L157" s="12" t="s">
        <v>184</v>
      </c>
      <c r="M157" s="19"/>
      <c r="N157" s="19"/>
      <c r="O157" s="19"/>
      <c r="P157" s="12"/>
      <c r="Q157" s="18"/>
      <c r="R157" s="12"/>
      <c r="S157" s="12"/>
    </row>
    <row r="158" spans="1:19" x14ac:dyDescent="0.25">
      <c r="A158" s="15" t="s">
        <v>801</v>
      </c>
      <c r="B158" s="16">
        <v>17</v>
      </c>
      <c r="C158" s="12" t="s">
        <v>72</v>
      </c>
      <c r="D158" s="18" t="s">
        <v>802</v>
      </c>
      <c r="E158" s="18" t="s">
        <v>803</v>
      </c>
      <c r="F158" s="12" t="s">
        <v>304</v>
      </c>
      <c r="G158" s="12" t="s">
        <v>60</v>
      </c>
      <c r="H158" s="18"/>
      <c r="I158" s="18"/>
      <c r="J158" s="18" t="s">
        <v>216</v>
      </c>
      <c r="K158" s="18"/>
      <c r="L158" s="12" t="s">
        <v>184</v>
      </c>
      <c r="M158" s="19"/>
      <c r="N158" s="19"/>
      <c r="O158" s="19"/>
      <c r="P158" s="12"/>
      <c r="Q158" s="18"/>
      <c r="R158" s="12"/>
      <c r="S158" s="12"/>
    </row>
    <row r="159" spans="1:19" ht="25.5" x14ac:dyDescent="0.25">
      <c r="A159" s="15" t="s">
        <v>804</v>
      </c>
      <c r="B159" s="16">
        <v>17</v>
      </c>
      <c r="C159" s="12" t="s">
        <v>72</v>
      </c>
      <c r="D159" s="18" t="s">
        <v>805</v>
      </c>
      <c r="E159" s="18" t="s">
        <v>806</v>
      </c>
      <c r="F159" s="12" t="s">
        <v>312</v>
      </c>
      <c r="G159" s="12" t="s">
        <v>60</v>
      </c>
      <c r="H159" s="18"/>
      <c r="I159" s="18"/>
      <c r="J159" s="18" t="s">
        <v>807</v>
      </c>
      <c r="K159" s="18"/>
      <c r="L159" s="12" t="s">
        <v>184</v>
      </c>
      <c r="M159" s="19"/>
      <c r="N159" s="19"/>
      <c r="O159" s="19"/>
      <c r="P159" s="12"/>
      <c r="Q159" s="18"/>
      <c r="R159" s="12"/>
      <c r="S159" s="12"/>
    </row>
    <row r="160" spans="1:19" x14ac:dyDescent="0.25">
      <c r="A160" s="15" t="s">
        <v>808</v>
      </c>
      <c r="B160" s="16">
        <v>18</v>
      </c>
      <c r="C160" s="12" t="s">
        <v>152</v>
      </c>
      <c r="D160" s="18" t="s">
        <v>809</v>
      </c>
      <c r="E160" s="18" t="s">
        <v>810</v>
      </c>
      <c r="F160" s="12" t="s">
        <v>180</v>
      </c>
      <c r="G160" s="12" t="s">
        <v>60</v>
      </c>
      <c r="H160" s="18"/>
      <c r="I160" s="18"/>
      <c r="J160" s="18" t="s">
        <v>191</v>
      </c>
      <c r="K160" s="18"/>
      <c r="L160" s="12" t="s">
        <v>184</v>
      </c>
      <c r="M160" s="19"/>
      <c r="N160" s="19"/>
      <c r="O160" s="19"/>
      <c r="P160" s="12"/>
      <c r="Q160" s="18"/>
      <c r="R160" s="12"/>
      <c r="S160" s="12"/>
    </row>
    <row r="161" spans="1:19" ht="38.25" x14ac:dyDescent="0.25">
      <c r="A161" s="15" t="s">
        <v>811</v>
      </c>
      <c r="B161" s="16">
        <v>18</v>
      </c>
      <c r="C161" s="12" t="s">
        <v>152</v>
      </c>
      <c r="D161" s="18" t="s">
        <v>812</v>
      </c>
      <c r="E161" s="18" t="s">
        <v>813</v>
      </c>
      <c r="F161" s="12" t="s">
        <v>195</v>
      </c>
      <c r="G161" s="12" t="s">
        <v>60</v>
      </c>
      <c r="H161" s="18"/>
      <c r="I161" s="18"/>
      <c r="J161" s="18" t="s">
        <v>191</v>
      </c>
      <c r="K161" s="18"/>
      <c r="L161" s="12" t="s">
        <v>184</v>
      </c>
      <c r="M161" s="19"/>
      <c r="N161" s="19"/>
      <c r="O161" s="19"/>
      <c r="P161" s="12"/>
      <c r="Q161" s="18"/>
      <c r="R161" s="12"/>
      <c r="S161" s="12"/>
    </row>
  </sheetData>
  <autoFilter ref="A1:S161" xr:uid="{00000000-0009-0000-0000-000001000000}"/>
  <conditionalFormatting sqref="F2:F2000">
    <cfRule type="cellIs" dxfId="325" priority="10" operator="equal">
      <formula>"P0"</formula>
    </cfRule>
    <cfRule type="cellIs" dxfId="324" priority="11" operator="equal">
      <formula>"P1"</formula>
    </cfRule>
  </conditionalFormatting>
  <conditionalFormatting sqref="G2:G2000">
    <cfRule type="cellIs" dxfId="323" priority="1" operator="equal">
      <formula>"IN_PROGRESS"</formula>
    </cfRule>
    <cfRule type="cellIs" dxfId="322" priority="2" operator="equal">
      <formula>"BLOCKED"</formula>
    </cfRule>
    <cfRule type="cellIs" dxfId="321" priority="3" operator="equal">
      <formula>"IMPLEMENTED"</formula>
    </cfRule>
    <cfRule type="cellIs" dxfId="320" priority="4" operator="equal">
      <formula>"TESTING"</formula>
    </cfRule>
    <cfRule type="cellIs" dxfId="319" priority="5" operator="equal">
      <formula>"VERIFIED"</formula>
    </cfRule>
    <cfRule type="cellIs" dxfId="318" priority="6" operator="equal">
      <formula>"DONE"</formula>
    </cfRule>
    <cfRule type="cellIs" dxfId="317" priority="7" operator="equal">
      <formula>"FAILED"</formula>
    </cfRule>
    <cfRule type="cellIs" dxfId="316" priority="8" operator="equal">
      <formula>"DEFERRED"</formula>
    </cfRule>
    <cfRule type="cellIs" dxfId="315" priority="9" operator="equal">
      <formula>"UNKNOWN"</formula>
    </cfRule>
  </conditionalFormatting>
  <dataValidations count="5">
    <dataValidation type="list" allowBlank="1" showErrorMessage="1" errorTitle="Invalid status" error="Pick a status from the list." sqref="G2:G2000" xr:uid="{00000000-0002-0000-0100-000000000000}">
      <formula1>"NOT_STARTED,IN_PROGRESS,BLOCKED,IMPLEMENTED,TESTING,VERIFIED,DONE,FAILED,DEFERRED,UNKNOWN"</formula1>
    </dataValidation>
    <dataValidation type="list" allowBlank="1" showErrorMessage="1" errorTitle="Invalid priority" error="Pick a priority from the list." sqref="F2:F2000" xr:uid="{00000000-0002-0000-0100-000001000000}">
      <formula1>"P0,P1,P2,P3"</formula1>
    </dataValidation>
    <dataValidation type="list" allowBlank="1" showErrorMessage="1" errorTitle="Invalid risk" error="Pick a risk from the list." sqref="L2:L2000" xr:uid="{00000000-0002-0000-0100-000002000000}">
      <formula1>"Low,Medium,High,Critical"</formula1>
    </dataValidation>
    <dataValidation type="list" allowBlank="1" showErrorMessage="1" errorTitle="Invalid category" error="Pick a category from the list." sqref="C2:C2000" xr:uid="{00000000-0002-0000-0100-000003000000}">
      <formula1>"CORE,FIDELITY,REVIEW,DOCX,PDF,EDITOR,FORMATTING,HEALTH,AI,SECURITY,ACCOUNT,PERFORMANCE,TESTING,PRODUCT,TRANSLATION,FONT,P2E,BILLING,INFRA,JOBS,STORAGE,OBSERVABILITY,DOCS"</formula1>
    </dataValidation>
    <dataValidation type="whole" allowBlank="1" showErrorMessage="1" errorTitle="Invalid phase" error="Phase is a whole number 0-18." sqref="B2:B2000" xr:uid="{00000000-0002-0000-0100-000004000000}">
      <formula1>0</formula1>
      <formula2>18</formula2>
    </dataValidation>
  </dataValidations>
  <pageMargins left="0.75" right="0.75" top="1" bottom="1" header="0.5" footer="0.5"/>
  <pageSetup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C00000"/>
    <pageSetUpPr fitToPage="1"/>
  </sheetPr>
  <dimension ref="A1:L114"/>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10" customWidth="1"/>
    <col min="4" max="4" width="60" customWidth="1"/>
    <col min="5" max="5" width="9" customWidth="1"/>
    <col min="6" max="6" width="14" customWidth="1"/>
    <col min="7" max="7" width="40" customWidth="1"/>
    <col min="8" max="8" width="34" customWidth="1"/>
    <col min="9" max="9" width="16" customWidth="1"/>
    <col min="10" max="11" width="40" customWidth="1"/>
    <col min="12" max="12" width="11" customWidth="1"/>
  </cols>
  <sheetData>
    <row r="1" spans="1:10" ht="20.25" x14ac:dyDescent="0.3">
      <c r="A1" s="3" t="s">
        <v>814</v>
      </c>
    </row>
    <row r="2" spans="1:10" x14ac:dyDescent="0.25">
      <c r="A2" s="4" t="s">
        <v>815</v>
      </c>
    </row>
    <row r="3" spans="1:10" x14ac:dyDescent="0.25">
      <c r="A3" s="6" t="s">
        <v>816</v>
      </c>
      <c r="B3" s="6" t="s">
        <v>817</v>
      </c>
      <c r="C3" s="6" t="s">
        <v>13</v>
      </c>
      <c r="D3" s="6" t="s">
        <v>16</v>
      </c>
      <c r="E3" s="6" t="s">
        <v>818</v>
      </c>
      <c r="F3" s="6" t="s">
        <v>819</v>
      </c>
      <c r="G3" s="6" t="s">
        <v>820</v>
      </c>
      <c r="H3" s="6" t="s">
        <v>36</v>
      </c>
    </row>
    <row r="4" spans="1:10" x14ac:dyDescent="0.25">
      <c r="A4" s="7">
        <f>COUNTA(A8:A27)</f>
        <v>20</v>
      </c>
      <c r="B4" s="7">
        <f>COUNTIF(B8:B27,"RESOLVED")</f>
        <v>1</v>
      </c>
      <c r="C4" s="7">
        <f>COUNTIF(B8:B27,"IN_PROGRESS")</f>
        <v>4</v>
      </c>
      <c r="D4" s="7">
        <f>COUNTIF(B8:B27,"BLOCKED")</f>
        <v>0</v>
      </c>
      <c r="E4" s="7">
        <f>COUNTIF(B8:B27,"OPEN")</f>
        <v>15</v>
      </c>
      <c r="F4" s="7">
        <f>COUNTIF(MASTER!$F$2:$F$2000,"P0")</f>
        <v>83</v>
      </c>
      <c r="G4" s="7">
        <f>COUNTIFS(MASTER!$F$2:$F$2000,"P0",MASTER!$G$2:$G$2000,"DONE")</f>
        <v>22</v>
      </c>
      <c r="H4" s="7">
        <f>F4-G4</f>
        <v>61</v>
      </c>
    </row>
    <row r="6" spans="1:10" ht="15.75" x14ac:dyDescent="0.25">
      <c r="A6" s="5" t="s">
        <v>821</v>
      </c>
    </row>
    <row r="7" spans="1:10" x14ac:dyDescent="0.25">
      <c r="A7" s="10" t="s">
        <v>822</v>
      </c>
      <c r="B7" s="10" t="s">
        <v>57</v>
      </c>
      <c r="C7" s="10" t="s">
        <v>823</v>
      </c>
      <c r="D7" s="10" t="s">
        <v>824</v>
      </c>
      <c r="E7" s="10" t="s">
        <v>45</v>
      </c>
      <c r="F7" s="10" t="s">
        <v>46</v>
      </c>
      <c r="G7" s="10" t="s">
        <v>825</v>
      </c>
      <c r="H7" s="10" t="s">
        <v>826</v>
      </c>
      <c r="I7" s="10" t="s">
        <v>827</v>
      </c>
      <c r="J7" s="10" t="s">
        <v>174</v>
      </c>
    </row>
    <row r="8" spans="1:10" ht="25.5" x14ac:dyDescent="0.25">
      <c r="A8" s="15" t="s">
        <v>265</v>
      </c>
      <c r="B8" s="12" t="str">
        <f t="shared" ref="B8:B27" si="0">IF(E8=0,"OPEN",IF(F8=E8,"RESOLVED",IF(I8&gt;0,"BLOCKED",IF(H8+F8&gt;0,"IN_PROGRESS","OPEN"))))</f>
        <v>RESOLVED</v>
      </c>
      <c r="C8" s="14">
        <f t="shared" ref="C8:C27" si="1">IF(E8=0,0,F8/E8)</f>
        <v>1</v>
      </c>
      <c r="D8" s="18" t="s">
        <v>828</v>
      </c>
      <c r="E8" s="16">
        <f t="shared" ref="E8:E27" si="2">IF(LEN(SUBSTITUTE($G8," ",""))=0,0,LEN(SUBSTITUTE($G8," ",""))-LEN(SUBSTITUTE(SUBSTITUTE($G8," ",""),",",""))+1)</f>
        <v>5</v>
      </c>
      <c r="F8" s="16">
        <f>SUMPRODUCT(ISNUMBER(SEARCH(","&amp;MASTER!$A$2:$A$2000&amp;",",","&amp;SUBSTITUTE($G8," ","")&amp;","))*((MASTER!$G$2:$G$2000="DONE")))</f>
        <v>5</v>
      </c>
      <c r="G8" s="18" t="s">
        <v>829</v>
      </c>
      <c r="H8" s="16">
        <f>SUMPRODUCT(ISNUMBER(SEARCH(","&amp;MASTER!$A$2:$A$2000&amp;",",","&amp;SUBSTITUTE($G8," ","")&amp;","))*((MASTER!$G$2:$G$2000="IN_PROGRESS")+(MASTER!$G$2:$G$2000="IMPLEMENTED")+(MASTER!$G$2:$G$2000="TESTING")+(MASTER!$G$2:$G$2000="VERIFIED")))</f>
        <v>0</v>
      </c>
      <c r="I8" s="16">
        <f>SUMPRODUCT(ISNUMBER(SEARCH(","&amp;MASTER!$A$2:$A$2000&amp;",",","&amp;SUBSTITUTE($G8," ","")&amp;","))*((MASTER!$G$2:$G$2000="BLOCKED")+(MASTER!$G$2:$G$2000="FAILED")))</f>
        <v>0</v>
      </c>
      <c r="J8" s="18"/>
    </row>
    <row r="9" spans="1:10" ht="25.5" x14ac:dyDescent="0.25">
      <c r="A9" s="15" t="s">
        <v>388</v>
      </c>
      <c r="B9" s="12" t="str">
        <f t="shared" si="0"/>
        <v>IN_PROGRESS</v>
      </c>
      <c r="C9" s="14">
        <f t="shared" si="1"/>
        <v>0</v>
      </c>
      <c r="D9" s="18" t="s">
        <v>830</v>
      </c>
      <c r="E9" s="16">
        <f t="shared" si="2"/>
        <v>4</v>
      </c>
      <c r="F9" s="16">
        <f>SUMPRODUCT(ISNUMBER(SEARCH(","&amp;MASTER!$A$2:$A$2000&amp;",",","&amp;SUBSTITUTE($G9," ","")&amp;","))*((MASTER!$G$2:$G$2000="DONE")))</f>
        <v>0</v>
      </c>
      <c r="G9" s="18" t="s">
        <v>831</v>
      </c>
      <c r="H9" s="16">
        <f>SUMPRODUCT(ISNUMBER(SEARCH(","&amp;MASTER!$A$2:$A$2000&amp;",",","&amp;SUBSTITUTE($G9," ","")&amp;","))*((MASTER!$G$2:$G$2000="IN_PROGRESS")+(MASTER!$G$2:$G$2000="IMPLEMENTED")+(MASTER!$G$2:$G$2000="TESTING")+(MASTER!$G$2:$G$2000="VERIFIED")))</f>
        <v>1</v>
      </c>
      <c r="I9" s="16">
        <f>SUMPRODUCT(ISNUMBER(SEARCH(","&amp;MASTER!$A$2:$A$2000&amp;",",","&amp;SUBSTITUTE($G9," ","")&amp;","))*((MASTER!$G$2:$G$2000="BLOCKED")+(MASTER!$G$2:$G$2000="FAILED")))</f>
        <v>0</v>
      </c>
      <c r="J9" s="18"/>
    </row>
    <row r="10" spans="1:10" ht="25.5" x14ac:dyDescent="0.25">
      <c r="A10" s="15" t="s">
        <v>296</v>
      </c>
      <c r="B10" s="12" t="str">
        <f t="shared" si="0"/>
        <v>IN_PROGRESS</v>
      </c>
      <c r="C10" s="14">
        <f t="shared" si="1"/>
        <v>0</v>
      </c>
      <c r="D10" s="18" t="s">
        <v>832</v>
      </c>
      <c r="E10" s="16">
        <f t="shared" si="2"/>
        <v>5</v>
      </c>
      <c r="F10" s="16">
        <f>SUMPRODUCT(ISNUMBER(SEARCH(","&amp;MASTER!$A$2:$A$2000&amp;",",","&amp;SUBSTITUTE($G10," ","")&amp;","))*((MASTER!$G$2:$G$2000="DONE")))</f>
        <v>0</v>
      </c>
      <c r="G10" s="18" t="s">
        <v>833</v>
      </c>
      <c r="H10" s="16">
        <f>SUMPRODUCT(ISNUMBER(SEARCH(","&amp;MASTER!$A$2:$A$2000&amp;",",","&amp;SUBSTITUTE($G10," ","")&amp;","))*((MASTER!$G$2:$G$2000="IN_PROGRESS")+(MASTER!$G$2:$G$2000="IMPLEMENTED")+(MASTER!$G$2:$G$2000="TESTING")+(MASTER!$G$2:$G$2000="VERIFIED")))</f>
        <v>1</v>
      </c>
      <c r="I10" s="16">
        <f>SUMPRODUCT(ISNUMBER(SEARCH(","&amp;MASTER!$A$2:$A$2000&amp;",",","&amp;SUBSTITUTE($G10," ","")&amp;","))*((MASTER!$G$2:$G$2000="BLOCKED")+(MASTER!$G$2:$G$2000="FAILED")))</f>
        <v>0</v>
      </c>
      <c r="J10" s="18"/>
    </row>
    <row r="11" spans="1:10" x14ac:dyDescent="0.25">
      <c r="A11" s="15" t="s">
        <v>448</v>
      </c>
      <c r="B11" s="12" t="str">
        <f t="shared" si="0"/>
        <v>OPEN</v>
      </c>
      <c r="C11" s="14">
        <f t="shared" si="1"/>
        <v>0</v>
      </c>
      <c r="D11" s="18" t="s">
        <v>834</v>
      </c>
      <c r="E11" s="16">
        <f t="shared" si="2"/>
        <v>1</v>
      </c>
      <c r="F11" s="16">
        <f>SUMPRODUCT(ISNUMBER(SEARCH(","&amp;MASTER!$A$2:$A$2000&amp;",",","&amp;SUBSTITUTE($G11," ","")&amp;","))*((MASTER!$G$2:$G$2000="DONE")))</f>
        <v>0</v>
      </c>
      <c r="G11" s="18" t="s">
        <v>445</v>
      </c>
      <c r="H11" s="16">
        <f>SUMPRODUCT(ISNUMBER(SEARCH(","&amp;MASTER!$A$2:$A$2000&amp;",",","&amp;SUBSTITUTE($G11," ","")&amp;","))*((MASTER!$G$2:$G$2000="IN_PROGRESS")+(MASTER!$G$2:$G$2000="IMPLEMENTED")+(MASTER!$G$2:$G$2000="TESTING")+(MASTER!$G$2:$G$2000="VERIFIED")))</f>
        <v>0</v>
      </c>
      <c r="I11" s="16">
        <f>SUMPRODUCT(ISNUMBER(SEARCH(","&amp;MASTER!$A$2:$A$2000&amp;",",","&amp;SUBSTITUTE($G11," ","")&amp;","))*((MASTER!$G$2:$G$2000="BLOCKED")+(MASTER!$G$2:$G$2000="FAILED")))</f>
        <v>0</v>
      </c>
      <c r="J11" s="18"/>
    </row>
    <row r="12" spans="1:10" ht="25.5" x14ac:dyDescent="0.25">
      <c r="A12" s="15" t="s">
        <v>401</v>
      </c>
      <c r="B12" s="12" t="str">
        <f t="shared" si="0"/>
        <v>OPEN</v>
      </c>
      <c r="C12" s="14">
        <f t="shared" si="1"/>
        <v>0</v>
      </c>
      <c r="D12" s="18" t="s">
        <v>835</v>
      </c>
      <c r="E12" s="16">
        <f t="shared" si="2"/>
        <v>4</v>
      </c>
      <c r="F12" s="16">
        <f>SUMPRODUCT(ISNUMBER(SEARCH(","&amp;MASTER!$A$2:$A$2000&amp;",",","&amp;SUBSTITUTE($G12," ","")&amp;","))*((MASTER!$G$2:$G$2000="DONE")))</f>
        <v>0</v>
      </c>
      <c r="G12" s="18" t="s">
        <v>836</v>
      </c>
      <c r="H12" s="16">
        <f>SUMPRODUCT(ISNUMBER(SEARCH(","&amp;MASTER!$A$2:$A$2000&amp;",",","&amp;SUBSTITUTE($G12," ","")&amp;","))*((MASTER!$G$2:$G$2000="IN_PROGRESS")+(MASTER!$G$2:$G$2000="IMPLEMENTED")+(MASTER!$G$2:$G$2000="TESTING")+(MASTER!$G$2:$G$2000="VERIFIED")))</f>
        <v>0</v>
      </c>
      <c r="I12" s="16">
        <f>SUMPRODUCT(ISNUMBER(SEARCH(","&amp;MASTER!$A$2:$A$2000&amp;",",","&amp;SUBSTITUTE($G12," ","")&amp;","))*((MASTER!$G$2:$G$2000="BLOCKED")+(MASTER!$G$2:$G$2000="FAILED")))</f>
        <v>0</v>
      </c>
      <c r="J12" s="18"/>
    </row>
    <row r="13" spans="1:10" ht="25.5" x14ac:dyDescent="0.25">
      <c r="A13" s="15" t="s">
        <v>467</v>
      </c>
      <c r="B13" s="12" t="str">
        <f t="shared" si="0"/>
        <v>OPEN</v>
      </c>
      <c r="C13" s="14">
        <f t="shared" si="1"/>
        <v>0</v>
      </c>
      <c r="D13" s="18" t="s">
        <v>837</v>
      </c>
      <c r="E13" s="16">
        <f t="shared" si="2"/>
        <v>3</v>
      </c>
      <c r="F13" s="16">
        <f>SUMPRODUCT(ISNUMBER(SEARCH(","&amp;MASTER!$A$2:$A$2000&amp;",",","&amp;SUBSTITUTE($G13," ","")&amp;","))*((MASTER!$G$2:$G$2000="DONE")))</f>
        <v>0</v>
      </c>
      <c r="G13" s="18" t="s">
        <v>838</v>
      </c>
      <c r="H13" s="16">
        <f>SUMPRODUCT(ISNUMBER(SEARCH(","&amp;MASTER!$A$2:$A$2000&amp;",",","&amp;SUBSTITUTE($G13," ","")&amp;","))*((MASTER!$G$2:$G$2000="IN_PROGRESS")+(MASTER!$G$2:$G$2000="IMPLEMENTED")+(MASTER!$G$2:$G$2000="TESTING")+(MASTER!$G$2:$G$2000="VERIFIED")))</f>
        <v>0</v>
      </c>
      <c r="I13" s="16">
        <f>SUMPRODUCT(ISNUMBER(SEARCH(","&amp;MASTER!$A$2:$A$2000&amp;",",","&amp;SUBSTITUTE($G13," ","")&amp;","))*((MASTER!$G$2:$G$2000="BLOCKED")+(MASTER!$G$2:$G$2000="FAILED")))</f>
        <v>0</v>
      </c>
      <c r="J13" s="18"/>
    </row>
    <row r="14" spans="1:10" x14ac:dyDescent="0.25">
      <c r="A14" s="15" t="s">
        <v>300</v>
      </c>
      <c r="B14" s="12" t="str">
        <f t="shared" si="0"/>
        <v>IN_PROGRESS</v>
      </c>
      <c r="C14" s="14">
        <f t="shared" si="1"/>
        <v>0</v>
      </c>
      <c r="D14" s="18" t="s">
        <v>839</v>
      </c>
      <c r="E14" s="16">
        <f t="shared" si="2"/>
        <v>1</v>
      </c>
      <c r="F14" s="16">
        <f>SUMPRODUCT(ISNUMBER(SEARCH(","&amp;MASTER!$A$2:$A$2000&amp;",",","&amp;SUBSTITUTE($G14," ","")&amp;","))*((MASTER!$G$2:$G$2000="DONE")))</f>
        <v>0</v>
      </c>
      <c r="G14" s="18" t="s">
        <v>452</v>
      </c>
      <c r="H14" s="16">
        <f>SUMPRODUCT(ISNUMBER(SEARCH(","&amp;MASTER!$A$2:$A$2000&amp;",",","&amp;SUBSTITUTE($G14," ","")&amp;","))*((MASTER!$G$2:$G$2000="IN_PROGRESS")+(MASTER!$G$2:$G$2000="IMPLEMENTED")+(MASTER!$G$2:$G$2000="TESTING")+(MASTER!$G$2:$G$2000="VERIFIED")))</f>
        <v>1</v>
      </c>
      <c r="I14" s="16">
        <f>SUMPRODUCT(ISNUMBER(SEARCH(","&amp;MASTER!$A$2:$A$2000&amp;",",","&amp;SUBSTITUTE($G14," ","")&amp;","))*((MASTER!$G$2:$G$2000="BLOCKED")+(MASTER!$G$2:$G$2000="FAILED")))</f>
        <v>0</v>
      </c>
      <c r="J14" s="18"/>
    </row>
    <row r="15" spans="1:10" ht="25.5" x14ac:dyDescent="0.25">
      <c r="A15" s="15" t="s">
        <v>308</v>
      </c>
      <c r="B15" s="12" t="str">
        <f t="shared" si="0"/>
        <v>OPEN</v>
      </c>
      <c r="C15" s="14">
        <f t="shared" si="1"/>
        <v>0</v>
      </c>
      <c r="D15" s="18" t="s">
        <v>840</v>
      </c>
      <c r="E15" s="16">
        <f t="shared" si="2"/>
        <v>1</v>
      </c>
      <c r="F15" s="16">
        <f>SUMPRODUCT(ISNUMBER(SEARCH(","&amp;MASTER!$A$2:$A$2000&amp;",",","&amp;SUBSTITUTE($G15," ","")&amp;","))*((MASTER!$G$2:$G$2000="DONE")))</f>
        <v>0</v>
      </c>
      <c r="G15" s="18" t="s">
        <v>449</v>
      </c>
      <c r="H15" s="16">
        <f>SUMPRODUCT(ISNUMBER(SEARCH(","&amp;MASTER!$A$2:$A$2000&amp;",",","&amp;SUBSTITUTE($G15," ","")&amp;","))*((MASTER!$G$2:$G$2000="IN_PROGRESS")+(MASTER!$G$2:$G$2000="IMPLEMENTED")+(MASTER!$G$2:$G$2000="TESTING")+(MASTER!$G$2:$G$2000="VERIFIED")))</f>
        <v>0</v>
      </c>
      <c r="I15" s="16">
        <f>SUMPRODUCT(ISNUMBER(SEARCH(","&amp;MASTER!$A$2:$A$2000&amp;",",","&amp;SUBSTITUTE($G15," ","")&amp;","))*((MASTER!$G$2:$G$2000="BLOCKED")+(MASTER!$G$2:$G$2000="FAILED")))</f>
        <v>0</v>
      </c>
      <c r="J15" s="18"/>
    </row>
    <row r="16" spans="1:10" x14ac:dyDescent="0.25">
      <c r="A16" s="15" t="s">
        <v>517</v>
      </c>
      <c r="B16" s="12" t="str">
        <f t="shared" si="0"/>
        <v>OPEN</v>
      </c>
      <c r="C16" s="14">
        <f t="shared" si="1"/>
        <v>0</v>
      </c>
      <c r="D16" s="18" t="s">
        <v>841</v>
      </c>
      <c r="E16" s="16">
        <f t="shared" si="2"/>
        <v>2</v>
      </c>
      <c r="F16" s="16">
        <f>SUMPRODUCT(ISNUMBER(SEARCH(","&amp;MASTER!$A$2:$A$2000&amp;",",","&amp;SUBSTITUTE($G16," ","")&amp;","))*((MASTER!$G$2:$G$2000="DONE")))</f>
        <v>0</v>
      </c>
      <c r="G16" s="18" t="s">
        <v>842</v>
      </c>
      <c r="H16" s="16">
        <f>SUMPRODUCT(ISNUMBER(SEARCH(","&amp;MASTER!$A$2:$A$2000&amp;",",","&amp;SUBSTITUTE($G16," ","")&amp;","))*((MASTER!$G$2:$G$2000="IN_PROGRESS")+(MASTER!$G$2:$G$2000="IMPLEMENTED")+(MASTER!$G$2:$G$2000="TESTING")+(MASTER!$G$2:$G$2000="VERIFIED")))</f>
        <v>0</v>
      </c>
      <c r="I16" s="16">
        <f>SUMPRODUCT(ISNUMBER(SEARCH(","&amp;MASTER!$A$2:$A$2000&amp;",",","&amp;SUBSTITUTE($G16," ","")&amp;","))*((MASTER!$G$2:$G$2000="BLOCKED")+(MASTER!$G$2:$G$2000="FAILED")))</f>
        <v>0</v>
      </c>
      <c r="J16" s="18"/>
    </row>
    <row r="17" spans="1:12" x14ac:dyDescent="0.25">
      <c r="A17" s="15" t="s">
        <v>558</v>
      </c>
      <c r="B17" s="12" t="str">
        <f t="shared" si="0"/>
        <v>OPEN</v>
      </c>
      <c r="C17" s="14">
        <f t="shared" si="1"/>
        <v>0</v>
      </c>
      <c r="D17" s="18" t="s">
        <v>843</v>
      </c>
      <c r="E17" s="16">
        <f t="shared" si="2"/>
        <v>1</v>
      </c>
      <c r="F17" s="16">
        <f>SUMPRODUCT(ISNUMBER(SEARCH(","&amp;MASTER!$A$2:$A$2000&amp;",",","&amp;SUBSTITUTE($G17," ","")&amp;","))*((MASTER!$G$2:$G$2000="DONE")))</f>
        <v>0</v>
      </c>
      <c r="G17" s="18" t="s">
        <v>555</v>
      </c>
      <c r="H17" s="16">
        <f>SUMPRODUCT(ISNUMBER(SEARCH(","&amp;MASTER!$A$2:$A$2000&amp;",",","&amp;SUBSTITUTE($G17," ","")&amp;","))*((MASTER!$G$2:$G$2000="IN_PROGRESS")+(MASTER!$G$2:$G$2000="IMPLEMENTED")+(MASTER!$G$2:$G$2000="TESTING")+(MASTER!$G$2:$G$2000="VERIFIED")))</f>
        <v>0</v>
      </c>
      <c r="I17" s="16">
        <f>SUMPRODUCT(ISNUMBER(SEARCH(","&amp;MASTER!$A$2:$A$2000&amp;",",","&amp;SUBSTITUTE($G17," ","")&amp;","))*((MASTER!$G$2:$G$2000="BLOCKED")+(MASTER!$G$2:$G$2000="FAILED")))</f>
        <v>0</v>
      </c>
      <c r="J17" s="18"/>
    </row>
    <row r="18" spans="1:12" x14ac:dyDescent="0.25">
      <c r="A18" s="15" t="s">
        <v>609</v>
      </c>
      <c r="B18" s="12" t="str">
        <f t="shared" si="0"/>
        <v>OPEN</v>
      </c>
      <c r="C18" s="14">
        <f t="shared" si="1"/>
        <v>0</v>
      </c>
      <c r="D18" s="18" t="s">
        <v>844</v>
      </c>
      <c r="E18" s="16">
        <f t="shared" si="2"/>
        <v>1</v>
      </c>
      <c r="F18" s="16">
        <f>SUMPRODUCT(ISNUMBER(SEARCH(","&amp;MASTER!$A$2:$A$2000&amp;",",","&amp;SUBSTITUTE($G18," ","")&amp;","))*((MASTER!$G$2:$G$2000="DONE")))</f>
        <v>0</v>
      </c>
      <c r="G18" s="18" t="s">
        <v>613</v>
      </c>
      <c r="H18" s="16">
        <f>SUMPRODUCT(ISNUMBER(SEARCH(","&amp;MASTER!$A$2:$A$2000&amp;",",","&amp;SUBSTITUTE($G18," ","")&amp;","))*((MASTER!$G$2:$G$2000="IN_PROGRESS")+(MASTER!$G$2:$G$2000="IMPLEMENTED")+(MASTER!$G$2:$G$2000="TESTING")+(MASTER!$G$2:$G$2000="VERIFIED")))</f>
        <v>0</v>
      </c>
      <c r="I18" s="16">
        <f>SUMPRODUCT(ISNUMBER(SEARCH(","&amp;MASTER!$A$2:$A$2000&amp;",",","&amp;SUBSTITUTE($G18," ","")&amp;","))*((MASTER!$G$2:$G$2000="BLOCKED")+(MASTER!$G$2:$G$2000="FAILED")))</f>
        <v>0</v>
      </c>
      <c r="J18" s="18"/>
    </row>
    <row r="19" spans="1:12" x14ac:dyDescent="0.25">
      <c r="A19" s="15" t="s">
        <v>509</v>
      </c>
      <c r="B19" s="12" t="str">
        <f t="shared" si="0"/>
        <v>OPEN</v>
      </c>
      <c r="C19" s="14">
        <f t="shared" si="1"/>
        <v>0</v>
      </c>
      <c r="D19" s="18" t="s">
        <v>845</v>
      </c>
      <c r="E19" s="16">
        <f t="shared" si="2"/>
        <v>2</v>
      </c>
      <c r="F19" s="16">
        <f>SUMPRODUCT(ISNUMBER(SEARCH(","&amp;MASTER!$A$2:$A$2000&amp;",",","&amp;SUBSTITUTE($G19," ","")&amp;","))*((MASTER!$G$2:$G$2000="DONE")))</f>
        <v>0</v>
      </c>
      <c r="G19" s="18" t="s">
        <v>846</v>
      </c>
      <c r="H19" s="16">
        <f>SUMPRODUCT(ISNUMBER(SEARCH(","&amp;MASTER!$A$2:$A$2000&amp;",",","&amp;SUBSTITUTE($G19," ","")&amp;","))*((MASTER!$G$2:$G$2000="IN_PROGRESS")+(MASTER!$G$2:$G$2000="IMPLEMENTED")+(MASTER!$G$2:$G$2000="TESTING")+(MASTER!$G$2:$G$2000="VERIFIED")))</f>
        <v>0</v>
      </c>
      <c r="I19" s="16">
        <f>SUMPRODUCT(ISNUMBER(SEARCH(","&amp;MASTER!$A$2:$A$2000&amp;",",","&amp;SUBSTITUTE($G19," ","")&amp;","))*((MASTER!$G$2:$G$2000="BLOCKED")+(MASTER!$G$2:$G$2000="FAILED")))</f>
        <v>0</v>
      </c>
      <c r="J19" s="18"/>
    </row>
    <row r="20" spans="1:12" x14ac:dyDescent="0.25">
      <c r="A20" s="15" t="s">
        <v>525</v>
      </c>
      <c r="B20" s="12" t="str">
        <f t="shared" si="0"/>
        <v>OPEN</v>
      </c>
      <c r="C20" s="14">
        <f t="shared" si="1"/>
        <v>0</v>
      </c>
      <c r="D20" s="18" t="s">
        <v>847</v>
      </c>
      <c r="E20" s="16">
        <f t="shared" si="2"/>
        <v>3</v>
      </c>
      <c r="F20" s="16">
        <f>SUMPRODUCT(ISNUMBER(SEARCH(","&amp;MASTER!$A$2:$A$2000&amp;",",","&amp;SUBSTITUTE($G20," ","")&amp;","))*((MASTER!$G$2:$G$2000="DONE")))</f>
        <v>0</v>
      </c>
      <c r="G20" s="18" t="s">
        <v>848</v>
      </c>
      <c r="H20" s="16">
        <f>SUMPRODUCT(ISNUMBER(SEARCH(","&amp;MASTER!$A$2:$A$2000&amp;",",","&amp;SUBSTITUTE($G20," ","")&amp;","))*((MASTER!$G$2:$G$2000="IN_PROGRESS")+(MASTER!$G$2:$G$2000="IMPLEMENTED")+(MASTER!$G$2:$G$2000="TESTING")+(MASTER!$G$2:$G$2000="VERIFIED")))</f>
        <v>0</v>
      </c>
      <c r="I20" s="16">
        <f>SUMPRODUCT(ISNUMBER(SEARCH(","&amp;MASTER!$A$2:$A$2000&amp;",",","&amp;SUBSTITUTE($G20," ","")&amp;","))*((MASTER!$G$2:$G$2000="BLOCKED")+(MASTER!$G$2:$G$2000="FAILED")))</f>
        <v>0</v>
      </c>
      <c r="J20" s="18"/>
    </row>
    <row r="21" spans="1:12" x14ac:dyDescent="0.25">
      <c r="A21" s="15" t="s">
        <v>585</v>
      </c>
      <c r="B21" s="12" t="str">
        <f t="shared" si="0"/>
        <v>OPEN</v>
      </c>
      <c r="C21" s="14">
        <f t="shared" si="1"/>
        <v>0</v>
      </c>
      <c r="D21" s="18" t="s">
        <v>849</v>
      </c>
      <c r="E21" s="16">
        <f t="shared" si="2"/>
        <v>4</v>
      </c>
      <c r="F21" s="16">
        <f>SUMPRODUCT(ISNUMBER(SEARCH(","&amp;MASTER!$A$2:$A$2000&amp;",",","&amp;SUBSTITUTE($G21," ","")&amp;","))*((MASTER!$G$2:$G$2000="DONE")))</f>
        <v>0</v>
      </c>
      <c r="G21" s="18" t="s">
        <v>850</v>
      </c>
      <c r="H21" s="16">
        <f>SUMPRODUCT(ISNUMBER(SEARCH(","&amp;MASTER!$A$2:$A$2000&amp;",",","&amp;SUBSTITUTE($G21," ","")&amp;","))*((MASTER!$G$2:$G$2000="IN_PROGRESS")+(MASTER!$G$2:$G$2000="IMPLEMENTED")+(MASTER!$G$2:$G$2000="TESTING")+(MASTER!$G$2:$G$2000="VERIFIED")))</f>
        <v>0</v>
      </c>
      <c r="I21" s="16">
        <f>SUMPRODUCT(ISNUMBER(SEARCH(","&amp;MASTER!$A$2:$A$2000&amp;",",","&amp;SUBSTITUTE($G21," ","")&amp;","))*((MASTER!$G$2:$G$2000="BLOCKED")+(MASTER!$G$2:$G$2000="FAILED")))</f>
        <v>0</v>
      </c>
      <c r="J21" s="18"/>
    </row>
    <row r="22" spans="1:12" x14ac:dyDescent="0.25">
      <c r="A22" s="15" t="s">
        <v>779</v>
      </c>
      <c r="B22" s="12" t="str">
        <f t="shared" si="0"/>
        <v>OPEN</v>
      </c>
      <c r="C22" s="14">
        <f t="shared" si="1"/>
        <v>0</v>
      </c>
      <c r="D22" s="18" t="s">
        <v>851</v>
      </c>
      <c r="E22" s="16">
        <f t="shared" si="2"/>
        <v>3</v>
      </c>
      <c r="F22" s="16">
        <f>SUMPRODUCT(ISNUMBER(SEARCH(","&amp;MASTER!$A$2:$A$2000&amp;",",","&amp;SUBSTITUTE($G22," ","")&amp;","))*((MASTER!$G$2:$G$2000="DONE")))</f>
        <v>0</v>
      </c>
      <c r="G22" s="18" t="s">
        <v>852</v>
      </c>
      <c r="H22" s="16">
        <f>SUMPRODUCT(ISNUMBER(SEARCH(","&amp;MASTER!$A$2:$A$2000&amp;",",","&amp;SUBSTITUTE($G22," ","")&amp;","))*((MASTER!$G$2:$G$2000="IN_PROGRESS")+(MASTER!$G$2:$G$2000="IMPLEMENTED")+(MASTER!$G$2:$G$2000="TESTING")+(MASTER!$G$2:$G$2000="VERIFIED")))</f>
        <v>0</v>
      </c>
      <c r="I22" s="16">
        <f>SUMPRODUCT(ISNUMBER(SEARCH(","&amp;MASTER!$A$2:$A$2000&amp;",",","&amp;SUBSTITUTE($G22," ","")&amp;","))*((MASTER!$G$2:$G$2000="BLOCKED")+(MASTER!$G$2:$G$2000="FAILED")))</f>
        <v>0</v>
      </c>
      <c r="J22" s="18"/>
    </row>
    <row r="23" spans="1:12" x14ac:dyDescent="0.25">
      <c r="A23" s="15" t="s">
        <v>321</v>
      </c>
      <c r="B23" s="12" t="str">
        <f t="shared" si="0"/>
        <v>OPEN</v>
      </c>
      <c r="C23" s="14">
        <f t="shared" si="1"/>
        <v>0</v>
      </c>
      <c r="D23" s="18" t="s">
        <v>853</v>
      </c>
      <c r="E23" s="16">
        <f t="shared" si="2"/>
        <v>2</v>
      </c>
      <c r="F23" s="16">
        <f>SUMPRODUCT(ISNUMBER(SEARCH(","&amp;MASTER!$A$2:$A$2000&amp;",",","&amp;SUBSTITUTE($G23," ","")&amp;","))*((MASTER!$G$2:$G$2000="DONE")))</f>
        <v>0</v>
      </c>
      <c r="G23" s="18" t="s">
        <v>854</v>
      </c>
      <c r="H23" s="16">
        <f>SUMPRODUCT(ISNUMBER(SEARCH(","&amp;MASTER!$A$2:$A$2000&amp;",",","&amp;SUBSTITUTE($G23," ","")&amp;","))*((MASTER!$G$2:$G$2000="IN_PROGRESS")+(MASTER!$G$2:$G$2000="IMPLEMENTED")+(MASTER!$G$2:$G$2000="TESTING")+(MASTER!$G$2:$G$2000="VERIFIED")))</f>
        <v>0</v>
      </c>
      <c r="I23" s="16">
        <f>SUMPRODUCT(ISNUMBER(SEARCH(","&amp;MASTER!$A$2:$A$2000&amp;",",","&amp;SUBSTITUTE($G23," ","")&amp;","))*((MASTER!$G$2:$G$2000="BLOCKED")+(MASTER!$G$2:$G$2000="FAILED")))</f>
        <v>0</v>
      </c>
      <c r="J23" s="18"/>
    </row>
    <row r="24" spans="1:12" x14ac:dyDescent="0.25">
      <c r="A24" s="15" t="s">
        <v>704</v>
      </c>
      <c r="B24" s="12" t="str">
        <f t="shared" si="0"/>
        <v>OPEN</v>
      </c>
      <c r="C24" s="14">
        <f t="shared" si="1"/>
        <v>0</v>
      </c>
      <c r="D24" s="18" t="s">
        <v>855</v>
      </c>
      <c r="E24" s="16">
        <f t="shared" si="2"/>
        <v>2</v>
      </c>
      <c r="F24" s="16">
        <f>SUMPRODUCT(ISNUMBER(SEARCH(","&amp;MASTER!$A$2:$A$2000&amp;",",","&amp;SUBSTITUTE($G24," ","")&amp;","))*((MASTER!$G$2:$G$2000="DONE")))</f>
        <v>0</v>
      </c>
      <c r="G24" s="18" t="s">
        <v>856</v>
      </c>
      <c r="H24" s="16">
        <f>SUMPRODUCT(ISNUMBER(SEARCH(","&amp;MASTER!$A$2:$A$2000&amp;",",","&amp;SUBSTITUTE($G24," ","")&amp;","))*((MASTER!$G$2:$G$2000="IN_PROGRESS")+(MASTER!$G$2:$G$2000="IMPLEMENTED")+(MASTER!$G$2:$G$2000="TESTING")+(MASTER!$G$2:$G$2000="VERIFIED")))</f>
        <v>0</v>
      </c>
      <c r="I24" s="16">
        <f>SUMPRODUCT(ISNUMBER(SEARCH(","&amp;MASTER!$A$2:$A$2000&amp;",",","&amp;SUBSTITUTE($G24," ","")&amp;","))*((MASTER!$G$2:$G$2000="BLOCKED")+(MASTER!$G$2:$G$2000="FAILED")))</f>
        <v>0</v>
      </c>
      <c r="J24" s="18"/>
    </row>
    <row r="25" spans="1:12" x14ac:dyDescent="0.25">
      <c r="A25" s="15" t="s">
        <v>463</v>
      </c>
      <c r="B25" s="12" t="str">
        <f t="shared" si="0"/>
        <v>OPEN</v>
      </c>
      <c r="C25" s="14">
        <f t="shared" si="1"/>
        <v>0</v>
      </c>
      <c r="D25" s="18" t="s">
        <v>857</v>
      </c>
      <c r="E25" s="16">
        <f t="shared" si="2"/>
        <v>2</v>
      </c>
      <c r="F25" s="16">
        <f>SUMPRODUCT(ISNUMBER(SEARCH(","&amp;MASTER!$A$2:$A$2000&amp;",",","&amp;SUBSTITUTE($G25," ","")&amp;","))*((MASTER!$G$2:$G$2000="DONE")))</f>
        <v>0</v>
      </c>
      <c r="G25" s="18" t="s">
        <v>858</v>
      </c>
      <c r="H25" s="16">
        <f>SUMPRODUCT(ISNUMBER(SEARCH(","&amp;MASTER!$A$2:$A$2000&amp;",",","&amp;SUBSTITUTE($G25," ","")&amp;","))*((MASTER!$G$2:$G$2000="IN_PROGRESS")+(MASTER!$G$2:$G$2000="IMPLEMENTED")+(MASTER!$G$2:$G$2000="TESTING")+(MASTER!$G$2:$G$2000="VERIFIED")))</f>
        <v>0</v>
      </c>
      <c r="I25" s="16">
        <f>SUMPRODUCT(ISNUMBER(SEARCH(","&amp;MASTER!$A$2:$A$2000&amp;",",","&amp;SUBSTITUTE($G25," ","")&amp;","))*((MASTER!$G$2:$G$2000="BLOCKED")+(MASTER!$G$2:$G$2000="FAILED")))</f>
        <v>0</v>
      </c>
      <c r="J25" s="18"/>
    </row>
    <row r="26" spans="1:12" ht="25.5" x14ac:dyDescent="0.25">
      <c r="A26" s="15" t="s">
        <v>859</v>
      </c>
      <c r="B26" s="12" t="str">
        <f t="shared" si="0"/>
        <v>IN_PROGRESS</v>
      </c>
      <c r="C26" s="14">
        <f t="shared" si="1"/>
        <v>0.25</v>
      </c>
      <c r="D26" s="18" t="s">
        <v>860</v>
      </c>
      <c r="E26" s="16">
        <f t="shared" si="2"/>
        <v>4</v>
      </c>
      <c r="F26" s="16">
        <f>SUMPRODUCT(ISNUMBER(SEARCH(","&amp;MASTER!$A$2:$A$2000&amp;",",","&amp;SUBSTITUTE($G26," ","")&amp;","))*((MASTER!$G$2:$G$2000="DONE")))</f>
        <v>1</v>
      </c>
      <c r="G26" s="18" t="s">
        <v>861</v>
      </c>
      <c r="H26" s="16">
        <f>SUMPRODUCT(ISNUMBER(SEARCH(","&amp;MASTER!$A$2:$A$2000&amp;",",","&amp;SUBSTITUTE($G26," ","")&amp;","))*((MASTER!$G$2:$G$2000="IN_PROGRESS")+(MASTER!$G$2:$G$2000="IMPLEMENTED")+(MASTER!$G$2:$G$2000="TESTING")+(MASTER!$G$2:$G$2000="VERIFIED")))</f>
        <v>0</v>
      </c>
      <c r="I26" s="16">
        <f>SUMPRODUCT(ISNUMBER(SEARCH(","&amp;MASTER!$A$2:$A$2000&amp;",",","&amp;SUBSTITUTE($G26," ","")&amp;","))*((MASTER!$G$2:$G$2000="BLOCKED")+(MASTER!$G$2:$G$2000="FAILED")))</f>
        <v>0</v>
      </c>
      <c r="J26" s="18"/>
    </row>
    <row r="27" spans="1:12" x14ac:dyDescent="0.25">
      <c r="A27" s="15" t="s">
        <v>369</v>
      </c>
      <c r="B27" s="12" t="str">
        <f t="shared" si="0"/>
        <v>OPEN</v>
      </c>
      <c r="C27" s="14">
        <f t="shared" si="1"/>
        <v>0</v>
      </c>
      <c r="D27" s="18" t="s">
        <v>862</v>
      </c>
      <c r="E27" s="16">
        <f t="shared" si="2"/>
        <v>3</v>
      </c>
      <c r="F27" s="16">
        <f>SUMPRODUCT(ISNUMBER(SEARCH(","&amp;MASTER!$A$2:$A$2000&amp;",",","&amp;SUBSTITUTE($G27," ","")&amp;","))*((MASTER!$G$2:$G$2000="DONE")))</f>
        <v>0</v>
      </c>
      <c r="G27" s="18" t="s">
        <v>863</v>
      </c>
      <c r="H27" s="16">
        <f>SUMPRODUCT(ISNUMBER(SEARCH(","&amp;MASTER!$A$2:$A$2000&amp;",",","&amp;SUBSTITUTE($G27," ","")&amp;","))*((MASTER!$G$2:$G$2000="IN_PROGRESS")+(MASTER!$G$2:$G$2000="IMPLEMENTED")+(MASTER!$G$2:$G$2000="TESTING")+(MASTER!$G$2:$G$2000="VERIFIED")))</f>
        <v>0</v>
      </c>
      <c r="I27" s="16">
        <f>SUMPRODUCT(ISNUMBER(SEARCH(","&amp;MASTER!$A$2:$A$2000&amp;",",","&amp;SUBSTITUTE($G27," ","")&amp;","))*((MASTER!$G$2:$G$2000="BLOCKED")+(MASTER!$G$2:$G$2000="FAILED")))</f>
        <v>0</v>
      </c>
      <c r="J27" s="18"/>
    </row>
    <row r="30" spans="1:12" ht="15.75" x14ac:dyDescent="0.25">
      <c r="A30" s="5" t="s">
        <v>864</v>
      </c>
    </row>
    <row r="31" spans="1:12" x14ac:dyDescent="0.25">
      <c r="A31" s="10" t="s">
        <v>162</v>
      </c>
      <c r="B31" s="10" t="s">
        <v>99</v>
      </c>
      <c r="C31" s="10" t="s">
        <v>43</v>
      </c>
      <c r="D31" s="10" t="s">
        <v>163</v>
      </c>
      <c r="E31" s="10" t="s">
        <v>165</v>
      </c>
      <c r="F31" s="10" t="s">
        <v>57</v>
      </c>
      <c r="G31" s="10" t="s">
        <v>166</v>
      </c>
      <c r="H31" s="10" t="s">
        <v>167</v>
      </c>
      <c r="I31" s="10" t="s">
        <v>15</v>
      </c>
      <c r="J31" s="10" t="s">
        <v>173</v>
      </c>
      <c r="K31" s="10" t="s">
        <v>174</v>
      </c>
      <c r="L31" s="10" t="s">
        <v>175</v>
      </c>
    </row>
    <row r="32" spans="1:12" x14ac:dyDescent="0.25">
      <c r="A32" s="15" t="s">
        <v>177</v>
      </c>
      <c r="B32" s="12" t="str">
        <f>IFERROR(INDEX(MASTER!$C$2:$C$2000,MATCH($A32,MASTER!$A$2:$A$2000,0))&amp;"","")</f>
        <v>INFRA</v>
      </c>
      <c r="C32" s="16">
        <f>IFERROR(INDEX(MASTER!$B$2:$B$2000,MATCH($A32,MASTER!$A$2:$A$2000,0)),"")</f>
        <v>0</v>
      </c>
      <c r="D32" s="12" t="str">
        <f>IFERROR(INDEX(MASTER!$D$2:$D$2000,MATCH($A32,MASTER!$A$2:$A$2000,0))&amp;"","")</f>
        <v>Excel control centre</v>
      </c>
      <c r="E32" s="12" t="str">
        <f>IFERROR(INDEX(MASTER!$F$2:$F$2000,MATCH($A32,MASTER!$A$2:$A$2000,0))&amp;"","")</f>
        <v>P0</v>
      </c>
      <c r="F32" s="12" t="str">
        <f>IFERROR(INDEX(MASTER!$G$2:$G$2000,MATCH($A32,MASTER!$A$2:$A$2000,0))&amp;"","NOT IN MASTER")</f>
        <v>DONE</v>
      </c>
      <c r="G32" s="12" t="str">
        <f>IFERROR(INDEX(MASTER!$H$2:$H$2000,MATCH($A32,MASTER!$A$2:$A$2000,0))&amp;"","")</f>
        <v>SmartDoc_Master_Implementation_Tracker.xlsx: 20 sheets (19 required + DASHBOARD), 3,340 formulas, status/priority/risk/category/phase validation, conditional formatting; tools/tracker/tracker.py, seed.py, excel_recalc.py, selftest.py, README.md</v>
      </c>
      <c r="H32" s="12" t="str">
        <f>IFERROR(INDEX(MASTER!$I$2:$I$2000,MATCH($A32,MASTER!$A$2:$A$2000,0))&amp;"","")</f>
        <v>python tools/tracker/selftest.py -&gt; PASS; tools/tracker/excel_recalc.py -&gt; 0 formula errors, 0 value mismatches (also on a scratch copy covering every status)</v>
      </c>
      <c r="I32" s="19">
        <f>IFERROR(IF(INDEX(MASTER!$O$2:$O$2000,MATCH($A32,MASTER!$A$2:$A$2000,0))="","",INDEX(MASTER!$O$2:$O$2000,MATCH($A32,MASTER!$A$2:$A$2000,0))),"")</f>
        <v>46292.171400462961</v>
      </c>
      <c r="J32" s="12" t="str">
        <f>IFERROR(INDEX(MASTER!$P$2:$P$2000,MATCH($A32,MASTER!$A$2:$A$2000,0))&amp;"","")</f>
        <v>4da4ecb</v>
      </c>
      <c r="K32" s="12" t="str">
        <f>IFERROR(INDEX(MASTER!$Q$2:$Q$2000,MATCH($A32,MASTER!$A$2:$A$2000,0))&amp;"","")</f>
        <v/>
      </c>
      <c r="L32" s="12" t="str">
        <f>IFERROR(INDEX(MASTER!$R$2:$R$2000,MATCH($A32,MASTER!$A$2:$A$2000,0))&amp;"","")</f>
        <v/>
      </c>
    </row>
    <row r="33" spans="1:12" x14ac:dyDescent="0.25">
      <c r="A33" s="15" t="s">
        <v>186</v>
      </c>
      <c r="B33" s="12" t="str">
        <f>IFERROR(INDEX(MASTER!$C$2:$C$2000,MATCH($A33,MASTER!$A$2:$A$2000,0))&amp;"","")</f>
        <v>INFRA</v>
      </c>
      <c r="C33" s="16">
        <f>IFERROR(INDEX(MASTER!$B$2:$B$2000,MATCH($A33,MASTER!$A$2:$A$2000,0)),"")</f>
        <v>0</v>
      </c>
      <c r="D33" s="12" t="str">
        <f>IFERROR(INDEX(MASTER!$D$2:$D$2000,MATCH($A33,MASTER!$A$2:$A$2000,0))&amp;"","")</f>
        <v>Continuation system</v>
      </c>
      <c r="E33" s="12" t="str">
        <f>IFERROR(INDEX(MASTER!$F$2:$F$2000,MATCH($A33,MASTER!$A$2:$A$2000,0))&amp;"","")</f>
        <v>P0</v>
      </c>
      <c r="F33" s="12" t="str">
        <f>IFERROR(INDEX(MASTER!$G$2:$G$2000,MATCH($A33,MASTER!$A$2:$A$2000,0))&amp;"","NOT IN MASTER")</f>
        <v>DONE</v>
      </c>
      <c r="G33" s="12" t="str">
        <f>IFERROR(INDEX(MASTER!$H$2:$H$2000,MATCH($A33,MASTER!$A$2:$A$2000,0))&amp;"","")</f>
        <v>docs/AI-CONTINUATION.md (8 required sections), docs/session-state.json (all 19 fields of brief §11), SESSION_STATE sheet (14 fields of brief §110 + Excel Status), docs/implementation-brief.md</v>
      </c>
      <c r="H33" s="12" t="str">
        <f>IFERROR(INDEX(MASTER!$I$2:$I$2000,MATCH($A33,MASTER!$A$2:$A$2000,0))&amp;"","")</f>
        <v>tracker.py state --touch synced JSON -&gt; SESSION_STATE and wrote current_excel_status back; selftest covers the state command</v>
      </c>
      <c r="I33" s="19">
        <f>IFERROR(IF(INDEX(MASTER!$O$2:$O$2000,MATCH($A33,MASTER!$A$2:$A$2000,0))="","",INDEX(MASTER!$O$2:$O$2000,MATCH($A33,MASTER!$A$2:$A$2000,0))),"")</f>
        <v>46292.171435185177</v>
      </c>
      <c r="J33" s="12" t="str">
        <f>IFERROR(INDEX(MASTER!$P$2:$P$2000,MATCH($A33,MASTER!$A$2:$A$2000,0))&amp;"","")</f>
        <v>4da4ecb</v>
      </c>
      <c r="K33" s="12" t="str">
        <f>IFERROR(INDEX(MASTER!$Q$2:$Q$2000,MATCH($A33,MASTER!$A$2:$A$2000,0))&amp;"","")</f>
        <v/>
      </c>
      <c r="L33" s="12" t="str">
        <f>IFERROR(INDEX(MASTER!$R$2:$R$2000,MATCH($A33,MASTER!$A$2:$A$2000,0))&amp;"","")</f>
        <v/>
      </c>
    </row>
    <row r="34" spans="1:12" x14ac:dyDescent="0.25">
      <c r="A34" s="15" t="s">
        <v>199</v>
      </c>
      <c r="B34" s="12" t="str">
        <f>IFERROR(INDEX(MASTER!$C$2:$C$2000,MATCH($A34,MASTER!$A$2:$A$2000,0))&amp;"","")</f>
        <v>TESTING</v>
      </c>
      <c r="C34" s="16">
        <f>IFERROR(INDEX(MASTER!$B$2:$B$2000,MATCH($A34,MASTER!$A$2:$A$2000,0)),"")</f>
        <v>0</v>
      </c>
      <c r="D34" s="12" t="str">
        <f>IFERROR(INDEX(MASTER!$D$2:$D$2000,MATCH($A34,MASTER!$A$2:$A$2000,0))&amp;"","")</f>
        <v>Baseline: backend tests</v>
      </c>
      <c r="E34" s="12" t="str">
        <f>IFERROR(INDEX(MASTER!$F$2:$F$2000,MATCH($A34,MASTER!$A$2:$A$2000,0))&amp;"","")</f>
        <v>P0</v>
      </c>
      <c r="F34" s="12" t="str">
        <f>IFERROR(INDEX(MASTER!$G$2:$G$2000,MATCH($A34,MASTER!$A$2:$A$2000,0))&amp;"","NOT IN MASTER")</f>
        <v>DONE</v>
      </c>
      <c r="G34" s="12" t="str">
        <f>IFERROR(INDEX(MASTER!$H$2:$H$2000,MATCH($A34,MASTER!$A$2:$A$2000,0))&amp;"","")</f>
        <v>docs/architecture/current-baseline.md; TESTING RUN-0001</v>
      </c>
      <c r="H34" s="12" t="str">
        <f>IFERROR(INDEX(MASTER!$I$2:$I$2000,MATCH($A34,MASTER!$A$2:$A$2000,0))&amp;"","")</f>
        <v>backend pytest: 643 passed, 1 skipped, 0 failed (88 s)</v>
      </c>
      <c r="I34" s="19">
        <f>IFERROR(IF(INDEX(MASTER!$O$2:$O$2000,MATCH($A34,MASTER!$A$2:$A$2000,0))="","",INDEX(MASTER!$O$2:$O$2000,MATCH($A34,MASTER!$A$2:$A$2000,0))),"")</f>
        <v>46292.17150462963</v>
      </c>
      <c r="J34" s="12" t="str">
        <f>IFERROR(INDEX(MASTER!$P$2:$P$2000,MATCH($A34,MASTER!$A$2:$A$2000,0))&amp;"","")</f>
        <v>4da4ecb</v>
      </c>
      <c r="K34" s="12" t="str">
        <f>IFERROR(INDEX(MASTER!$Q$2:$Q$2000,MATCH($A34,MASTER!$A$2:$A$2000,0))&amp;"","")</f>
        <v/>
      </c>
      <c r="L34" s="12" t="str">
        <f>IFERROR(INDEX(MASTER!$R$2:$R$2000,MATCH($A34,MASTER!$A$2:$A$2000,0))&amp;"","")</f>
        <v/>
      </c>
    </row>
    <row r="35" spans="1:12" x14ac:dyDescent="0.25">
      <c r="A35" s="15" t="s">
        <v>205</v>
      </c>
      <c r="B35" s="12" t="str">
        <f>IFERROR(INDEX(MASTER!$C$2:$C$2000,MATCH($A35,MASTER!$A$2:$A$2000,0))&amp;"","")</f>
        <v>TESTING</v>
      </c>
      <c r="C35" s="16">
        <f>IFERROR(INDEX(MASTER!$B$2:$B$2000,MATCH($A35,MASTER!$A$2:$A$2000,0)),"")</f>
        <v>0</v>
      </c>
      <c r="D35" s="12" t="str">
        <f>IFERROR(INDEX(MASTER!$D$2:$D$2000,MATCH($A35,MASTER!$A$2:$A$2000,0))&amp;"","")</f>
        <v>Baseline: frontend tests, typecheck, lint, build</v>
      </c>
      <c r="E35" s="12" t="str">
        <f>IFERROR(INDEX(MASTER!$F$2:$F$2000,MATCH($A35,MASTER!$A$2:$A$2000,0))&amp;"","")</f>
        <v>P0</v>
      </c>
      <c r="F35" s="12" t="str">
        <f>IFERROR(INDEX(MASTER!$G$2:$G$2000,MATCH($A35,MASTER!$A$2:$A$2000,0))&amp;"","NOT IN MASTER")</f>
        <v>DONE</v>
      </c>
      <c r="G35" s="12" t="str">
        <f>IFERROR(INDEX(MASTER!$H$2:$H$2000,MATCH($A35,MASTER!$A$2:$A$2000,0))&amp;"","")</f>
        <v>docs/architecture/current-baseline.md; TESTING RUN-0002..0005</v>
      </c>
      <c r="H35" s="12" t="str">
        <f>IFERROR(INDEX(MASTER!$I$2:$I$2000,MATCH($A35,MASTER!$A$2:$A$2000,0))&amp;"","")</f>
        <v>eslint 0 problems; tsc 0 errors; Vitest 46/46; next build OK (11 routes)</v>
      </c>
      <c r="I35" s="19">
        <f>IFERROR(IF(INDEX(MASTER!$O$2:$O$2000,MATCH($A35,MASTER!$A$2:$A$2000,0))="","",INDEX(MASTER!$O$2:$O$2000,MATCH($A35,MASTER!$A$2:$A$2000,0))),"")</f>
        <v>46292.171550925923</v>
      </c>
      <c r="J35" s="12" t="str">
        <f>IFERROR(INDEX(MASTER!$P$2:$P$2000,MATCH($A35,MASTER!$A$2:$A$2000,0))&amp;"","")</f>
        <v>4da4ecb</v>
      </c>
      <c r="K35" s="12" t="str">
        <f>IFERROR(INDEX(MASTER!$Q$2:$Q$2000,MATCH($A35,MASTER!$A$2:$A$2000,0))&amp;"","")</f>
        <v/>
      </c>
      <c r="L35" s="12" t="str">
        <f>IFERROR(INDEX(MASTER!$R$2:$R$2000,MATCH($A35,MASTER!$A$2:$A$2000,0))&amp;"","")</f>
        <v/>
      </c>
    </row>
    <row r="36" spans="1:12" x14ac:dyDescent="0.25">
      <c r="A36" s="15" t="s">
        <v>211</v>
      </c>
      <c r="B36" s="12" t="str">
        <f>IFERROR(INDEX(MASTER!$C$2:$C$2000,MATCH($A36,MASTER!$A$2:$A$2000,0))&amp;"","")</f>
        <v>TESTING</v>
      </c>
      <c r="C36" s="16">
        <f>IFERROR(INDEX(MASTER!$B$2:$B$2000,MATCH($A36,MASTER!$A$2:$A$2000,0)),"")</f>
        <v>0</v>
      </c>
      <c r="D36" s="12" t="str">
        <f>IFERROR(INDEX(MASTER!$D$2:$D$2000,MATCH($A36,MASTER!$A$2:$A$2000,0))&amp;"","")</f>
        <v>Baseline: Playwright E2E</v>
      </c>
      <c r="E36" s="12" t="str">
        <f>IFERROR(INDEX(MASTER!$F$2:$F$2000,MATCH($A36,MASTER!$A$2:$A$2000,0))&amp;"","")</f>
        <v>P0</v>
      </c>
      <c r="F36" s="12" t="str">
        <f>IFERROR(INDEX(MASTER!$G$2:$G$2000,MATCH($A36,MASTER!$A$2:$A$2000,0))&amp;"","NOT IN MASTER")</f>
        <v>DONE</v>
      </c>
      <c r="G36" s="12" t="str">
        <f>IFERROR(INDEX(MASTER!$H$2:$H$2000,MATCH($A36,MASTER!$A$2:$A$2000,0))&amp;"","")</f>
        <v>docs/architecture/current-baseline.md; TESTING RUN-0006</v>
      </c>
      <c r="H36" s="12" t="str">
        <f>IFERROR(INDEX(MASTER!$I$2:$I$2000,MATCH($A36,MASTER!$A$2:$A$2000,0))&amp;"","")</f>
        <v>Playwright (Edge): 16 passed, 0 failed (67 s)</v>
      </c>
      <c r="I36" s="19">
        <f>IFERROR(IF(INDEX(MASTER!$O$2:$O$2000,MATCH($A36,MASTER!$A$2:$A$2000,0))="","",INDEX(MASTER!$O$2:$O$2000,MATCH($A36,MASTER!$A$2:$A$2000,0))),"")</f>
        <v>46292.171585648153</v>
      </c>
      <c r="J36" s="12" t="str">
        <f>IFERROR(INDEX(MASTER!$P$2:$P$2000,MATCH($A36,MASTER!$A$2:$A$2000,0))&amp;"","")</f>
        <v>4da4ecb</v>
      </c>
      <c r="K36" s="12" t="str">
        <f>IFERROR(INDEX(MASTER!$Q$2:$Q$2000,MATCH($A36,MASTER!$A$2:$A$2000,0))&amp;"","")</f>
        <v/>
      </c>
      <c r="L36" s="12" t="str">
        <f>IFERROR(INDEX(MASTER!$R$2:$R$2000,MATCH($A36,MASTER!$A$2:$A$2000,0))&amp;"","")</f>
        <v/>
      </c>
    </row>
    <row r="37" spans="1:12" x14ac:dyDescent="0.25">
      <c r="A37" s="15" t="s">
        <v>217</v>
      </c>
      <c r="B37" s="12" t="str">
        <f>IFERROR(INDEX(MASTER!$C$2:$C$2000,MATCH($A37,MASTER!$A$2:$A$2000,0))&amp;"","")</f>
        <v>TESTING</v>
      </c>
      <c r="C37" s="16">
        <f>IFERROR(INDEX(MASTER!$B$2:$B$2000,MATCH($A37,MASTER!$A$2:$A$2000,0)),"")</f>
        <v>0</v>
      </c>
      <c r="D37" s="12" t="str">
        <f>IFERROR(INDEX(MASTER!$D$2:$D$2000,MATCH($A37,MASTER!$A$2:$A$2000,0))&amp;"","")</f>
        <v>Baseline: migrations and database</v>
      </c>
      <c r="E37" s="12" t="str">
        <f>IFERROR(INDEX(MASTER!$F$2:$F$2000,MATCH($A37,MASTER!$A$2:$A$2000,0))&amp;"","")</f>
        <v>P0</v>
      </c>
      <c r="F37" s="12" t="str">
        <f>IFERROR(INDEX(MASTER!$G$2:$G$2000,MATCH($A37,MASTER!$A$2:$A$2000,0))&amp;"","NOT IN MASTER")</f>
        <v>DONE</v>
      </c>
      <c r="G37" s="12" t="str">
        <f>IFERROR(INDEX(MASTER!$H$2:$H$2000,MATCH($A37,MASTER!$A$2:$A$2000,0))&amp;"","")</f>
        <v>docs/architecture/current-baseline.md; TESTING RUN-0007, RUN-0008</v>
      </c>
      <c r="H37" s="12" t="str">
        <f>IFERROR(INDEX(MASTER!$I$2:$I$2000,MATCH($A37,MASTER!$A$2:$A$2000,0))&amp;"","")</f>
        <v>alembic upgrade/check/downgrade/upgrade on scratch SQLite; offline PostgreSQL SQL; Supabase list_migrations 8/8 + advisors</v>
      </c>
      <c r="I37" s="19">
        <f>IFERROR(IF(INDEX(MASTER!$O$2:$O$2000,MATCH($A37,MASTER!$A$2:$A$2000,0))="","",INDEX(MASTER!$O$2:$O$2000,MATCH($A37,MASTER!$A$2:$A$2000,0))),"")</f>
        <v>46292.171620370369</v>
      </c>
      <c r="J37" s="12" t="str">
        <f>IFERROR(INDEX(MASTER!$P$2:$P$2000,MATCH($A37,MASTER!$A$2:$A$2000,0))&amp;"","")</f>
        <v>4da4ecb</v>
      </c>
      <c r="K37" s="12" t="str">
        <f>IFERROR(INDEX(MASTER!$Q$2:$Q$2000,MATCH($A37,MASTER!$A$2:$A$2000,0))&amp;"","")</f>
        <v/>
      </c>
      <c r="L37" s="12" t="str">
        <f>IFERROR(INDEX(MASTER!$R$2:$R$2000,MATCH($A37,MASTER!$A$2:$A$2000,0))&amp;"","")</f>
        <v/>
      </c>
    </row>
    <row r="38" spans="1:12" x14ac:dyDescent="0.25">
      <c r="A38" s="15" t="s">
        <v>242</v>
      </c>
      <c r="B38" s="12" t="str">
        <f>IFERROR(INDEX(MASTER!$C$2:$C$2000,MATCH($A38,MASTER!$A$2:$A$2000,0))&amp;"","")</f>
        <v>DOCS</v>
      </c>
      <c r="C38" s="16">
        <f>IFERROR(INDEX(MASTER!$B$2:$B$2000,MATCH($A38,MASTER!$A$2:$A$2000,0)),"")</f>
        <v>0</v>
      </c>
      <c r="D38" s="12" t="str">
        <f>IFERROR(INDEX(MASTER!$D$2:$D$2000,MATCH($A38,MASTER!$A$2:$A$2000,0))&amp;"","")</f>
        <v>current-baseline.md</v>
      </c>
      <c r="E38" s="12" t="str">
        <f>IFERROR(INDEX(MASTER!$F$2:$F$2000,MATCH($A38,MASTER!$A$2:$A$2000,0))&amp;"","")</f>
        <v>P0</v>
      </c>
      <c r="F38" s="12" t="str">
        <f>IFERROR(INDEX(MASTER!$G$2:$G$2000,MATCH($A38,MASTER!$A$2:$A$2000,0))&amp;"","NOT IN MASTER")</f>
        <v>DONE</v>
      </c>
      <c r="G38" s="12" t="str">
        <f>IFERROR(INDEX(MASTER!$H$2:$H$2000,MATCH($A38,MASTER!$A$2:$A$2000,0))&amp;"","")</f>
        <v>docs/architecture/current-baseline.md</v>
      </c>
      <c r="H38" s="12" t="str">
        <f>IFERROR(INDEX(MASTER!$I$2:$I$2000,MATCH($A38,MASTER!$A$2:$A$2000,0))&amp;"","")</f>
        <v>Every figure taken from RUN-0001..RUN-0011 logs, Supabase MCP output and the audit's perf logs</v>
      </c>
      <c r="I38" s="19">
        <f>IFERROR(IF(INDEX(MASTER!$O$2:$O$2000,MATCH($A38,MASTER!$A$2:$A$2000,0))="","",INDEX(MASTER!$O$2:$O$2000,MATCH($A38,MASTER!$A$2:$A$2000,0))),"")</f>
        <v>46292.171770833331</v>
      </c>
      <c r="J38" s="12" t="str">
        <f>IFERROR(INDEX(MASTER!$P$2:$P$2000,MATCH($A38,MASTER!$A$2:$A$2000,0))&amp;"","")</f>
        <v>4da4ecb</v>
      </c>
      <c r="K38" s="12" t="str">
        <f>IFERROR(INDEX(MASTER!$Q$2:$Q$2000,MATCH($A38,MASTER!$A$2:$A$2000,0))&amp;"","")</f>
        <v/>
      </c>
      <c r="L38" s="12" t="str">
        <f>IFERROR(INDEX(MASTER!$R$2:$R$2000,MATCH($A38,MASTER!$A$2:$A$2000,0))&amp;"","")</f>
        <v/>
      </c>
    </row>
    <row r="39" spans="1:12" x14ac:dyDescent="0.25">
      <c r="A39" s="15" t="s">
        <v>248</v>
      </c>
      <c r="B39" s="12" t="str">
        <f>IFERROR(INDEX(MASTER!$C$2:$C$2000,MATCH($A39,MASTER!$A$2:$A$2000,0))&amp;"","")</f>
        <v>CORE</v>
      </c>
      <c r="C39" s="16">
        <f>IFERROR(INDEX(MASTER!$B$2:$B$2000,MATCH($A39,MASTER!$A$2:$A$2000,0)),"")</f>
        <v>1</v>
      </c>
      <c r="D39" s="12" t="str">
        <f>IFERROR(INDEX(MASTER!$D$2:$D$2000,MATCH($A39,MASTER!$A$2:$A$2000,0))&amp;"","")</f>
        <v>Nested block containers in the model</v>
      </c>
      <c r="E39" s="12" t="str">
        <f>IFERROR(INDEX(MASTER!$F$2:$F$2000,MATCH($A39,MASTER!$A$2:$A$2000,0))&amp;"","")</f>
        <v>P0</v>
      </c>
      <c r="F39" s="12" t="str">
        <f>IFERROR(INDEX(MASTER!$G$2:$G$2000,MATCH($A39,MASTER!$A$2:$A$2000,0))&amp;"","NOT IN MASTER")</f>
        <v>DONE</v>
      </c>
      <c r="G39" s="12" t="str">
        <f>IFERROR(INDEX(MASTER!$H$2:$H$2000,MATCH($A39,MASTER!$A$2:$A$2000,0))&amp;"","")</f>
        <v>backend/app/models/document.py: TableCell.blocks, ListItem.blocks, Element.children, Element.numbering (ListNumbering start/format), MAX_BLOCK_DEPTH=8 validator, child_blocks/walk_elements/inline_runs</v>
      </c>
      <c r="H39" s="12" t="str">
        <f>IFERROR(INDEX(MASTER!$I$2:$I$2000,MATCH($A39,MASTER!$A$2:$A$2000,0))&amp;"","")</f>
        <v>tests/test_document_nesting.py (9); full backend 659 passed</v>
      </c>
      <c r="I39" s="19">
        <f>IFERROR(IF(INDEX(MASTER!$O$2:$O$2000,MATCH($A39,MASTER!$A$2:$A$2000,0))="","",INDEX(MASTER!$O$2:$O$2000,MATCH($A39,MASTER!$A$2:$A$2000,0))),"")</f>
        <v>46292.196493055562</v>
      </c>
      <c r="J39" s="12" t="str">
        <f>IFERROR(INDEX(MASTER!$P$2:$P$2000,MATCH($A39,MASTER!$A$2:$A$2000,0))&amp;"","")</f>
        <v>1fe27a9</v>
      </c>
      <c r="K39" s="12" t="str">
        <f>IFERROR(INDEX(MASTER!$Q$2:$Q$2000,MATCH($A39,MASTER!$A$2:$A$2000,0))&amp;"","")</f>
        <v>Design: TableCell.blocks / ListItem.blocks / Element.children hold nested Elements (authoritative when set; inline keeps the plain text); Element.numbering {start, format}; nesting capped at MAX_BLOCK_DEPTH; walk_elements() for every consumer.</v>
      </c>
      <c r="L39" s="12" t="str">
        <f>IFERROR(INDEX(MASTER!$R$2:$R$2000,MATCH($A39,MASTER!$A$2:$A$2000,0))&amp;"","")</f>
        <v/>
      </c>
    </row>
    <row r="40" spans="1:12" x14ac:dyDescent="0.25">
      <c r="A40" s="15" t="s">
        <v>258</v>
      </c>
      <c r="B40" s="12" t="str">
        <f>IFERROR(INDEX(MASTER!$C$2:$C$2000,MATCH($A40,MASTER!$A$2:$A$2000,0))&amp;"","")</f>
        <v>CORE</v>
      </c>
      <c r="C40" s="16">
        <f>IFERROR(INDEX(MASTER!$B$2:$B$2000,MATCH($A40,MASTER!$A$2:$A$2000,0)),"")</f>
        <v>1</v>
      </c>
      <c r="D40" s="12" t="str">
        <f>IFERROR(INDEX(MASTER!$D$2:$D$2000,MATCH($A40,MASTER!$A$2:$A$2000,0))&amp;"","")</f>
        <v>OpenAPI + generated types for nested blocks</v>
      </c>
      <c r="E40" s="12" t="str">
        <f>IFERROR(INDEX(MASTER!$F$2:$F$2000,MATCH($A40,MASTER!$A$2:$A$2000,0))&amp;"","")</f>
        <v>P0</v>
      </c>
      <c r="F40" s="12" t="str">
        <f>IFERROR(INDEX(MASTER!$G$2:$G$2000,MATCH($A40,MASTER!$A$2:$A$2000,0))&amp;"","NOT IN MASTER")</f>
        <v>DONE</v>
      </c>
      <c r="G40" s="12" t="str">
        <f>IFERROR(INDEX(MASTER!$H$2:$H$2000,MATCH($A40,MASTER!$A$2:$A$2000,0))&amp;"","")</f>
        <v>frontend/types/generated/openapi.json + api.ts regenerated; types/document.ts exports ListNumbering/NumberFormat</v>
      </c>
      <c r="H40" s="12" t="str">
        <f>IFERROR(INDEX(MASTER!$I$2:$I$2000,MATCH($A40,MASTER!$A$2:$A$2000,0))&amp;"","")</f>
        <v>tests/test_openapi_contract.py; npx tsc --noEmit clean</v>
      </c>
      <c r="I40" s="19">
        <f>IFERROR(IF(INDEX(MASTER!$O$2:$O$2000,MATCH($A40,MASTER!$A$2:$A$2000,0))="","",INDEX(MASTER!$O$2:$O$2000,MATCH($A40,MASTER!$A$2:$A$2000,0))),"")</f>
        <v>46292.196527777778</v>
      </c>
      <c r="J40" s="12" t="str">
        <f>IFERROR(INDEX(MASTER!$P$2:$P$2000,MATCH($A40,MASTER!$A$2:$A$2000,0))&amp;"","")</f>
        <v>1fe27a9</v>
      </c>
      <c r="K40" s="12" t="str">
        <f>IFERROR(INDEX(MASTER!$Q$2:$Q$2000,MATCH($A40,MASTER!$A$2:$A$2000,0))&amp;"","")</f>
        <v/>
      </c>
      <c r="L40" s="12" t="str">
        <f>IFERROR(INDEX(MASTER!$R$2:$R$2000,MATCH($A40,MASTER!$A$2:$A$2000,0))&amp;"","")</f>
        <v>CORE-001</v>
      </c>
    </row>
    <row r="41" spans="1:12" x14ac:dyDescent="0.25">
      <c r="A41" s="15" t="s">
        <v>266</v>
      </c>
      <c r="B41" s="12" t="str">
        <f>IFERROR(INDEX(MASTER!$C$2:$C$2000,MATCH($A41,MASTER!$A$2:$A$2000,0))&amp;"","")</f>
        <v>CORE</v>
      </c>
      <c r="C41" s="16">
        <f>IFERROR(INDEX(MASTER!$B$2:$B$2000,MATCH($A41,MASTER!$A$2:$A$2000,0)),"")</f>
        <v>1</v>
      </c>
      <c r="D41" s="12" t="str">
        <f>IFERROR(INDEX(MASTER!$D$2:$D$2000,MATCH($A41,MASTER!$A$2:$A$2000,0))&amp;"","")</f>
        <v>Nested blocks through the backend</v>
      </c>
      <c r="E41" s="12" t="str">
        <f>IFERROR(INDEX(MASTER!$F$2:$F$2000,MATCH($A41,MASTER!$A$2:$A$2000,0))&amp;"","")</f>
        <v>P0</v>
      </c>
      <c r="F41" s="12" t="str">
        <f>IFERROR(INDEX(MASTER!$G$2:$G$2000,MATCH($A41,MASTER!$A$2:$A$2000,0))&amp;"","NOT IN MASTER")</f>
        <v>DONE</v>
      </c>
      <c r="G41" s="12" t="str">
        <f>IFERROR(INDEX(MASTER!$H$2:$H$2000,MATCH($A41,MASTER!$A$2:$A$2000,0))&amp;"","")</f>
        <v>services/image_assets.py (nested data: images validated and stored, junk removed and reported), services/document_service.py export_assets (walk_elements), formatting/health.py links via inline_runs; asset cleanup already scans the whole JSON</v>
      </c>
      <c r="H41" s="12" t="str">
        <f>IFERROR(INDEX(MASTER!$I$2:$I$2000,MATCH($A41,MASTER!$A$2:$A$2000,0))&amp;"","")</f>
        <v>tests/test_nested_blocks_api.py (stored as sent, asset once, junk removed, depth 422); tests/test_health.py nested links</v>
      </c>
      <c r="I41" s="19">
        <f>IFERROR(IF(INDEX(MASTER!$O$2:$O$2000,MATCH($A41,MASTER!$A$2:$A$2000,0))="","",INDEX(MASTER!$O$2:$O$2000,MATCH($A41,MASTER!$A$2:$A$2000,0))),"")</f>
        <v>46292.196562500001</v>
      </c>
      <c r="J41" s="12" t="str">
        <f>IFERROR(INDEX(MASTER!$P$2:$P$2000,MATCH($A41,MASTER!$A$2:$A$2000,0))&amp;"","")</f>
        <v>1fe27a9</v>
      </c>
      <c r="K41" s="12" t="str">
        <f>IFERROR(INDEX(MASTER!$Q$2:$Q$2000,MATCH($A41,MASTER!$A$2:$A$2000,0))&amp;"","")</f>
        <v/>
      </c>
      <c r="L41" s="12" t="str">
        <f>IFERROR(INDEX(MASTER!$R$2:$R$2000,MATCH($A41,MASTER!$A$2:$A$2000,0))&amp;"","")</f>
        <v>CORE-001</v>
      </c>
    </row>
    <row r="42" spans="1:12" x14ac:dyDescent="0.25">
      <c r="A42" s="15" t="s">
        <v>272</v>
      </c>
      <c r="B42" s="12" t="str">
        <f>IFERROR(INDEX(MASTER!$C$2:$C$2000,MATCH($A42,MASTER!$A$2:$A$2000,0))&amp;"","")</f>
        <v>EDITOR</v>
      </c>
      <c r="C42" s="16">
        <f>IFERROR(INDEX(MASTER!$B$2:$B$2000,MATCH($A42,MASTER!$A$2:$A$2000,0)),"")</f>
        <v>1</v>
      </c>
      <c r="D42" s="12" t="str">
        <f>IFERROR(INDEX(MASTER!$D$2:$D$2000,MATCH($A42,MASTER!$A$2:$A$2000,0))&amp;"","")</f>
        <v>Map nested blocks inside table cells</v>
      </c>
      <c r="E42" s="12" t="str">
        <f>IFERROR(INDEX(MASTER!$F$2:$F$2000,MATCH($A42,MASTER!$A$2:$A$2000,0))&amp;"","")</f>
        <v>P0</v>
      </c>
      <c r="F42" s="12" t="str">
        <f>IFERROR(INDEX(MASTER!$G$2:$G$2000,MATCH($A42,MASTER!$A$2:$A$2000,0))&amp;"","NOT IN MASTER")</f>
        <v>DONE</v>
      </c>
      <c r="G42" s="12" t="str">
        <f>IFERROR(INDEX(MASTER!$H$2:$H$2000,MATCH($A42,MASTER!$A$2:$A$2000,0))&amp;"","")</f>
        <v>frontend/editor/tiptapToDocument.ts, documentToTiptap.ts</v>
      </c>
      <c r="H42" s="12" t="str">
        <f>IFERROR(INDEX(MASTER!$I$2:$I$2000,MATCH($A42,MASTER!$A$2:$A$2000,0))&amp;"","")</f>
        <v>frontend/editor/nestedBlocks.test.ts (28; 26 fail against the pre-fix mapping); e2e/nested.spec.ts (Edge: paste, autosave, reload)</v>
      </c>
      <c r="I42" s="19">
        <f>IFERROR(IF(INDEX(MASTER!$O$2:$O$2000,MATCH($A42,MASTER!$A$2:$A$2000,0))="","",INDEX(MASTER!$O$2:$O$2000,MATCH($A42,MASTER!$A$2:$A$2000,0))),"")</f>
        <v>46292.196597222217</v>
      </c>
      <c r="J42" s="12" t="str">
        <f>IFERROR(INDEX(MASTER!$P$2:$P$2000,MATCH($A42,MASTER!$A$2:$A$2000,0))&amp;"","")</f>
        <v>1fe27a9</v>
      </c>
      <c r="K42" s="12" t="str">
        <f>IFERROR(INDEX(MASTER!$Q$2:$Q$2000,MATCH($A42,MASTER!$A$2:$A$2000,0))&amp;"","")</f>
        <v/>
      </c>
      <c r="L42" s="12" t="str">
        <f>IFERROR(INDEX(MASTER!$R$2:$R$2000,MATCH($A42,MASTER!$A$2:$A$2000,0))&amp;"","")</f>
        <v/>
      </c>
    </row>
    <row r="43" spans="1:12" x14ac:dyDescent="0.25">
      <c r="A43" s="15" t="s">
        <v>278</v>
      </c>
      <c r="B43" s="12" t="str">
        <f>IFERROR(INDEX(MASTER!$C$2:$C$2000,MATCH($A43,MASTER!$A$2:$A$2000,0))&amp;"","")</f>
        <v>EDITOR</v>
      </c>
      <c r="C43" s="16">
        <f>IFERROR(INDEX(MASTER!$B$2:$B$2000,MATCH($A43,MASTER!$A$2:$A$2000,0)),"")</f>
        <v>1</v>
      </c>
      <c r="D43" s="12" t="str">
        <f>IFERROR(INDEX(MASTER!$D$2:$D$2000,MATCH($A43,MASTER!$A$2:$A$2000,0))&amp;"","")</f>
        <v>Map blocks inside list items</v>
      </c>
      <c r="E43" s="12" t="str">
        <f>IFERROR(INDEX(MASTER!$F$2:$F$2000,MATCH($A43,MASTER!$A$2:$A$2000,0))&amp;"","")</f>
        <v>P0</v>
      </c>
      <c r="F43" s="12" t="str">
        <f>IFERROR(INDEX(MASTER!$G$2:$G$2000,MATCH($A43,MASTER!$A$2:$A$2000,0))&amp;"","NOT IN MASTER")</f>
        <v>DONE</v>
      </c>
      <c r="G43" s="12" t="str">
        <f>IFERROR(INDEX(MASTER!$H$2:$H$2000,MATCH($A43,MASTER!$A$2:$A$2000,0))&amp;"","")</f>
        <v>frontend/editor/tiptapToDocument.ts, documentToTiptap.ts</v>
      </c>
      <c r="H43" s="12" t="str">
        <f>IFERROR(INDEX(MASTER!$I$2:$I$2000,MATCH($A43,MASTER!$A$2:$A$2000,0))&amp;"","")</f>
        <v>frontend/editor/nestedBlocks.test.ts (28; 26 fail against the pre-fix mapping); e2e/nested.spec.ts (Edge: paste, autosave, reload)</v>
      </c>
      <c r="I43" s="19">
        <f>IFERROR(IF(INDEX(MASTER!$O$2:$O$2000,MATCH($A43,MASTER!$A$2:$A$2000,0))="","",INDEX(MASTER!$O$2:$O$2000,MATCH($A43,MASTER!$A$2:$A$2000,0))),"")</f>
        <v>46292.196643518517</v>
      </c>
      <c r="J43" s="12" t="str">
        <f>IFERROR(INDEX(MASTER!$P$2:$P$2000,MATCH($A43,MASTER!$A$2:$A$2000,0))&amp;"","")</f>
        <v>1fe27a9</v>
      </c>
      <c r="K43" s="12" t="str">
        <f>IFERROR(INDEX(MASTER!$Q$2:$Q$2000,MATCH($A43,MASTER!$A$2:$A$2000,0))&amp;"","")</f>
        <v/>
      </c>
      <c r="L43" s="12" t="str">
        <f>IFERROR(INDEX(MASTER!$R$2:$R$2000,MATCH($A43,MASTER!$A$2:$A$2000,0))&amp;"","")</f>
        <v/>
      </c>
    </row>
    <row r="44" spans="1:12" x14ac:dyDescent="0.25">
      <c r="A44" s="15" t="s">
        <v>281</v>
      </c>
      <c r="B44" s="12" t="str">
        <f>IFERROR(INDEX(MASTER!$C$2:$C$2000,MATCH($A44,MASTER!$A$2:$A$2000,0))&amp;"","")</f>
        <v>EDITOR</v>
      </c>
      <c r="C44" s="16">
        <f>IFERROR(INDEX(MASTER!$B$2:$B$2000,MATCH($A44,MASTER!$A$2:$A$2000,0)),"")</f>
        <v>1</v>
      </c>
      <c r="D44" s="12" t="str">
        <f>IFERROR(INDEX(MASTER!$D$2:$D$2000,MATCH($A44,MASTER!$A$2:$A$2000,0))&amp;"","")</f>
        <v>Map blocks inside quotes</v>
      </c>
      <c r="E44" s="12" t="str">
        <f>IFERROR(INDEX(MASTER!$F$2:$F$2000,MATCH($A44,MASTER!$A$2:$A$2000,0))&amp;"","")</f>
        <v>P0</v>
      </c>
      <c r="F44" s="12" t="str">
        <f>IFERROR(INDEX(MASTER!$G$2:$G$2000,MATCH($A44,MASTER!$A$2:$A$2000,0))&amp;"","NOT IN MASTER")</f>
        <v>DONE</v>
      </c>
      <c r="G44" s="12" t="str">
        <f>IFERROR(INDEX(MASTER!$H$2:$H$2000,MATCH($A44,MASTER!$A$2:$A$2000,0))&amp;"","")</f>
        <v>frontend/editor/tiptapToDocument.ts, documentToTiptap.ts</v>
      </c>
      <c r="H44" s="12" t="str">
        <f>IFERROR(INDEX(MASTER!$I$2:$I$2000,MATCH($A44,MASTER!$A$2:$A$2000,0))&amp;"","")</f>
        <v>frontend/editor/nestedBlocks.test.ts (28; 26 fail against the pre-fix mapping); e2e/nested.spec.ts (Edge: paste, autosave, reload)</v>
      </c>
      <c r="I44" s="19">
        <f>IFERROR(IF(INDEX(MASTER!$O$2:$O$2000,MATCH($A44,MASTER!$A$2:$A$2000,0))="","",INDEX(MASTER!$O$2:$O$2000,MATCH($A44,MASTER!$A$2:$A$2000,0))),"")</f>
        <v>46292.19667824074</v>
      </c>
      <c r="J44" s="12" t="str">
        <f>IFERROR(INDEX(MASTER!$P$2:$P$2000,MATCH($A44,MASTER!$A$2:$A$2000,0))&amp;"","")</f>
        <v>1fe27a9</v>
      </c>
      <c r="K44" s="12" t="str">
        <f>IFERROR(INDEX(MASTER!$Q$2:$Q$2000,MATCH($A44,MASTER!$A$2:$A$2000,0))&amp;"","")</f>
        <v/>
      </c>
      <c r="L44" s="12" t="str">
        <f>IFERROR(INDEX(MASTER!$R$2:$R$2000,MATCH($A44,MASTER!$A$2:$A$2000,0))&amp;"","")</f>
        <v/>
      </c>
    </row>
    <row r="45" spans="1:12" x14ac:dyDescent="0.25">
      <c r="A45" s="15" t="s">
        <v>284</v>
      </c>
      <c r="B45" s="12" t="str">
        <f>IFERROR(INDEX(MASTER!$C$2:$C$2000,MATCH($A45,MASTER!$A$2:$A$2000,0))&amp;"","")</f>
        <v>EDITOR</v>
      </c>
      <c r="C45" s="16">
        <f>IFERROR(INDEX(MASTER!$B$2:$B$2000,MATCH($A45,MASTER!$A$2:$A$2000,0)),"")</f>
        <v>1</v>
      </c>
      <c r="D45" s="12" t="str">
        <f>IFERROR(INDEX(MASTER!$D$2:$D$2000,MATCH($A45,MASTER!$A$2:$A$2000,0))&amp;"","")</f>
        <v>Render nested blocks back into the editor</v>
      </c>
      <c r="E45" s="12" t="str">
        <f>IFERROR(INDEX(MASTER!$F$2:$F$2000,MATCH($A45,MASTER!$A$2:$A$2000,0))&amp;"","")</f>
        <v>P0</v>
      </c>
      <c r="F45" s="12" t="str">
        <f>IFERROR(INDEX(MASTER!$G$2:$G$2000,MATCH($A45,MASTER!$A$2:$A$2000,0))&amp;"","NOT IN MASTER")</f>
        <v>DONE</v>
      </c>
      <c r="G45" s="12" t="str">
        <f>IFERROR(INDEX(MASTER!$H$2:$H$2000,MATCH($A45,MASTER!$A$2:$A$2000,0))&amp;"","")</f>
        <v>frontend/editor/tiptapToDocument.ts, documentToTiptap.ts</v>
      </c>
      <c r="H45" s="12" t="str">
        <f>IFERROR(INDEX(MASTER!$I$2:$I$2000,MATCH($A45,MASTER!$A$2:$A$2000,0))&amp;"","")</f>
        <v>frontend/editor/nestedBlocks.test.ts (28; 26 fail against the pre-fix mapping); e2e/nested.spec.ts (Edge: paste, autosave, reload)</v>
      </c>
      <c r="I45" s="19">
        <f>IFERROR(IF(INDEX(MASTER!$O$2:$O$2000,MATCH($A45,MASTER!$A$2:$A$2000,0))="","",INDEX(MASTER!$O$2:$O$2000,MATCH($A45,MASTER!$A$2:$A$2000,0))),"")</f>
        <v>46292.196712962963</v>
      </c>
      <c r="J45" s="12" t="str">
        <f>IFERROR(INDEX(MASTER!$P$2:$P$2000,MATCH($A45,MASTER!$A$2:$A$2000,0))&amp;"","")</f>
        <v>1fe27a9</v>
      </c>
      <c r="K45" s="12" t="str">
        <f>IFERROR(INDEX(MASTER!$Q$2:$Q$2000,MATCH($A45,MASTER!$A$2:$A$2000,0))&amp;"","")</f>
        <v/>
      </c>
      <c r="L45" s="12" t="str">
        <f>IFERROR(INDEX(MASTER!$R$2:$R$2000,MATCH($A45,MASTER!$A$2:$A$2000,0))&amp;"","")</f>
        <v/>
      </c>
    </row>
    <row r="46" spans="1:12" x14ac:dyDescent="0.25">
      <c r="A46" s="15" t="s">
        <v>288</v>
      </c>
      <c r="B46" s="12" t="str">
        <f>IFERROR(INDEX(MASTER!$C$2:$C$2000,MATCH($A46,MASTER!$A$2:$A$2000,0))&amp;"","")</f>
        <v>EDITOR</v>
      </c>
      <c r="C46" s="16">
        <f>IFERROR(INDEX(MASTER!$B$2:$B$2000,MATCH($A46,MASTER!$A$2:$A$2000,0)),"")</f>
        <v>1</v>
      </c>
      <c r="D46" s="12" t="str">
        <f>IFERROR(INDEX(MASTER!$D$2:$D$2000,MATCH($A46,MASTER!$A$2:$A$2000,0))&amp;"","")</f>
        <v>Save guard: never drop a node silently</v>
      </c>
      <c r="E46" s="12" t="str">
        <f>IFERROR(INDEX(MASTER!$F$2:$F$2000,MATCH($A46,MASTER!$A$2:$A$2000,0))&amp;"","")</f>
        <v>P0</v>
      </c>
      <c r="F46" s="12" t="str">
        <f>IFERROR(INDEX(MASTER!$G$2:$G$2000,MATCH($A46,MASTER!$A$2:$A$2000,0))&amp;"","NOT IN MASTER")</f>
        <v>DONE</v>
      </c>
      <c r="G46" s="12" t="str">
        <f>IFERROR(INDEX(MASTER!$H$2:$H$2000,MATCH($A46,MASTER!$A$2:$A$2000,0))&amp;"","")</f>
        <v>tiptapToDocument.ts UnsupportedContentError (unknown node/inline node/mark anywhere); useAutoSave 'unsupported' status (no request, message, beforeunload warning); EditorStatusBar message</v>
      </c>
      <c r="H46" s="12" t="str">
        <f>IFERROR(INDEX(MASTER!$I$2:$I$2000,MATCH($A46,MASTER!$A$2:$A$2000,0))&amp;"","")</f>
        <v>nestedBlocks.test.ts refusal cases + schema coverage; useAutoSave.test.tsx (no request, 'unsupported' status, message, saves again once fixed)</v>
      </c>
      <c r="I46" s="19">
        <f>IFERROR(IF(INDEX(MASTER!$O$2:$O$2000,MATCH($A46,MASTER!$A$2:$A$2000,0))="","",INDEX(MASTER!$O$2:$O$2000,MATCH($A46,MASTER!$A$2:$A$2000,0))),"")</f>
        <v>46292.196747685193</v>
      </c>
      <c r="J46" s="12" t="str">
        <f>IFERROR(INDEX(MASTER!$P$2:$P$2000,MATCH($A46,MASTER!$A$2:$A$2000,0))&amp;"","")</f>
        <v>1fe27a9</v>
      </c>
      <c r="K46" s="12" t="str">
        <f>IFERROR(INDEX(MASTER!$Q$2:$Q$2000,MATCH($A46,MASTER!$A$2:$A$2000,0))&amp;"","")</f>
        <v/>
      </c>
      <c r="L46" s="12" t="str">
        <f>IFERROR(INDEX(MASTER!$R$2:$R$2000,MATCH($A46,MASTER!$A$2:$A$2000,0))&amp;"","")</f>
        <v/>
      </c>
    </row>
    <row r="47" spans="1:12" x14ac:dyDescent="0.25">
      <c r="A47" s="15" t="s">
        <v>313</v>
      </c>
      <c r="B47" s="12" t="str">
        <f>IFERROR(INDEX(MASTER!$C$2:$C$2000,MATCH($A47,MASTER!$A$2:$A$2000,0))&amp;"","")</f>
        <v>EDITOR</v>
      </c>
      <c r="C47" s="16">
        <f>IFERROR(INDEX(MASTER!$B$2:$B$2000,MATCH($A47,MASTER!$A$2:$A$2000,0)),"")</f>
        <v>1</v>
      </c>
      <c r="D47" s="12" t="str">
        <f>IFERROR(INDEX(MASTER!$D$2:$D$2000,MATCH($A47,MASTER!$A$2:$A$2000,0))&amp;"","")</f>
        <v>Pasted rich HTML survives save</v>
      </c>
      <c r="E47" s="12" t="str">
        <f>IFERROR(INDEX(MASTER!$F$2:$F$2000,MATCH($A47,MASTER!$A$2:$A$2000,0))&amp;"","")</f>
        <v>P0</v>
      </c>
      <c r="F47" s="12" t="str">
        <f>IFERROR(INDEX(MASTER!$G$2:$G$2000,MATCH($A47,MASTER!$A$2:$A$2000,0))&amp;"","NOT IN MASTER")</f>
        <v>DONE</v>
      </c>
      <c r="G47" s="12" t="str">
        <f>IFERROR(INDEX(MASTER!$H$2:$H$2000,MATCH($A47,MASTER!$A$2:$A$2000,0))&amp;"","")</f>
        <v>frontend/e2e/nested.spec.ts: real paste event with text/html in Edge</v>
      </c>
      <c r="H47" s="12" t="str">
        <f>IFERROR(INDEX(MASTER!$I$2:$I$2000,MATCH($A47,MASTER!$A$2:$A$2000,0))&amp;"","")</f>
        <v>npx playwright test e2e/nested.spec.ts -&gt; 1 passed</v>
      </c>
      <c r="I47" s="19">
        <f>IFERROR(IF(INDEX(MASTER!$O$2:$O$2000,MATCH($A47,MASTER!$A$2:$A$2000,0))="","",INDEX(MASTER!$O$2:$O$2000,MATCH($A47,MASTER!$A$2:$A$2000,0))),"")</f>
        <v>46292.196782407409</v>
      </c>
      <c r="J47" s="12" t="str">
        <f>IFERROR(INDEX(MASTER!$P$2:$P$2000,MATCH($A47,MASTER!$A$2:$A$2000,0))&amp;"","")</f>
        <v>1fe27a9</v>
      </c>
      <c r="K47" s="12" t="str">
        <f>IFERROR(INDEX(MASTER!$Q$2:$Q$2000,MATCH($A47,MASTER!$A$2:$A$2000,0))&amp;"","")</f>
        <v/>
      </c>
      <c r="L47" s="12" t="str">
        <f>IFERROR(INDEX(MASTER!$R$2:$R$2000,MATCH($A47,MASTER!$A$2:$A$2000,0))&amp;"","")</f>
        <v/>
      </c>
    </row>
    <row r="48" spans="1:12" x14ac:dyDescent="0.25">
      <c r="A48" s="15" t="s">
        <v>322</v>
      </c>
      <c r="B48" s="12" t="str">
        <f>IFERROR(INDEX(MASTER!$C$2:$C$2000,MATCH($A48,MASTER!$A$2:$A$2000,0))&amp;"","")</f>
        <v>DOCX</v>
      </c>
      <c r="C48" s="16">
        <f>IFERROR(INDEX(MASTER!$B$2:$B$2000,MATCH($A48,MASTER!$A$2:$A$2000,0)),"")</f>
        <v>1</v>
      </c>
      <c r="D48" s="12" t="str">
        <f>IFERROR(INDEX(MASTER!$D$2:$D$2000,MATCH($A48,MASTER!$A$2:$A$2000,0))&amp;"","")</f>
        <v>DOCX export of nested blocks</v>
      </c>
      <c r="E48" s="12" t="str">
        <f>IFERROR(INDEX(MASTER!$F$2:$F$2000,MATCH($A48,MASTER!$A$2:$A$2000,0))&amp;"","")</f>
        <v>P0</v>
      </c>
      <c r="F48" s="12" t="str">
        <f>IFERROR(INDEX(MASTER!$G$2:$G$2000,MATCH($A48,MASTER!$A$2:$A$2000,0))&amp;"","NOT IN MASTER")</f>
        <v>DONE</v>
      </c>
      <c r="G48" s="12" t="str">
        <f>IFERROR(INDEX(MASTER!$H$2:$H$2000,MATCH($A48,MASTER!$A$2:$A$2000,0))&amp;"","")</f>
        <v>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v>
      </c>
      <c r="H48" s="12" t="str">
        <f>IFERROR(INDEX(MASTER!$I$2:$I$2000,MATCH($A48,MASTER!$A$2:$A$2000,0))&amp;"","")</f>
        <v>tests/test_nested_blocks_api.py::test_the_word_export_keeps_every_nested_block, ::test_the_word_export_numbers_a_list_from_its_start_in_its_format; existing DOCX suites green</v>
      </c>
      <c r="I48" s="19">
        <f>IFERROR(IF(INDEX(MASTER!$O$2:$O$2000,MATCH($A48,MASTER!$A$2:$A$2000,0))="","",INDEX(MASTER!$O$2:$O$2000,MATCH($A48,MASTER!$A$2:$A$2000,0))),"")</f>
        <v>46292.196828703702</v>
      </c>
      <c r="J48" s="12" t="str">
        <f>IFERROR(INDEX(MASTER!$P$2:$P$2000,MATCH($A48,MASTER!$A$2:$A$2000,0))&amp;"","")</f>
        <v>1fe27a9</v>
      </c>
      <c r="K48" s="12" t="str">
        <f>IFERROR(INDEX(MASTER!$Q$2:$Q$2000,MATCH($A48,MASTER!$A$2:$A$2000,0))&amp;"","")</f>
        <v/>
      </c>
      <c r="L48" s="12" t="str">
        <f>IFERROR(INDEX(MASTER!$R$2:$R$2000,MATCH($A48,MASTER!$A$2:$A$2000,0))&amp;"","")</f>
        <v/>
      </c>
    </row>
    <row r="49" spans="1:12" x14ac:dyDescent="0.25">
      <c r="A49" s="15" t="s">
        <v>328</v>
      </c>
      <c r="B49" s="12" t="str">
        <f>IFERROR(INDEX(MASTER!$C$2:$C$2000,MATCH($A49,MASTER!$A$2:$A$2000,0))&amp;"","")</f>
        <v>PDF</v>
      </c>
      <c r="C49" s="16">
        <f>IFERROR(INDEX(MASTER!$B$2:$B$2000,MATCH($A49,MASTER!$A$2:$A$2000,0)),"")</f>
        <v>1</v>
      </c>
      <c r="D49" s="12" t="str">
        <f>IFERROR(INDEX(MASTER!$D$2:$D$2000,MATCH($A49,MASTER!$A$2:$A$2000,0))&amp;"","")</f>
        <v>PDF export of nested blocks</v>
      </c>
      <c r="E49" s="12" t="str">
        <f>IFERROR(INDEX(MASTER!$F$2:$F$2000,MATCH($A49,MASTER!$A$2:$A$2000,0))&amp;"","")</f>
        <v>P0</v>
      </c>
      <c r="F49" s="12" t="str">
        <f>IFERROR(INDEX(MASTER!$G$2:$G$2000,MATCH($A49,MASTER!$A$2:$A$2000,0))&amp;"","NOT IN MASTER")</f>
        <v>DONE</v>
      </c>
      <c r="G49" s="12" t="str">
        <f>IFERROR(INDEX(MASTER!$H$2:$H$2000,MATCH($A49,MASTER!$A$2:$A$2000,0))&amp;"","")</f>
        <v>export/pdf_export.py: cells with blocks become flowable lists sized to the cell; list item/quote blocks indented; numbering start/format with the same level sequence as the Word export (decimal, a, i)</v>
      </c>
      <c r="H49" s="12" t="str">
        <f>IFERROR(INDEX(MASTER!$I$2:$I$2000,MATCH($A49,MASTER!$A$2:$A$2000,0))&amp;"","")</f>
        <v>tests/test_nested_blocks_api.py::test_the_pdf_export_keeps_every_nested_block ('v. fifth', 'vi. sixth'); existing PDF suites green</v>
      </c>
      <c r="I49" s="19">
        <f>IFERROR(IF(INDEX(MASTER!$O$2:$O$2000,MATCH($A49,MASTER!$A$2:$A$2000,0))="","",INDEX(MASTER!$O$2:$O$2000,MATCH($A49,MASTER!$A$2:$A$2000,0))),"")</f>
        <v>46292.196863425917</v>
      </c>
      <c r="J49" s="12" t="str">
        <f>IFERROR(INDEX(MASTER!$P$2:$P$2000,MATCH($A49,MASTER!$A$2:$A$2000,0))&amp;"","")</f>
        <v>1fe27a9</v>
      </c>
      <c r="K49" s="12" t="str">
        <f>IFERROR(INDEX(MASTER!$Q$2:$Q$2000,MATCH($A49,MASTER!$A$2:$A$2000,0))&amp;"","")</f>
        <v/>
      </c>
      <c r="L49" s="12" t="str">
        <f>IFERROR(INDEX(MASTER!$R$2:$R$2000,MATCH($A49,MASTER!$A$2:$A$2000,0))&amp;"","")</f>
        <v/>
      </c>
    </row>
    <row r="50" spans="1:12" x14ac:dyDescent="0.25">
      <c r="A50" s="15" t="s">
        <v>333</v>
      </c>
      <c r="B50" s="12" t="str">
        <f>IFERROR(INDEX(MASTER!$C$2:$C$2000,MATCH($A50,MASTER!$A$2:$A$2000,0))&amp;"","")</f>
        <v>FIDELITY</v>
      </c>
      <c r="C50" s="16">
        <f>IFERROR(INDEX(MASTER!$B$2:$B$2000,MATCH($A50,MASTER!$A$2:$A$2000,0)),"")</f>
        <v>1</v>
      </c>
      <c r="D50" s="12" t="str">
        <f>IFERROR(INDEX(MASTER!$D$2:$D$2000,MATCH($A50,MASTER!$A$2:$A$2000,0))&amp;"","")</f>
        <v>Structured Document Fidelity Report</v>
      </c>
      <c r="E50" s="12" t="str">
        <f>IFERROR(INDEX(MASTER!$F$2:$F$2000,MATCH($A50,MASTER!$A$2:$A$2000,0))&amp;"","")</f>
        <v>P0</v>
      </c>
      <c r="F50" s="12" t="str">
        <f>IFERROR(INDEX(MASTER!$G$2:$G$2000,MATCH($A50,MASTER!$A$2:$A$2000,0))&amp;"","NOT IN MASTER")</f>
        <v>DONE</v>
      </c>
      <c r="G50" s="12" t="str">
        <f>IFERROR(INDEX(MASTER!$H$2:$H$2000,MATCH($A50,MASTER!$A$2:$A$2000,0))&amp;"","")</f>
        <v>backend/app/fidelity/{report,content,docx_source,text_sources,imports}.py; Document.importReport; ingestion_service attaches it for DOCX, PDF, .txt and paste</v>
      </c>
      <c r="H50" s="12" t="str">
        <f>IFERROR(INDEX(MASTER!$I$2:$I$2000,MATCH($A50,MASTER!$A$2:$A$2000,0))&amp;"","")</f>
        <v>tests/test_fidelity_report.py (29); calibration: 29 Word/golden fixtures verified except the genuine a03 heading-number change</v>
      </c>
      <c r="I50" s="19">
        <f>IFERROR(IF(INDEX(MASTER!$O$2:$O$2000,MATCH($A50,MASTER!$A$2:$A$2000,0))="","",INDEX(MASTER!$O$2:$O$2000,MATCH($A50,MASTER!$A$2:$A$2000,0))),"")</f>
        <v>46292.219282407408</v>
      </c>
      <c r="J50" s="12" t="str">
        <f>IFERROR(INDEX(MASTER!$P$2:$P$2000,MATCH($A50,MASTER!$A$2:$A$2000,0))&amp;"","")</f>
        <v>8a330be</v>
      </c>
      <c r="K50" s="12" t="str">
        <f>IFERROR(INDEX(MASTER!$Q$2:$Q$2000,MATCH($A50,MASTER!$A$2:$A$2000,0))&amp;"","")</f>
        <v/>
      </c>
      <c r="L50" s="12" t="str">
        <f>IFERROR(INDEX(MASTER!$R$2:$R$2000,MATCH($A50,MASTER!$A$2:$A$2000,0))&amp;"","")</f>
        <v/>
      </c>
    </row>
    <row r="51" spans="1:12" x14ac:dyDescent="0.25">
      <c r="A51" s="15" t="s">
        <v>339</v>
      </c>
      <c r="B51" s="12" t="str">
        <f>IFERROR(INDEX(MASTER!$C$2:$C$2000,MATCH($A51,MASTER!$A$2:$A$2000,0))&amp;"","")</f>
        <v>FIDELITY</v>
      </c>
      <c r="C51" s="16">
        <f>IFERROR(INDEX(MASTER!$B$2:$B$2000,MATCH($A51,MASTER!$A$2:$A$2000,0)),"")</f>
        <v>1</v>
      </c>
      <c r="D51" s="12" t="str">
        <f>IFERROR(INDEX(MASTER!$D$2:$D$2000,MATCH($A51,MASTER!$A$2:$A$2000,0))&amp;"","")</f>
        <v>Importer reports every detected change</v>
      </c>
      <c r="E51" s="12" t="str">
        <f>IFERROR(INDEX(MASTER!$F$2:$F$2000,MATCH($A51,MASTER!$A$2:$A$2000,0))&amp;"","")</f>
        <v>P0</v>
      </c>
      <c r="F51" s="12" t="str">
        <f>IFERROR(INDEX(MASTER!$G$2:$G$2000,MATCH($A51,MASTER!$A$2:$A$2000,0))&amp;"","NOT IN MASTER")</f>
        <v>IN_PROGRESS</v>
      </c>
      <c r="G51" s="12" t="str">
        <f>IFERROR(INDEX(MASTER!$H$2:$H$2000,MATCH($A51,MASTER!$A$2:$A$2000,0))&amp;"","")</f>
        <v/>
      </c>
      <c r="H51" s="12" t="str">
        <f>IFERROR(INDEX(MASTER!$I$2:$I$2000,MATCH($A51,MASTER!$A$2:$A$2000,0))&amp;"","")</f>
        <v/>
      </c>
      <c r="I51" s="19" t="str">
        <f>IFERROR(IF(INDEX(MASTER!$O$2:$O$2000,MATCH($A51,MASTER!$A$2:$A$2000,0))="","",INDEX(MASTER!$O$2:$O$2000,MATCH($A51,MASTER!$A$2:$A$2000,0))),"")</f>
        <v/>
      </c>
      <c r="J51" s="12" t="str">
        <f>IFERROR(INDEX(MASTER!$P$2:$P$2000,MATCH($A51,MASTER!$A$2:$A$2000,0))&amp;"","")</f>
        <v/>
      </c>
      <c r="K51" s="12" t="str">
        <f>IFERROR(INDEX(MASTER!$Q$2:$Q$2000,MATCH($A51,MASTER!$A$2:$A$2000,0))&amp;"","")</f>
        <v>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v>
      </c>
      <c r="L51" s="12" t="str">
        <f>IFERROR(INDEX(MASTER!$R$2:$R$2000,MATCH($A51,MASTER!$A$2:$A$2000,0))&amp;"","")</f>
        <v>FID-001</v>
      </c>
    </row>
    <row r="52" spans="1:12" x14ac:dyDescent="0.25">
      <c r="A52" s="15" t="s">
        <v>345</v>
      </c>
      <c r="B52" s="12" t="str">
        <f>IFERROR(INDEX(MASTER!$C$2:$C$2000,MATCH($A52,MASTER!$A$2:$A$2000,0))&amp;"","")</f>
        <v>FIDELITY</v>
      </c>
      <c r="C52" s="16">
        <f>IFERROR(INDEX(MASTER!$B$2:$B$2000,MATCH($A52,MASTER!$A$2:$A$2000,0)),"")</f>
        <v>1</v>
      </c>
      <c r="D52" s="12" t="str">
        <f>IFERROR(INDEX(MASTER!$D$2:$D$2000,MATCH($A52,MASTER!$A$2:$A$2000,0))&amp;"","")</f>
        <v>Export fidelity report</v>
      </c>
      <c r="E52" s="12" t="str">
        <f>IFERROR(INDEX(MASTER!$F$2:$F$2000,MATCH($A52,MASTER!$A$2:$A$2000,0))&amp;"","")</f>
        <v>P0</v>
      </c>
      <c r="F52" s="12" t="str">
        <f>IFERROR(INDEX(MASTER!$G$2:$G$2000,MATCH($A52,MASTER!$A$2:$A$2000,0))&amp;"","NOT IN MASTER")</f>
        <v>DONE</v>
      </c>
      <c r="G52" s="12" t="str">
        <f>IFERROR(INDEX(MASTER!$H$2:$H$2000,MATCH($A52,MASTER!$A$2:$A$2000,0))&amp;"","")</f>
        <v>backend/app/fidelity/exports.py (collecting/note, pdf_document_notes, export_report); docx_export/pdf_export record what they approximate or drop; export job result carries 'fidelity'; frontend ExportMenu ExportResult; PDF alt-text note</v>
      </c>
      <c r="H52" s="12" t="str">
        <f>IFERROR(INDEX(MASTER!$I$2:$I$2000,MATCH($A52,MASTER!$A$2:$A$2000,0))&amp;"","")</f>
        <v>tests/test_export_fidelity.py (6), tests/test_jobs.py; editor/ExportResult.test.tsx (4); e2e documents.spec.ts export test checks the message; calibration: DOCX export re-reads identically on 29 fixtures, PDF on all but a11-multilingual (genuine)</v>
      </c>
      <c r="I52" s="19">
        <f>IFERROR(IF(INDEX(MASTER!$O$2:$O$2000,MATCH($A52,MASTER!$A$2:$A$2000,0))="","",INDEX(MASTER!$O$2:$O$2000,MATCH($A52,MASTER!$A$2:$A$2000,0))),"")</f>
        <v>46292.351134259261</v>
      </c>
      <c r="J52" s="12" t="str">
        <f>IFERROR(INDEX(MASTER!$P$2:$P$2000,MATCH($A52,MASTER!$A$2:$A$2000,0))&amp;"","")</f>
        <v>e55412f</v>
      </c>
      <c r="K52" s="12" t="str">
        <f>IFERROR(INDEX(MASTER!$Q$2:$Q$2000,MATCH($A52,MASTER!$A$2:$A$2000,0))&amp;"","")</f>
        <v/>
      </c>
      <c r="L52" s="12" t="str">
        <f>IFERROR(INDEX(MASTER!$R$2:$R$2000,MATCH($A52,MASTER!$A$2:$A$2000,0))&amp;"","")</f>
        <v>FID-001</v>
      </c>
    </row>
    <row r="53" spans="1:12" x14ac:dyDescent="0.25">
      <c r="A53" s="15" t="s">
        <v>352</v>
      </c>
      <c r="B53" s="12" t="str">
        <f>IFERROR(INDEX(MASTER!$C$2:$C$2000,MATCH($A53,MASTER!$A$2:$A$2000,0))&amp;"","")</f>
        <v>FIDELITY</v>
      </c>
      <c r="C53" s="16">
        <f>IFERROR(INDEX(MASTER!$B$2:$B$2000,MATCH($A53,MASTER!$A$2:$A$2000,0)),"")</f>
        <v>1</v>
      </c>
      <c r="D53" s="12" t="str">
        <f>IFERROR(INDEX(MASTER!$D$2:$D$2000,MATCH($A53,MASTER!$A$2:$A$2000,0))&amp;"","")</f>
        <v>Content protection UI</v>
      </c>
      <c r="E53" s="12" t="str">
        <f>IFERROR(INDEX(MASTER!$F$2:$F$2000,MATCH($A53,MASTER!$A$2:$A$2000,0))&amp;"","")</f>
        <v>P0</v>
      </c>
      <c r="F53" s="12" t="str">
        <f>IFERROR(INDEX(MASTER!$G$2:$G$2000,MATCH($A53,MASTER!$A$2:$A$2000,0))&amp;"","NOT IN MASTER")</f>
        <v>DONE</v>
      </c>
      <c r="G53" s="12" t="str">
        <f>IFERROR(INDEX(MASTER!$H$2:$H$2000,MATCH($A53,MASTER!$A$2:$A$2000,0))&amp;"","")</f>
        <v>frontend/editor/panels/FidelityPanel.tsx (Проверка rail panel), EditorStatusBar import badge; 'No content changes' only when the words matched and no item lost content</v>
      </c>
      <c r="H53" s="12" t="str">
        <f>IFERROR(INDEX(MASTER!$I$2:$I$2000,MATCH($A53,MASTER!$A$2:$A$2000,0))&amp;"","")</f>
        <v>editor/panels/FidelityPanel.test.tsx (3); e2e/fidelity.spec.ts; checked in a throwaway stack with the audit's a03/a05 fixtures</v>
      </c>
      <c r="I53" s="19">
        <f>IFERROR(IF(INDEX(MASTER!$O$2:$O$2000,MATCH($A53,MASTER!$A$2:$A$2000,0))="","",INDEX(MASTER!$O$2:$O$2000,MATCH($A53,MASTER!$A$2:$A$2000,0))),"")</f>
        <v>46292.219317129631</v>
      </c>
      <c r="J53" s="12" t="str">
        <f>IFERROR(INDEX(MASTER!$P$2:$P$2000,MATCH($A53,MASTER!$A$2:$A$2000,0))&amp;"","")</f>
        <v>8a330be</v>
      </c>
      <c r="K53" s="12" t="str">
        <f>IFERROR(INDEX(MASTER!$Q$2:$Q$2000,MATCH($A53,MASTER!$A$2:$A$2000,0))&amp;"","")</f>
        <v/>
      </c>
      <c r="L53" s="12" t="str">
        <f>IFERROR(INDEX(MASTER!$R$2:$R$2000,MATCH($A53,MASTER!$A$2:$A$2000,0))&amp;"","")</f>
        <v>FID-001</v>
      </c>
    </row>
    <row r="54" spans="1:12" x14ac:dyDescent="0.25">
      <c r="A54" s="15" t="s">
        <v>357</v>
      </c>
      <c r="B54" s="12" t="str">
        <f>IFERROR(INDEX(MASTER!$C$2:$C$2000,MATCH($A54,MASTER!$A$2:$A$2000,0))&amp;"","")</f>
        <v>FIDELITY</v>
      </c>
      <c r="C54" s="16">
        <f>IFERROR(INDEX(MASTER!$B$2:$B$2000,MATCH($A54,MASTER!$A$2:$A$2000,0)),"")</f>
        <v>1</v>
      </c>
      <c r="D54" s="12" t="str">
        <f>IFERROR(INDEX(MASTER!$D$2:$D$2000,MATCH($A54,MASTER!$A$2:$A$2000,0))&amp;"","")</f>
        <v>Unsupported-feature policy classes</v>
      </c>
      <c r="E54" s="12" t="str">
        <f>IFERROR(INDEX(MASTER!$F$2:$F$2000,MATCH($A54,MASTER!$A$2:$A$2000,0))&amp;"","")</f>
        <v>P0</v>
      </c>
      <c r="F54" s="12" t="str">
        <f>IFERROR(INDEX(MASTER!$G$2:$G$2000,MATCH($A54,MASTER!$A$2:$A$2000,0))&amp;"","NOT IN MASTER")</f>
        <v>DONE</v>
      </c>
      <c r="G54" s="12" t="str">
        <f>IFERROR(INDEX(MASTER!$H$2:$H$2000,MATCH($A54,MASTER!$A$2:$A$2000,0))&amp;"","")</f>
        <v>app/fidelity/report.py FidelityPolicy (not_detected, detected_preserved, detected_not_editable, lossy, unsupported, blocked); every DOCX importer note classified (docx_inline.Notes, docx.py)</v>
      </c>
      <c r="H54" s="12" t="str">
        <f>IFERROR(INDEX(MASTER!$I$2:$I$2000,MATCH($A54,MASTER!$A$2:$A$2000,0))&amp;"","")</f>
        <v>tests/test_fidelity_report.py</v>
      </c>
      <c r="I54" s="19">
        <f>IFERROR(IF(INDEX(MASTER!$O$2:$O$2000,MATCH($A54,MASTER!$A$2:$A$2000,0))="","",INDEX(MASTER!$O$2:$O$2000,MATCH($A54,MASTER!$A$2:$A$2000,0))),"")</f>
        <v>46292.219351851847</v>
      </c>
      <c r="J54" s="12" t="str">
        <f>IFERROR(INDEX(MASTER!$P$2:$P$2000,MATCH($A54,MASTER!$A$2:$A$2000,0))&amp;"","")</f>
        <v>8a330be</v>
      </c>
      <c r="K54" s="12" t="str">
        <f>IFERROR(INDEX(MASTER!$Q$2:$Q$2000,MATCH($A54,MASTER!$A$2:$A$2000,0))&amp;"","")</f>
        <v/>
      </c>
      <c r="L54" s="12" t="str">
        <f>IFERROR(INDEX(MASTER!$R$2:$R$2000,MATCH($A54,MASTER!$A$2:$A$2000,0))&amp;"","")</f>
        <v>FID-001</v>
      </c>
    </row>
    <row r="55" spans="1:12" x14ac:dyDescent="0.25">
      <c r="A55" s="15" t="s">
        <v>370</v>
      </c>
      <c r="B55" s="12" t="str">
        <f>IFERROR(INDEX(MASTER!$C$2:$C$2000,MATCH($A55,MASTER!$A$2:$A$2000,0))&amp;"","")</f>
        <v>TESTING</v>
      </c>
      <c r="C55" s="16">
        <f>IFERROR(INDEX(MASTER!$B$2:$B$2000,MATCH($A55,MASTER!$A$2:$A$2000,0)),"")</f>
        <v>1</v>
      </c>
      <c r="D55" s="12" t="str">
        <f>IFERROR(INDEX(MASTER!$D$2:$D$2000,MATCH($A55,MASTER!$A$2:$A$2000,0))&amp;"","")</f>
        <v>Regression tests for nested structures</v>
      </c>
      <c r="E55" s="12" t="str">
        <f>IFERROR(INDEX(MASTER!$F$2:$F$2000,MATCH($A55,MASTER!$A$2:$A$2000,0))&amp;"","")</f>
        <v>P0</v>
      </c>
      <c r="F55" s="12" t="str">
        <f>IFERROR(INDEX(MASTER!$G$2:$G$2000,MATCH($A55,MASTER!$A$2:$A$2000,0))&amp;"","NOT IN MASTER")</f>
        <v>IMPLEMENTED</v>
      </c>
      <c r="G55" s="12" t="str">
        <f>IFERROR(INDEX(MASTER!$H$2:$H$2000,MATCH($A55,MASTER!$A$2:$A$2000,0))&amp;"","")</f>
        <v>backend: test_document_nesting.py, test_nested_blocks_api.py, test_health.py; frontend: nestedBlocks.test.ts, useAutoSave.test.tsx; e2e: nested.spec.ts</v>
      </c>
      <c r="H55" s="12" t="str">
        <f>IFERROR(INDEX(MASTER!$I$2:$I$2000,MATCH($A55,MASTER!$A$2:$A$2000,0))&amp;"","")</f>
        <v>backend 659 passed; Vitest 77 passed; e2e nested 1 passed</v>
      </c>
      <c r="I55" s="19" t="str">
        <f>IFERROR(IF(INDEX(MASTER!$O$2:$O$2000,MATCH($A55,MASTER!$A$2:$A$2000,0))="","",INDEX(MASTER!$O$2:$O$2000,MATCH($A55,MASTER!$A$2:$A$2000,0))),"")</f>
        <v/>
      </c>
      <c r="J55" s="12" t="str">
        <f>IFERROR(INDEX(MASTER!$P$2:$P$2000,MATCH($A55,MASTER!$A$2:$A$2000,0))&amp;"","")</f>
        <v/>
      </c>
      <c r="K55" s="12" t="str">
        <f>IFERROR(INDEX(MASTER!$Q$2:$Q$2000,MATCH($A55,MASTER!$A$2:$A$2000,0))&amp;"","")</f>
        <v/>
      </c>
      <c r="L55" s="12" t="str">
        <f>IFERROR(INDEX(MASTER!$R$2:$R$2000,MATCH($A55,MASTER!$A$2:$A$2000,0))&amp;"","")</f>
        <v/>
      </c>
    </row>
    <row r="56" spans="1:12" x14ac:dyDescent="0.25">
      <c r="A56" s="15" t="s">
        <v>383</v>
      </c>
      <c r="B56" s="12" t="str">
        <f>IFERROR(INDEX(MASTER!$C$2:$C$2000,MATCH($A56,MASTER!$A$2:$A$2000,0))&amp;"","")</f>
        <v>AI</v>
      </c>
      <c r="C56" s="16">
        <f>IFERROR(INDEX(MASTER!$B$2:$B$2000,MATCH($A56,MASTER!$A$2:$A$2000,0)),"")</f>
        <v>2</v>
      </c>
      <c r="D56" s="12" t="str">
        <f>IFERROR(INDEX(MASTER!$D$2:$D$2000,MATCH($A56,MASTER!$A$2:$A$2000,0))&amp;"","")</f>
        <v>Content fidelity comparator</v>
      </c>
      <c r="E56" s="12" t="str">
        <f>IFERROR(INDEX(MASTER!$F$2:$F$2000,MATCH($A56,MASTER!$A$2:$A$2000,0))&amp;"","")</f>
        <v>P0</v>
      </c>
      <c r="F56" s="12" t="str">
        <f>IFERROR(INDEX(MASTER!$G$2:$G$2000,MATCH($A56,MASTER!$A$2:$A$2000,0))&amp;"","NOT IN MASTER")</f>
        <v>IN_PROGRESS</v>
      </c>
      <c r="G56" s="12" t="str">
        <f>IFERROR(INDEX(MASTER!$H$2:$H$2000,MATCH($A56,MASTER!$A$2:$A$2000,0))&amp;"","")</f>
        <v/>
      </c>
      <c r="H56" s="12" t="str">
        <f>IFERROR(INDEX(MASTER!$I$2:$I$2000,MATCH($A56,MASTER!$A$2:$A$2000,0))&amp;"","")</f>
        <v/>
      </c>
      <c r="I56" s="19" t="str">
        <f>IFERROR(IF(INDEX(MASTER!$O$2:$O$2000,MATCH($A56,MASTER!$A$2:$A$2000,0))="","",INDEX(MASTER!$O$2:$O$2000,MATCH($A56,MASTER!$A$2:$A$2000,0))),"")</f>
        <v/>
      </c>
      <c r="J56" s="12" t="str">
        <f>IFERROR(INDEX(MASTER!$P$2:$P$2000,MATCH($A56,MASTER!$A$2:$A$2000,0))&amp;"","")</f>
        <v/>
      </c>
      <c r="K56" s="12" t="str">
        <f>IFERROR(INDEX(MASTER!$Q$2:$Q$2000,MATCH($A56,MASTER!$A$2:$A$2000,0))&amp;"","")</f>
        <v>compare_words (app/fidelity/content.py): order/count/token-aware, numbers and negation caught, moved passages told apart; used by the import report. Phase 2: punctuation/structure awareness, use inside structure analysis.</v>
      </c>
      <c r="L56" s="12" t="str">
        <f>IFERROR(INDEX(MASTER!$R$2:$R$2000,MATCH($A56,MASTER!$A$2:$A$2000,0))&amp;"","")</f>
        <v/>
      </c>
    </row>
    <row r="57" spans="1:12" x14ac:dyDescent="0.25">
      <c r="A57" s="15" t="s">
        <v>389</v>
      </c>
      <c r="B57" s="12" t="str">
        <f>IFERROR(INDEX(MASTER!$C$2:$C$2000,MATCH($A57,MASTER!$A$2:$A$2000,0))&amp;"","")</f>
        <v>AI</v>
      </c>
      <c r="C57" s="16">
        <f>IFERROR(INDEX(MASTER!$B$2:$B$2000,MATCH($A57,MASTER!$A$2:$A$2000,0)),"")</f>
        <v>2</v>
      </c>
      <c r="D57" s="12" t="str">
        <f>IFERROR(INDEX(MASTER!$D$2:$D$2000,MATCH($A57,MASTER!$A$2:$A$2000,0))&amp;"","")</f>
        <v>Protected facts: numbers, units, percentages, dates, identifiers</v>
      </c>
      <c r="E57" s="12" t="str">
        <f>IFERROR(INDEX(MASTER!$F$2:$F$2000,MATCH($A57,MASTER!$A$2:$A$2000,0))&amp;"","")</f>
        <v>P0</v>
      </c>
      <c r="F57" s="12" t="str">
        <f>IFERROR(INDEX(MASTER!$G$2:$G$2000,MATCH($A57,MASTER!$A$2:$A$2000,0))&amp;"","NOT IN MASTER")</f>
        <v>NOT_STARTED</v>
      </c>
      <c r="G57" s="12" t="str">
        <f>IFERROR(INDEX(MASTER!$H$2:$H$2000,MATCH($A57,MASTER!$A$2:$A$2000,0))&amp;"","")</f>
        <v/>
      </c>
      <c r="H57" s="12" t="str">
        <f>IFERROR(INDEX(MASTER!$I$2:$I$2000,MATCH($A57,MASTER!$A$2:$A$2000,0))&amp;"","")</f>
        <v/>
      </c>
      <c r="I57" s="19" t="str">
        <f>IFERROR(IF(INDEX(MASTER!$O$2:$O$2000,MATCH($A57,MASTER!$A$2:$A$2000,0))="","",INDEX(MASTER!$O$2:$O$2000,MATCH($A57,MASTER!$A$2:$A$2000,0))),"")</f>
        <v/>
      </c>
      <c r="J57" s="12" t="str">
        <f>IFERROR(INDEX(MASTER!$P$2:$P$2000,MATCH($A57,MASTER!$A$2:$A$2000,0))&amp;"","")</f>
        <v/>
      </c>
      <c r="K57" s="12" t="str">
        <f>IFERROR(INDEX(MASTER!$Q$2:$Q$2000,MATCH($A57,MASTER!$A$2:$A$2000,0))&amp;"","")</f>
        <v/>
      </c>
      <c r="L57" s="12" t="str">
        <f>IFERROR(INDEX(MASTER!$R$2:$R$2000,MATCH($A57,MASTER!$A$2:$A$2000,0))&amp;"","")</f>
        <v>AI-001</v>
      </c>
    </row>
    <row r="58" spans="1:12" x14ac:dyDescent="0.25">
      <c r="A58" s="15" t="s">
        <v>392</v>
      </c>
      <c r="B58" s="12" t="str">
        <f>IFERROR(INDEX(MASTER!$C$2:$C$2000,MATCH($A58,MASTER!$A$2:$A$2000,0))&amp;"","")</f>
        <v>AI</v>
      </c>
      <c r="C58" s="16">
        <f>IFERROR(INDEX(MASTER!$B$2:$B$2000,MATCH($A58,MASTER!$A$2:$A$2000,0)),"")</f>
        <v>2</v>
      </c>
      <c r="D58" s="12" t="str">
        <f>IFERROR(INDEX(MASTER!$D$2:$D$2000,MATCH($A58,MASTER!$A$2:$A$2000,0))&amp;"","")</f>
        <v>Structure analysis uses the comparator</v>
      </c>
      <c r="E58" s="12" t="str">
        <f>IFERROR(INDEX(MASTER!$F$2:$F$2000,MATCH($A58,MASTER!$A$2:$A$2000,0))&amp;"","")</f>
        <v>P0</v>
      </c>
      <c r="F58" s="12" t="str">
        <f>IFERROR(INDEX(MASTER!$G$2:$G$2000,MATCH($A58,MASTER!$A$2:$A$2000,0))&amp;"","NOT IN MASTER")</f>
        <v>NOT_STARTED</v>
      </c>
      <c r="G58" s="12" t="str">
        <f>IFERROR(INDEX(MASTER!$H$2:$H$2000,MATCH($A58,MASTER!$A$2:$A$2000,0))&amp;"","")</f>
        <v/>
      </c>
      <c r="H58" s="12" t="str">
        <f>IFERROR(INDEX(MASTER!$I$2:$I$2000,MATCH($A58,MASTER!$A$2:$A$2000,0))&amp;"","")</f>
        <v/>
      </c>
      <c r="I58" s="19" t="str">
        <f>IFERROR(IF(INDEX(MASTER!$O$2:$O$2000,MATCH($A58,MASTER!$A$2:$A$2000,0))="","",INDEX(MASTER!$O$2:$O$2000,MATCH($A58,MASTER!$A$2:$A$2000,0))),"")</f>
        <v/>
      </c>
      <c r="J58" s="12" t="str">
        <f>IFERROR(INDEX(MASTER!$P$2:$P$2000,MATCH($A58,MASTER!$A$2:$A$2000,0))&amp;"","")</f>
        <v/>
      </c>
      <c r="K58" s="12" t="str">
        <f>IFERROR(INDEX(MASTER!$Q$2:$Q$2000,MATCH($A58,MASTER!$A$2:$A$2000,0))&amp;"","")</f>
        <v/>
      </c>
      <c r="L58" s="12" t="str">
        <f>IFERROR(INDEX(MASTER!$R$2:$R$2000,MATCH($A58,MASTER!$A$2:$A$2000,0))&amp;"","")</f>
        <v>AI-001</v>
      </c>
    </row>
    <row r="59" spans="1:12" x14ac:dyDescent="0.25">
      <c r="A59" s="15" t="s">
        <v>395</v>
      </c>
      <c r="B59" s="12" t="str">
        <f>IFERROR(INDEX(MASTER!$C$2:$C$2000,MATCH($A59,MASTER!$A$2:$A$2000,0))&amp;"","")</f>
        <v>AI</v>
      </c>
      <c r="C59" s="16">
        <f>IFERROR(INDEX(MASTER!$B$2:$B$2000,MATCH($A59,MASTER!$A$2:$A$2000,0)),"")</f>
        <v>2</v>
      </c>
      <c r="D59" s="12" t="str">
        <f>IFERROR(INDEX(MASTER!$D$2:$D$2000,MATCH($A59,MASTER!$A$2:$A$2000,0))&amp;"","")</f>
        <v>Adversarial fidelity tests</v>
      </c>
      <c r="E59" s="12" t="str">
        <f>IFERROR(INDEX(MASTER!$F$2:$F$2000,MATCH($A59,MASTER!$A$2:$A$2000,0))&amp;"","")</f>
        <v>P0</v>
      </c>
      <c r="F59" s="12" t="str">
        <f>IFERROR(INDEX(MASTER!$G$2:$G$2000,MATCH($A59,MASTER!$A$2:$A$2000,0))&amp;"","NOT IN MASTER")</f>
        <v>NOT_STARTED</v>
      </c>
      <c r="G59" s="12" t="str">
        <f>IFERROR(INDEX(MASTER!$H$2:$H$2000,MATCH($A59,MASTER!$A$2:$A$2000,0))&amp;"","")</f>
        <v/>
      </c>
      <c r="H59" s="12" t="str">
        <f>IFERROR(INDEX(MASTER!$I$2:$I$2000,MATCH($A59,MASTER!$A$2:$A$2000,0))&amp;"","")</f>
        <v/>
      </c>
      <c r="I59" s="19" t="str">
        <f>IFERROR(IF(INDEX(MASTER!$O$2:$O$2000,MATCH($A59,MASTER!$A$2:$A$2000,0))="","",INDEX(MASTER!$O$2:$O$2000,MATCH($A59,MASTER!$A$2:$A$2000,0))),"")</f>
        <v/>
      </c>
      <c r="J59" s="12" t="str">
        <f>IFERROR(INDEX(MASTER!$P$2:$P$2000,MATCH($A59,MASTER!$A$2:$A$2000,0))&amp;"","")</f>
        <v/>
      </c>
      <c r="K59" s="12" t="str">
        <f>IFERROR(INDEX(MASTER!$Q$2:$Q$2000,MATCH($A59,MASTER!$A$2:$A$2000,0))&amp;"","")</f>
        <v/>
      </c>
      <c r="L59" s="12" t="str">
        <f>IFERROR(INDEX(MASTER!$R$2:$R$2000,MATCH($A59,MASTER!$A$2:$A$2000,0))&amp;"","")</f>
        <v>AI-001</v>
      </c>
    </row>
    <row r="60" spans="1:12" x14ac:dyDescent="0.25">
      <c r="A60" s="15" t="s">
        <v>398</v>
      </c>
      <c r="B60" s="12" t="str">
        <f>IFERROR(INDEX(MASTER!$C$2:$C$2000,MATCH($A60,MASTER!$A$2:$A$2000,0))&amp;"","")</f>
        <v>AI</v>
      </c>
      <c r="C60" s="16">
        <f>IFERROR(INDEX(MASTER!$B$2:$B$2000,MATCH($A60,MASTER!$A$2:$A$2000,0)),"")</f>
        <v>2</v>
      </c>
      <c r="D60" s="12" t="str">
        <f>IFERROR(INDEX(MASTER!$D$2:$D$2000,MATCH($A60,MASTER!$A$2:$A$2000,0))&amp;"","")</f>
        <v>Classify AI operations</v>
      </c>
      <c r="E60" s="12" t="str">
        <f>IFERROR(INDEX(MASTER!$F$2:$F$2000,MATCH($A60,MASTER!$A$2:$A$2000,0))&amp;"","")</f>
        <v>P0</v>
      </c>
      <c r="F60" s="12" t="str">
        <f>IFERROR(INDEX(MASTER!$G$2:$G$2000,MATCH($A60,MASTER!$A$2:$A$2000,0))&amp;"","NOT IN MASTER")</f>
        <v>NOT_STARTED</v>
      </c>
      <c r="G60" s="12" t="str">
        <f>IFERROR(INDEX(MASTER!$H$2:$H$2000,MATCH($A60,MASTER!$A$2:$A$2000,0))&amp;"","")</f>
        <v/>
      </c>
      <c r="H60" s="12" t="str">
        <f>IFERROR(INDEX(MASTER!$I$2:$I$2000,MATCH($A60,MASTER!$A$2:$A$2000,0))&amp;"","")</f>
        <v/>
      </c>
      <c r="I60" s="19" t="str">
        <f>IFERROR(IF(INDEX(MASTER!$O$2:$O$2000,MATCH($A60,MASTER!$A$2:$A$2000,0))="","",INDEX(MASTER!$O$2:$O$2000,MATCH($A60,MASTER!$A$2:$A$2000,0))),"")</f>
        <v/>
      </c>
      <c r="J60" s="12" t="str">
        <f>IFERROR(INDEX(MASTER!$P$2:$P$2000,MATCH($A60,MASTER!$A$2:$A$2000,0))&amp;"","")</f>
        <v/>
      </c>
      <c r="K60" s="12" t="str">
        <f>IFERROR(INDEX(MASTER!$Q$2:$Q$2000,MATCH($A60,MASTER!$A$2:$A$2000,0))&amp;"","")</f>
        <v/>
      </c>
      <c r="L60" s="12" t="str">
        <f>IFERROR(INDEX(MASTER!$R$2:$R$2000,MATCH($A60,MASTER!$A$2:$A$2000,0))&amp;"","")</f>
        <v/>
      </c>
    </row>
    <row r="61" spans="1:12" x14ac:dyDescent="0.25">
      <c r="A61" s="15" t="s">
        <v>402</v>
      </c>
      <c r="B61" s="12" t="str">
        <f>IFERROR(INDEX(MASTER!$C$2:$C$2000,MATCH($A61,MASTER!$A$2:$A$2000,0))&amp;"","")</f>
        <v>AI</v>
      </c>
      <c r="C61" s="16">
        <f>IFERROR(INDEX(MASTER!$B$2:$B$2000,MATCH($A61,MASTER!$A$2:$A$2000,0)),"")</f>
        <v>2</v>
      </c>
      <c r="D61" s="12" t="str">
        <f>IFERROR(INDEX(MASTER!$D$2:$D$2000,MATCH($A61,MASTER!$A$2:$A$2000,0))&amp;"","")</f>
        <v>PLAN -&gt; VALIDATE -&gt; PREVIEW -&gt; ACCEPT -&gt; APPLY</v>
      </c>
      <c r="E61" s="12" t="str">
        <f>IFERROR(INDEX(MASTER!$F$2:$F$2000,MATCH($A61,MASTER!$A$2:$A$2000,0))&amp;"","")</f>
        <v>P0</v>
      </c>
      <c r="F61" s="12" t="str">
        <f>IFERROR(INDEX(MASTER!$G$2:$G$2000,MATCH($A61,MASTER!$A$2:$A$2000,0))&amp;"","NOT IN MASTER")</f>
        <v>NOT_STARTED</v>
      </c>
      <c r="G61" s="12" t="str">
        <f>IFERROR(INDEX(MASTER!$H$2:$H$2000,MATCH($A61,MASTER!$A$2:$A$2000,0))&amp;"","")</f>
        <v/>
      </c>
      <c r="H61" s="12" t="str">
        <f>IFERROR(INDEX(MASTER!$I$2:$I$2000,MATCH($A61,MASTER!$A$2:$A$2000,0))&amp;"","")</f>
        <v/>
      </c>
      <c r="I61" s="19" t="str">
        <f>IFERROR(IF(INDEX(MASTER!$O$2:$O$2000,MATCH($A61,MASTER!$A$2:$A$2000,0))="","",INDEX(MASTER!$O$2:$O$2000,MATCH($A61,MASTER!$A$2:$A$2000,0))),"")</f>
        <v/>
      </c>
      <c r="J61" s="12" t="str">
        <f>IFERROR(INDEX(MASTER!$P$2:$P$2000,MATCH($A61,MASTER!$A$2:$A$2000,0))&amp;"","")</f>
        <v/>
      </c>
      <c r="K61" s="12" t="str">
        <f>IFERROR(INDEX(MASTER!$Q$2:$Q$2000,MATCH($A61,MASTER!$A$2:$A$2000,0))&amp;"","")</f>
        <v/>
      </c>
      <c r="L61" s="12" t="str">
        <f>IFERROR(INDEX(MASTER!$R$2:$R$2000,MATCH($A61,MASTER!$A$2:$A$2000,0))&amp;"","")</f>
        <v>AI-005</v>
      </c>
    </row>
    <row r="62" spans="1:12" x14ac:dyDescent="0.25">
      <c r="A62" s="15" t="s">
        <v>407</v>
      </c>
      <c r="B62" s="12" t="str">
        <f>IFERROR(INDEX(MASTER!$C$2:$C$2000,MATCH($A62,MASTER!$A$2:$A$2000,0))&amp;"","")</f>
        <v>AI</v>
      </c>
      <c r="C62" s="16">
        <f>IFERROR(INDEX(MASTER!$B$2:$B$2000,MATCH($A62,MASTER!$A$2:$A$2000,0)),"")</f>
        <v>2</v>
      </c>
      <c r="D62" s="12" t="str">
        <f>IFERROR(INDEX(MASTER!$D$2:$D$2000,MATCH($A62,MASTER!$A$2:$A$2000,0))&amp;"","")</f>
        <v>Proposal review UI</v>
      </c>
      <c r="E62" s="12" t="str">
        <f>IFERROR(INDEX(MASTER!$F$2:$F$2000,MATCH($A62,MASTER!$A$2:$A$2000,0))&amp;"","")</f>
        <v>P0</v>
      </c>
      <c r="F62" s="12" t="str">
        <f>IFERROR(INDEX(MASTER!$G$2:$G$2000,MATCH($A62,MASTER!$A$2:$A$2000,0))&amp;"","NOT IN MASTER")</f>
        <v>NOT_STARTED</v>
      </c>
      <c r="G62" s="12" t="str">
        <f>IFERROR(INDEX(MASTER!$H$2:$H$2000,MATCH($A62,MASTER!$A$2:$A$2000,0))&amp;"","")</f>
        <v/>
      </c>
      <c r="H62" s="12" t="str">
        <f>IFERROR(INDEX(MASTER!$I$2:$I$2000,MATCH($A62,MASTER!$A$2:$A$2000,0))&amp;"","")</f>
        <v/>
      </c>
      <c r="I62" s="19" t="str">
        <f>IFERROR(IF(INDEX(MASTER!$O$2:$O$2000,MATCH($A62,MASTER!$A$2:$A$2000,0))="","",INDEX(MASTER!$O$2:$O$2000,MATCH($A62,MASTER!$A$2:$A$2000,0))),"")</f>
        <v/>
      </c>
      <c r="J62" s="12" t="str">
        <f>IFERROR(INDEX(MASTER!$P$2:$P$2000,MATCH($A62,MASTER!$A$2:$A$2000,0))&amp;"","")</f>
        <v/>
      </c>
      <c r="K62" s="12" t="str">
        <f>IFERROR(INDEX(MASTER!$Q$2:$Q$2000,MATCH($A62,MASTER!$A$2:$A$2000,0))&amp;"","")</f>
        <v/>
      </c>
      <c r="L62" s="12" t="str">
        <f>IFERROR(INDEX(MASTER!$R$2:$R$2000,MATCH($A62,MASTER!$A$2:$A$2000,0))&amp;"","")</f>
        <v>AI-006</v>
      </c>
    </row>
    <row r="63" spans="1:12" x14ac:dyDescent="0.25">
      <c r="A63" s="15" t="s">
        <v>416</v>
      </c>
      <c r="B63" s="12" t="str">
        <f>IFERROR(INDEX(MASTER!$C$2:$C$2000,MATCH($A63,MASTER!$A$2:$A$2000,0))&amp;"","")</f>
        <v>REVIEW</v>
      </c>
      <c r="C63" s="16">
        <f>IFERROR(INDEX(MASTER!$B$2:$B$2000,MATCH($A63,MASTER!$A$2:$A$2000,0)),"")</f>
        <v>2</v>
      </c>
      <c r="D63" s="12" t="str">
        <f>IFERROR(INDEX(MASTER!$D$2:$D$2000,MATCH($A63,MASTER!$A$2:$A$2000,0))&amp;"","")</f>
        <v>Change model</v>
      </c>
      <c r="E63" s="12" t="str">
        <f>IFERROR(INDEX(MASTER!$F$2:$F$2000,MATCH($A63,MASTER!$A$2:$A$2000,0))&amp;"","")</f>
        <v>P0</v>
      </c>
      <c r="F63" s="12" t="str">
        <f>IFERROR(INDEX(MASTER!$G$2:$G$2000,MATCH($A63,MASTER!$A$2:$A$2000,0))&amp;"","NOT IN MASTER")</f>
        <v>NOT_STARTED</v>
      </c>
      <c r="G63" s="12" t="str">
        <f>IFERROR(INDEX(MASTER!$H$2:$H$2000,MATCH($A63,MASTER!$A$2:$A$2000,0))&amp;"","")</f>
        <v/>
      </c>
      <c r="H63" s="12" t="str">
        <f>IFERROR(INDEX(MASTER!$I$2:$I$2000,MATCH($A63,MASTER!$A$2:$A$2000,0))&amp;"","")</f>
        <v/>
      </c>
      <c r="I63" s="19" t="str">
        <f>IFERROR(IF(INDEX(MASTER!$O$2:$O$2000,MATCH($A63,MASTER!$A$2:$A$2000,0))="","",INDEX(MASTER!$O$2:$O$2000,MATCH($A63,MASTER!$A$2:$A$2000,0))),"")</f>
        <v/>
      </c>
      <c r="J63" s="12" t="str">
        <f>IFERROR(INDEX(MASTER!$P$2:$P$2000,MATCH($A63,MASTER!$A$2:$A$2000,0))&amp;"","")</f>
        <v/>
      </c>
      <c r="K63" s="12" t="str">
        <f>IFERROR(INDEX(MASTER!$Q$2:$Q$2000,MATCH($A63,MASTER!$A$2:$A$2000,0))&amp;"","")</f>
        <v/>
      </c>
      <c r="L63" s="12" t="str">
        <f>IFERROR(INDEX(MASTER!$R$2:$R$2000,MATCH($A63,MASTER!$A$2:$A$2000,0))&amp;"","")</f>
        <v/>
      </c>
    </row>
    <row r="64" spans="1:12" x14ac:dyDescent="0.25">
      <c r="A64" s="15" t="s">
        <v>422</v>
      </c>
      <c r="B64" s="12" t="str">
        <f>IFERROR(INDEX(MASTER!$C$2:$C$2000,MATCH($A64,MASTER!$A$2:$A$2000,0))&amp;"","")</f>
        <v>DOCX</v>
      </c>
      <c r="C64" s="16">
        <f>IFERROR(INDEX(MASTER!$B$2:$B$2000,MATCH($A64,MASTER!$A$2:$A$2000,0)),"")</f>
        <v>3</v>
      </c>
      <c r="D64" s="12" t="str">
        <f>IFERROR(INDEX(MASTER!$D$2:$D$2000,MATCH($A64,MASTER!$A$2:$A$2000,0))&amp;"","")</f>
        <v>Original package store</v>
      </c>
      <c r="E64" s="12" t="str">
        <f>IFERROR(INDEX(MASTER!$F$2:$F$2000,MATCH($A64,MASTER!$A$2:$A$2000,0))&amp;"","")</f>
        <v>P0</v>
      </c>
      <c r="F64" s="12" t="str">
        <f>IFERROR(INDEX(MASTER!$G$2:$G$2000,MATCH($A64,MASTER!$A$2:$A$2000,0))&amp;"","NOT IN MASTER")</f>
        <v>NOT_STARTED</v>
      </c>
      <c r="G64" s="12" t="str">
        <f>IFERROR(INDEX(MASTER!$H$2:$H$2000,MATCH($A64,MASTER!$A$2:$A$2000,0))&amp;"","")</f>
        <v/>
      </c>
      <c r="H64" s="12" t="str">
        <f>IFERROR(INDEX(MASTER!$I$2:$I$2000,MATCH($A64,MASTER!$A$2:$A$2000,0))&amp;"","")</f>
        <v/>
      </c>
      <c r="I64" s="19" t="str">
        <f>IFERROR(IF(INDEX(MASTER!$O$2:$O$2000,MATCH($A64,MASTER!$A$2:$A$2000,0))="","",INDEX(MASTER!$O$2:$O$2000,MATCH($A64,MASTER!$A$2:$A$2000,0))),"")</f>
        <v/>
      </c>
      <c r="J64" s="12" t="str">
        <f>IFERROR(INDEX(MASTER!$P$2:$P$2000,MATCH($A64,MASTER!$A$2:$A$2000,0))&amp;"","")</f>
        <v/>
      </c>
      <c r="K64" s="12" t="str">
        <f>IFERROR(INDEX(MASTER!$Q$2:$Q$2000,MATCH($A64,MASTER!$A$2:$A$2000,0))&amp;"","")</f>
        <v/>
      </c>
      <c r="L64" s="12" t="str">
        <f>IFERROR(INDEX(MASTER!$R$2:$R$2000,MATCH($A64,MASTER!$A$2:$A$2000,0))&amp;"","")</f>
        <v/>
      </c>
    </row>
    <row r="65" spans="1:12" x14ac:dyDescent="0.25">
      <c r="A65" s="15" t="s">
        <v>427</v>
      </c>
      <c r="B65" s="12" t="str">
        <f>IFERROR(INDEX(MASTER!$C$2:$C$2000,MATCH($A65,MASTER!$A$2:$A$2000,0))&amp;"","")</f>
        <v>DOCX</v>
      </c>
      <c r="C65" s="16">
        <f>IFERROR(INDEX(MASTER!$B$2:$B$2000,MATCH($A65,MASTER!$A$2:$A$2000,0)),"")</f>
        <v>3</v>
      </c>
      <c r="D65" s="12" t="str">
        <f>IFERROR(INDEX(MASTER!$D$2:$D$2000,MATCH($A65,MASTER!$A$2:$A$2000,0))&amp;"","")</f>
        <v>Patch-writer export for imported documents</v>
      </c>
      <c r="E65" s="12" t="str">
        <f>IFERROR(INDEX(MASTER!$F$2:$F$2000,MATCH($A65,MASTER!$A$2:$A$2000,0))&amp;"","")</f>
        <v>P0</v>
      </c>
      <c r="F65" s="12" t="str">
        <f>IFERROR(INDEX(MASTER!$G$2:$G$2000,MATCH($A65,MASTER!$A$2:$A$2000,0))&amp;"","NOT IN MASTER")</f>
        <v>NOT_STARTED</v>
      </c>
      <c r="G65" s="12" t="str">
        <f>IFERROR(INDEX(MASTER!$H$2:$H$2000,MATCH($A65,MASTER!$A$2:$A$2000,0))&amp;"","")</f>
        <v/>
      </c>
      <c r="H65" s="12" t="str">
        <f>IFERROR(INDEX(MASTER!$I$2:$I$2000,MATCH($A65,MASTER!$A$2:$A$2000,0))&amp;"","")</f>
        <v/>
      </c>
      <c r="I65" s="19" t="str">
        <f>IFERROR(IF(INDEX(MASTER!$O$2:$O$2000,MATCH($A65,MASTER!$A$2:$A$2000,0))="","",INDEX(MASTER!$O$2:$O$2000,MATCH($A65,MASTER!$A$2:$A$2000,0))),"")</f>
        <v/>
      </c>
      <c r="J65" s="12" t="str">
        <f>IFERROR(INDEX(MASTER!$P$2:$P$2000,MATCH($A65,MASTER!$A$2:$A$2000,0))&amp;"","")</f>
        <v/>
      </c>
      <c r="K65" s="12" t="str">
        <f>IFERROR(INDEX(MASTER!$Q$2:$Q$2000,MATCH($A65,MASTER!$A$2:$A$2000,0))&amp;"","")</f>
        <v/>
      </c>
      <c r="L65" s="12" t="str">
        <f>IFERROR(INDEX(MASTER!$R$2:$R$2000,MATCH($A65,MASTER!$A$2:$A$2000,0))&amp;"","")</f>
        <v>DOCX-010</v>
      </c>
    </row>
    <row r="66" spans="1:12" x14ac:dyDescent="0.25">
      <c r="A66" s="15" t="s">
        <v>430</v>
      </c>
      <c r="B66" s="12" t="str">
        <f>IFERROR(INDEX(MASTER!$C$2:$C$2000,MATCH($A66,MASTER!$A$2:$A$2000,0))&amp;"","")</f>
        <v>DOCX</v>
      </c>
      <c r="C66" s="16">
        <f>IFERROR(INDEX(MASTER!$B$2:$B$2000,MATCH($A66,MASTER!$A$2:$A$2000,0)),"")</f>
        <v>3</v>
      </c>
      <c r="D66" s="12" t="str">
        <f>IFERROR(INDEX(MASTER!$D$2:$D$2000,MATCH($A66,MASTER!$A$2:$A$2000,0))&amp;"","")</f>
        <v>Metadata preserved and correct</v>
      </c>
      <c r="E66" s="12" t="str">
        <f>IFERROR(INDEX(MASTER!$F$2:$F$2000,MATCH($A66,MASTER!$A$2:$A$2000,0))&amp;"","")</f>
        <v>P0</v>
      </c>
      <c r="F66" s="12" t="str">
        <f>IFERROR(INDEX(MASTER!$G$2:$G$2000,MATCH($A66,MASTER!$A$2:$A$2000,0))&amp;"","NOT IN MASTER")</f>
        <v>NOT_STARTED</v>
      </c>
      <c r="G66" s="12" t="str">
        <f>IFERROR(INDEX(MASTER!$H$2:$H$2000,MATCH($A66,MASTER!$A$2:$A$2000,0))&amp;"","")</f>
        <v/>
      </c>
      <c r="H66" s="12" t="str">
        <f>IFERROR(INDEX(MASTER!$I$2:$I$2000,MATCH($A66,MASTER!$A$2:$A$2000,0))&amp;"","")</f>
        <v/>
      </c>
      <c r="I66" s="19" t="str">
        <f>IFERROR(IF(INDEX(MASTER!$O$2:$O$2000,MATCH($A66,MASTER!$A$2:$A$2000,0))="","",INDEX(MASTER!$O$2:$O$2000,MATCH($A66,MASTER!$A$2:$A$2000,0))),"")</f>
        <v/>
      </c>
      <c r="J66" s="12" t="str">
        <f>IFERROR(INDEX(MASTER!$P$2:$P$2000,MATCH($A66,MASTER!$A$2:$A$2000,0))&amp;"","")</f>
        <v/>
      </c>
      <c r="K66" s="12" t="str">
        <f>IFERROR(INDEX(MASTER!$Q$2:$Q$2000,MATCH($A66,MASTER!$A$2:$A$2000,0))&amp;"","")</f>
        <v/>
      </c>
      <c r="L66" s="12" t="str">
        <f>IFERROR(INDEX(MASTER!$R$2:$R$2000,MATCH($A66,MASTER!$A$2:$A$2000,0))&amp;"","")</f>
        <v/>
      </c>
    </row>
    <row r="67" spans="1:12" x14ac:dyDescent="0.25">
      <c r="A67" s="15" t="s">
        <v>434</v>
      </c>
      <c r="B67" s="12" t="str">
        <f>IFERROR(INDEX(MASTER!$C$2:$C$2000,MATCH($A67,MASTER!$A$2:$A$2000,0))&amp;"","")</f>
        <v>DOCX</v>
      </c>
      <c r="C67" s="16">
        <f>IFERROR(INDEX(MASTER!$B$2:$B$2000,MATCH($A67,MASTER!$A$2:$A$2000,0)),"")</f>
        <v>3</v>
      </c>
      <c r="D67" s="12" t="str">
        <f>IFERROR(INDEX(MASTER!$D$2:$D$2000,MATCH($A67,MASTER!$A$2:$A$2000,0))&amp;"","")</f>
        <v>Character formatting</v>
      </c>
      <c r="E67" s="12" t="str">
        <f>IFERROR(INDEX(MASTER!$F$2:$F$2000,MATCH($A67,MASTER!$A$2:$A$2000,0))&amp;"","")</f>
        <v>P0</v>
      </c>
      <c r="F67" s="12" t="str">
        <f>IFERROR(INDEX(MASTER!$G$2:$G$2000,MATCH($A67,MASTER!$A$2:$A$2000,0))&amp;"","NOT IN MASTER")</f>
        <v>NOT_STARTED</v>
      </c>
      <c r="G67" s="12" t="str">
        <f>IFERROR(INDEX(MASTER!$H$2:$H$2000,MATCH($A67,MASTER!$A$2:$A$2000,0))&amp;"","")</f>
        <v/>
      </c>
      <c r="H67" s="12" t="str">
        <f>IFERROR(INDEX(MASTER!$I$2:$I$2000,MATCH($A67,MASTER!$A$2:$A$2000,0))&amp;"","")</f>
        <v/>
      </c>
      <c r="I67" s="19" t="str">
        <f>IFERROR(IF(INDEX(MASTER!$O$2:$O$2000,MATCH($A67,MASTER!$A$2:$A$2000,0))="","",INDEX(MASTER!$O$2:$O$2000,MATCH($A67,MASTER!$A$2:$A$2000,0))),"")</f>
        <v/>
      </c>
      <c r="J67" s="12" t="str">
        <f>IFERROR(INDEX(MASTER!$P$2:$P$2000,MATCH($A67,MASTER!$A$2:$A$2000,0))&amp;"","")</f>
        <v/>
      </c>
      <c r="K67" s="12" t="str">
        <f>IFERROR(INDEX(MASTER!$Q$2:$Q$2000,MATCH($A67,MASTER!$A$2:$A$2000,0))&amp;"","")</f>
        <v/>
      </c>
      <c r="L67" s="12" t="str">
        <f>IFERROR(INDEX(MASTER!$R$2:$R$2000,MATCH($A67,MASTER!$A$2:$A$2000,0))&amp;"","")</f>
        <v/>
      </c>
    </row>
    <row r="68" spans="1:12" x14ac:dyDescent="0.25">
      <c r="A68" s="15" t="s">
        <v>441</v>
      </c>
      <c r="B68" s="12" t="str">
        <f>IFERROR(INDEX(MASTER!$C$2:$C$2000,MATCH($A68,MASTER!$A$2:$A$2000,0))&amp;"","")</f>
        <v>DOCX</v>
      </c>
      <c r="C68" s="16">
        <f>IFERROR(INDEX(MASTER!$B$2:$B$2000,MATCH($A68,MASTER!$A$2:$A$2000,0)),"")</f>
        <v>3</v>
      </c>
      <c r="D68" s="12" t="str">
        <f>IFERROR(INDEX(MASTER!$D$2:$D$2000,MATCH($A68,MASTER!$A$2:$A$2000,0))&amp;"","")</f>
        <v>Sections as a first-class concept</v>
      </c>
      <c r="E68" s="12" t="str">
        <f>IFERROR(INDEX(MASTER!$F$2:$F$2000,MATCH($A68,MASTER!$A$2:$A$2000,0))&amp;"","")</f>
        <v>P0</v>
      </c>
      <c r="F68" s="12" t="str">
        <f>IFERROR(INDEX(MASTER!$G$2:$G$2000,MATCH($A68,MASTER!$A$2:$A$2000,0))&amp;"","NOT IN MASTER")</f>
        <v>NOT_STARTED</v>
      </c>
      <c r="G68" s="12" t="str">
        <f>IFERROR(INDEX(MASTER!$H$2:$H$2000,MATCH($A68,MASTER!$A$2:$A$2000,0))&amp;"","")</f>
        <v/>
      </c>
      <c r="H68" s="12" t="str">
        <f>IFERROR(INDEX(MASTER!$I$2:$I$2000,MATCH($A68,MASTER!$A$2:$A$2000,0))&amp;"","")</f>
        <v/>
      </c>
      <c r="I68" s="19" t="str">
        <f>IFERROR(IF(INDEX(MASTER!$O$2:$O$2000,MATCH($A68,MASTER!$A$2:$A$2000,0))="","",INDEX(MASTER!$O$2:$O$2000,MATCH($A68,MASTER!$A$2:$A$2000,0))),"")</f>
        <v/>
      </c>
      <c r="J68" s="12" t="str">
        <f>IFERROR(INDEX(MASTER!$P$2:$P$2000,MATCH($A68,MASTER!$A$2:$A$2000,0))&amp;"","")</f>
        <v/>
      </c>
      <c r="K68" s="12" t="str">
        <f>IFERROR(INDEX(MASTER!$Q$2:$Q$2000,MATCH($A68,MASTER!$A$2:$A$2000,0))&amp;"","")</f>
        <v/>
      </c>
      <c r="L68" s="12" t="str">
        <f>IFERROR(INDEX(MASTER!$R$2:$R$2000,MATCH($A68,MASTER!$A$2:$A$2000,0))&amp;"","")</f>
        <v/>
      </c>
    </row>
    <row r="69" spans="1:12" x14ac:dyDescent="0.25">
      <c r="A69" s="15" t="s">
        <v>445</v>
      </c>
      <c r="B69" s="12" t="str">
        <f>IFERROR(INDEX(MASTER!$C$2:$C$2000,MATCH($A69,MASTER!$A$2:$A$2000,0))&amp;"","")</f>
        <v>DOCX</v>
      </c>
      <c r="C69" s="16">
        <f>IFERROR(INDEX(MASTER!$B$2:$B$2000,MATCH($A69,MASTER!$A$2:$A$2000,0)),"")</f>
        <v>3</v>
      </c>
      <c r="D69" s="12" t="str">
        <f>IFERROR(INDEX(MASTER!$D$2:$D$2000,MATCH($A69,MASTER!$A$2:$A$2000,0))&amp;"","")</f>
        <v>Numbering engine</v>
      </c>
      <c r="E69" s="12" t="str">
        <f>IFERROR(INDEX(MASTER!$F$2:$F$2000,MATCH($A69,MASTER!$A$2:$A$2000,0))&amp;"","")</f>
        <v>P0</v>
      </c>
      <c r="F69" s="12" t="str">
        <f>IFERROR(INDEX(MASTER!$G$2:$G$2000,MATCH($A69,MASTER!$A$2:$A$2000,0))&amp;"","NOT IN MASTER")</f>
        <v>NOT_STARTED</v>
      </c>
      <c r="G69" s="12" t="str">
        <f>IFERROR(INDEX(MASTER!$H$2:$H$2000,MATCH($A69,MASTER!$A$2:$A$2000,0))&amp;"","")</f>
        <v/>
      </c>
      <c r="H69" s="12" t="str">
        <f>IFERROR(INDEX(MASTER!$I$2:$I$2000,MATCH($A69,MASTER!$A$2:$A$2000,0))&amp;"","")</f>
        <v/>
      </c>
      <c r="I69" s="19" t="str">
        <f>IFERROR(IF(INDEX(MASTER!$O$2:$O$2000,MATCH($A69,MASTER!$A$2:$A$2000,0))="","",INDEX(MASTER!$O$2:$O$2000,MATCH($A69,MASTER!$A$2:$A$2000,0))),"")</f>
        <v/>
      </c>
      <c r="J69" s="12" t="str">
        <f>IFERROR(INDEX(MASTER!$P$2:$P$2000,MATCH($A69,MASTER!$A$2:$A$2000,0))&amp;"","")</f>
        <v/>
      </c>
      <c r="K69" s="12" t="str">
        <f>IFERROR(INDEX(MASTER!$Q$2:$Q$2000,MATCH($A69,MASTER!$A$2:$A$2000,0))&amp;"","")</f>
        <v/>
      </c>
      <c r="L69" s="12" t="str">
        <f>IFERROR(INDEX(MASTER!$R$2:$R$2000,MATCH($A69,MASTER!$A$2:$A$2000,0))&amp;"","")</f>
        <v/>
      </c>
    </row>
    <row r="70" spans="1:12" x14ac:dyDescent="0.25">
      <c r="A70" s="15" t="s">
        <v>449</v>
      </c>
      <c r="B70" s="12" t="str">
        <f>IFERROR(INDEX(MASTER!$C$2:$C$2000,MATCH($A70,MASTER!$A$2:$A$2000,0))&amp;"","")</f>
        <v>DOCX</v>
      </c>
      <c r="C70" s="16">
        <f>IFERROR(INDEX(MASTER!$B$2:$B$2000,MATCH($A70,MASTER!$A$2:$A$2000,0)),"")</f>
        <v>3</v>
      </c>
      <c r="D70" s="12" t="str">
        <f>IFERROR(INDEX(MASTER!$D$2:$D$2000,MATCH($A70,MASTER!$A$2:$A$2000,0))&amp;"","")</f>
        <v>Table engine</v>
      </c>
      <c r="E70" s="12" t="str">
        <f>IFERROR(INDEX(MASTER!$F$2:$F$2000,MATCH($A70,MASTER!$A$2:$A$2000,0))&amp;"","")</f>
        <v>P0</v>
      </c>
      <c r="F70" s="12" t="str">
        <f>IFERROR(INDEX(MASTER!$G$2:$G$2000,MATCH($A70,MASTER!$A$2:$A$2000,0))&amp;"","NOT IN MASTER")</f>
        <v>NOT_STARTED</v>
      </c>
      <c r="G70" s="12" t="str">
        <f>IFERROR(INDEX(MASTER!$H$2:$H$2000,MATCH($A70,MASTER!$A$2:$A$2000,0))&amp;"","")</f>
        <v/>
      </c>
      <c r="H70" s="12" t="str">
        <f>IFERROR(INDEX(MASTER!$I$2:$I$2000,MATCH($A70,MASTER!$A$2:$A$2000,0))&amp;"","")</f>
        <v/>
      </c>
      <c r="I70" s="19" t="str">
        <f>IFERROR(IF(INDEX(MASTER!$O$2:$O$2000,MATCH($A70,MASTER!$A$2:$A$2000,0))="","",INDEX(MASTER!$O$2:$O$2000,MATCH($A70,MASTER!$A$2:$A$2000,0))),"")</f>
        <v/>
      </c>
      <c r="J70" s="12" t="str">
        <f>IFERROR(INDEX(MASTER!$P$2:$P$2000,MATCH($A70,MASTER!$A$2:$A$2000,0))&amp;"","")</f>
        <v/>
      </c>
      <c r="K70" s="12" t="str">
        <f>IFERROR(INDEX(MASTER!$Q$2:$Q$2000,MATCH($A70,MASTER!$A$2:$A$2000,0))&amp;"","")</f>
        <v/>
      </c>
      <c r="L70" s="12" t="str">
        <f>IFERROR(INDEX(MASTER!$R$2:$R$2000,MATCH($A70,MASTER!$A$2:$A$2000,0))&amp;"","")</f>
        <v/>
      </c>
    </row>
    <row r="71" spans="1:12" x14ac:dyDescent="0.25">
      <c r="A71" s="15" t="s">
        <v>452</v>
      </c>
      <c r="B71" s="12" t="str">
        <f>IFERROR(INDEX(MASTER!$C$2:$C$2000,MATCH($A71,MASTER!$A$2:$A$2000,0))&amp;"","")</f>
        <v>DOCX</v>
      </c>
      <c r="C71" s="16">
        <f>IFERROR(INDEX(MASTER!$B$2:$B$2000,MATCH($A71,MASTER!$A$2:$A$2000,0)),"")</f>
        <v>3</v>
      </c>
      <c r="D71" s="12" t="str">
        <f>IFERROR(INDEX(MASTER!$D$2:$D$2000,MATCH($A71,MASTER!$A$2:$A$2000,0))&amp;"","")</f>
        <v>Images</v>
      </c>
      <c r="E71" s="12" t="str">
        <f>IFERROR(INDEX(MASTER!$F$2:$F$2000,MATCH($A71,MASTER!$A$2:$A$2000,0))&amp;"","")</f>
        <v>P0</v>
      </c>
      <c r="F71" s="12" t="str">
        <f>IFERROR(INDEX(MASTER!$G$2:$G$2000,MATCH($A71,MASTER!$A$2:$A$2000,0))&amp;"","NOT IN MASTER")</f>
        <v>IN_PROGRESS</v>
      </c>
      <c r="G71" s="12" t="str">
        <f>IFERROR(INDEX(MASTER!$H$2:$H$2000,MATCH($A71,MASTER!$A$2:$A$2000,0))&amp;"","")</f>
        <v/>
      </c>
      <c r="H71" s="12" t="str">
        <f>IFERROR(INDEX(MASTER!$I$2:$I$2000,MATCH($A71,MASTER!$A$2:$A$2000,0))&amp;"","")</f>
        <v/>
      </c>
      <c r="I71" s="19" t="str">
        <f>IFERROR(IF(INDEX(MASTER!$O$2:$O$2000,MATCH($A71,MASTER!$A$2:$A$2000,0))="","",INDEX(MASTER!$O$2:$O$2000,MATCH($A71,MASTER!$A$2:$A$2000,0))),"")</f>
        <v/>
      </c>
      <c r="J71" s="12" t="str">
        <f>IFERROR(INDEX(MASTER!$P$2:$P$2000,MATCH($A71,MASTER!$A$2:$A$2000,0))&amp;"","")</f>
        <v/>
      </c>
      <c r="K71" s="12" t="str">
        <f>IFERROR(INDEX(MASTER!$Q$2:$Q$2000,MATCH($A71,MASTER!$A$2:$A$2000,0))&amp;"","")</f>
        <v>Alt text + title now exported (docPr descr/title) with DOCX-001; crop, rotation, WEBP still open.</v>
      </c>
      <c r="L71" s="12" t="str">
        <f>IFERROR(INDEX(MASTER!$R$2:$R$2000,MATCH($A71,MASTER!$A$2:$A$2000,0))&amp;"","")</f>
        <v/>
      </c>
    </row>
    <row r="72" spans="1:12" x14ac:dyDescent="0.25">
      <c r="A72" s="15" t="s">
        <v>477</v>
      </c>
      <c r="B72" s="12" t="str">
        <f>IFERROR(INDEX(MASTER!$C$2:$C$2000,MATCH($A72,MASTER!$A$2:$A$2000,0))&amp;"","")</f>
        <v>DOCX</v>
      </c>
      <c r="C72" s="16">
        <f>IFERROR(INDEX(MASTER!$B$2:$B$2000,MATCH($A72,MASTER!$A$2:$A$2000,0)),"")</f>
        <v>3</v>
      </c>
      <c r="D72" s="12" t="str">
        <f>IFERROR(INDEX(MASTER!$D$2:$D$2000,MATCH($A72,MASTER!$A$2:$A$2000,0))&amp;"","")</f>
        <v>Hidden text stays hidden</v>
      </c>
      <c r="E72" s="12" t="str">
        <f>IFERROR(INDEX(MASTER!$F$2:$F$2000,MATCH($A72,MASTER!$A$2:$A$2000,0))&amp;"","")</f>
        <v>P0</v>
      </c>
      <c r="F72" s="12" t="str">
        <f>IFERROR(INDEX(MASTER!$G$2:$G$2000,MATCH($A72,MASTER!$A$2:$A$2000,0))&amp;"","NOT IN MASTER")</f>
        <v>NOT_STARTED</v>
      </c>
      <c r="G72" s="12" t="str">
        <f>IFERROR(INDEX(MASTER!$H$2:$H$2000,MATCH($A72,MASTER!$A$2:$A$2000,0))&amp;"","")</f>
        <v/>
      </c>
      <c r="H72" s="12" t="str">
        <f>IFERROR(INDEX(MASTER!$I$2:$I$2000,MATCH($A72,MASTER!$A$2:$A$2000,0))&amp;"","")</f>
        <v/>
      </c>
      <c r="I72" s="19" t="str">
        <f>IFERROR(IF(INDEX(MASTER!$O$2:$O$2000,MATCH($A72,MASTER!$A$2:$A$2000,0))="","",INDEX(MASTER!$O$2:$O$2000,MATCH($A72,MASTER!$A$2:$A$2000,0))),"")</f>
        <v/>
      </c>
      <c r="J72" s="12" t="str">
        <f>IFERROR(INDEX(MASTER!$P$2:$P$2000,MATCH($A72,MASTER!$A$2:$A$2000,0))&amp;"","")</f>
        <v/>
      </c>
      <c r="K72" s="12" t="str">
        <f>IFERROR(INDEX(MASTER!$Q$2:$Q$2000,MATCH($A72,MASTER!$A$2:$A$2000,0))&amp;"","")</f>
        <v/>
      </c>
      <c r="L72" s="12" t="str">
        <f>IFERROR(INDEX(MASTER!$R$2:$R$2000,MATCH($A72,MASTER!$A$2:$A$2000,0))&amp;"","")</f>
        <v/>
      </c>
    </row>
    <row r="73" spans="1:12" x14ac:dyDescent="0.25">
      <c r="A73" s="15" t="s">
        <v>481</v>
      </c>
      <c r="B73" s="12" t="str">
        <f>IFERROR(INDEX(MASTER!$C$2:$C$2000,MATCH($A73,MASTER!$A$2:$A$2000,0))&amp;"","")</f>
        <v>DOCX</v>
      </c>
      <c r="C73" s="16">
        <f>IFERROR(INDEX(MASTER!$B$2:$B$2000,MATCH($A73,MASTER!$A$2:$A$2000,0)),"")</f>
        <v>3</v>
      </c>
      <c r="D73" s="12" t="str">
        <f>IFERROR(INDEX(MASTER!$D$2:$D$2000,MATCH($A73,MASTER!$A$2:$A$2000,0))&amp;"","")</f>
        <v>Hyperlink policy and no silent autolink</v>
      </c>
      <c r="E73" s="12" t="str">
        <f>IFERROR(INDEX(MASTER!$F$2:$F$2000,MATCH($A73,MASTER!$A$2:$A$2000,0))&amp;"","")</f>
        <v>P0</v>
      </c>
      <c r="F73" s="12" t="str">
        <f>IFERROR(INDEX(MASTER!$G$2:$G$2000,MATCH($A73,MASTER!$A$2:$A$2000,0))&amp;"","NOT IN MASTER")</f>
        <v>NOT_STARTED</v>
      </c>
      <c r="G73" s="12" t="str">
        <f>IFERROR(INDEX(MASTER!$H$2:$H$2000,MATCH($A73,MASTER!$A$2:$A$2000,0))&amp;"","")</f>
        <v/>
      </c>
      <c r="H73" s="12" t="str">
        <f>IFERROR(INDEX(MASTER!$I$2:$I$2000,MATCH($A73,MASTER!$A$2:$A$2000,0))&amp;"","")</f>
        <v/>
      </c>
      <c r="I73" s="19" t="str">
        <f>IFERROR(IF(INDEX(MASTER!$O$2:$O$2000,MATCH($A73,MASTER!$A$2:$A$2000,0))="","",INDEX(MASTER!$O$2:$O$2000,MATCH($A73,MASTER!$A$2:$A$2000,0))),"")</f>
        <v/>
      </c>
      <c r="J73" s="12" t="str">
        <f>IFERROR(INDEX(MASTER!$P$2:$P$2000,MATCH($A73,MASTER!$A$2:$A$2000,0))&amp;"","")</f>
        <v/>
      </c>
      <c r="K73" s="12" t="str">
        <f>IFERROR(INDEX(MASTER!$Q$2:$Q$2000,MATCH($A73,MASTER!$A$2:$A$2000,0))&amp;"","")</f>
        <v/>
      </c>
      <c r="L73" s="12" t="str">
        <f>IFERROR(INDEX(MASTER!$R$2:$R$2000,MATCH($A73,MASTER!$A$2:$A$2000,0))&amp;"","")</f>
        <v/>
      </c>
    </row>
    <row r="74" spans="1:12" x14ac:dyDescent="0.25">
      <c r="A74" s="15" t="s">
        <v>485</v>
      </c>
      <c r="B74" s="12" t="str">
        <f>IFERROR(INDEX(MASTER!$C$2:$C$2000,MATCH($A74,MASTER!$A$2:$A$2000,0))&amp;"","")</f>
        <v>FORMATTING</v>
      </c>
      <c r="C74" s="16">
        <f>IFERROR(INDEX(MASTER!$B$2:$B$2000,MATCH($A74,MASTER!$A$2:$A$2000,0)),"")</f>
        <v>3</v>
      </c>
      <c r="D74" s="12" t="str">
        <f>IFERROR(INDEX(MASTER!$D$2:$D$2000,MATCH($A74,MASTER!$A$2:$A$2000,0))&amp;"","")</f>
        <v>Render-spec defaults respect the source</v>
      </c>
      <c r="E74" s="12" t="str">
        <f>IFERROR(INDEX(MASTER!$F$2:$F$2000,MATCH($A74,MASTER!$A$2:$A$2000,0))&amp;"","")</f>
        <v>P0</v>
      </c>
      <c r="F74" s="12" t="str">
        <f>IFERROR(INDEX(MASTER!$G$2:$G$2000,MATCH($A74,MASTER!$A$2:$A$2000,0))&amp;"","NOT IN MASTER")</f>
        <v>NOT_STARTED</v>
      </c>
      <c r="G74" s="12" t="str">
        <f>IFERROR(INDEX(MASTER!$H$2:$H$2000,MATCH($A74,MASTER!$A$2:$A$2000,0))&amp;"","")</f>
        <v/>
      </c>
      <c r="H74" s="12" t="str">
        <f>IFERROR(INDEX(MASTER!$I$2:$I$2000,MATCH($A74,MASTER!$A$2:$A$2000,0))&amp;"","")</f>
        <v/>
      </c>
      <c r="I74" s="19" t="str">
        <f>IFERROR(IF(INDEX(MASTER!$O$2:$O$2000,MATCH($A74,MASTER!$A$2:$A$2000,0))="","",INDEX(MASTER!$O$2:$O$2000,MATCH($A74,MASTER!$A$2:$A$2000,0))),"")</f>
        <v/>
      </c>
      <c r="J74" s="12" t="str">
        <f>IFERROR(INDEX(MASTER!$P$2:$P$2000,MATCH($A74,MASTER!$A$2:$A$2000,0))&amp;"","")</f>
        <v/>
      </c>
      <c r="K74" s="12" t="str">
        <f>IFERROR(INDEX(MASTER!$Q$2:$Q$2000,MATCH($A74,MASTER!$A$2:$A$2000,0))&amp;"","")</f>
        <v/>
      </c>
      <c r="L74" s="12" t="str">
        <f>IFERROR(INDEX(MASTER!$R$2:$R$2000,MATCH($A74,MASTER!$A$2:$A$2000,0))&amp;"","")</f>
        <v/>
      </c>
    </row>
    <row r="75" spans="1:12" x14ac:dyDescent="0.25">
      <c r="A75" s="15" t="s">
        <v>489</v>
      </c>
      <c r="B75" s="12" t="str">
        <f>IFERROR(INDEX(MASTER!$C$2:$C$2000,MATCH($A75,MASTER!$A$2:$A$2000,0))&amp;"","")</f>
        <v>TESTING</v>
      </c>
      <c r="C75" s="16">
        <f>IFERROR(INDEX(MASTER!$B$2:$B$2000,MATCH($A75,MASTER!$A$2:$A$2000,0)),"")</f>
        <v>3</v>
      </c>
      <c r="D75" s="12" t="str">
        <f>IFERROR(INDEX(MASTER!$D$2:$D$2000,MATCH($A75,MASTER!$A$2:$A$2000,0))&amp;"","")</f>
        <v>Word-authored fixtures in the repository</v>
      </c>
      <c r="E75" s="12" t="str">
        <f>IFERROR(INDEX(MASTER!$F$2:$F$2000,MATCH($A75,MASTER!$A$2:$A$2000,0))&amp;"","")</f>
        <v>P0</v>
      </c>
      <c r="F75" s="12" t="str">
        <f>IFERROR(INDEX(MASTER!$G$2:$G$2000,MATCH($A75,MASTER!$A$2:$A$2000,0))&amp;"","NOT IN MASTER")</f>
        <v>NOT_STARTED</v>
      </c>
      <c r="G75" s="12" t="str">
        <f>IFERROR(INDEX(MASTER!$H$2:$H$2000,MATCH($A75,MASTER!$A$2:$A$2000,0))&amp;"","")</f>
        <v/>
      </c>
      <c r="H75" s="12" t="str">
        <f>IFERROR(INDEX(MASTER!$I$2:$I$2000,MATCH($A75,MASTER!$A$2:$A$2000,0))&amp;"","")</f>
        <v/>
      </c>
      <c r="I75" s="19" t="str">
        <f>IFERROR(IF(INDEX(MASTER!$O$2:$O$2000,MATCH($A75,MASTER!$A$2:$A$2000,0))="","",INDEX(MASTER!$O$2:$O$2000,MATCH($A75,MASTER!$A$2:$A$2000,0))),"")</f>
        <v/>
      </c>
      <c r="J75" s="12" t="str">
        <f>IFERROR(INDEX(MASTER!$P$2:$P$2000,MATCH($A75,MASTER!$A$2:$A$2000,0))&amp;"","")</f>
        <v/>
      </c>
      <c r="K75" s="12" t="str">
        <f>IFERROR(INDEX(MASTER!$Q$2:$Q$2000,MATCH($A75,MASTER!$A$2:$A$2000,0))&amp;"","")</f>
        <v/>
      </c>
      <c r="L75" s="12" t="str">
        <f>IFERROR(INDEX(MASTER!$R$2:$R$2000,MATCH($A75,MASTER!$A$2:$A$2000,0))&amp;"","")</f>
        <v/>
      </c>
    </row>
    <row r="76" spans="1:12" x14ac:dyDescent="0.25">
      <c r="A76" s="15" t="s">
        <v>493</v>
      </c>
      <c r="B76" s="12" t="str">
        <f>IFERROR(INDEX(MASTER!$C$2:$C$2000,MATCH($A76,MASTER!$A$2:$A$2000,0))&amp;"","")</f>
        <v>TESTING</v>
      </c>
      <c r="C76" s="16">
        <f>IFERROR(INDEX(MASTER!$B$2:$B$2000,MATCH($A76,MASTER!$A$2:$A$2000,0)),"")</f>
        <v>3</v>
      </c>
      <c r="D76" s="12" t="str">
        <f>IFERROR(INDEX(MASTER!$D$2:$D$2000,MATCH($A76,MASTER!$A$2:$A$2000,0))&amp;"","")</f>
        <v>Expected-loss manifests in CI</v>
      </c>
      <c r="E76" s="12" t="str">
        <f>IFERROR(INDEX(MASTER!$F$2:$F$2000,MATCH($A76,MASTER!$A$2:$A$2000,0))&amp;"","")</f>
        <v>P0</v>
      </c>
      <c r="F76" s="12" t="str">
        <f>IFERROR(INDEX(MASTER!$G$2:$G$2000,MATCH($A76,MASTER!$A$2:$A$2000,0))&amp;"","NOT IN MASTER")</f>
        <v>NOT_STARTED</v>
      </c>
      <c r="G76" s="12" t="str">
        <f>IFERROR(INDEX(MASTER!$H$2:$H$2000,MATCH($A76,MASTER!$A$2:$A$2000,0))&amp;"","")</f>
        <v/>
      </c>
      <c r="H76" s="12" t="str">
        <f>IFERROR(INDEX(MASTER!$I$2:$I$2000,MATCH($A76,MASTER!$A$2:$A$2000,0))&amp;"","")</f>
        <v/>
      </c>
      <c r="I76" s="19" t="str">
        <f>IFERROR(IF(INDEX(MASTER!$O$2:$O$2000,MATCH($A76,MASTER!$A$2:$A$2000,0))="","",INDEX(MASTER!$O$2:$O$2000,MATCH($A76,MASTER!$A$2:$A$2000,0))),"")</f>
        <v/>
      </c>
      <c r="J76" s="12" t="str">
        <f>IFERROR(INDEX(MASTER!$P$2:$P$2000,MATCH($A76,MASTER!$A$2:$A$2000,0))&amp;"","")</f>
        <v/>
      </c>
      <c r="K76" s="12" t="str">
        <f>IFERROR(INDEX(MASTER!$Q$2:$Q$2000,MATCH($A76,MASTER!$A$2:$A$2000,0))&amp;"","")</f>
        <v/>
      </c>
      <c r="L76" s="12" t="str">
        <f>IFERROR(INDEX(MASTER!$R$2:$R$2000,MATCH($A76,MASTER!$A$2:$A$2000,0))&amp;"","")</f>
        <v>TEST-020</v>
      </c>
    </row>
    <row r="77" spans="1:12" x14ac:dyDescent="0.25">
      <c r="A77" s="15" t="s">
        <v>496</v>
      </c>
      <c r="B77" s="12" t="str">
        <f>IFERROR(INDEX(MASTER!$C$2:$C$2000,MATCH($A77,MASTER!$A$2:$A$2000,0))&amp;"","")</f>
        <v>TESTING</v>
      </c>
      <c r="C77" s="16">
        <f>IFERROR(INDEX(MASTER!$B$2:$B$2000,MATCH($A77,MASTER!$A$2:$A$2000,0)),"")</f>
        <v>3</v>
      </c>
      <c r="D77" s="12" t="str">
        <f>IFERROR(INDEX(MASTER!$D$2:$D$2000,MATCH($A77,MASTER!$A$2:$A$2000,0))&amp;"","")</f>
        <v>True fidelity test</v>
      </c>
      <c r="E77" s="12" t="str">
        <f>IFERROR(INDEX(MASTER!$F$2:$F$2000,MATCH($A77,MASTER!$A$2:$A$2000,0))&amp;"","")</f>
        <v>P0</v>
      </c>
      <c r="F77" s="12" t="str">
        <f>IFERROR(INDEX(MASTER!$G$2:$G$2000,MATCH($A77,MASTER!$A$2:$A$2000,0))&amp;"","NOT IN MASTER")</f>
        <v>NOT_STARTED</v>
      </c>
      <c r="G77" s="12" t="str">
        <f>IFERROR(INDEX(MASTER!$H$2:$H$2000,MATCH($A77,MASTER!$A$2:$A$2000,0))&amp;"","")</f>
        <v/>
      </c>
      <c r="H77" s="12" t="str">
        <f>IFERROR(INDEX(MASTER!$I$2:$I$2000,MATCH($A77,MASTER!$A$2:$A$2000,0))&amp;"","")</f>
        <v/>
      </c>
      <c r="I77" s="19" t="str">
        <f>IFERROR(IF(INDEX(MASTER!$O$2:$O$2000,MATCH($A77,MASTER!$A$2:$A$2000,0))="","",INDEX(MASTER!$O$2:$O$2000,MATCH($A77,MASTER!$A$2:$A$2000,0))),"")</f>
        <v/>
      </c>
      <c r="J77" s="12" t="str">
        <f>IFERROR(INDEX(MASTER!$P$2:$P$2000,MATCH($A77,MASTER!$A$2:$A$2000,0))&amp;"","")</f>
        <v/>
      </c>
      <c r="K77" s="12" t="str">
        <f>IFERROR(INDEX(MASTER!$Q$2:$Q$2000,MATCH($A77,MASTER!$A$2:$A$2000,0))&amp;"","")</f>
        <v/>
      </c>
      <c r="L77" s="12" t="str">
        <f>IFERROR(INDEX(MASTER!$R$2:$R$2000,MATCH($A77,MASTER!$A$2:$A$2000,0))&amp;"","")</f>
        <v>TEST-020</v>
      </c>
    </row>
    <row r="78" spans="1:12" x14ac:dyDescent="0.25">
      <c r="A78" s="15" t="s">
        <v>502</v>
      </c>
      <c r="B78" s="12" t="str">
        <f>IFERROR(INDEX(MASTER!$C$2:$C$2000,MATCH($A78,MASTER!$A$2:$A$2000,0))&amp;"","")</f>
        <v>DOCX</v>
      </c>
      <c r="C78" s="16">
        <f>IFERROR(INDEX(MASTER!$B$2:$B$2000,MATCH($A78,MASTER!$A$2:$A$2000,0)),"")</f>
        <v>3</v>
      </c>
      <c r="D78" s="12" t="str">
        <f>IFERROR(INDEX(MASTER!$D$2:$D$2000,MATCH($A78,MASTER!$A$2:$A$2000,0))&amp;"","")</f>
        <v>Importer builds nested blocks</v>
      </c>
      <c r="E78" s="12" t="str">
        <f>IFERROR(INDEX(MASTER!$F$2:$F$2000,MATCH($A78,MASTER!$A$2:$A$2000,0))&amp;"","")</f>
        <v>P0</v>
      </c>
      <c r="F78" s="12" t="str">
        <f>IFERROR(INDEX(MASTER!$G$2:$G$2000,MATCH($A78,MASTER!$A$2:$A$2000,0))&amp;"","NOT IN MASTER")</f>
        <v>NOT_STARTED</v>
      </c>
      <c r="G78" s="12" t="str">
        <f>IFERROR(INDEX(MASTER!$H$2:$H$2000,MATCH($A78,MASTER!$A$2:$A$2000,0))&amp;"","")</f>
        <v/>
      </c>
      <c r="H78" s="12" t="str">
        <f>IFERROR(INDEX(MASTER!$I$2:$I$2000,MATCH($A78,MASTER!$A$2:$A$2000,0))&amp;"","")</f>
        <v/>
      </c>
      <c r="I78" s="19" t="str">
        <f>IFERROR(IF(INDEX(MASTER!$O$2:$O$2000,MATCH($A78,MASTER!$A$2:$A$2000,0))="","",INDEX(MASTER!$O$2:$O$2000,MATCH($A78,MASTER!$A$2:$A$2000,0))),"")</f>
        <v/>
      </c>
      <c r="J78" s="12" t="str">
        <f>IFERROR(INDEX(MASTER!$P$2:$P$2000,MATCH($A78,MASTER!$A$2:$A$2000,0))&amp;"","")</f>
        <v/>
      </c>
      <c r="K78" s="12" t="str">
        <f>IFERROR(INDEX(MASTER!$Q$2:$Q$2000,MATCH($A78,MASTER!$A$2:$A$2000,0))&amp;"","")</f>
        <v/>
      </c>
      <c r="L78" s="12" t="str">
        <f>IFERROR(INDEX(MASTER!$R$2:$R$2000,MATCH($A78,MASTER!$A$2:$A$2000,0))&amp;"","")</f>
        <v/>
      </c>
    </row>
    <row r="79" spans="1:12" x14ac:dyDescent="0.25">
      <c r="A79" s="15" t="s">
        <v>506</v>
      </c>
      <c r="B79" s="12" t="str">
        <f>IFERROR(INDEX(MASTER!$C$2:$C$2000,MATCH($A79,MASTER!$A$2:$A$2000,0))&amp;"","")</f>
        <v>SECURITY</v>
      </c>
      <c r="C79" s="16">
        <f>IFERROR(INDEX(MASTER!$B$2:$B$2000,MATCH($A79,MASTER!$A$2:$A$2000,0)),"")</f>
        <v>4</v>
      </c>
      <c r="D79" s="12" t="str">
        <f>IFERROR(INDEX(MASTER!$D$2:$D$2000,MATCH($A79,MASTER!$A$2:$A$2000,0))&amp;"","")</f>
        <v>Malformed DOCX -&gt; safe 4xx</v>
      </c>
      <c r="E79" s="12" t="str">
        <f>IFERROR(INDEX(MASTER!$F$2:$F$2000,MATCH($A79,MASTER!$A$2:$A$2000,0))&amp;"","")</f>
        <v>P0</v>
      </c>
      <c r="F79" s="12" t="str">
        <f>IFERROR(INDEX(MASTER!$G$2:$G$2000,MATCH($A79,MASTER!$A$2:$A$2000,0))&amp;"","NOT IN MASTER")</f>
        <v>NOT_STARTED</v>
      </c>
      <c r="G79" s="12" t="str">
        <f>IFERROR(INDEX(MASTER!$H$2:$H$2000,MATCH($A79,MASTER!$A$2:$A$2000,0))&amp;"","")</f>
        <v/>
      </c>
      <c r="H79" s="12" t="str">
        <f>IFERROR(INDEX(MASTER!$I$2:$I$2000,MATCH($A79,MASTER!$A$2:$A$2000,0))&amp;"","")</f>
        <v/>
      </c>
      <c r="I79" s="19" t="str">
        <f>IFERROR(IF(INDEX(MASTER!$O$2:$O$2000,MATCH($A79,MASTER!$A$2:$A$2000,0))="","",INDEX(MASTER!$O$2:$O$2000,MATCH($A79,MASTER!$A$2:$A$2000,0))),"")</f>
        <v/>
      </c>
      <c r="J79" s="12" t="str">
        <f>IFERROR(INDEX(MASTER!$P$2:$P$2000,MATCH($A79,MASTER!$A$2:$A$2000,0))&amp;"","")</f>
        <v/>
      </c>
      <c r="K79" s="12" t="str">
        <f>IFERROR(INDEX(MASTER!$Q$2:$Q$2000,MATCH($A79,MASTER!$A$2:$A$2000,0))&amp;"","")</f>
        <v/>
      </c>
      <c r="L79" s="12" t="str">
        <f>IFERROR(INDEX(MASTER!$R$2:$R$2000,MATCH($A79,MASTER!$A$2:$A$2000,0))&amp;"","")</f>
        <v/>
      </c>
    </row>
    <row r="80" spans="1:12" x14ac:dyDescent="0.25">
      <c r="A80" s="15" t="s">
        <v>510</v>
      </c>
      <c r="B80" s="12" t="str">
        <f>IFERROR(INDEX(MASTER!$C$2:$C$2000,MATCH($A80,MASTER!$A$2:$A$2000,0))&amp;"","")</f>
        <v>SECURITY</v>
      </c>
      <c r="C80" s="16">
        <f>IFERROR(INDEX(MASTER!$B$2:$B$2000,MATCH($A80,MASTER!$A$2:$A$2000,0)),"")</f>
        <v>4</v>
      </c>
      <c r="D80" s="12" t="str">
        <f>IFERROR(INDEX(MASTER!$D$2:$D$2000,MATCH($A80,MASTER!$A$2:$A$2000,0))&amp;"","")</f>
        <v>Malformed PDF -&gt; safe 4xx</v>
      </c>
      <c r="E80" s="12" t="str">
        <f>IFERROR(INDEX(MASTER!$F$2:$F$2000,MATCH($A80,MASTER!$A$2:$A$2000,0))&amp;"","")</f>
        <v>P0</v>
      </c>
      <c r="F80" s="12" t="str">
        <f>IFERROR(INDEX(MASTER!$G$2:$G$2000,MATCH($A80,MASTER!$A$2:$A$2000,0))&amp;"","NOT IN MASTER")</f>
        <v>NOT_STARTED</v>
      </c>
      <c r="G80" s="12" t="str">
        <f>IFERROR(INDEX(MASTER!$H$2:$H$2000,MATCH($A80,MASTER!$A$2:$A$2000,0))&amp;"","")</f>
        <v/>
      </c>
      <c r="H80" s="12" t="str">
        <f>IFERROR(INDEX(MASTER!$I$2:$I$2000,MATCH($A80,MASTER!$A$2:$A$2000,0))&amp;"","")</f>
        <v/>
      </c>
      <c r="I80" s="19" t="str">
        <f>IFERROR(IF(INDEX(MASTER!$O$2:$O$2000,MATCH($A80,MASTER!$A$2:$A$2000,0))="","",INDEX(MASTER!$O$2:$O$2000,MATCH($A80,MASTER!$A$2:$A$2000,0))),"")</f>
        <v/>
      </c>
      <c r="J80" s="12" t="str">
        <f>IFERROR(INDEX(MASTER!$P$2:$P$2000,MATCH($A80,MASTER!$A$2:$A$2000,0))&amp;"","")</f>
        <v/>
      </c>
      <c r="K80" s="12" t="str">
        <f>IFERROR(INDEX(MASTER!$Q$2:$Q$2000,MATCH($A80,MASTER!$A$2:$A$2000,0))&amp;"","")</f>
        <v/>
      </c>
      <c r="L80" s="12" t="str">
        <f>IFERROR(INDEX(MASTER!$R$2:$R$2000,MATCH($A80,MASTER!$A$2:$A$2000,0))&amp;"","")</f>
        <v/>
      </c>
    </row>
    <row r="81" spans="1:12" x14ac:dyDescent="0.25">
      <c r="A81" s="15" t="s">
        <v>513</v>
      </c>
      <c r="B81" s="12" t="str">
        <f>IFERROR(INDEX(MASTER!$C$2:$C$2000,MATCH($A81,MASTER!$A$2:$A$2000,0))&amp;"","")</f>
        <v>SECURITY</v>
      </c>
      <c r="C81" s="16">
        <f>IFERROR(INDEX(MASTER!$B$2:$B$2000,MATCH($A81,MASTER!$A$2:$A$2000,0)),"")</f>
        <v>4</v>
      </c>
      <c r="D81" s="12" t="str">
        <f>IFERROR(INDEX(MASTER!$D$2:$D$2000,MATCH($A81,MASTER!$A$2:$A$2000,0))&amp;"","")</f>
        <v>Image resource limits</v>
      </c>
      <c r="E81" s="12" t="str">
        <f>IFERROR(INDEX(MASTER!$F$2:$F$2000,MATCH($A81,MASTER!$A$2:$A$2000,0))&amp;"","")</f>
        <v>P0</v>
      </c>
      <c r="F81" s="12" t="str">
        <f>IFERROR(INDEX(MASTER!$G$2:$G$2000,MATCH($A81,MASTER!$A$2:$A$2000,0))&amp;"","NOT IN MASTER")</f>
        <v>NOT_STARTED</v>
      </c>
      <c r="G81" s="12" t="str">
        <f>IFERROR(INDEX(MASTER!$H$2:$H$2000,MATCH($A81,MASTER!$A$2:$A$2000,0))&amp;"","")</f>
        <v/>
      </c>
      <c r="H81" s="12" t="str">
        <f>IFERROR(INDEX(MASTER!$I$2:$I$2000,MATCH($A81,MASTER!$A$2:$A$2000,0))&amp;"","")</f>
        <v/>
      </c>
      <c r="I81" s="19" t="str">
        <f>IFERROR(IF(INDEX(MASTER!$O$2:$O$2000,MATCH($A81,MASTER!$A$2:$A$2000,0))="","",INDEX(MASTER!$O$2:$O$2000,MATCH($A81,MASTER!$A$2:$A$2000,0))),"")</f>
        <v/>
      </c>
      <c r="J81" s="12" t="str">
        <f>IFERROR(INDEX(MASTER!$P$2:$P$2000,MATCH($A81,MASTER!$A$2:$A$2000,0))&amp;"","")</f>
        <v/>
      </c>
      <c r="K81" s="12" t="str">
        <f>IFERROR(INDEX(MASTER!$Q$2:$Q$2000,MATCH($A81,MASTER!$A$2:$A$2000,0))&amp;"","")</f>
        <v/>
      </c>
      <c r="L81" s="12" t="str">
        <f>IFERROR(INDEX(MASTER!$R$2:$R$2000,MATCH($A81,MASTER!$A$2:$A$2000,0))&amp;"","")</f>
        <v/>
      </c>
    </row>
    <row r="82" spans="1:12" x14ac:dyDescent="0.25">
      <c r="A82" s="15" t="s">
        <v>521</v>
      </c>
      <c r="B82" s="12" t="str">
        <f>IFERROR(INDEX(MASTER!$C$2:$C$2000,MATCH($A82,MASTER!$A$2:$A$2000,0))&amp;"","")</f>
        <v>SECURITY</v>
      </c>
      <c r="C82" s="16">
        <f>IFERROR(INDEX(MASTER!$B$2:$B$2000,MATCH($A82,MASTER!$A$2:$A$2000,0)),"")</f>
        <v>4</v>
      </c>
      <c r="D82" s="12" t="str">
        <f>IFERROR(INDEX(MASTER!$D$2:$D$2000,MATCH($A82,MASTER!$A$2:$A$2000,0))&amp;"","")</f>
        <v>Href policy</v>
      </c>
      <c r="E82" s="12" t="str">
        <f>IFERROR(INDEX(MASTER!$F$2:$F$2000,MATCH($A82,MASTER!$A$2:$A$2000,0))&amp;"","")</f>
        <v>P0</v>
      </c>
      <c r="F82" s="12" t="str">
        <f>IFERROR(INDEX(MASTER!$G$2:$G$2000,MATCH($A82,MASTER!$A$2:$A$2000,0))&amp;"","NOT IN MASTER")</f>
        <v>NOT_STARTED</v>
      </c>
      <c r="G82" s="12" t="str">
        <f>IFERROR(INDEX(MASTER!$H$2:$H$2000,MATCH($A82,MASTER!$A$2:$A$2000,0))&amp;"","")</f>
        <v/>
      </c>
      <c r="H82" s="12" t="str">
        <f>IFERROR(INDEX(MASTER!$I$2:$I$2000,MATCH($A82,MASTER!$A$2:$A$2000,0))&amp;"","")</f>
        <v/>
      </c>
      <c r="I82" s="19" t="str">
        <f>IFERROR(IF(INDEX(MASTER!$O$2:$O$2000,MATCH($A82,MASTER!$A$2:$A$2000,0))="","",INDEX(MASTER!$O$2:$O$2000,MATCH($A82,MASTER!$A$2:$A$2000,0))),"")</f>
        <v/>
      </c>
      <c r="J82" s="12" t="str">
        <f>IFERROR(INDEX(MASTER!$P$2:$P$2000,MATCH($A82,MASTER!$A$2:$A$2000,0))&amp;"","")</f>
        <v/>
      </c>
      <c r="K82" s="12" t="str">
        <f>IFERROR(INDEX(MASTER!$Q$2:$Q$2000,MATCH($A82,MASTER!$A$2:$A$2000,0))&amp;"","")</f>
        <v/>
      </c>
      <c r="L82" s="12" t="str">
        <f>IFERROR(INDEX(MASTER!$R$2:$R$2000,MATCH($A82,MASTER!$A$2:$A$2000,0))&amp;"","")</f>
        <v/>
      </c>
    </row>
    <row r="83" spans="1:12" x14ac:dyDescent="0.25">
      <c r="A83" s="15" t="s">
        <v>526</v>
      </c>
      <c r="B83" s="12" t="str">
        <f>IFERROR(INDEX(MASTER!$C$2:$C$2000,MATCH($A83,MASTER!$A$2:$A$2000,0))&amp;"","")</f>
        <v>SECURITY</v>
      </c>
      <c r="C83" s="16">
        <f>IFERROR(INDEX(MASTER!$B$2:$B$2000,MATCH($A83,MASTER!$A$2:$A$2000,0)),"")</f>
        <v>4</v>
      </c>
      <c r="D83" s="12" t="str">
        <f>IFERROR(INDEX(MASTER!$D$2:$D$2000,MATCH($A83,MASTER!$A$2:$A$2000,0))&amp;"","")</f>
        <v>Field instruction allowlist</v>
      </c>
      <c r="E83" s="12" t="str">
        <f>IFERROR(INDEX(MASTER!$F$2:$F$2000,MATCH($A83,MASTER!$A$2:$A$2000,0))&amp;"","")</f>
        <v>P0</v>
      </c>
      <c r="F83" s="12" t="str">
        <f>IFERROR(INDEX(MASTER!$G$2:$G$2000,MATCH($A83,MASTER!$A$2:$A$2000,0))&amp;"","NOT IN MASTER")</f>
        <v>NOT_STARTED</v>
      </c>
      <c r="G83" s="12" t="str">
        <f>IFERROR(INDEX(MASTER!$H$2:$H$2000,MATCH($A83,MASTER!$A$2:$A$2000,0))&amp;"","")</f>
        <v/>
      </c>
      <c r="H83" s="12" t="str">
        <f>IFERROR(INDEX(MASTER!$I$2:$I$2000,MATCH($A83,MASTER!$A$2:$A$2000,0))&amp;"","")</f>
        <v/>
      </c>
      <c r="I83" s="19" t="str">
        <f>IFERROR(IF(INDEX(MASTER!$O$2:$O$2000,MATCH($A83,MASTER!$A$2:$A$2000,0))="","",INDEX(MASTER!$O$2:$O$2000,MATCH($A83,MASTER!$A$2:$A$2000,0))),"")</f>
        <v/>
      </c>
      <c r="J83" s="12" t="str">
        <f>IFERROR(INDEX(MASTER!$P$2:$P$2000,MATCH($A83,MASTER!$A$2:$A$2000,0))&amp;"","")</f>
        <v/>
      </c>
      <c r="K83" s="12" t="str">
        <f>IFERROR(INDEX(MASTER!$Q$2:$Q$2000,MATCH($A83,MASTER!$A$2:$A$2000,0))&amp;"","")</f>
        <v/>
      </c>
      <c r="L83" s="12" t="str">
        <f>IFERROR(INDEX(MASTER!$R$2:$R$2000,MATCH($A83,MASTER!$A$2:$A$2000,0))&amp;"","")</f>
        <v/>
      </c>
    </row>
    <row r="84" spans="1:12" x14ac:dyDescent="0.25">
      <c r="A84" s="15" t="s">
        <v>545</v>
      </c>
      <c r="B84" s="12" t="str">
        <f>IFERROR(INDEX(MASTER!$C$2:$C$2000,MATCH($A84,MASTER!$A$2:$A$2000,0))&amp;"","")</f>
        <v>TESTING</v>
      </c>
      <c r="C84" s="16">
        <f>IFERROR(INDEX(MASTER!$B$2:$B$2000,MATCH($A84,MASTER!$A$2:$A$2000,0)),"")</f>
        <v>4</v>
      </c>
      <c r="D84" s="12" t="str">
        <f>IFERROR(INDEX(MASTER!$D$2:$D$2000,MATCH($A84,MASTER!$A$2:$A$2000,0))&amp;"","")</f>
        <v>Security regression suite</v>
      </c>
      <c r="E84" s="12" t="str">
        <f>IFERROR(INDEX(MASTER!$F$2:$F$2000,MATCH($A84,MASTER!$A$2:$A$2000,0))&amp;"","")</f>
        <v>P0</v>
      </c>
      <c r="F84" s="12" t="str">
        <f>IFERROR(INDEX(MASTER!$G$2:$G$2000,MATCH($A84,MASTER!$A$2:$A$2000,0))&amp;"","NOT IN MASTER")</f>
        <v>NOT_STARTED</v>
      </c>
      <c r="G84" s="12" t="str">
        <f>IFERROR(INDEX(MASTER!$H$2:$H$2000,MATCH($A84,MASTER!$A$2:$A$2000,0))&amp;"","")</f>
        <v/>
      </c>
      <c r="H84" s="12" t="str">
        <f>IFERROR(INDEX(MASTER!$I$2:$I$2000,MATCH($A84,MASTER!$A$2:$A$2000,0))&amp;"","")</f>
        <v/>
      </c>
      <c r="I84" s="19" t="str">
        <f>IFERROR(IF(INDEX(MASTER!$O$2:$O$2000,MATCH($A84,MASTER!$A$2:$A$2000,0))="","",INDEX(MASTER!$O$2:$O$2000,MATCH($A84,MASTER!$A$2:$A$2000,0))),"")</f>
        <v/>
      </c>
      <c r="J84" s="12" t="str">
        <f>IFERROR(INDEX(MASTER!$P$2:$P$2000,MATCH($A84,MASTER!$A$2:$A$2000,0))&amp;"","")</f>
        <v/>
      </c>
      <c r="K84" s="12" t="str">
        <f>IFERROR(INDEX(MASTER!$Q$2:$Q$2000,MATCH($A84,MASTER!$A$2:$A$2000,0))&amp;"","")</f>
        <v/>
      </c>
      <c r="L84" s="12" t="str">
        <f>IFERROR(INDEX(MASTER!$R$2:$R$2000,MATCH($A84,MASTER!$A$2:$A$2000,0))&amp;"","")</f>
        <v/>
      </c>
    </row>
    <row r="85" spans="1:12" x14ac:dyDescent="0.25">
      <c r="A85" s="15" t="s">
        <v>555</v>
      </c>
      <c r="B85" s="12" t="str">
        <f>IFERROR(INDEX(MASTER!$C$2:$C$2000,MATCH($A85,MASTER!$A$2:$A$2000,0))&amp;"","")</f>
        <v>PERFORMANCE</v>
      </c>
      <c r="C85" s="16">
        <f>IFERROR(INDEX(MASTER!$B$2:$B$2000,MATCH($A85,MASTER!$A$2:$A$2000,0)),"")</f>
        <v>5</v>
      </c>
      <c r="D85" s="12" t="str">
        <f>IFERROR(INDEX(MASTER!$D$2:$D$2000,MATCH($A85,MASTER!$A$2:$A$2000,0))&amp;"","")</f>
        <v>Linear DOCX table export</v>
      </c>
      <c r="E85" s="12" t="str">
        <f>IFERROR(INDEX(MASTER!$F$2:$F$2000,MATCH($A85,MASTER!$A$2:$A$2000,0))&amp;"","")</f>
        <v>P0</v>
      </c>
      <c r="F85" s="12" t="str">
        <f>IFERROR(INDEX(MASTER!$G$2:$G$2000,MATCH($A85,MASTER!$A$2:$A$2000,0))&amp;"","NOT IN MASTER")</f>
        <v>NOT_STARTED</v>
      </c>
      <c r="G85" s="12" t="str">
        <f>IFERROR(INDEX(MASTER!$H$2:$H$2000,MATCH($A85,MASTER!$A$2:$A$2000,0))&amp;"","")</f>
        <v/>
      </c>
      <c r="H85" s="12" t="str">
        <f>IFERROR(INDEX(MASTER!$I$2:$I$2000,MATCH($A85,MASTER!$A$2:$A$2000,0))&amp;"","")</f>
        <v/>
      </c>
      <c r="I85" s="19" t="str">
        <f>IFERROR(IF(INDEX(MASTER!$O$2:$O$2000,MATCH($A85,MASTER!$A$2:$A$2000,0))="","",INDEX(MASTER!$O$2:$O$2000,MATCH($A85,MASTER!$A$2:$A$2000,0))),"")</f>
        <v/>
      </c>
      <c r="J85" s="12" t="str">
        <f>IFERROR(INDEX(MASTER!$P$2:$P$2000,MATCH($A85,MASTER!$A$2:$A$2000,0))&amp;"","")</f>
        <v/>
      </c>
      <c r="K85" s="12" t="str">
        <f>IFERROR(INDEX(MASTER!$Q$2:$Q$2000,MATCH($A85,MASTER!$A$2:$A$2000,0))&amp;"","")</f>
        <v/>
      </c>
      <c r="L85" s="12" t="str">
        <f>IFERROR(INDEX(MASTER!$R$2:$R$2000,MATCH($A85,MASTER!$A$2:$A$2000,0))&amp;"","")</f>
        <v/>
      </c>
    </row>
    <row r="86" spans="1:12" x14ac:dyDescent="0.25">
      <c r="A86" s="15" t="s">
        <v>582</v>
      </c>
      <c r="B86" s="12" t="str">
        <f>IFERROR(INDEX(MASTER!$C$2:$C$2000,MATCH($A86,MASTER!$A$2:$A$2000,0))&amp;"","")</f>
        <v>ACCOUNT</v>
      </c>
      <c r="C86" s="16">
        <f>IFERROR(INDEX(MASTER!$B$2:$B$2000,MATCH($A86,MASTER!$A$2:$A$2000,0)),"")</f>
        <v>6</v>
      </c>
      <c r="D86" s="12" t="str">
        <f>IFERROR(INDEX(MASTER!$D$2:$D$2000,MATCH($A86,MASTER!$A$2:$A$2000,0))&amp;"","")</f>
        <v>E-mail sender abstraction</v>
      </c>
      <c r="E86" s="12" t="str">
        <f>IFERROR(INDEX(MASTER!$F$2:$F$2000,MATCH($A86,MASTER!$A$2:$A$2000,0))&amp;"","")</f>
        <v>P0</v>
      </c>
      <c r="F86" s="12" t="str">
        <f>IFERROR(INDEX(MASTER!$G$2:$G$2000,MATCH($A86,MASTER!$A$2:$A$2000,0))&amp;"","NOT IN MASTER")</f>
        <v>NOT_STARTED</v>
      </c>
      <c r="G86" s="12" t="str">
        <f>IFERROR(INDEX(MASTER!$H$2:$H$2000,MATCH($A86,MASTER!$A$2:$A$2000,0))&amp;"","")</f>
        <v/>
      </c>
      <c r="H86" s="12" t="str">
        <f>IFERROR(INDEX(MASTER!$I$2:$I$2000,MATCH($A86,MASTER!$A$2:$A$2000,0))&amp;"","")</f>
        <v/>
      </c>
      <c r="I86" s="19" t="str">
        <f>IFERROR(IF(INDEX(MASTER!$O$2:$O$2000,MATCH($A86,MASTER!$A$2:$A$2000,0))="","",INDEX(MASTER!$O$2:$O$2000,MATCH($A86,MASTER!$A$2:$A$2000,0))),"")</f>
        <v/>
      </c>
      <c r="J86" s="12" t="str">
        <f>IFERROR(INDEX(MASTER!$P$2:$P$2000,MATCH($A86,MASTER!$A$2:$A$2000,0))&amp;"","")</f>
        <v/>
      </c>
      <c r="K86" s="12" t="str">
        <f>IFERROR(INDEX(MASTER!$Q$2:$Q$2000,MATCH($A86,MASTER!$A$2:$A$2000,0))&amp;"","")</f>
        <v/>
      </c>
      <c r="L86" s="12" t="str">
        <f>IFERROR(INDEX(MASTER!$R$2:$R$2000,MATCH($A86,MASTER!$A$2:$A$2000,0))&amp;"","")</f>
        <v/>
      </c>
    </row>
    <row r="87" spans="1:12" x14ac:dyDescent="0.25">
      <c r="A87" s="15" t="s">
        <v>586</v>
      </c>
      <c r="B87" s="12" t="str">
        <f>IFERROR(INDEX(MASTER!$C$2:$C$2000,MATCH($A87,MASTER!$A$2:$A$2000,0))&amp;"","")</f>
        <v>ACCOUNT</v>
      </c>
      <c r="C87" s="16">
        <f>IFERROR(INDEX(MASTER!$B$2:$B$2000,MATCH($A87,MASTER!$A$2:$A$2000,0)),"")</f>
        <v>6</v>
      </c>
      <c r="D87" s="12" t="str">
        <f>IFERROR(INDEX(MASTER!$D$2:$D$2000,MATCH($A87,MASTER!$A$2:$A$2000,0))&amp;"","")</f>
        <v>Password reset</v>
      </c>
      <c r="E87" s="12" t="str">
        <f>IFERROR(INDEX(MASTER!$F$2:$F$2000,MATCH($A87,MASTER!$A$2:$A$2000,0))&amp;"","")</f>
        <v>P0</v>
      </c>
      <c r="F87" s="12" t="str">
        <f>IFERROR(INDEX(MASTER!$G$2:$G$2000,MATCH($A87,MASTER!$A$2:$A$2000,0))&amp;"","NOT IN MASTER")</f>
        <v>NOT_STARTED</v>
      </c>
      <c r="G87" s="12" t="str">
        <f>IFERROR(INDEX(MASTER!$H$2:$H$2000,MATCH($A87,MASTER!$A$2:$A$2000,0))&amp;"","")</f>
        <v/>
      </c>
      <c r="H87" s="12" t="str">
        <f>IFERROR(INDEX(MASTER!$I$2:$I$2000,MATCH($A87,MASTER!$A$2:$A$2000,0))&amp;"","")</f>
        <v/>
      </c>
      <c r="I87" s="19" t="str">
        <f>IFERROR(IF(INDEX(MASTER!$O$2:$O$2000,MATCH($A87,MASTER!$A$2:$A$2000,0))="","",INDEX(MASTER!$O$2:$O$2000,MATCH($A87,MASTER!$A$2:$A$2000,0))),"")</f>
        <v/>
      </c>
      <c r="J87" s="12" t="str">
        <f>IFERROR(INDEX(MASTER!$P$2:$P$2000,MATCH($A87,MASTER!$A$2:$A$2000,0))&amp;"","")</f>
        <v/>
      </c>
      <c r="K87" s="12" t="str">
        <f>IFERROR(INDEX(MASTER!$Q$2:$Q$2000,MATCH($A87,MASTER!$A$2:$A$2000,0))&amp;"","")</f>
        <v/>
      </c>
      <c r="L87" s="12" t="str">
        <f>IFERROR(INDEX(MASTER!$R$2:$R$2000,MATCH($A87,MASTER!$A$2:$A$2000,0))&amp;"","")</f>
        <v/>
      </c>
    </row>
    <row r="88" spans="1:12" x14ac:dyDescent="0.25">
      <c r="A88" s="15" t="s">
        <v>590</v>
      </c>
      <c r="B88" s="12" t="str">
        <f>IFERROR(INDEX(MASTER!$C$2:$C$2000,MATCH($A88,MASTER!$A$2:$A$2000,0))&amp;"","")</f>
        <v>ACCOUNT</v>
      </c>
      <c r="C88" s="16">
        <f>IFERROR(INDEX(MASTER!$B$2:$B$2000,MATCH($A88,MASTER!$A$2:$A$2000,0)),"")</f>
        <v>6</v>
      </c>
      <c r="D88" s="12" t="str">
        <f>IFERROR(INDEX(MASTER!$D$2:$D$2000,MATCH($A88,MASTER!$A$2:$A$2000,0))&amp;"","")</f>
        <v>E-mail verification</v>
      </c>
      <c r="E88" s="12" t="str">
        <f>IFERROR(INDEX(MASTER!$F$2:$F$2000,MATCH($A88,MASTER!$A$2:$A$2000,0))&amp;"","")</f>
        <v>P0</v>
      </c>
      <c r="F88" s="12" t="str">
        <f>IFERROR(INDEX(MASTER!$G$2:$G$2000,MATCH($A88,MASTER!$A$2:$A$2000,0))&amp;"","NOT IN MASTER")</f>
        <v>NOT_STARTED</v>
      </c>
      <c r="G88" s="12" t="str">
        <f>IFERROR(INDEX(MASTER!$H$2:$H$2000,MATCH($A88,MASTER!$A$2:$A$2000,0))&amp;"","")</f>
        <v/>
      </c>
      <c r="H88" s="12" t="str">
        <f>IFERROR(INDEX(MASTER!$I$2:$I$2000,MATCH($A88,MASTER!$A$2:$A$2000,0))&amp;"","")</f>
        <v/>
      </c>
      <c r="I88" s="19" t="str">
        <f>IFERROR(IF(INDEX(MASTER!$O$2:$O$2000,MATCH($A88,MASTER!$A$2:$A$2000,0))="","",INDEX(MASTER!$O$2:$O$2000,MATCH($A88,MASTER!$A$2:$A$2000,0))),"")</f>
        <v/>
      </c>
      <c r="J88" s="12" t="str">
        <f>IFERROR(INDEX(MASTER!$P$2:$P$2000,MATCH($A88,MASTER!$A$2:$A$2000,0))&amp;"","")</f>
        <v/>
      </c>
      <c r="K88" s="12" t="str">
        <f>IFERROR(INDEX(MASTER!$Q$2:$Q$2000,MATCH($A88,MASTER!$A$2:$A$2000,0))&amp;"","")</f>
        <v/>
      </c>
      <c r="L88" s="12" t="str">
        <f>IFERROR(INDEX(MASTER!$R$2:$R$2000,MATCH($A88,MASTER!$A$2:$A$2000,0))&amp;"","")</f>
        <v/>
      </c>
    </row>
    <row r="89" spans="1:12" x14ac:dyDescent="0.25">
      <c r="A89" s="15" t="s">
        <v>593</v>
      </c>
      <c r="B89" s="12" t="str">
        <f>IFERROR(INDEX(MASTER!$C$2:$C$2000,MATCH($A89,MASTER!$A$2:$A$2000,0))&amp;"","")</f>
        <v>ACCOUNT</v>
      </c>
      <c r="C89" s="16">
        <f>IFERROR(INDEX(MASTER!$B$2:$B$2000,MATCH($A89,MASTER!$A$2:$A$2000,0)),"")</f>
        <v>6</v>
      </c>
      <c r="D89" s="12" t="str">
        <f>IFERROR(INDEX(MASTER!$D$2:$D$2000,MATCH($A89,MASTER!$A$2:$A$2000,0))&amp;"","")</f>
        <v>Password change</v>
      </c>
      <c r="E89" s="12" t="str">
        <f>IFERROR(INDEX(MASTER!$F$2:$F$2000,MATCH($A89,MASTER!$A$2:$A$2000,0))&amp;"","")</f>
        <v>P0</v>
      </c>
      <c r="F89" s="12" t="str">
        <f>IFERROR(INDEX(MASTER!$G$2:$G$2000,MATCH($A89,MASTER!$A$2:$A$2000,0))&amp;"","NOT IN MASTER")</f>
        <v>NOT_STARTED</v>
      </c>
      <c r="G89" s="12" t="str">
        <f>IFERROR(INDEX(MASTER!$H$2:$H$2000,MATCH($A89,MASTER!$A$2:$A$2000,0))&amp;"","")</f>
        <v/>
      </c>
      <c r="H89" s="12" t="str">
        <f>IFERROR(INDEX(MASTER!$I$2:$I$2000,MATCH($A89,MASTER!$A$2:$A$2000,0))&amp;"","")</f>
        <v/>
      </c>
      <c r="I89" s="19" t="str">
        <f>IFERROR(IF(INDEX(MASTER!$O$2:$O$2000,MATCH($A89,MASTER!$A$2:$A$2000,0))="","",INDEX(MASTER!$O$2:$O$2000,MATCH($A89,MASTER!$A$2:$A$2000,0))),"")</f>
        <v/>
      </c>
      <c r="J89" s="12" t="str">
        <f>IFERROR(INDEX(MASTER!$P$2:$P$2000,MATCH($A89,MASTER!$A$2:$A$2000,0))&amp;"","")</f>
        <v/>
      </c>
      <c r="K89" s="12" t="str">
        <f>IFERROR(INDEX(MASTER!$Q$2:$Q$2000,MATCH($A89,MASTER!$A$2:$A$2000,0))&amp;"","")</f>
        <v/>
      </c>
      <c r="L89" s="12" t="str">
        <f>IFERROR(INDEX(MASTER!$R$2:$R$2000,MATCH($A89,MASTER!$A$2:$A$2000,0))&amp;"","")</f>
        <v/>
      </c>
    </row>
    <row r="90" spans="1:12" x14ac:dyDescent="0.25">
      <c r="A90" s="15" t="s">
        <v>596</v>
      </c>
      <c r="B90" s="12" t="str">
        <f>IFERROR(INDEX(MASTER!$C$2:$C$2000,MATCH($A90,MASTER!$A$2:$A$2000,0))&amp;"","")</f>
        <v>ACCOUNT</v>
      </c>
      <c r="C90" s="16">
        <f>IFERROR(INDEX(MASTER!$B$2:$B$2000,MATCH($A90,MASTER!$A$2:$A$2000,0)),"")</f>
        <v>6</v>
      </c>
      <c r="D90" s="12" t="str">
        <f>IFERROR(INDEX(MASTER!$D$2:$D$2000,MATCH($A90,MASTER!$A$2:$A$2000,0))&amp;"","")</f>
        <v>Account deletion</v>
      </c>
      <c r="E90" s="12" t="str">
        <f>IFERROR(INDEX(MASTER!$F$2:$F$2000,MATCH($A90,MASTER!$A$2:$A$2000,0))&amp;"","")</f>
        <v>P0</v>
      </c>
      <c r="F90" s="12" t="str">
        <f>IFERROR(INDEX(MASTER!$G$2:$G$2000,MATCH($A90,MASTER!$A$2:$A$2000,0))&amp;"","NOT IN MASTER")</f>
        <v>NOT_STARTED</v>
      </c>
      <c r="G90" s="12" t="str">
        <f>IFERROR(INDEX(MASTER!$H$2:$H$2000,MATCH($A90,MASTER!$A$2:$A$2000,0))&amp;"","")</f>
        <v/>
      </c>
      <c r="H90" s="12" t="str">
        <f>IFERROR(INDEX(MASTER!$I$2:$I$2000,MATCH($A90,MASTER!$A$2:$A$2000,0))&amp;"","")</f>
        <v/>
      </c>
      <c r="I90" s="19" t="str">
        <f>IFERROR(IF(INDEX(MASTER!$O$2:$O$2000,MATCH($A90,MASTER!$A$2:$A$2000,0))="","",INDEX(MASTER!$O$2:$O$2000,MATCH($A90,MASTER!$A$2:$A$2000,0))),"")</f>
        <v/>
      </c>
      <c r="J90" s="12" t="str">
        <f>IFERROR(INDEX(MASTER!$P$2:$P$2000,MATCH($A90,MASTER!$A$2:$A$2000,0))&amp;"","")</f>
        <v/>
      </c>
      <c r="K90" s="12" t="str">
        <f>IFERROR(INDEX(MASTER!$Q$2:$Q$2000,MATCH($A90,MASTER!$A$2:$A$2000,0))&amp;"","")</f>
        <v/>
      </c>
      <c r="L90" s="12" t="str">
        <f>IFERROR(INDEX(MASTER!$R$2:$R$2000,MATCH($A90,MASTER!$A$2:$A$2000,0))&amp;"","")</f>
        <v/>
      </c>
    </row>
    <row r="91" spans="1:12" x14ac:dyDescent="0.25">
      <c r="A91" s="15" t="s">
        <v>605</v>
      </c>
      <c r="B91" s="12" t="str">
        <f>IFERROR(INDEX(MASTER!$C$2:$C$2000,MATCH($A91,MASTER!$A$2:$A$2000,0))&amp;"","")</f>
        <v>BILLING</v>
      </c>
      <c r="C91" s="16">
        <f>IFERROR(INDEX(MASTER!$B$2:$B$2000,MATCH($A91,MASTER!$A$2:$A$2000,0)),"")</f>
        <v>6</v>
      </c>
      <c r="D91" s="12" t="str">
        <f>IFERROR(INDEX(MASTER!$D$2:$D$2000,MATCH($A91,MASTER!$A$2:$A$2000,0))&amp;"","")</f>
        <v>Usage units</v>
      </c>
      <c r="E91" s="12" t="str">
        <f>IFERROR(INDEX(MASTER!$F$2:$F$2000,MATCH($A91,MASTER!$A$2:$A$2000,0))&amp;"","")</f>
        <v>P0</v>
      </c>
      <c r="F91" s="12" t="str">
        <f>IFERROR(INDEX(MASTER!$G$2:$G$2000,MATCH($A91,MASTER!$A$2:$A$2000,0))&amp;"","NOT IN MASTER")</f>
        <v>NOT_STARTED</v>
      </c>
      <c r="G91" s="12" t="str">
        <f>IFERROR(INDEX(MASTER!$H$2:$H$2000,MATCH($A91,MASTER!$A$2:$A$2000,0))&amp;"","")</f>
        <v/>
      </c>
      <c r="H91" s="12" t="str">
        <f>IFERROR(INDEX(MASTER!$I$2:$I$2000,MATCH($A91,MASTER!$A$2:$A$2000,0))&amp;"","")</f>
        <v/>
      </c>
      <c r="I91" s="19" t="str">
        <f>IFERROR(IF(INDEX(MASTER!$O$2:$O$2000,MATCH($A91,MASTER!$A$2:$A$2000,0))="","",INDEX(MASTER!$O$2:$O$2000,MATCH($A91,MASTER!$A$2:$A$2000,0))),"")</f>
        <v/>
      </c>
      <c r="J91" s="12" t="str">
        <f>IFERROR(INDEX(MASTER!$P$2:$P$2000,MATCH($A91,MASTER!$A$2:$A$2000,0))&amp;"","")</f>
        <v/>
      </c>
      <c r="K91" s="12" t="str">
        <f>IFERROR(INDEX(MASTER!$Q$2:$Q$2000,MATCH($A91,MASTER!$A$2:$A$2000,0))&amp;"","")</f>
        <v/>
      </c>
      <c r="L91" s="12" t="str">
        <f>IFERROR(INDEX(MASTER!$R$2:$R$2000,MATCH($A91,MASTER!$A$2:$A$2000,0))&amp;"","")</f>
        <v/>
      </c>
    </row>
    <row r="92" spans="1:12" x14ac:dyDescent="0.25">
      <c r="A92" s="15" t="s">
        <v>613</v>
      </c>
      <c r="B92" s="12" t="str">
        <f>IFERROR(INDEX(MASTER!$C$2:$C$2000,MATCH($A92,MASTER!$A$2:$A$2000,0))&amp;"","")</f>
        <v>BILLING</v>
      </c>
      <c r="C92" s="16">
        <f>IFERROR(INDEX(MASTER!$B$2:$B$2000,MATCH($A92,MASTER!$A$2:$A$2000,0)),"")</f>
        <v>6</v>
      </c>
      <c r="D92" s="12" t="str">
        <f>IFERROR(INDEX(MASTER!$D$2:$D$2000,MATCH($A92,MASTER!$A$2:$A$2000,0))&amp;"","")</f>
        <v>Atomic entitlement checks</v>
      </c>
      <c r="E92" s="12" t="str">
        <f>IFERROR(INDEX(MASTER!$F$2:$F$2000,MATCH($A92,MASTER!$A$2:$A$2000,0))&amp;"","")</f>
        <v>P0</v>
      </c>
      <c r="F92" s="12" t="str">
        <f>IFERROR(INDEX(MASTER!$G$2:$G$2000,MATCH($A92,MASTER!$A$2:$A$2000,0))&amp;"","NOT IN MASTER")</f>
        <v>NOT_STARTED</v>
      </c>
      <c r="G92" s="12" t="str">
        <f>IFERROR(INDEX(MASTER!$H$2:$H$2000,MATCH($A92,MASTER!$A$2:$A$2000,0))&amp;"","")</f>
        <v/>
      </c>
      <c r="H92" s="12" t="str">
        <f>IFERROR(INDEX(MASTER!$I$2:$I$2000,MATCH($A92,MASTER!$A$2:$A$2000,0))&amp;"","")</f>
        <v/>
      </c>
      <c r="I92" s="19" t="str">
        <f>IFERROR(IF(INDEX(MASTER!$O$2:$O$2000,MATCH($A92,MASTER!$A$2:$A$2000,0))="","",INDEX(MASTER!$O$2:$O$2000,MATCH($A92,MASTER!$A$2:$A$2000,0))),"")</f>
        <v/>
      </c>
      <c r="J92" s="12" t="str">
        <f>IFERROR(INDEX(MASTER!$P$2:$P$2000,MATCH($A92,MASTER!$A$2:$A$2000,0))&amp;"","")</f>
        <v/>
      </c>
      <c r="K92" s="12" t="str">
        <f>IFERROR(INDEX(MASTER!$Q$2:$Q$2000,MATCH($A92,MASTER!$A$2:$A$2000,0))&amp;"","")</f>
        <v/>
      </c>
      <c r="L92" s="12" t="str">
        <f>IFERROR(INDEX(MASTER!$R$2:$R$2000,MATCH($A92,MASTER!$A$2:$A$2000,0))&amp;"","")</f>
        <v/>
      </c>
    </row>
    <row r="93" spans="1:12" x14ac:dyDescent="0.25">
      <c r="A93" s="15" t="s">
        <v>623</v>
      </c>
      <c r="B93" s="12" t="str">
        <f>IFERROR(INDEX(MASTER!$C$2:$C$2000,MATCH($A93,MASTER!$A$2:$A$2000,0))&amp;"","")</f>
        <v>PDF</v>
      </c>
      <c r="C93" s="16">
        <f>IFERROR(INDEX(MASTER!$B$2:$B$2000,MATCH($A93,MASTER!$A$2:$A$2000,0)),"")</f>
        <v>7</v>
      </c>
      <c r="D93" s="12" t="str">
        <f>IFERROR(INDEX(MASTER!$D$2:$D$2000,MATCH($A93,MASTER!$A$2:$A$2000,0))&amp;"","")</f>
        <v>Geometry-aware PDF parser</v>
      </c>
      <c r="E93" s="12" t="str">
        <f>IFERROR(INDEX(MASTER!$F$2:$F$2000,MATCH($A93,MASTER!$A$2:$A$2000,0))&amp;"","")</f>
        <v>P0</v>
      </c>
      <c r="F93" s="12" t="str">
        <f>IFERROR(INDEX(MASTER!$G$2:$G$2000,MATCH($A93,MASTER!$A$2:$A$2000,0))&amp;"","NOT IN MASTER")</f>
        <v>NOT_STARTED</v>
      </c>
      <c r="G93" s="12" t="str">
        <f>IFERROR(INDEX(MASTER!$H$2:$H$2000,MATCH($A93,MASTER!$A$2:$A$2000,0))&amp;"","")</f>
        <v/>
      </c>
      <c r="H93" s="12" t="str">
        <f>IFERROR(INDEX(MASTER!$I$2:$I$2000,MATCH($A93,MASTER!$A$2:$A$2000,0))&amp;"","")</f>
        <v/>
      </c>
      <c r="I93" s="19" t="str">
        <f>IFERROR(IF(INDEX(MASTER!$O$2:$O$2000,MATCH($A93,MASTER!$A$2:$A$2000,0))="","",INDEX(MASTER!$O$2:$O$2000,MATCH($A93,MASTER!$A$2:$A$2000,0))),"")</f>
        <v/>
      </c>
      <c r="J93" s="12" t="str">
        <f>IFERROR(INDEX(MASTER!$P$2:$P$2000,MATCH($A93,MASTER!$A$2:$A$2000,0))&amp;"","")</f>
        <v/>
      </c>
      <c r="K93" s="12" t="str">
        <f>IFERROR(INDEX(MASTER!$Q$2:$Q$2000,MATCH($A93,MASTER!$A$2:$A$2000,0))&amp;"","")</f>
        <v/>
      </c>
      <c r="L93" s="12" t="str">
        <f>IFERROR(INDEX(MASTER!$R$2:$R$2000,MATCH($A93,MASTER!$A$2:$A$2000,0))&amp;"","")</f>
        <v/>
      </c>
    </row>
    <row r="94" spans="1:12" x14ac:dyDescent="0.25">
      <c r="A94" s="15" t="s">
        <v>627</v>
      </c>
      <c r="B94" s="12" t="str">
        <f>IFERROR(INDEX(MASTER!$C$2:$C$2000,MATCH($A94,MASTER!$A$2:$A$2000,0))&amp;"","")</f>
        <v>PDF</v>
      </c>
      <c r="C94" s="16">
        <f>IFERROR(INDEX(MASTER!$B$2:$B$2000,MATCH($A94,MASTER!$A$2:$A$2000,0)),"")</f>
        <v>7</v>
      </c>
      <c r="D94" s="12" t="str">
        <f>IFERROR(INDEX(MASTER!$D$2:$D$2000,MATCH($A94,MASTER!$A$2:$A$2000,0))&amp;"","")</f>
        <v>Page classifier</v>
      </c>
      <c r="E94" s="12" t="str">
        <f>IFERROR(INDEX(MASTER!$F$2:$F$2000,MATCH($A94,MASTER!$A$2:$A$2000,0))&amp;"","")</f>
        <v>P0</v>
      </c>
      <c r="F94" s="12" t="str">
        <f>IFERROR(INDEX(MASTER!$G$2:$G$2000,MATCH($A94,MASTER!$A$2:$A$2000,0))&amp;"","NOT IN MASTER")</f>
        <v>NOT_STARTED</v>
      </c>
      <c r="G94" s="12" t="str">
        <f>IFERROR(INDEX(MASTER!$H$2:$H$2000,MATCH($A94,MASTER!$A$2:$A$2000,0))&amp;"","")</f>
        <v/>
      </c>
      <c r="H94" s="12" t="str">
        <f>IFERROR(INDEX(MASTER!$I$2:$I$2000,MATCH($A94,MASTER!$A$2:$A$2000,0))&amp;"","")</f>
        <v/>
      </c>
      <c r="I94" s="19" t="str">
        <f>IFERROR(IF(INDEX(MASTER!$O$2:$O$2000,MATCH($A94,MASTER!$A$2:$A$2000,0))="","",INDEX(MASTER!$O$2:$O$2000,MATCH($A94,MASTER!$A$2:$A$2000,0))),"")</f>
        <v/>
      </c>
      <c r="J94" s="12" t="str">
        <f>IFERROR(INDEX(MASTER!$P$2:$P$2000,MATCH($A94,MASTER!$A$2:$A$2000,0))&amp;"","")</f>
        <v/>
      </c>
      <c r="K94" s="12" t="str">
        <f>IFERROR(INDEX(MASTER!$Q$2:$Q$2000,MATCH($A94,MASTER!$A$2:$A$2000,0))&amp;"","")</f>
        <v/>
      </c>
      <c r="L94" s="12" t="str">
        <f>IFERROR(INDEX(MASTER!$R$2:$R$2000,MATCH($A94,MASTER!$A$2:$A$2000,0))&amp;"","")</f>
        <v/>
      </c>
    </row>
    <row r="95" spans="1:12" x14ac:dyDescent="0.25">
      <c r="A95" s="15" t="s">
        <v>633</v>
      </c>
      <c r="B95" s="12" t="str">
        <f>IFERROR(INDEX(MASTER!$C$2:$C$2000,MATCH($A95,MASTER!$A$2:$A$2000,0))&amp;"","")</f>
        <v>P2E</v>
      </c>
      <c r="C95" s="16">
        <f>IFERROR(INDEX(MASTER!$B$2:$B$2000,MATCH($A95,MASTER!$A$2:$A$2000,0)),"")</f>
        <v>8</v>
      </c>
      <c r="D95" s="12" t="str">
        <f>IFERROR(INDEX(MASTER!$D$2:$D$2000,MATCH($A95,MASTER!$A$2:$A$2000,0))&amp;"","")</f>
        <v>Layout primitives where PDF needs them</v>
      </c>
      <c r="E95" s="12" t="str">
        <f>IFERROR(INDEX(MASTER!$F$2:$F$2000,MATCH($A95,MASTER!$A$2:$A$2000,0))&amp;"","")</f>
        <v>P0</v>
      </c>
      <c r="F95" s="12" t="str">
        <f>IFERROR(INDEX(MASTER!$G$2:$G$2000,MATCH($A95,MASTER!$A$2:$A$2000,0))&amp;"","NOT IN MASTER")</f>
        <v>NOT_STARTED</v>
      </c>
      <c r="G95" s="12" t="str">
        <f>IFERROR(INDEX(MASTER!$H$2:$H$2000,MATCH($A95,MASTER!$A$2:$A$2000,0))&amp;"","")</f>
        <v/>
      </c>
      <c r="H95" s="12" t="str">
        <f>IFERROR(INDEX(MASTER!$I$2:$I$2000,MATCH($A95,MASTER!$A$2:$A$2000,0))&amp;"","")</f>
        <v/>
      </c>
      <c r="I95" s="19" t="str">
        <f>IFERROR(IF(INDEX(MASTER!$O$2:$O$2000,MATCH($A95,MASTER!$A$2:$A$2000,0))="","",INDEX(MASTER!$O$2:$O$2000,MATCH($A95,MASTER!$A$2:$A$2000,0))),"")</f>
        <v/>
      </c>
      <c r="J95" s="12" t="str">
        <f>IFERROR(INDEX(MASTER!$P$2:$P$2000,MATCH($A95,MASTER!$A$2:$A$2000,0))&amp;"","")</f>
        <v/>
      </c>
      <c r="K95" s="12" t="str">
        <f>IFERROR(INDEX(MASTER!$Q$2:$Q$2000,MATCH($A95,MASTER!$A$2:$A$2000,0))&amp;"","")</f>
        <v/>
      </c>
      <c r="L95" s="12" t="str">
        <f>IFERROR(INDEX(MASTER!$R$2:$R$2000,MATCH($A95,MASTER!$A$2:$A$2000,0))&amp;"","")</f>
        <v/>
      </c>
    </row>
    <row r="96" spans="1:12" x14ac:dyDescent="0.25">
      <c r="A96" s="15" t="s">
        <v>636</v>
      </c>
      <c r="B96" s="12" t="str">
        <f>IFERROR(INDEX(MASTER!$C$2:$C$2000,MATCH($A96,MASTER!$A$2:$A$2000,0))&amp;"","")</f>
        <v>P2E</v>
      </c>
      <c r="C96" s="16">
        <f>IFERROR(INDEX(MASTER!$B$2:$B$2000,MATCH($A96,MASTER!$A$2:$A$2000,0)),"")</f>
        <v>8</v>
      </c>
      <c r="D96" s="12" t="str">
        <f>IFERROR(INDEX(MASTER!$D$2:$D$2000,MATCH($A96,MASTER!$A$2:$A$2000,0))&amp;"","")</f>
        <v>Structure reconstruction</v>
      </c>
      <c r="E96" s="12" t="str">
        <f>IFERROR(INDEX(MASTER!$F$2:$F$2000,MATCH($A96,MASTER!$A$2:$A$2000,0))&amp;"","")</f>
        <v>P0</v>
      </c>
      <c r="F96" s="12" t="str">
        <f>IFERROR(INDEX(MASTER!$G$2:$G$2000,MATCH($A96,MASTER!$A$2:$A$2000,0))&amp;"","NOT IN MASTER")</f>
        <v>NOT_STARTED</v>
      </c>
      <c r="G96" s="12" t="str">
        <f>IFERROR(INDEX(MASTER!$H$2:$H$2000,MATCH($A96,MASTER!$A$2:$A$2000,0))&amp;"","")</f>
        <v/>
      </c>
      <c r="H96" s="12" t="str">
        <f>IFERROR(INDEX(MASTER!$I$2:$I$2000,MATCH($A96,MASTER!$A$2:$A$2000,0))&amp;"","")</f>
        <v/>
      </c>
      <c r="I96" s="19" t="str">
        <f>IFERROR(IF(INDEX(MASTER!$O$2:$O$2000,MATCH($A96,MASTER!$A$2:$A$2000,0))="","",INDEX(MASTER!$O$2:$O$2000,MATCH($A96,MASTER!$A$2:$A$2000,0))),"")</f>
        <v/>
      </c>
      <c r="J96" s="12" t="str">
        <f>IFERROR(INDEX(MASTER!$P$2:$P$2000,MATCH($A96,MASTER!$A$2:$A$2000,0))&amp;"","")</f>
        <v/>
      </c>
      <c r="K96" s="12" t="str">
        <f>IFERROR(INDEX(MASTER!$Q$2:$Q$2000,MATCH($A96,MASTER!$A$2:$A$2000,0))&amp;"","")</f>
        <v/>
      </c>
      <c r="L96" s="12" t="str">
        <f>IFERROR(INDEX(MASTER!$R$2:$R$2000,MATCH($A96,MASTER!$A$2:$A$2000,0))&amp;"","")</f>
        <v/>
      </c>
    </row>
    <row r="97" spans="1:12" x14ac:dyDescent="0.25">
      <c r="A97" s="15" t="s">
        <v>646</v>
      </c>
      <c r="B97" s="12" t="str">
        <f>IFERROR(INDEX(MASTER!$C$2:$C$2000,MATCH($A97,MASTER!$A$2:$A$2000,0))&amp;"","")</f>
        <v>P2E</v>
      </c>
      <c r="C97" s="16">
        <f>IFERROR(INDEX(MASTER!$B$2:$B$2000,MATCH($A97,MASTER!$A$2:$A$2000,0)),"")</f>
        <v>8</v>
      </c>
      <c r="D97" s="12" t="str">
        <f>IFERROR(INDEX(MASTER!$D$2:$D$2000,MATCH($A97,MASTER!$A$2:$A$2000,0))&amp;"","")</f>
        <v>Confidence and conversion report</v>
      </c>
      <c r="E97" s="12" t="str">
        <f>IFERROR(INDEX(MASTER!$F$2:$F$2000,MATCH($A97,MASTER!$A$2:$A$2000,0))&amp;"","")</f>
        <v>P0</v>
      </c>
      <c r="F97" s="12" t="str">
        <f>IFERROR(INDEX(MASTER!$G$2:$G$2000,MATCH($A97,MASTER!$A$2:$A$2000,0))&amp;"","NOT IN MASTER")</f>
        <v>NOT_STARTED</v>
      </c>
      <c r="G97" s="12" t="str">
        <f>IFERROR(INDEX(MASTER!$H$2:$H$2000,MATCH($A97,MASTER!$A$2:$A$2000,0))&amp;"","")</f>
        <v/>
      </c>
      <c r="H97" s="12" t="str">
        <f>IFERROR(INDEX(MASTER!$I$2:$I$2000,MATCH($A97,MASTER!$A$2:$A$2000,0))&amp;"","")</f>
        <v/>
      </c>
      <c r="I97" s="19" t="str">
        <f>IFERROR(IF(INDEX(MASTER!$O$2:$O$2000,MATCH($A97,MASTER!$A$2:$A$2000,0))="","",INDEX(MASTER!$O$2:$O$2000,MATCH($A97,MASTER!$A$2:$A$2000,0))),"")</f>
        <v/>
      </c>
      <c r="J97" s="12" t="str">
        <f>IFERROR(INDEX(MASTER!$P$2:$P$2000,MATCH($A97,MASTER!$A$2:$A$2000,0))&amp;"","")</f>
        <v/>
      </c>
      <c r="K97" s="12" t="str">
        <f>IFERROR(INDEX(MASTER!$Q$2:$Q$2000,MATCH($A97,MASTER!$A$2:$A$2000,0))&amp;"","")</f>
        <v/>
      </c>
      <c r="L97" s="12" t="str">
        <f>IFERROR(INDEX(MASTER!$R$2:$R$2000,MATCH($A97,MASTER!$A$2:$A$2000,0))&amp;"","")</f>
        <v/>
      </c>
    </row>
    <row r="98" spans="1:12" x14ac:dyDescent="0.25">
      <c r="A98" s="15" t="s">
        <v>657</v>
      </c>
      <c r="B98" s="12" t="str">
        <f>IFERROR(INDEX(MASTER!$C$2:$C$2000,MATCH($A98,MASTER!$A$2:$A$2000,0))&amp;"","")</f>
        <v>P2E</v>
      </c>
      <c r="C98" s="16">
        <f>IFERROR(INDEX(MASTER!$B$2:$B$2000,MATCH($A98,MASTER!$A$2:$A$2000,0)),"")</f>
        <v>8</v>
      </c>
      <c r="D98" s="12" t="str">
        <f>IFERROR(INDEX(MASTER!$D$2:$D$2000,MATCH($A98,MASTER!$A$2:$A$2000,0))&amp;"","")</f>
        <v>PDF fixtures and tests</v>
      </c>
      <c r="E98" s="12" t="str">
        <f>IFERROR(INDEX(MASTER!$F$2:$F$2000,MATCH($A98,MASTER!$A$2:$A$2000,0))&amp;"","")</f>
        <v>P0</v>
      </c>
      <c r="F98" s="12" t="str">
        <f>IFERROR(INDEX(MASTER!$G$2:$G$2000,MATCH($A98,MASTER!$A$2:$A$2000,0))&amp;"","NOT IN MASTER")</f>
        <v>NOT_STARTED</v>
      </c>
      <c r="G98" s="12" t="str">
        <f>IFERROR(INDEX(MASTER!$H$2:$H$2000,MATCH($A98,MASTER!$A$2:$A$2000,0))&amp;"","")</f>
        <v/>
      </c>
      <c r="H98" s="12" t="str">
        <f>IFERROR(INDEX(MASTER!$I$2:$I$2000,MATCH($A98,MASTER!$A$2:$A$2000,0))&amp;"","")</f>
        <v/>
      </c>
      <c r="I98" s="19" t="str">
        <f>IFERROR(IF(INDEX(MASTER!$O$2:$O$2000,MATCH($A98,MASTER!$A$2:$A$2000,0))="","",INDEX(MASTER!$O$2:$O$2000,MATCH($A98,MASTER!$A$2:$A$2000,0))),"")</f>
        <v/>
      </c>
      <c r="J98" s="12" t="str">
        <f>IFERROR(INDEX(MASTER!$P$2:$P$2000,MATCH($A98,MASTER!$A$2:$A$2000,0))&amp;"","")</f>
        <v/>
      </c>
      <c r="K98" s="12" t="str">
        <f>IFERROR(INDEX(MASTER!$Q$2:$Q$2000,MATCH($A98,MASTER!$A$2:$A$2000,0))&amp;"","")</f>
        <v/>
      </c>
      <c r="L98" s="12" t="str">
        <f>IFERROR(INDEX(MASTER!$R$2:$R$2000,MATCH($A98,MASTER!$A$2:$A$2000,0))&amp;"","")</f>
        <v/>
      </c>
    </row>
    <row r="99" spans="1:12" x14ac:dyDescent="0.25">
      <c r="A99" s="15" t="s">
        <v>667</v>
      </c>
      <c r="B99" s="12" t="str">
        <f>IFERROR(INDEX(MASTER!$C$2:$C$2000,MATCH($A99,MASTER!$A$2:$A$2000,0))&amp;"","")</f>
        <v>TRANSLATION</v>
      </c>
      <c r="C99" s="16">
        <f>IFERROR(INDEX(MASTER!$B$2:$B$2000,MATCH($A99,MASTER!$A$2:$A$2000,0)),"")</f>
        <v>10</v>
      </c>
      <c r="D99" s="12" t="str">
        <f>IFERROR(INDEX(MASTER!$D$2:$D$2000,MATCH($A99,MASTER!$A$2:$A$2000,0))&amp;"","")</f>
        <v>Segments and tag protocol</v>
      </c>
      <c r="E99" s="12" t="str">
        <f>IFERROR(INDEX(MASTER!$F$2:$F$2000,MATCH($A99,MASTER!$A$2:$A$2000,0))&amp;"","")</f>
        <v>P0</v>
      </c>
      <c r="F99" s="12" t="str">
        <f>IFERROR(INDEX(MASTER!$G$2:$G$2000,MATCH($A99,MASTER!$A$2:$A$2000,0))&amp;"","NOT IN MASTER")</f>
        <v>NOT_STARTED</v>
      </c>
      <c r="G99" s="12" t="str">
        <f>IFERROR(INDEX(MASTER!$H$2:$H$2000,MATCH($A99,MASTER!$A$2:$A$2000,0))&amp;"","")</f>
        <v/>
      </c>
      <c r="H99" s="12" t="str">
        <f>IFERROR(INDEX(MASTER!$I$2:$I$2000,MATCH($A99,MASTER!$A$2:$A$2000,0))&amp;"","")</f>
        <v/>
      </c>
      <c r="I99" s="19" t="str">
        <f>IFERROR(IF(INDEX(MASTER!$O$2:$O$2000,MATCH($A99,MASTER!$A$2:$A$2000,0))="","",INDEX(MASTER!$O$2:$O$2000,MATCH($A99,MASTER!$A$2:$A$2000,0))),"")</f>
        <v/>
      </c>
      <c r="J99" s="12" t="str">
        <f>IFERROR(INDEX(MASTER!$P$2:$P$2000,MATCH($A99,MASTER!$A$2:$A$2000,0))&amp;"","")</f>
        <v/>
      </c>
      <c r="K99" s="12" t="str">
        <f>IFERROR(INDEX(MASTER!$Q$2:$Q$2000,MATCH($A99,MASTER!$A$2:$A$2000,0))&amp;"","")</f>
        <v/>
      </c>
      <c r="L99" s="12" t="str">
        <f>IFERROR(INDEX(MASTER!$R$2:$R$2000,MATCH($A99,MASTER!$A$2:$A$2000,0))&amp;"","")</f>
        <v/>
      </c>
    </row>
    <row r="100" spans="1:12" x14ac:dyDescent="0.25">
      <c r="A100" s="15" t="s">
        <v>671</v>
      </c>
      <c r="B100" s="12" t="str">
        <f>IFERROR(INDEX(MASTER!$C$2:$C$2000,MATCH($A100,MASTER!$A$2:$A$2000,0))&amp;"","")</f>
        <v>TRANSLATION</v>
      </c>
      <c r="C100" s="16">
        <f>IFERROR(INDEX(MASTER!$B$2:$B$2000,MATCH($A100,MASTER!$A$2:$A$2000,0)),"")</f>
        <v>10</v>
      </c>
      <c r="D100" s="12" t="str">
        <f>IFERROR(INDEX(MASTER!$D$2:$D$2000,MATCH($A100,MASTER!$A$2:$A$2000,0))&amp;"","")</f>
        <v>TranslationProvider abstraction</v>
      </c>
      <c r="E100" s="12" t="str">
        <f>IFERROR(INDEX(MASTER!$F$2:$F$2000,MATCH($A100,MASTER!$A$2:$A$2000,0))&amp;"","")</f>
        <v>P0</v>
      </c>
      <c r="F100" s="12" t="str">
        <f>IFERROR(INDEX(MASTER!$G$2:$G$2000,MATCH($A100,MASTER!$A$2:$A$2000,0))&amp;"","NOT IN MASTER")</f>
        <v>NOT_STARTED</v>
      </c>
      <c r="G100" s="12" t="str">
        <f>IFERROR(INDEX(MASTER!$H$2:$H$2000,MATCH($A100,MASTER!$A$2:$A$2000,0))&amp;"","")</f>
        <v/>
      </c>
      <c r="H100" s="12" t="str">
        <f>IFERROR(INDEX(MASTER!$I$2:$I$2000,MATCH($A100,MASTER!$A$2:$A$2000,0))&amp;"","")</f>
        <v/>
      </c>
      <c r="I100" s="19" t="str">
        <f>IFERROR(IF(INDEX(MASTER!$O$2:$O$2000,MATCH($A100,MASTER!$A$2:$A$2000,0))="","",INDEX(MASTER!$O$2:$O$2000,MATCH($A100,MASTER!$A$2:$A$2000,0))),"")</f>
        <v/>
      </c>
      <c r="J100" s="12" t="str">
        <f>IFERROR(INDEX(MASTER!$P$2:$P$2000,MATCH($A100,MASTER!$A$2:$A$2000,0))&amp;"","")</f>
        <v/>
      </c>
      <c r="K100" s="12" t="str">
        <f>IFERROR(INDEX(MASTER!$Q$2:$Q$2000,MATCH($A100,MASTER!$A$2:$A$2000,0))&amp;"","")</f>
        <v/>
      </c>
      <c r="L100" s="12" t="str">
        <f>IFERROR(INDEX(MASTER!$R$2:$R$2000,MATCH($A100,MASTER!$A$2:$A$2000,0))&amp;"","")</f>
        <v/>
      </c>
    </row>
    <row r="101" spans="1:12" x14ac:dyDescent="0.25">
      <c r="A101" s="15" t="s">
        <v>674</v>
      </c>
      <c r="B101" s="12" t="str">
        <f>IFERROR(INDEX(MASTER!$C$2:$C$2000,MATCH($A101,MASTER!$A$2:$A$2000,0))&amp;"","")</f>
        <v>TRANSLATION</v>
      </c>
      <c r="C101" s="16">
        <f>IFERROR(INDEX(MASTER!$B$2:$B$2000,MATCH($A101,MASTER!$A$2:$A$2000,0)),"")</f>
        <v>10</v>
      </c>
      <c r="D101" s="12" t="str">
        <f>IFERROR(INDEX(MASTER!$D$2:$D$2000,MATCH($A101,MASTER!$A$2:$A$2000,0))&amp;"","")</f>
        <v>Translation validation</v>
      </c>
      <c r="E101" s="12" t="str">
        <f>IFERROR(INDEX(MASTER!$F$2:$F$2000,MATCH($A101,MASTER!$A$2:$A$2000,0))&amp;"","")</f>
        <v>P0</v>
      </c>
      <c r="F101" s="12" t="str">
        <f>IFERROR(INDEX(MASTER!$G$2:$G$2000,MATCH($A101,MASTER!$A$2:$A$2000,0))&amp;"","NOT IN MASTER")</f>
        <v>NOT_STARTED</v>
      </c>
      <c r="G101" s="12" t="str">
        <f>IFERROR(INDEX(MASTER!$H$2:$H$2000,MATCH($A101,MASTER!$A$2:$A$2000,0))&amp;"","")</f>
        <v/>
      </c>
      <c r="H101" s="12" t="str">
        <f>IFERROR(INDEX(MASTER!$I$2:$I$2000,MATCH($A101,MASTER!$A$2:$A$2000,0))&amp;"","")</f>
        <v/>
      </c>
      <c r="I101" s="19" t="str">
        <f>IFERROR(IF(INDEX(MASTER!$O$2:$O$2000,MATCH($A101,MASTER!$A$2:$A$2000,0))="","",INDEX(MASTER!$O$2:$O$2000,MATCH($A101,MASTER!$A$2:$A$2000,0))),"")</f>
        <v/>
      </c>
      <c r="J101" s="12" t="str">
        <f>IFERROR(INDEX(MASTER!$P$2:$P$2000,MATCH($A101,MASTER!$A$2:$A$2000,0))&amp;"","")</f>
        <v/>
      </c>
      <c r="K101" s="12" t="str">
        <f>IFERROR(INDEX(MASTER!$Q$2:$Q$2000,MATCH($A101,MASTER!$A$2:$A$2000,0))&amp;"","")</f>
        <v/>
      </c>
      <c r="L101" s="12" t="str">
        <f>IFERROR(INDEX(MASTER!$R$2:$R$2000,MATCH($A101,MASTER!$A$2:$A$2000,0))&amp;"","")</f>
        <v/>
      </c>
    </row>
    <row r="102" spans="1:12" x14ac:dyDescent="0.25">
      <c r="A102" s="15" t="s">
        <v>681</v>
      </c>
      <c r="B102" s="12" t="str">
        <f>IFERROR(INDEX(MASTER!$C$2:$C$2000,MATCH($A102,MASTER!$A$2:$A$2000,0))&amp;"","")</f>
        <v>TRANSLATION</v>
      </c>
      <c r="C102" s="16">
        <f>IFERROR(INDEX(MASTER!$B$2:$B$2000,MATCH($A102,MASTER!$A$2:$A$2000,0)),"")</f>
        <v>10</v>
      </c>
      <c r="D102" s="12" t="str">
        <f>IFERROR(INDEX(MASTER!$D$2:$D$2000,MATCH($A102,MASTER!$A$2:$A$2000,0))&amp;"","")</f>
        <v>Selection/paragraph/block translation proposals</v>
      </c>
      <c r="E102" s="12" t="str">
        <f>IFERROR(INDEX(MASTER!$F$2:$F$2000,MATCH($A102,MASTER!$A$2:$A$2000,0))&amp;"","")</f>
        <v>P0</v>
      </c>
      <c r="F102" s="12" t="str">
        <f>IFERROR(INDEX(MASTER!$G$2:$G$2000,MATCH($A102,MASTER!$A$2:$A$2000,0))&amp;"","NOT IN MASTER")</f>
        <v>NOT_STARTED</v>
      </c>
      <c r="G102" s="12" t="str">
        <f>IFERROR(INDEX(MASTER!$H$2:$H$2000,MATCH($A102,MASTER!$A$2:$A$2000,0))&amp;"","")</f>
        <v/>
      </c>
      <c r="H102" s="12" t="str">
        <f>IFERROR(INDEX(MASTER!$I$2:$I$2000,MATCH($A102,MASTER!$A$2:$A$2000,0))&amp;"","")</f>
        <v/>
      </c>
      <c r="I102" s="19" t="str">
        <f>IFERROR(IF(INDEX(MASTER!$O$2:$O$2000,MATCH($A102,MASTER!$A$2:$A$2000,0))="","",INDEX(MASTER!$O$2:$O$2000,MATCH($A102,MASTER!$A$2:$A$2000,0))),"")</f>
        <v/>
      </c>
      <c r="J102" s="12" t="str">
        <f>IFERROR(INDEX(MASTER!$P$2:$P$2000,MATCH($A102,MASTER!$A$2:$A$2000,0))&amp;"","")</f>
        <v/>
      </c>
      <c r="K102" s="12" t="str">
        <f>IFERROR(INDEX(MASTER!$Q$2:$Q$2000,MATCH($A102,MASTER!$A$2:$A$2000,0))&amp;"","")</f>
        <v/>
      </c>
      <c r="L102" s="12" t="str">
        <f>IFERROR(INDEX(MASTER!$R$2:$R$2000,MATCH($A102,MASTER!$A$2:$A$2000,0))&amp;"","")</f>
        <v/>
      </c>
    </row>
    <row r="103" spans="1:12" x14ac:dyDescent="0.25">
      <c r="A103" s="15" t="s">
        <v>685</v>
      </c>
      <c r="B103" s="12" t="str">
        <f>IFERROR(INDEX(MASTER!$C$2:$C$2000,MATCH($A103,MASTER!$A$2:$A$2000,0))&amp;"","")</f>
        <v>TRANSLATION</v>
      </c>
      <c r="C103" s="16">
        <f>IFERROR(INDEX(MASTER!$B$2:$B$2000,MATCH($A103,MASTER!$A$2:$A$2000,0)),"")</f>
        <v>10</v>
      </c>
      <c r="D103" s="12" t="str">
        <f>IFERROR(INDEX(MASTER!$D$2:$D$2000,MATCH($A103,MASTER!$A$2:$A$2000,0))&amp;"","")</f>
        <v>Whole-document translated version</v>
      </c>
      <c r="E103" s="12" t="str">
        <f>IFERROR(INDEX(MASTER!$F$2:$F$2000,MATCH($A103,MASTER!$A$2:$A$2000,0))&amp;"","")</f>
        <v>P0</v>
      </c>
      <c r="F103" s="12" t="str">
        <f>IFERROR(INDEX(MASTER!$G$2:$G$2000,MATCH($A103,MASTER!$A$2:$A$2000,0))&amp;"","NOT IN MASTER")</f>
        <v>NOT_STARTED</v>
      </c>
      <c r="G103" s="12" t="str">
        <f>IFERROR(INDEX(MASTER!$H$2:$H$2000,MATCH($A103,MASTER!$A$2:$A$2000,0))&amp;"","")</f>
        <v/>
      </c>
      <c r="H103" s="12" t="str">
        <f>IFERROR(INDEX(MASTER!$I$2:$I$2000,MATCH($A103,MASTER!$A$2:$A$2000,0))&amp;"","")</f>
        <v/>
      </c>
      <c r="I103" s="19" t="str">
        <f>IFERROR(IF(INDEX(MASTER!$O$2:$O$2000,MATCH($A103,MASTER!$A$2:$A$2000,0))="","",INDEX(MASTER!$O$2:$O$2000,MATCH($A103,MASTER!$A$2:$A$2000,0))),"")</f>
        <v/>
      </c>
      <c r="J103" s="12" t="str">
        <f>IFERROR(INDEX(MASTER!$P$2:$P$2000,MATCH($A103,MASTER!$A$2:$A$2000,0))&amp;"","")</f>
        <v/>
      </c>
      <c r="K103" s="12" t="str">
        <f>IFERROR(INDEX(MASTER!$Q$2:$Q$2000,MATCH($A103,MASTER!$A$2:$A$2000,0))&amp;"","")</f>
        <v/>
      </c>
      <c r="L103" s="12" t="str">
        <f>IFERROR(INDEX(MASTER!$R$2:$R$2000,MATCH($A103,MASTER!$A$2:$A$2000,0))&amp;"","")</f>
        <v/>
      </c>
    </row>
    <row r="104" spans="1:12" x14ac:dyDescent="0.25">
      <c r="A104" s="15" t="s">
        <v>691</v>
      </c>
      <c r="B104" s="12" t="str">
        <f>IFERROR(INDEX(MASTER!$C$2:$C$2000,MATCH($A104,MASTER!$A$2:$A$2000,0))&amp;"","")</f>
        <v>TRANSLATION</v>
      </c>
      <c r="C104" s="16">
        <f>IFERROR(INDEX(MASTER!$B$2:$B$2000,MATCH($A104,MASTER!$A$2:$A$2000,0)),"")</f>
        <v>10</v>
      </c>
      <c r="D104" s="12" t="str">
        <f>IFERROR(INDEX(MASTER!$D$2:$D$2000,MATCH($A104,MASTER!$A$2:$A$2000,0))&amp;"","")</f>
        <v>Translation UX</v>
      </c>
      <c r="E104" s="12" t="str">
        <f>IFERROR(INDEX(MASTER!$F$2:$F$2000,MATCH($A104,MASTER!$A$2:$A$2000,0))&amp;"","")</f>
        <v>P0</v>
      </c>
      <c r="F104" s="12" t="str">
        <f>IFERROR(INDEX(MASTER!$G$2:$G$2000,MATCH($A104,MASTER!$A$2:$A$2000,0))&amp;"","NOT IN MASTER")</f>
        <v>NOT_STARTED</v>
      </c>
      <c r="G104" s="12" t="str">
        <f>IFERROR(INDEX(MASTER!$H$2:$H$2000,MATCH($A104,MASTER!$A$2:$A$2000,0))&amp;"","")</f>
        <v/>
      </c>
      <c r="H104" s="12" t="str">
        <f>IFERROR(INDEX(MASTER!$I$2:$I$2000,MATCH($A104,MASTER!$A$2:$A$2000,0))&amp;"","")</f>
        <v/>
      </c>
      <c r="I104" s="19" t="str">
        <f>IFERROR(IF(INDEX(MASTER!$O$2:$O$2000,MATCH($A104,MASTER!$A$2:$A$2000,0))="","",INDEX(MASTER!$O$2:$O$2000,MATCH($A104,MASTER!$A$2:$A$2000,0))),"")</f>
        <v/>
      </c>
      <c r="J104" s="12" t="str">
        <f>IFERROR(INDEX(MASTER!$P$2:$P$2000,MATCH($A104,MASTER!$A$2:$A$2000,0))&amp;"","")</f>
        <v/>
      </c>
      <c r="K104" s="12" t="str">
        <f>IFERROR(INDEX(MASTER!$Q$2:$Q$2000,MATCH($A104,MASTER!$A$2:$A$2000,0))&amp;"","")</f>
        <v/>
      </c>
      <c r="L104" s="12" t="str">
        <f>IFERROR(INDEX(MASTER!$R$2:$R$2000,MATCH($A104,MASTER!$A$2:$A$2000,0))&amp;"","")</f>
        <v/>
      </c>
    </row>
    <row r="105" spans="1:12" x14ac:dyDescent="0.25">
      <c r="A105" s="15" t="s">
        <v>697</v>
      </c>
      <c r="B105" s="12" t="str">
        <f>IFERROR(INDEX(MASTER!$C$2:$C$2000,MATCH($A105,MASTER!$A$2:$A$2000,0))&amp;"","")</f>
        <v>TRANSLATION</v>
      </c>
      <c r="C105" s="16">
        <f>IFERROR(INDEX(MASTER!$B$2:$B$2000,MATCH($A105,MASTER!$A$2:$A$2000,0)),"")</f>
        <v>10</v>
      </c>
      <c r="D105" s="12" t="str">
        <f>IFERROR(INDEX(MASTER!$D$2:$D$2000,MATCH($A105,MASTER!$A$2:$A$2000,0))&amp;"","")</f>
        <v>Translation tests</v>
      </c>
      <c r="E105" s="12" t="str">
        <f>IFERROR(INDEX(MASTER!$F$2:$F$2000,MATCH($A105,MASTER!$A$2:$A$2000,0))&amp;"","")</f>
        <v>P0</v>
      </c>
      <c r="F105" s="12" t="str">
        <f>IFERROR(INDEX(MASTER!$G$2:$G$2000,MATCH($A105,MASTER!$A$2:$A$2000,0))&amp;"","NOT IN MASTER")</f>
        <v>NOT_STARTED</v>
      </c>
      <c r="G105" s="12" t="str">
        <f>IFERROR(INDEX(MASTER!$H$2:$H$2000,MATCH($A105,MASTER!$A$2:$A$2000,0))&amp;"","")</f>
        <v/>
      </c>
      <c r="H105" s="12" t="str">
        <f>IFERROR(INDEX(MASTER!$I$2:$I$2000,MATCH($A105,MASTER!$A$2:$A$2000,0))&amp;"","")</f>
        <v/>
      </c>
      <c r="I105" s="19" t="str">
        <f>IFERROR(IF(INDEX(MASTER!$O$2:$O$2000,MATCH($A105,MASTER!$A$2:$A$2000,0))="","",INDEX(MASTER!$O$2:$O$2000,MATCH($A105,MASTER!$A$2:$A$2000,0))),"")</f>
        <v/>
      </c>
      <c r="J105" s="12" t="str">
        <f>IFERROR(INDEX(MASTER!$P$2:$P$2000,MATCH($A105,MASTER!$A$2:$A$2000,0))&amp;"","")</f>
        <v/>
      </c>
      <c r="K105" s="12" t="str">
        <f>IFERROR(INDEX(MASTER!$Q$2:$Q$2000,MATCH($A105,MASTER!$A$2:$A$2000,0))&amp;"","")</f>
        <v/>
      </c>
      <c r="L105" s="12" t="str">
        <f>IFERROR(INDEX(MASTER!$R$2:$R$2000,MATCH($A105,MASTER!$A$2:$A$2000,0))&amp;"","")</f>
        <v/>
      </c>
    </row>
    <row r="106" spans="1:12" x14ac:dyDescent="0.25">
      <c r="A106" s="15" t="s">
        <v>700</v>
      </c>
      <c r="B106" s="12" t="str">
        <f>IFERROR(INDEX(MASTER!$C$2:$C$2000,MATCH($A106,MASTER!$A$2:$A$2000,0))&amp;"","")</f>
        <v>FONT</v>
      </c>
      <c r="C106" s="16">
        <f>IFERROR(INDEX(MASTER!$B$2:$B$2000,MATCH($A106,MASTER!$A$2:$A$2000,0)),"")</f>
        <v>11</v>
      </c>
      <c r="D106" s="12" t="str">
        <f>IFERROR(INDEX(MASTER!$D$2:$D$2000,MATCH($A106,MASTER!$A$2:$A$2000,0))&amp;"","")</f>
        <v>Font catalogue with Unicode coverage</v>
      </c>
      <c r="E106" s="12" t="str">
        <f>IFERROR(INDEX(MASTER!$F$2:$F$2000,MATCH($A106,MASTER!$A$2:$A$2000,0))&amp;"","")</f>
        <v>P0</v>
      </c>
      <c r="F106" s="12" t="str">
        <f>IFERROR(INDEX(MASTER!$G$2:$G$2000,MATCH($A106,MASTER!$A$2:$A$2000,0))&amp;"","NOT IN MASTER")</f>
        <v>NOT_STARTED</v>
      </c>
      <c r="G106" s="12" t="str">
        <f>IFERROR(INDEX(MASTER!$H$2:$H$2000,MATCH($A106,MASTER!$A$2:$A$2000,0))&amp;"","")</f>
        <v/>
      </c>
      <c r="H106" s="12" t="str">
        <f>IFERROR(INDEX(MASTER!$I$2:$I$2000,MATCH($A106,MASTER!$A$2:$A$2000,0))&amp;"","")</f>
        <v/>
      </c>
      <c r="I106" s="19" t="str">
        <f>IFERROR(IF(INDEX(MASTER!$O$2:$O$2000,MATCH($A106,MASTER!$A$2:$A$2000,0))="","",INDEX(MASTER!$O$2:$O$2000,MATCH($A106,MASTER!$A$2:$A$2000,0))),"")</f>
        <v/>
      </c>
      <c r="J106" s="12" t="str">
        <f>IFERROR(INDEX(MASTER!$P$2:$P$2000,MATCH($A106,MASTER!$A$2:$A$2000,0))&amp;"","")</f>
        <v/>
      </c>
      <c r="K106" s="12" t="str">
        <f>IFERROR(INDEX(MASTER!$Q$2:$Q$2000,MATCH($A106,MASTER!$A$2:$A$2000,0))&amp;"","")</f>
        <v/>
      </c>
      <c r="L106" s="12" t="str">
        <f>IFERROR(INDEX(MASTER!$R$2:$R$2000,MATCH($A106,MASTER!$A$2:$A$2000,0))&amp;"","")</f>
        <v/>
      </c>
    </row>
    <row r="107" spans="1:12" x14ac:dyDescent="0.25">
      <c r="A107" s="15" t="s">
        <v>705</v>
      </c>
      <c r="B107" s="12" t="str">
        <f>IFERROR(INDEX(MASTER!$C$2:$C$2000,MATCH($A107,MASTER!$A$2:$A$2000,0))&amp;"","")</f>
        <v>FONT</v>
      </c>
      <c r="C107" s="16">
        <f>IFERROR(INDEX(MASTER!$B$2:$B$2000,MATCH($A107,MASTER!$A$2:$A$2000,0)),"")</f>
        <v>11</v>
      </c>
      <c r="D107" s="12" t="str">
        <f>IFERROR(INDEX(MASTER!$D$2:$D$2000,MATCH($A107,MASTER!$A$2:$A$2000,0))&amp;"","")</f>
        <v>FontResolver</v>
      </c>
      <c r="E107" s="12" t="str">
        <f>IFERROR(INDEX(MASTER!$F$2:$F$2000,MATCH($A107,MASTER!$A$2:$A$2000,0))&amp;"","")</f>
        <v>P0</v>
      </c>
      <c r="F107" s="12" t="str">
        <f>IFERROR(INDEX(MASTER!$G$2:$G$2000,MATCH($A107,MASTER!$A$2:$A$2000,0))&amp;"","NOT IN MASTER")</f>
        <v>NOT_STARTED</v>
      </c>
      <c r="G107" s="12" t="str">
        <f>IFERROR(INDEX(MASTER!$H$2:$H$2000,MATCH($A107,MASTER!$A$2:$A$2000,0))&amp;"","")</f>
        <v/>
      </c>
      <c r="H107" s="12" t="str">
        <f>IFERROR(INDEX(MASTER!$I$2:$I$2000,MATCH($A107,MASTER!$A$2:$A$2000,0))&amp;"","")</f>
        <v/>
      </c>
      <c r="I107" s="19" t="str">
        <f>IFERROR(IF(INDEX(MASTER!$O$2:$O$2000,MATCH($A107,MASTER!$A$2:$A$2000,0))="","",INDEX(MASTER!$O$2:$O$2000,MATCH($A107,MASTER!$A$2:$A$2000,0))),"")</f>
        <v/>
      </c>
      <c r="J107" s="12" t="str">
        <f>IFERROR(INDEX(MASTER!$P$2:$P$2000,MATCH($A107,MASTER!$A$2:$A$2000,0))&amp;"","")</f>
        <v/>
      </c>
      <c r="K107" s="12" t="str">
        <f>IFERROR(INDEX(MASTER!$Q$2:$Q$2000,MATCH($A107,MASTER!$A$2:$A$2000,0))&amp;"","")</f>
        <v/>
      </c>
      <c r="L107" s="12" t="str">
        <f>IFERROR(INDEX(MASTER!$R$2:$R$2000,MATCH($A107,MASTER!$A$2:$A$2000,0))&amp;"","")</f>
        <v>FONT-001</v>
      </c>
    </row>
    <row r="108" spans="1:12" x14ac:dyDescent="0.25">
      <c r="A108" s="15" t="s">
        <v>708</v>
      </c>
      <c r="B108" s="12" t="str">
        <f>IFERROR(INDEX(MASTER!$C$2:$C$2000,MATCH($A108,MASTER!$A$2:$A$2000,0))&amp;"","")</f>
        <v>FONT</v>
      </c>
      <c r="C108" s="16">
        <f>IFERROR(INDEX(MASTER!$B$2:$B$2000,MATCH($A108,MASTER!$A$2:$A$2000,0)),"")</f>
        <v>11</v>
      </c>
      <c r="D108" s="12" t="str">
        <f>IFERROR(INDEX(MASTER!$D$2:$D$2000,MATCH($A108,MASTER!$A$2:$A$2000,0))&amp;"","")</f>
        <v>Multilingual PDF rendering</v>
      </c>
      <c r="E108" s="12" t="str">
        <f>IFERROR(INDEX(MASTER!$F$2:$F$2000,MATCH($A108,MASTER!$A$2:$A$2000,0))&amp;"","")</f>
        <v>P0</v>
      </c>
      <c r="F108" s="12" t="str">
        <f>IFERROR(INDEX(MASTER!$G$2:$G$2000,MATCH($A108,MASTER!$A$2:$A$2000,0))&amp;"","NOT IN MASTER")</f>
        <v>NOT_STARTED</v>
      </c>
      <c r="G108" s="12" t="str">
        <f>IFERROR(INDEX(MASTER!$H$2:$H$2000,MATCH($A108,MASTER!$A$2:$A$2000,0))&amp;"","")</f>
        <v/>
      </c>
      <c r="H108" s="12" t="str">
        <f>IFERROR(INDEX(MASTER!$I$2:$I$2000,MATCH($A108,MASTER!$A$2:$A$2000,0))&amp;"","")</f>
        <v/>
      </c>
      <c r="I108" s="19" t="str">
        <f>IFERROR(IF(INDEX(MASTER!$O$2:$O$2000,MATCH($A108,MASTER!$A$2:$A$2000,0))="","",INDEX(MASTER!$O$2:$O$2000,MATCH($A108,MASTER!$A$2:$A$2000,0))),"")</f>
        <v/>
      </c>
      <c r="J108" s="12" t="str">
        <f>IFERROR(INDEX(MASTER!$P$2:$P$2000,MATCH($A108,MASTER!$A$2:$A$2000,0))&amp;"","")</f>
        <v/>
      </c>
      <c r="K108" s="12" t="str">
        <f>IFERROR(INDEX(MASTER!$Q$2:$Q$2000,MATCH($A108,MASTER!$A$2:$A$2000,0))&amp;"","")</f>
        <v/>
      </c>
      <c r="L108" s="12" t="str">
        <f>IFERROR(INDEX(MASTER!$R$2:$R$2000,MATCH($A108,MASTER!$A$2:$A$2000,0))&amp;"","")</f>
        <v>FONT-002</v>
      </c>
    </row>
    <row r="109" spans="1:12" x14ac:dyDescent="0.25">
      <c r="A109" s="15" t="s">
        <v>717</v>
      </c>
      <c r="B109" s="12" t="str">
        <f>IFERROR(INDEX(MASTER!$C$2:$C$2000,MATCH($A109,MASTER!$A$2:$A$2000,0))&amp;"","")</f>
        <v>FONT</v>
      </c>
      <c r="C109" s="16">
        <f>IFERROR(INDEX(MASTER!$B$2:$B$2000,MATCH($A109,MASTER!$A$2:$A$2000,0)),"")</f>
        <v>11</v>
      </c>
      <c r="D109" s="12" t="str">
        <f>IFERROR(INDEX(MASTER!$D$2:$D$2000,MATCH($A109,MASTER!$A$2:$A$2000,0))&amp;"","")</f>
        <v>Multilingual tests</v>
      </c>
      <c r="E109" s="12" t="str">
        <f>IFERROR(INDEX(MASTER!$F$2:$F$2000,MATCH($A109,MASTER!$A$2:$A$2000,0))&amp;"","")</f>
        <v>P0</v>
      </c>
      <c r="F109" s="12" t="str">
        <f>IFERROR(INDEX(MASTER!$G$2:$G$2000,MATCH($A109,MASTER!$A$2:$A$2000,0))&amp;"","NOT IN MASTER")</f>
        <v>NOT_STARTED</v>
      </c>
      <c r="G109" s="12" t="str">
        <f>IFERROR(INDEX(MASTER!$H$2:$H$2000,MATCH($A109,MASTER!$A$2:$A$2000,0))&amp;"","")</f>
        <v/>
      </c>
      <c r="H109" s="12" t="str">
        <f>IFERROR(INDEX(MASTER!$I$2:$I$2000,MATCH($A109,MASTER!$A$2:$A$2000,0))&amp;"","")</f>
        <v/>
      </c>
      <c r="I109" s="19" t="str">
        <f>IFERROR(IF(INDEX(MASTER!$O$2:$O$2000,MATCH($A109,MASTER!$A$2:$A$2000,0))="","",INDEX(MASTER!$O$2:$O$2000,MATCH($A109,MASTER!$A$2:$A$2000,0))),"")</f>
        <v/>
      </c>
      <c r="J109" s="12" t="str">
        <f>IFERROR(INDEX(MASTER!$P$2:$P$2000,MATCH($A109,MASTER!$A$2:$A$2000,0))&amp;"","")</f>
        <v/>
      </c>
      <c r="K109" s="12" t="str">
        <f>IFERROR(INDEX(MASTER!$Q$2:$Q$2000,MATCH($A109,MASTER!$A$2:$A$2000,0))&amp;"","")</f>
        <v/>
      </c>
      <c r="L109" s="12" t="str">
        <f>IFERROR(INDEX(MASTER!$R$2:$R$2000,MATCH($A109,MASTER!$A$2:$A$2000,0))&amp;"","")</f>
        <v>FONT-003</v>
      </c>
    </row>
    <row r="110" spans="1:12" x14ac:dyDescent="0.25">
      <c r="A110" s="15" t="s">
        <v>741</v>
      </c>
      <c r="B110" s="12" t="str">
        <f>IFERROR(INDEX(MASTER!$C$2:$C$2000,MATCH($A110,MASTER!$A$2:$A$2000,0))&amp;"","")</f>
        <v>REVIEW</v>
      </c>
      <c r="C110" s="16">
        <f>IFERROR(INDEX(MASTER!$B$2:$B$2000,MATCH($A110,MASTER!$A$2:$A$2000,0)),"")</f>
        <v>14</v>
      </c>
      <c r="D110" s="12" t="str">
        <f>IFERROR(INDEX(MASTER!$D$2:$D$2000,MATCH($A110,MASTER!$A$2:$A$2000,0))&amp;"","")</f>
        <v>Review Changes UI</v>
      </c>
      <c r="E110" s="12" t="str">
        <f>IFERROR(INDEX(MASTER!$F$2:$F$2000,MATCH($A110,MASTER!$A$2:$A$2000,0))&amp;"","")</f>
        <v>P0</v>
      </c>
      <c r="F110" s="12" t="str">
        <f>IFERROR(INDEX(MASTER!$G$2:$G$2000,MATCH($A110,MASTER!$A$2:$A$2000,0))&amp;"","NOT IN MASTER")</f>
        <v>NOT_STARTED</v>
      </c>
      <c r="G110" s="12" t="str">
        <f>IFERROR(INDEX(MASTER!$H$2:$H$2000,MATCH($A110,MASTER!$A$2:$A$2000,0))&amp;"","")</f>
        <v/>
      </c>
      <c r="H110" s="12" t="str">
        <f>IFERROR(INDEX(MASTER!$I$2:$I$2000,MATCH($A110,MASTER!$A$2:$A$2000,0))&amp;"","")</f>
        <v/>
      </c>
      <c r="I110" s="19" t="str">
        <f>IFERROR(IF(INDEX(MASTER!$O$2:$O$2000,MATCH($A110,MASTER!$A$2:$A$2000,0))="","",INDEX(MASTER!$O$2:$O$2000,MATCH($A110,MASTER!$A$2:$A$2000,0))),"")</f>
        <v/>
      </c>
      <c r="J110" s="12" t="str">
        <f>IFERROR(INDEX(MASTER!$P$2:$P$2000,MATCH($A110,MASTER!$A$2:$A$2000,0))&amp;"","")</f>
        <v/>
      </c>
      <c r="K110" s="12" t="str">
        <f>IFERROR(INDEX(MASTER!$Q$2:$Q$2000,MATCH($A110,MASTER!$A$2:$A$2000,0))&amp;"","")</f>
        <v/>
      </c>
      <c r="L110" s="12" t="str">
        <f>IFERROR(INDEX(MASTER!$R$2:$R$2000,MATCH($A110,MASTER!$A$2:$A$2000,0))&amp;"","")</f>
        <v/>
      </c>
    </row>
    <row r="111" spans="1:12" x14ac:dyDescent="0.25">
      <c r="A111" s="15" t="s">
        <v>744</v>
      </c>
      <c r="B111" s="12" t="str">
        <f>IFERROR(INDEX(MASTER!$C$2:$C$2000,MATCH($A111,MASTER!$A$2:$A$2000,0))&amp;"","")</f>
        <v>REVIEW</v>
      </c>
      <c r="C111" s="16">
        <f>IFERROR(INDEX(MASTER!$B$2:$B$2000,MATCH($A111,MASTER!$A$2:$A$2000,0)),"")</f>
        <v>14</v>
      </c>
      <c r="D111" s="12" t="str">
        <f>IFERROR(INDEX(MASTER!$D$2:$D$2000,MATCH($A111,MASTER!$A$2:$A$2000,0))&amp;"","")</f>
        <v>Content changes need acceptance</v>
      </c>
      <c r="E111" s="12" t="str">
        <f>IFERROR(INDEX(MASTER!$F$2:$F$2000,MATCH($A111,MASTER!$A$2:$A$2000,0))&amp;"","")</f>
        <v>P0</v>
      </c>
      <c r="F111" s="12" t="str">
        <f>IFERROR(INDEX(MASTER!$G$2:$G$2000,MATCH($A111,MASTER!$A$2:$A$2000,0))&amp;"","NOT IN MASTER")</f>
        <v>NOT_STARTED</v>
      </c>
      <c r="G111" s="12" t="str">
        <f>IFERROR(INDEX(MASTER!$H$2:$H$2000,MATCH($A111,MASTER!$A$2:$A$2000,0))&amp;"","")</f>
        <v/>
      </c>
      <c r="H111" s="12" t="str">
        <f>IFERROR(INDEX(MASTER!$I$2:$I$2000,MATCH($A111,MASTER!$A$2:$A$2000,0))&amp;"","")</f>
        <v/>
      </c>
      <c r="I111" s="19" t="str">
        <f>IFERROR(IF(INDEX(MASTER!$O$2:$O$2000,MATCH($A111,MASTER!$A$2:$A$2000,0))="","",INDEX(MASTER!$O$2:$O$2000,MATCH($A111,MASTER!$A$2:$A$2000,0))),"")</f>
        <v/>
      </c>
      <c r="J111" s="12" t="str">
        <f>IFERROR(INDEX(MASTER!$P$2:$P$2000,MATCH($A111,MASTER!$A$2:$A$2000,0))&amp;"","")</f>
        <v/>
      </c>
      <c r="K111" s="12" t="str">
        <f>IFERROR(INDEX(MASTER!$Q$2:$Q$2000,MATCH($A111,MASTER!$A$2:$A$2000,0))&amp;"","")</f>
        <v/>
      </c>
      <c r="L111" s="12" t="str">
        <f>IFERROR(INDEX(MASTER!$R$2:$R$2000,MATCH($A111,MASTER!$A$2:$A$2000,0))&amp;"","")</f>
        <v>REV-002</v>
      </c>
    </row>
    <row r="112" spans="1:12" x14ac:dyDescent="0.25">
      <c r="A112" s="15" t="s">
        <v>790</v>
      </c>
      <c r="B112" s="12" t="str">
        <f>IFERROR(INDEX(MASTER!$C$2:$C$2000,MATCH($A112,MASTER!$A$2:$A$2000,0))&amp;"","")</f>
        <v>INFRA</v>
      </c>
      <c r="C112" s="16">
        <f>IFERROR(INDEX(MASTER!$B$2:$B$2000,MATCH($A112,MASTER!$A$2:$A$2000,0)),"")</f>
        <v>17</v>
      </c>
      <c r="D112" s="12" t="str">
        <f>IFERROR(INDEX(MASTER!$D$2:$D$2000,MATCH($A112,MASTER!$A$2:$A$2000,0))&amp;"","")</f>
        <v>CI gates</v>
      </c>
      <c r="E112" s="12" t="str">
        <f>IFERROR(INDEX(MASTER!$F$2:$F$2000,MATCH($A112,MASTER!$A$2:$A$2000,0))&amp;"","")</f>
        <v>P0</v>
      </c>
      <c r="F112" s="12" t="str">
        <f>IFERROR(INDEX(MASTER!$G$2:$G$2000,MATCH($A112,MASTER!$A$2:$A$2000,0))&amp;"","NOT IN MASTER")</f>
        <v>NOT_STARTED</v>
      </c>
      <c r="G112" s="12" t="str">
        <f>IFERROR(INDEX(MASTER!$H$2:$H$2000,MATCH($A112,MASTER!$A$2:$A$2000,0))&amp;"","")</f>
        <v/>
      </c>
      <c r="H112" s="12" t="str">
        <f>IFERROR(INDEX(MASTER!$I$2:$I$2000,MATCH($A112,MASTER!$A$2:$A$2000,0))&amp;"","")</f>
        <v/>
      </c>
      <c r="I112" s="19" t="str">
        <f>IFERROR(IF(INDEX(MASTER!$O$2:$O$2000,MATCH($A112,MASTER!$A$2:$A$2000,0))="","",INDEX(MASTER!$O$2:$O$2000,MATCH($A112,MASTER!$A$2:$A$2000,0))),"")</f>
        <v/>
      </c>
      <c r="J112" s="12" t="str">
        <f>IFERROR(INDEX(MASTER!$P$2:$P$2000,MATCH($A112,MASTER!$A$2:$A$2000,0))&amp;"","")</f>
        <v/>
      </c>
      <c r="K112" s="12" t="str">
        <f>IFERROR(INDEX(MASTER!$Q$2:$Q$2000,MATCH($A112,MASTER!$A$2:$A$2000,0))&amp;"","")</f>
        <v/>
      </c>
      <c r="L112" s="12" t="str">
        <f>IFERROR(INDEX(MASTER!$R$2:$R$2000,MATCH($A112,MASTER!$A$2:$A$2000,0))&amp;"","")</f>
        <v/>
      </c>
    </row>
    <row r="113" spans="1:12" x14ac:dyDescent="0.25">
      <c r="A113" s="15" t="s">
        <v>795</v>
      </c>
      <c r="B113" s="12" t="str">
        <f>IFERROR(INDEX(MASTER!$C$2:$C$2000,MATCH($A113,MASTER!$A$2:$A$2000,0))&amp;"","")</f>
        <v>TESTING</v>
      </c>
      <c r="C113" s="16">
        <f>IFERROR(INDEX(MASTER!$B$2:$B$2000,MATCH($A113,MASTER!$A$2:$A$2000,0)),"")</f>
        <v>17</v>
      </c>
      <c r="D113" s="12" t="str">
        <f>IFERROR(INDEX(MASTER!$D$2:$D$2000,MATCH($A113,MASTER!$A$2:$A$2000,0))&amp;"","")</f>
        <v>Playwright workflow coverage</v>
      </c>
      <c r="E113" s="12" t="str">
        <f>IFERROR(INDEX(MASTER!$F$2:$F$2000,MATCH($A113,MASTER!$A$2:$A$2000,0))&amp;"","")</f>
        <v>P0</v>
      </c>
      <c r="F113" s="12" t="str">
        <f>IFERROR(INDEX(MASTER!$G$2:$G$2000,MATCH($A113,MASTER!$A$2:$A$2000,0))&amp;"","NOT IN MASTER")</f>
        <v>NOT_STARTED</v>
      </c>
      <c r="G113" s="12" t="str">
        <f>IFERROR(INDEX(MASTER!$H$2:$H$2000,MATCH($A113,MASTER!$A$2:$A$2000,0))&amp;"","")</f>
        <v/>
      </c>
      <c r="H113" s="12" t="str">
        <f>IFERROR(INDEX(MASTER!$I$2:$I$2000,MATCH($A113,MASTER!$A$2:$A$2000,0))&amp;"","")</f>
        <v/>
      </c>
      <c r="I113" s="19" t="str">
        <f>IFERROR(IF(INDEX(MASTER!$O$2:$O$2000,MATCH($A113,MASTER!$A$2:$A$2000,0))="","",INDEX(MASTER!$O$2:$O$2000,MATCH($A113,MASTER!$A$2:$A$2000,0))),"")</f>
        <v/>
      </c>
      <c r="J113" s="12" t="str">
        <f>IFERROR(INDEX(MASTER!$P$2:$P$2000,MATCH($A113,MASTER!$A$2:$A$2000,0))&amp;"","")</f>
        <v/>
      </c>
      <c r="K113" s="12" t="str">
        <f>IFERROR(INDEX(MASTER!$Q$2:$Q$2000,MATCH($A113,MASTER!$A$2:$A$2000,0))&amp;"","")</f>
        <v/>
      </c>
      <c r="L113" s="12" t="str">
        <f>IFERROR(INDEX(MASTER!$R$2:$R$2000,MATCH($A113,MASTER!$A$2:$A$2000,0))&amp;"","")</f>
        <v/>
      </c>
    </row>
    <row r="114" spans="1:12" x14ac:dyDescent="0.25">
      <c r="A114" s="15" t="s">
        <v>808</v>
      </c>
      <c r="B114" s="12" t="str">
        <f>IFERROR(INDEX(MASTER!$C$2:$C$2000,MATCH($A114,MASTER!$A$2:$A$2000,0))&amp;"","")</f>
        <v>DOCS</v>
      </c>
      <c r="C114" s="16">
        <f>IFERROR(INDEX(MASTER!$B$2:$B$2000,MATCH($A114,MASTER!$A$2:$A$2000,0)),"")</f>
        <v>18</v>
      </c>
      <c r="D114" s="12" t="str">
        <f>IFERROR(INDEX(MASTER!$D$2:$D$2000,MATCH($A114,MASTER!$A$2:$A$2000,0))&amp;"","")</f>
        <v>final-production-readiness.md</v>
      </c>
      <c r="E114" s="12" t="str">
        <f>IFERROR(INDEX(MASTER!$F$2:$F$2000,MATCH($A114,MASTER!$A$2:$A$2000,0))&amp;"","")</f>
        <v>P0</v>
      </c>
      <c r="F114" s="12" t="str">
        <f>IFERROR(INDEX(MASTER!$G$2:$G$2000,MATCH($A114,MASTER!$A$2:$A$2000,0))&amp;"","NOT IN MASTER")</f>
        <v>NOT_STARTED</v>
      </c>
      <c r="G114" s="12" t="str">
        <f>IFERROR(INDEX(MASTER!$H$2:$H$2000,MATCH($A114,MASTER!$A$2:$A$2000,0))&amp;"","")</f>
        <v/>
      </c>
      <c r="H114" s="12" t="str">
        <f>IFERROR(INDEX(MASTER!$I$2:$I$2000,MATCH($A114,MASTER!$A$2:$A$2000,0))&amp;"","")</f>
        <v/>
      </c>
      <c r="I114" s="19" t="str">
        <f>IFERROR(IF(INDEX(MASTER!$O$2:$O$2000,MATCH($A114,MASTER!$A$2:$A$2000,0))="","",INDEX(MASTER!$O$2:$O$2000,MATCH($A114,MASTER!$A$2:$A$2000,0))),"")</f>
        <v/>
      </c>
      <c r="J114" s="12" t="str">
        <f>IFERROR(INDEX(MASTER!$P$2:$P$2000,MATCH($A114,MASTER!$A$2:$A$2000,0))&amp;"","")</f>
        <v/>
      </c>
      <c r="K114" s="12" t="str">
        <f>IFERROR(INDEX(MASTER!$Q$2:$Q$2000,MATCH($A114,MASTER!$A$2:$A$2000,0))&amp;"","")</f>
        <v/>
      </c>
      <c r="L114" s="12" t="str">
        <f>IFERROR(INDEX(MASTER!$R$2:$R$2000,MATCH($A114,MASTER!$A$2:$A$2000,0))&amp;"","")</f>
        <v/>
      </c>
    </row>
  </sheetData>
  <autoFilter ref="A31:L114" xr:uid="{00000000-0009-0000-0000-000002000000}"/>
  <conditionalFormatting sqref="B8:B27">
    <cfRule type="cellIs" dxfId="314" priority="1" operator="equal">
      <formula>"RESOLVED"</formula>
    </cfRule>
    <cfRule type="cellIs" dxfId="313" priority="2" operator="equal">
      <formula>"IN_PROGRESS"</formula>
    </cfRule>
    <cfRule type="cellIs" dxfId="312" priority="3" operator="equal">
      <formula>"BLOCKED"</formula>
    </cfRule>
    <cfRule type="cellIs" dxfId="311" priority="4" operator="equal">
      <formula>"OPEN"</formula>
    </cfRule>
  </conditionalFormatting>
  <conditionalFormatting sqref="C8:C27">
    <cfRule type="dataBar" priority="5">
      <dataBar>
        <cfvo type="num" val="0"/>
        <cfvo type="num" val="1"/>
        <color rgb="FF63BE7B"/>
      </dataBar>
    </cfRule>
  </conditionalFormatting>
  <conditionalFormatting sqref="E32:E114">
    <cfRule type="cellIs" dxfId="310" priority="24" operator="equal">
      <formula>"P0"</formula>
    </cfRule>
    <cfRule type="cellIs" dxfId="309" priority="25" operator="equal">
      <formula>"P1"</formula>
    </cfRule>
  </conditionalFormatting>
  <conditionalFormatting sqref="F32:F114">
    <cfRule type="cellIs" dxfId="308" priority="6" operator="equal">
      <formula>"DONE"</formula>
    </cfRule>
    <cfRule type="cellIs" dxfId="307" priority="7" operator="equal">
      <formula>"VERIFIED"</formula>
    </cfRule>
    <cfRule type="cellIs" dxfId="306" priority="8" operator="equal">
      <formula>"IN_PROGRESS"</formula>
    </cfRule>
    <cfRule type="cellIs" dxfId="305" priority="9" operator="equal">
      <formula>"IMPLEMENTED"</formula>
    </cfRule>
    <cfRule type="cellIs" dxfId="304" priority="10" operator="equal">
      <formula>"TESTING"</formula>
    </cfRule>
    <cfRule type="cellIs" dxfId="303" priority="11" operator="equal">
      <formula>"BLOCKED"</formula>
    </cfRule>
    <cfRule type="cellIs" dxfId="302" priority="12" operator="equal">
      <formula>"FAILED"</formula>
    </cfRule>
    <cfRule type="cellIs" dxfId="301" priority="13" operator="equal">
      <formula>"DEFERRED"</formula>
    </cfRule>
    <cfRule type="cellIs" dxfId="300" priority="14" operator="equal">
      <formula>"UNKNOWN"</formula>
    </cfRule>
    <cfRule type="cellIs" dxfId="299" priority="15" operator="equal">
      <formula>"PASS"</formula>
    </cfRule>
    <cfRule type="cellIs" dxfId="298" priority="16" operator="equal">
      <formula>"FAIL"</formula>
    </cfRule>
    <cfRule type="cellIs" dxfId="297" priority="17" operator="equal">
      <formula>"PARTIAL"</formula>
    </cfRule>
    <cfRule type="cellIs" dxfId="296" priority="18" operator="equal">
      <formula>"RESOLVED"</formula>
    </cfRule>
    <cfRule type="cellIs" dxfId="295" priority="19" operator="equal">
      <formula>"OPEN"</formula>
    </cfRule>
    <cfRule type="cellIs" dxfId="294" priority="20" operator="equal">
      <formula>"WITHIN"</formula>
    </cfRule>
    <cfRule type="cellIs" dxfId="293" priority="21" operator="equal">
      <formula>"OVER"</formula>
    </cfRule>
    <cfRule type="cellIs" dxfId="292" priority="22" operator="equal">
      <formula>"NOW"</formula>
    </cfRule>
    <cfRule type="cellIs" dxfId="291" priority="23" operator="equal">
      <formula>"NOT IN MASTER"</formula>
    </cfRule>
  </conditionalFormatting>
  <pageMargins left="0.75" right="0.75" top="1" bottom="1" header="0.5" footer="0.5"/>
  <pageSetup fitToHeight="0"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L22"/>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865</v>
      </c>
    </row>
    <row r="2" spans="1:12" x14ac:dyDescent="0.25">
      <c r="A2" s="4" t="s">
        <v>866</v>
      </c>
    </row>
    <row r="3" spans="1:12" x14ac:dyDescent="0.25">
      <c r="A3" s="6" t="s">
        <v>45</v>
      </c>
      <c r="B3" s="6" t="s">
        <v>46</v>
      </c>
      <c r="C3" s="6" t="s">
        <v>47</v>
      </c>
      <c r="D3" s="6" t="s">
        <v>13</v>
      </c>
      <c r="E3" s="6" t="s">
        <v>16</v>
      </c>
      <c r="F3" s="6" t="s">
        <v>19</v>
      </c>
      <c r="G3" s="6" t="s">
        <v>48</v>
      </c>
      <c r="H3" s="6" t="s">
        <v>33</v>
      </c>
    </row>
    <row r="4" spans="1:12" x14ac:dyDescent="0.25">
      <c r="A4" s="7">
        <f>COUNTIF(MASTER!$C$2:$C$2000,"CORE")+COUNTIF(MASTER!$C$2:$C$2000,"FIDELITY")+COUNTIF(MASTER!$C$2:$C$2000,"REVIEW")</f>
        <v>15</v>
      </c>
      <c r="B4" s="7">
        <f>COUNTIFS(MASTER!$C$2:$C$2000,"CORE",MASTER!$G$2:$G$2000,"DONE")+COUNTIFS(MASTER!$C$2:$C$2000,"FIDELITY",MASTER!$G$2:$G$2000,"DONE")+COUNTIFS(MASTER!$C$2:$C$2000,"REVIEW",MASTER!$G$2:$G$2000,"DONE")</f>
        <v>7</v>
      </c>
      <c r="C4" s="7">
        <f>COUNTIFS(MASTER!$C$2:$C$2000,"CORE",MASTER!$G$2:$G$2000,"VERIFIED")+COUNTIFS(MASTER!$C$2:$C$2000,"FIDELITY",MASTER!$G$2:$G$2000,"VERIFIED")+COUNTIFS(MASTER!$C$2:$C$2000,"REVIEW",MASTER!$G$2:$G$2000,"VERIFIED")+B4</f>
        <v>8</v>
      </c>
      <c r="D4" s="7">
        <f>COUNTIFS(MASTER!$C$2:$C$2000,"CORE",MASTER!$G$2:$G$2000,"IN_PROGRESS")+COUNTIFS(MASTER!$C$2:$C$2000,"CORE",MASTER!$G$2:$G$2000,"IMPLEMENTED")+COUNTIFS(MASTER!$C$2:$C$2000,"CORE",MASTER!$G$2:$G$2000,"TESTING")+COUNTIFS(MASTER!$C$2:$C$2000,"FIDELITY",MASTER!$G$2:$G$2000,"IN_PROGRESS")+COUNTIFS(MASTER!$C$2:$C$2000,"FIDELITY",MASTER!$G$2:$G$2000,"IMPLEMENTED")+COUNTIFS(MASTER!$C$2:$C$2000,"FIDELITY",MASTER!$G$2:$G$2000,"TESTING")+COUNTIFS(MASTER!$C$2:$C$2000,"REVIEW",MASTER!$G$2:$G$2000,"IN_PROGRESS")+COUNTIFS(MASTER!$C$2:$C$2000,"REVIEW",MASTER!$G$2:$G$2000,"IMPLEMENTED")+COUNTIFS(MASTER!$C$2:$C$2000,"REVIEW",MASTER!$G$2:$G$2000,"TESTING")</f>
        <v>1</v>
      </c>
      <c r="E4" s="7">
        <f>COUNTIFS(MASTER!$C$2:$C$2000,"CORE",MASTER!$G$2:$G$2000,"BLOCKED")+COUNTIFS(MASTER!$C$2:$C$2000,"FIDELITY",MASTER!$G$2:$G$2000,"BLOCKED")+COUNTIFS(MASTER!$C$2:$C$2000,"REVIEW",MASTER!$G$2:$G$2000,"BLOCKED")</f>
        <v>0</v>
      </c>
      <c r="F4" s="7">
        <f>COUNTIFS(MASTER!$C$2:$C$2000,"CORE",MASTER!$G$2:$G$2000,"FAILED")+COUNTIFS(MASTER!$C$2:$C$2000,"FIDELITY",MASTER!$G$2:$G$2000,"FAILED")+COUNTIFS(MASTER!$C$2:$C$2000,"REVIEW",MASTER!$G$2:$G$2000,"FAILED")</f>
        <v>0</v>
      </c>
      <c r="G4" s="9">
        <f>IF(A4=0,0,B4/A4)</f>
        <v>0.46666666666666667</v>
      </c>
      <c r="H4" s="9">
        <f>IF(A4=0,0,C4/A4)</f>
        <v>0.53333333333333333</v>
      </c>
    </row>
    <row r="6" spans="1:12" ht="15.75" x14ac:dyDescent="0.25">
      <c r="A6" s="5" t="s">
        <v>867</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248</v>
      </c>
      <c r="B8" s="12" t="str">
        <f>IFERROR(INDEX(MASTER!$C$2:$C$2000,MATCH($A8,MASTER!$A$2:$A$2000,0))&amp;"","")</f>
        <v>CORE</v>
      </c>
      <c r="C8" s="16">
        <f>IFERROR(INDEX(MASTER!$B$2:$B$2000,MATCH($A8,MASTER!$A$2:$A$2000,0)),"")</f>
        <v>1</v>
      </c>
      <c r="D8" s="12" t="str">
        <f>IFERROR(INDEX(MASTER!$D$2:$D$2000,MATCH($A8,MASTER!$A$2:$A$2000,0))&amp;"","")</f>
        <v>Nested block containers in the model</v>
      </c>
      <c r="E8" s="12" t="str">
        <f>IFERROR(INDEX(MASTER!$F$2:$F$2000,MATCH($A8,MASTER!$A$2:$A$2000,0))&amp;"","")</f>
        <v>P0</v>
      </c>
      <c r="F8" s="12" t="str">
        <f>IFERROR(INDEX(MASTER!$G$2:$G$2000,MATCH($A8,MASTER!$A$2:$A$2000,0))&amp;"","NOT IN MASTER")</f>
        <v>DONE</v>
      </c>
      <c r="G8" s="12" t="str">
        <f>IFERROR(INDEX(MASTER!$H$2:$H$2000,MATCH($A8,MASTER!$A$2:$A$2000,0))&amp;"","")</f>
        <v>backend/app/models/document.py: TableCell.blocks, ListItem.blocks, Element.children, Element.numbering (ListNumbering start/format), MAX_BLOCK_DEPTH=8 validator, child_blocks/walk_elements/inline_runs</v>
      </c>
      <c r="H8" s="12" t="str">
        <f>IFERROR(INDEX(MASTER!$I$2:$I$2000,MATCH($A8,MASTER!$A$2:$A$2000,0))&amp;"","")</f>
        <v>tests/test_document_nesting.py (9); full backend 659 passed</v>
      </c>
      <c r="I8" s="19">
        <f>IFERROR(IF(INDEX(MASTER!$O$2:$O$2000,MATCH($A8,MASTER!$A$2:$A$2000,0))="","",INDEX(MASTER!$O$2:$O$2000,MATCH($A8,MASTER!$A$2:$A$2000,0))),"")</f>
        <v>46292.196493055562</v>
      </c>
      <c r="J8" s="12" t="str">
        <f>IFERROR(INDEX(MASTER!$P$2:$P$2000,MATCH($A8,MASTER!$A$2:$A$2000,0))&amp;"","")</f>
        <v>1fe27a9</v>
      </c>
      <c r="K8" s="12" t="str">
        <f>IFERROR(INDEX(MASTER!$Q$2:$Q$2000,MATCH($A8,MASTER!$A$2:$A$2000,0))&amp;"","")</f>
        <v>Design: TableCell.blocks / ListItem.blocks / Element.children hold nested Elements (authoritative when set; inline keeps the plain text); Element.numbering {start, format}; nesting capped at MAX_BLOCK_DEPTH; walk_elements() for every consumer.</v>
      </c>
      <c r="L8" s="12" t="str">
        <f>IFERROR(INDEX(MASTER!$R$2:$R$2000,MATCH($A8,MASTER!$A$2:$A$2000,0))&amp;"","")</f>
        <v/>
      </c>
    </row>
    <row r="9" spans="1:12" x14ac:dyDescent="0.25">
      <c r="A9" s="15" t="s">
        <v>258</v>
      </c>
      <c r="B9" s="12" t="str">
        <f>IFERROR(INDEX(MASTER!$C$2:$C$2000,MATCH($A9,MASTER!$A$2:$A$2000,0))&amp;"","")</f>
        <v>CORE</v>
      </c>
      <c r="C9" s="16">
        <f>IFERROR(INDEX(MASTER!$B$2:$B$2000,MATCH($A9,MASTER!$A$2:$A$2000,0)),"")</f>
        <v>1</v>
      </c>
      <c r="D9" s="12" t="str">
        <f>IFERROR(INDEX(MASTER!$D$2:$D$2000,MATCH($A9,MASTER!$A$2:$A$2000,0))&amp;"","")</f>
        <v>OpenAPI + generated types for nested blocks</v>
      </c>
      <c r="E9" s="12" t="str">
        <f>IFERROR(INDEX(MASTER!$F$2:$F$2000,MATCH($A9,MASTER!$A$2:$A$2000,0))&amp;"","")</f>
        <v>P0</v>
      </c>
      <c r="F9" s="12" t="str">
        <f>IFERROR(INDEX(MASTER!$G$2:$G$2000,MATCH($A9,MASTER!$A$2:$A$2000,0))&amp;"","NOT IN MASTER")</f>
        <v>DONE</v>
      </c>
      <c r="G9" s="12" t="str">
        <f>IFERROR(INDEX(MASTER!$H$2:$H$2000,MATCH($A9,MASTER!$A$2:$A$2000,0))&amp;"","")</f>
        <v>frontend/types/generated/openapi.json + api.ts regenerated; types/document.ts exports ListNumbering/NumberFormat</v>
      </c>
      <c r="H9" s="12" t="str">
        <f>IFERROR(INDEX(MASTER!$I$2:$I$2000,MATCH($A9,MASTER!$A$2:$A$2000,0))&amp;"","")</f>
        <v>tests/test_openapi_contract.py; npx tsc --noEmit clean</v>
      </c>
      <c r="I9" s="19">
        <f>IFERROR(IF(INDEX(MASTER!$O$2:$O$2000,MATCH($A9,MASTER!$A$2:$A$2000,0))="","",INDEX(MASTER!$O$2:$O$2000,MATCH($A9,MASTER!$A$2:$A$2000,0))),"")</f>
        <v>46292.196527777778</v>
      </c>
      <c r="J9" s="12" t="str">
        <f>IFERROR(INDEX(MASTER!$P$2:$P$2000,MATCH($A9,MASTER!$A$2:$A$2000,0))&amp;"","")</f>
        <v>1fe27a9</v>
      </c>
      <c r="K9" s="12" t="str">
        <f>IFERROR(INDEX(MASTER!$Q$2:$Q$2000,MATCH($A9,MASTER!$A$2:$A$2000,0))&amp;"","")</f>
        <v/>
      </c>
      <c r="L9" s="12" t="str">
        <f>IFERROR(INDEX(MASTER!$R$2:$R$2000,MATCH($A9,MASTER!$A$2:$A$2000,0))&amp;"","")</f>
        <v>CORE-001</v>
      </c>
    </row>
    <row r="10" spans="1:12" x14ac:dyDescent="0.25">
      <c r="A10" s="15" t="s">
        <v>266</v>
      </c>
      <c r="B10" s="12" t="str">
        <f>IFERROR(INDEX(MASTER!$C$2:$C$2000,MATCH($A10,MASTER!$A$2:$A$2000,0))&amp;"","")</f>
        <v>CORE</v>
      </c>
      <c r="C10" s="16">
        <f>IFERROR(INDEX(MASTER!$B$2:$B$2000,MATCH($A10,MASTER!$A$2:$A$2000,0)),"")</f>
        <v>1</v>
      </c>
      <c r="D10" s="12" t="str">
        <f>IFERROR(INDEX(MASTER!$D$2:$D$2000,MATCH($A10,MASTER!$A$2:$A$2000,0))&amp;"","")</f>
        <v>Nested blocks through the backend</v>
      </c>
      <c r="E10" s="12" t="str">
        <f>IFERROR(INDEX(MASTER!$F$2:$F$2000,MATCH($A10,MASTER!$A$2:$A$2000,0))&amp;"","")</f>
        <v>P0</v>
      </c>
      <c r="F10" s="12" t="str">
        <f>IFERROR(INDEX(MASTER!$G$2:$G$2000,MATCH($A10,MASTER!$A$2:$A$2000,0))&amp;"","NOT IN MASTER")</f>
        <v>DONE</v>
      </c>
      <c r="G10" s="12" t="str">
        <f>IFERROR(INDEX(MASTER!$H$2:$H$2000,MATCH($A10,MASTER!$A$2:$A$2000,0))&amp;"","")</f>
        <v>services/image_assets.py (nested data: images validated and stored, junk removed and reported), services/document_service.py export_assets (walk_elements), formatting/health.py links via inline_runs; asset cleanup already scans the whole JSON</v>
      </c>
      <c r="H10" s="12" t="str">
        <f>IFERROR(INDEX(MASTER!$I$2:$I$2000,MATCH($A10,MASTER!$A$2:$A$2000,0))&amp;"","")</f>
        <v>tests/test_nested_blocks_api.py (stored as sent, asset once, junk removed, depth 422); tests/test_health.py nested links</v>
      </c>
      <c r="I10" s="19">
        <f>IFERROR(IF(INDEX(MASTER!$O$2:$O$2000,MATCH($A10,MASTER!$A$2:$A$2000,0))="","",INDEX(MASTER!$O$2:$O$2000,MATCH($A10,MASTER!$A$2:$A$2000,0))),"")</f>
        <v>46292.196562500001</v>
      </c>
      <c r="J10" s="12" t="str">
        <f>IFERROR(INDEX(MASTER!$P$2:$P$2000,MATCH($A10,MASTER!$A$2:$A$2000,0))&amp;"","")</f>
        <v>1fe27a9</v>
      </c>
      <c r="K10" s="12" t="str">
        <f>IFERROR(INDEX(MASTER!$Q$2:$Q$2000,MATCH($A10,MASTER!$A$2:$A$2000,0))&amp;"","")</f>
        <v/>
      </c>
      <c r="L10" s="12" t="str">
        <f>IFERROR(INDEX(MASTER!$R$2:$R$2000,MATCH($A10,MASTER!$A$2:$A$2000,0))&amp;"","")</f>
        <v>CORE-001</v>
      </c>
    </row>
    <row r="11" spans="1:12" x14ac:dyDescent="0.25">
      <c r="A11" s="15" t="s">
        <v>333</v>
      </c>
      <c r="B11" s="12" t="str">
        <f>IFERROR(INDEX(MASTER!$C$2:$C$2000,MATCH($A11,MASTER!$A$2:$A$2000,0))&amp;"","")</f>
        <v>FIDELITY</v>
      </c>
      <c r="C11" s="16">
        <f>IFERROR(INDEX(MASTER!$B$2:$B$2000,MATCH($A11,MASTER!$A$2:$A$2000,0)),"")</f>
        <v>1</v>
      </c>
      <c r="D11" s="12" t="str">
        <f>IFERROR(INDEX(MASTER!$D$2:$D$2000,MATCH($A11,MASTER!$A$2:$A$2000,0))&amp;"","")</f>
        <v>Structured Document Fidelity Report</v>
      </c>
      <c r="E11" s="12" t="str">
        <f>IFERROR(INDEX(MASTER!$F$2:$F$2000,MATCH($A11,MASTER!$A$2:$A$2000,0))&amp;"","")</f>
        <v>P0</v>
      </c>
      <c r="F11" s="12" t="str">
        <f>IFERROR(INDEX(MASTER!$G$2:$G$2000,MATCH($A11,MASTER!$A$2:$A$2000,0))&amp;"","NOT IN MASTER")</f>
        <v>DONE</v>
      </c>
      <c r="G11" s="12" t="str">
        <f>IFERROR(INDEX(MASTER!$H$2:$H$2000,MATCH($A11,MASTER!$A$2:$A$2000,0))&amp;"","")</f>
        <v>backend/app/fidelity/{report,content,docx_source,text_sources,imports}.py; Document.importReport; ingestion_service attaches it for DOCX, PDF, .txt and paste</v>
      </c>
      <c r="H11" s="12" t="str">
        <f>IFERROR(INDEX(MASTER!$I$2:$I$2000,MATCH($A11,MASTER!$A$2:$A$2000,0))&amp;"","")</f>
        <v>tests/test_fidelity_report.py (29); calibration: 29 Word/golden fixtures verified except the genuine a03 heading-number change</v>
      </c>
      <c r="I11" s="19">
        <f>IFERROR(IF(INDEX(MASTER!$O$2:$O$2000,MATCH($A11,MASTER!$A$2:$A$2000,0))="","",INDEX(MASTER!$O$2:$O$2000,MATCH($A11,MASTER!$A$2:$A$2000,0))),"")</f>
        <v>46292.219282407408</v>
      </c>
      <c r="J11" s="12" t="str">
        <f>IFERROR(INDEX(MASTER!$P$2:$P$2000,MATCH($A11,MASTER!$A$2:$A$2000,0))&amp;"","")</f>
        <v>8a330be</v>
      </c>
      <c r="K11" s="12" t="str">
        <f>IFERROR(INDEX(MASTER!$Q$2:$Q$2000,MATCH($A11,MASTER!$A$2:$A$2000,0))&amp;"","")</f>
        <v/>
      </c>
      <c r="L11" s="12" t="str">
        <f>IFERROR(INDEX(MASTER!$R$2:$R$2000,MATCH($A11,MASTER!$A$2:$A$2000,0))&amp;"","")</f>
        <v/>
      </c>
    </row>
    <row r="12" spans="1:12" x14ac:dyDescent="0.25">
      <c r="A12" s="15" t="s">
        <v>339</v>
      </c>
      <c r="B12" s="12" t="str">
        <f>IFERROR(INDEX(MASTER!$C$2:$C$2000,MATCH($A12,MASTER!$A$2:$A$2000,0))&amp;"","")</f>
        <v>FIDELITY</v>
      </c>
      <c r="C12" s="16">
        <f>IFERROR(INDEX(MASTER!$B$2:$B$2000,MATCH($A12,MASTER!$A$2:$A$2000,0)),"")</f>
        <v>1</v>
      </c>
      <c r="D12" s="12" t="str">
        <f>IFERROR(INDEX(MASTER!$D$2:$D$2000,MATCH($A12,MASTER!$A$2:$A$2000,0))&amp;"","")</f>
        <v>Importer reports every detected change</v>
      </c>
      <c r="E12" s="12" t="str">
        <f>IFERROR(INDEX(MASTER!$F$2:$F$2000,MATCH($A12,MASTER!$A$2:$A$2000,0))&amp;"","")</f>
        <v>P0</v>
      </c>
      <c r="F12" s="12" t="str">
        <f>IFERROR(INDEX(MASTER!$G$2:$G$2000,MATCH($A12,MASTER!$A$2:$A$2000,0))&amp;"","NOT IN MASTER")</f>
        <v>IN_PROGRESS</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v>
      </c>
      <c r="L12" s="12" t="str">
        <f>IFERROR(INDEX(MASTER!$R$2:$R$2000,MATCH($A12,MASTER!$A$2:$A$2000,0))&amp;"","")</f>
        <v>FID-001</v>
      </c>
    </row>
    <row r="13" spans="1:12" x14ac:dyDescent="0.25">
      <c r="A13" s="15" t="s">
        <v>345</v>
      </c>
      <c r="B13" s="12" t="str">
        <f>IFERROR(INDEX(MASTER!$C$2:$C$2000,MATCH($A13,MASTER!$A$2:$A$2000,0))&amp;"","")</f>
        <v>FIDELITY</v>
      </c>
      <c r="C13" s="16">
        <f>IFERROR(INDEX(MASTER!$B$2:$B$2000,MATCH($A13,MASTER!$A$2:$A$2000,0)),"")</f>
        <v>1</v>
      </c>
      <c r="D13" s="12" t="str">
        <f>IFERROR(INDEX(MASTER!$D$2:$D$2000,MATCH($A13,MASTER!$A$2:$A$2000,0))&amp;"","")</f>
        <v>Export fidelity report</v>
      </c>
      <c r="E13" s="12" t="str">
        <f>IFERROR(INDEX(MASTER!$F$2:$F$2000,MATCH($A13,MASTER!$A$2:$A$2000,0))&amp;"","")</f>
        <v>P0</v>
      </c>
      <c r="F13" s="12" t="str">
        <f>IFERROR(INDEX(MASTER!$G$2:$G$2000,MATCH($A13,MASTER!$A$2:$A$2000,0))&amp;"","NOT IN MASTER")</f>
        <v>DONE</v>
      </c>
      <c r="G13" s="12" t="str">
        <f>IFERROR(INDEX(MASTER!$H$2:$H$2000,MATCH($A13,MASTER!$A$2:$A$2000,0))&amp;"","")</f>
        <v>backend/app/fidelity/exports.py (collecting/note, pdf_document_notes, export_report); docx_export/pdf_export record what they approximate or drop; export job result carries 'fidelity'; frontend ExportMenu ExportResult; PDF alt-text note</v>
      </c>
      <c r="H13" s="12" t="str">
        <f>IFERROR(INDEX(MASTER!$I$2:$I$2000,MATCH($A13,MASTER!$A$2:$A$2000,0))&amp;"","")</f>
        <v>tests/test_export_fidelity.py (6), tests/test_jobs.py; editor/ExportResult.test.tsx (4); e2e documents.spec.ts export test checks the message; calibration: DOCX export re-reads identically on 29 fixtures, PDF on all but a11-multilingual (genuine)</v>
      </c>
      <c r="I13" s="19">
        <f>IFERROR(IF(INDEX(MASTER!$O$2:$O$2000,MATCH($A13,MASTER!$A$2:$A$2000,0))="","",INDEX(MASTER!$O$2:$O$2000,MATCH($A13,MASTER!$A$2:$A$2000,0))),"")</f>
        <v>46292.351134259261</v>
      </c>
      <c r="J13" s="12" t="str">
        <f>IFERROR(INDEX(MASTER!$P$2:$P$2000,MATCH($A13,MASTER!$A$2:$A$2000,0))&amp;"","")</f>
        <v>e55412f</v>
      </c>
      <c r="K13" s="12" t="str">
        <f>IFERROR(INDEX(MASTER!$Q$2:$Q$2000,MATCH($A13,MASTER!$A$2:$A$2000,0))&amp;"","")</f>
        <v/>
      </c>
      <c r="L13" s="12" t="str">
        <f>IFERROR(INDEX(MASTER!$R$2:$R$2000,MATCH($A13,MASTER!$A$2:$A$2000,0))&amp;"","")</f>
        <v>FID-001</v>
      </c>
    </row>
    <row r="14" spans="1:12" x14ac:dyDescent="0.25">
      <c r="A14" s="15" t="s">
        <v>352</v>
      </c>
      <c r="B14" s="12" t="str">
        <f>IFERROR(INDEX(MASTER!$C$2:$C$2000,MATCH($A14,MASTER!$A$2:$A$2000,0))&amp;"","")</f>
        <v>FIDELITY</v>
      </c>
      <c r="C14" s="16">
        <f>IFERROR(INDEX(MASTER!$B$2:$B$2000,MATCH($A14,MASTER!$A$2:$A$2000,0)),"")</f>
        <v>1</v>
      </c>
      <c r="D14" s="12" t="str">
        <f>IFERROR(INDEX(MASTER!$D$2:$D$2000,MATCH($A14,MASTER!$A$2:$A$2000,0))&amp;"","")</f>
        <v>Content protection UI</v>
      </c>
      <c r="E14" s="12" t="str">
        <f>IFERROR(INDEX(MASTER!$F$2:$F$2000,MATCH($A14,MASTER!$A$2:$A$2000,0))&amp;"","")</f>
        <v>P0</v>
      </c>
      <c r="F14" s="12" t="str">
        <f>IFERROR(INDEX(MASTER!$G$2:$G$2000,MATCH($A14,MASTER!$A$2:$A$2000,0))&amp;"","NOT IN MASTER")</f>
        <v>DONE</v>
      </c>
      <c r="G14" s="12" t="str">
        <f>IFERROR(INDEX(MASTER!$H$2:$H$2000,MATCH($A14,MASTER!$A$2:$A$2000,0))&amp;"","")</f>
        <v>frontend/editor/panels/FidelityPanel.tsx (Проверка rail panel), EditorStatusBar import badge; 'No content changes' only when the words matched and no item lost content</v>
      </c>
      <c r="H14" s="12" t="str">
        <f>IFERROR(INDEX(MASTER!$I$2:$I$2000,MATCH($A14,MASTER!$A$2:$A$2000,0))&amp;"","")</f>
        <v>editor/panels/FidelityPanel.test.tsx (3); e2e/fidelity.spec.ts; checked in a throwaway stack with the audit's a03/a05 fixtures</v>
      </c>
      <c r="I14" s="19">
        <f>IFERROR(IF(INDEX(MASTER!$O$2:$O$2000,MATCH($A14,MASTER!$A$2:$A$2000,0))="","",INDEX(MASTER!$O$2:$O$2000,MATCH($A14,MASTER!$A$2:$A$2000,0))),"")</f>
        <v>46292.219317129631</v>
      </c>
      <c r="J14" s="12" t="str">
        <f>IFERROR(INDEX(MASTER!$P$2:$P$2000,MATCH($A14,MASTER!$A$2:$A$2000,0))&amp;"","")</f>
        <v>8a330be</v>
      </c>
      <c r="K14" s="12" t="str">
        <f>IFERROR(INDEX(MASTER!$Q$2:$Q$2000,MATCH($A14,MASTER!$A$2:$A$2000,0))&amp;"","")</f>
        <v/>
      </c>
      <c r="L14" s="12" t="str">
        <f>IFERROR(INDEX(MASTER!$R$2:$R$2000,MATCH($A14,MASTER!$A$2:$A$2000,0))&amp;"","")</f>
        <v>FID-001</v>
      </c>
    </row>
    <row r="15" spans="1:12" x14ac:dyDescent="0.25">
      <c r="A15" s="15" t="s">
        <v>357</v>
      </c>
      <c r="B15" s="12" t="str">
        <f>IFERROR(INDEX(MASTER!$C$2:$C$2000,MATCH($A15,MASTER!$A$2:$A$2000,0))&amp;"","")</f>
        <v>FIDELITY</v>
      </c>
      <c r="C15" s="16">
        <f>IFERROR(INDEX(MASTER!$B$2:$B$2000,MATCH($A15,MASTER!$A$2:$A$2000,0)),"")</f>
        <v>1</v>
      </c>
      <c r="D15" s="12" t="str">
        <f>IFERROR(INDEX(MASTER!$D$2:$D$2000,MATCH($A15,MASTER!$A$2:$A$2000,0))&amp;"","")</f>
        <v>Unsupported-feature policy classes</v>
      </c>
      <c r="E15" s="12" t="str">
        <f>IFERROR(INDEX(MASTER!$F$2:$F$2000,MATCH($A15,MASTER!$A$2:$A$2000,0))&amp;"","")</f>
        <v>P0</v>
      </c>
      <c r="F15" s="12" t="str">
        <f>IFERROR(INDEX(MASTER!$G$2:$G$2000,MATCH($A15,MASTER!$A$2:$A$2000,0))&amp;"","NOT IN MASTER")</f>
        <v>DONE</v>
      </c>
      <c r="G15" s="12" t="str">
        <f>IFERROR(INDEX(MASTER!$H$2:$H$2000,MATCH($A15,MASTER!$A$2:$A$2000,0))&amp;"","")</f>
        <v>app/fidelity/report.py FidelityPolicy (not_detected, detected_preserved, detected_not_editable, lossy, unsupported, blocked); every DOCX importer note classified (docx_inline.Notes, docx.py)</v>
      </c>
      <c r="H15" s="12" t="str">
        <f>IFERROR(INDEX(MASTER!$I$2:$I$2000,MATCH($A15,MASTER!$A$2:$A$2000,0))&amp;"","")</f>
        <v>tests/test_fidelity_report.py</v>
      </c>
      <c r="I15" s="19">
        <f>IFERROR(IF(INDEX(MASTER!$O$2:$O$2000,MATCH($A15,MASTER!$A$2:$A$2000,0))="","",INDEX(MASTER!$O$2:$O$2000,MATCH($A15,MASTER!$A$2:$A$2000,0))),"")</f>
        <v>46292.219351851847</v>
      </c>
      <c r="J15" s="12" t="str">
        <f>IFERROR(INDEX(MASTER!$P$2:$P$2000,MATCH($A15,MASTER!$A$2:$A$2000,0))&amp;"","")</f>
        <v>8a330be</v>
      </c>
      <c r="K15" s="12" t="str">
        <f>IFERROR(INDEX(MASTER!$Q$2:$Q$2000,MATCH($A15,MASTER!$A$2:$A$2000,0))&amp;"","")</f>
        <v/>
      </c>
      <c r="L15" s="12" t="str">
        <f>IFERROR(INDEX(MASTER!$R$2:$R$2000,MATCH($A15,MASTER!$A$2:$A$2000,0))&amp;"","")</f>
        <v>FID-001</v>
      </c>
    </row>
    <row r="16" spans="1:12" x14ac:dyDescent="0.25">
      <c r="A16" s="15" t="s">
        <v>362</v>
      </c>
      <c r="B16" s="12" t="str">
        <f>IFERROR(INDEX(MASTER!$C$2:$C$2000,MATCH($A16,MASTER!$A$2:$A$2000,0))&amp;"","")</f>
        <v>CORE</v>
      </c>
      <c r="C16" s="16">
        <f>IFERROR(INDEX(MASTER!$B$2:$B$2000,MATCH($A16,MASTER!$A$2:$A$2000,0)),"")</f>
        <v>1</v>
      </c>
      <c r="D16" s="12" t="str">
        <f>IFERROR(INDEX(MASTER!$D$2:$D$2000,MATCH($A16,MASTER!$A$2:$A$2000,0))&amp;"","")</f>
        <v>Machine-readable capability matrix</v>
      </c>
      <c r="E16" s="12" t="str">
        <f>IFERROR(INDEX(MASTER!$F$2:$F$2000,MATCH($A16,MASTER!$A$2:$A$2000,0))&amp;"","")</f>
        <v>P1</v>
      </c>
      <c r="F16" s="12" t="str">
        <f>IFERROR(INDEX(MASTER!$G$2:$G$2000,MATCH($A16,MASTER!$A$2:$A$2000,0))&amp;"","NOT IN MASTER")</f>
        <v>VERIFIED</v>
      </c>
      <c r="G16" s="12" t="str">
        <f>IFERROR(INDEX(MASTER!$H$2:$H$2000,MATCH($A16,MASTER!$A$2:$A$2000,0))&amp;"","")</f>
        <v>backend/app/capabilities.py (67 features across Word, PDF, editor, text: import/edit/export/roundTrip + policy + report keys + tests + notes naming the task for every unreported gap); GET /api/v1/capabilities (public)</v>
      </c>
      <c r="H16" s="12" t="str">
        <f>IFERROR(INDEX(MASTER!$I$2:$I$2000,MATCH($A16,MASTER!$A$2:$A$2000,0))&amp;"","")</f>
        <v>tests/test_capabilities.py (6): every reported key described and every described key reported, cited tests exist, no round trip 'yes' without a test, gaps name their task, API</v>
      </c>
      <c r="I16" s="19">
        <f>IFERROR(IF(INDEX(MASTER!$O$2:$O$2000,MATCH($A16,MASTER!$A$2:$A$2000,0))="","",INDEX(MASTER!$O$2:$O$2000,MATCH($A16,MASTER!$A$2:$A$2000,0))),"")</f>
        <v>46292.356574074067</v>
      </c>
      <c r="J16" s="12" t="str">
        <f>IFERROR(INDEX(MASTER!$P$2:$P$2000,MATCH($A16,MASTER!$A$2:$A$2000,0))&amp;"","")</f>
        <v/>
      </c>
      <c r="K16" s="12" t="str">
        <f>IFERROR(INDEX(MASTER!$Q$2:$Q$2000,MATCH($A16,MASTER!$A$2:$A$2000,0))&amp;"","")</f>
        <v>UI use (badges, pre-export warnings) comes with REV-002/FID-004 follow-ups.</v>
      </c>
      <c r="L16" s="12" t="str">
        <f>IFERROR(INDEX(MASTER!$R$2:$R$2000,MATCH($A16,MASTER!$A$2:$A$2000,0))&amp;"","")</f>
        <v/>
      </c>
    </row>
    <row r="17" spans="1:12" x14ac:dyDescent="0.25">
      <c r="A17" s="15" t="s">
        <v>416</v>
      </c>
      <c r="B17" s="12" t="str">
        <f>IFERROR(INDEX(MASTER!$C$2:$C$2000,MATCH($A17,MASTER!$A$2:$A$2000,0))&amp;"","")</f>
        <v>REVIEW</v>
      </c>
      <c r="C17" s="16">
        <f>IFERROR(INDEX(MASTER!$B$2:$B$2000,MATCH($A17,MASTER!$A$2:$A$2000,0)),"")</f>
        <v>2</v>
      </c>
      <c r="D17" s="12" t="str">
        <f>IFERROR(INDEX(MASTER!$D$2:$D$2000,MATCH($A17,MASTER!$A$2:$A$2000,0))&amp;"","")</f>
        <v>Change model</v>
      </c>
      <c r="E17" s="12" t="str">
        <f>IFERROR(INDEX(MASTER!$F$2:$F$2000,MATCH($A17,MASTER!$A$2:$A$2000,0))&amp;"","")</f>
        <v>P0</v>
      </c>
      <c r="F17" s="12" t="str">
        <f>IFERROR(INDEX(MASTER!$G$2:$G$2000,MATCH($A17,MASTER!$A$2:$A$2000,0))&amp;"","NOT IN MASTER")</f>
        <v>NOT_STARTED</v>
      </c>
      <c r="G17" s="12" t="str">
        <f>IFERROR(INDEX(MASTER!$H$2:$H$2000,MATCH($A17,MASTER!$A$2:$A$2000,0))&amp;"","")</f>
        <v/>
      </c>
      <c r="H17" s="12" t="str">
        <f>IFERROR(INDEX(MASTER!$I$2:$I$2000,MATCH($A17,MASTER!$A$2:$A$2000,0))&amp;"","")</f>
        <v/>
      </c>
      <c r="I17" s="19" t="str">
        <f>IFERROR(IF(INDEX(MASTER!$O$2:$O$2000,MATCH($A17,MASTER!$A$2:$A$2000,0))="","",INDEX(MASTER!$O$2:$O$2000,MATCH($A17,MASTER!$A$2:$A$2000,0))),"")</f>
        <v/>
      </c>
      <c r="J17" s="12" t="str">
        <f>IFERROR(INDEX(MASTER!$P$2:$P$2000,MATCH($A17,MASTER!$A$2:$A$2000,0))&amp;"","")</f>
        <v/>
      </c>
      <c r="K17" s="12" t="str">
        <f>IFERROR(INDEX(MASTER!$Q$2:$Q$2000,MATCH($A17,MASTER!$A$2:$A$2000,0))&amp;"","")</f>
        <v/>
      </c>
      <c r="L17" s="12" t="str">
        <f>IFERROR(INDEX(MASTER!$R$2:$R$2000,MATCH($A17,MASTER!$A$2:$A$2000,0))&amp;"","")</f>
        <v/>
      </c>
    </row>
    <row r="18" spans="1:12" x14ac:dyDescent="0.25">
      <c r="A18" s="15" t="s">
        <v>419</v>
      </c>
      <c r="B18" s="12" t="str">
        <f>IFERROR(INDEX(MASTER!$C$2:$C$2000,MATCH($A18,MASTER!$A$2:$A$2000,0))&amp;"","")</f>
        <v>CORE</v>
      </c>
      <c r="C18" s="16">
        <f>IFERROR(INDEX(MASTER!$B$2:$B$2000,MATCH($A18,MASTER!$A$2:$A$2000,0)),"")</f>
        <v>2</v>
      </c>
      <c r="D18" s="12" t="str">
        <f>IFERROR(INDEX(MASTER!$D$2:$D$2000,MATCH($A18,MASTER!$A$2:$A$2000,0))&amp;"","")</f>
        <v>Document command model</v>
      </c>
      <c r="E18" s="12" t="str">
        <f>IFERROR(INDEX(MASTER!$F$2:$F$2000,MATCH($A18,MASTER!$A$2:$A$2000,0))&amp;"","")</f>
        <v>P1</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
      </c>
    </row>
    <row r="19" spans="1:12" x14ac:dyDescent="0.25">
      <c r="A19" s="15" t="s">
        <v>741</v>
      </c>
      <c r="B19" s="12" t="str">
        <f>IFERROR(INDEX(MASTER!$C$2:$C$2000,MATCH($A19,MASTER!$A$2:$A$2000,0))&amp;"","")</f>
        <v>REVIEW</v>
      </c>
      <c r="C19" s="16">
        <f>IFERROR(INDEX(MASTER!$B$2:$B$2000,MATCH($A19,MASTER!$A$2:$A$2000,0)),"")</f>
        <v>14</v>
      </c>
      <c r="D19" s="12" t="str">
        <f>IFERROR(INDEX(MASTER!$D$2:$D$2000,MATCH($A19,MASTER!$A$2:$A$2000,0))&amp;"","")</f>
        <v>Review Changes UI</v>
      </c>
      <c r="E19" s="12" t="str">
        <f>IFERROR(INDEX(MASTER!$F$2:$F$2000,MATCH($A19,MASTER!$A$2:$A$2000,0))&amp;"","")</f>
        <v>P0</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
      </c>
      <c r="L19" s="12" t="str">
        <f>IFERROR(INDEX(MASTER!$R$2:$R$2000,MATCH($A19,MASTER!$A$2:$A$2000,0))&amp;"","")</f>
        <v/>
      </c>
    </row>
    <row r="20" spans="1:12" x14ac:dyDescent="0.25">
      <c r="A20" s="15" t="s">
        <v>744</v>
      </c>
      <c r="B20" s="12" t="str">
        <f>IFERROR(INDEX(MASTER!$C$2:$C$2000,MATCH($A20,MASTER!$A$2:$A$2000,0))&amp;"","")</f>
        <v>REVIEW</v>
      </c>
      <c r="C20" s="16">
        <f>IFERROR(INDEX(MASTER!$B$2:$B$2000,MATCH($A20,MASTER!$A$2:$A$2000,0)),"")</f>
        <v>14</v>
      </c>
      <c r="D20" s="12" t="str">
        <f>IFERROR(INDEX(MASTER!$D$2:$D$2000,MATCH($A20,MASTER!$A$2:$A$2000,0))&amp;"","")</f>
        <v>Content changes need acceptance</v>
      </c>
      <c r="E20" s="12" t="str">
        <f>IFERROR(INDEX(MASTER!$F$2:$F$2000,MATCH($A20,MASTER!$A$2:$A$2000,0))&amp;"","")</f>
        <v>P0</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REV-002</v>
      </c>
    </row>
    <row r="21" spans="1:12" x14ac:dyDescent="0.25">
      <c r="A21" s="15" t="s">
        <v>748</v>
      </c>
      <c r="B21" s="12" t="str">
        <f>IFERROR(INDEX(MASTER!$C$2:$C$2000,MATCH($A21,MASTER!$A$2:$A$2000,0))&amp;"","")</f>
        <v>REVIEW</v>
      </c>
      <c r="C21" s="16">
        <f>IFERROR(INDEX(MASTER!$B$2:$B$2000,MATCH($A21,MASTER!$A$2:$A$2000,0)),"")</f>
        <v>14</v>
      </c>
      <c r="D21" s="12" t="str">
        <f>IFERROR(INDEX(MASTER!$D$2:$D$2000,MATCH($A21,MASTER!$A$2:$A$2000,0))&amp;"","")</f>
        <v>Repair</v>
      </c>
      <c r="E21" s="12" t="str">
        <f>IFERROR(INDEX(MASTER!$F$2:$F$2000,MATCH($A21,MASTER!$A$2:$A$2000,0))&amp;"","")</f>
        <v>P2</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
      </c>
    </row>
    <row r="22" spans="1:12" x14ac:dyDescent="0.25">
      <c r="A22" s="15" t="s">
        <v>751</v>
      </c>
      <c r="B22" s="12" t="str">
        <f>IFERROR(INDEX(MASTER!$C$2:$C$2000,MATCH($A22,MASTER!$A$2:$A$2000,0))&amp;"","")</f>
        <v>REVIEW</v>
      </c>
      <c r="C22" s="16">
        <f>IFERROR(INDEX(MASTER!$B$2:$B$2000,MATCH($A22,MASTER!$A$2:$A$2000,0)),"")</f>
        <v>14</v>
      </c>
      <c r="D22" s="12" t="str">
        <f>IFERROR(INDEX(MASTER!$D$2:$D$2000,MATCH($A22,MASTER!$A$2:$A$2000,0))&amp;"","")</f>
        <v>Clean copy</v>
      </c>
      <c r="E22" s="12" t="str">
        <f>IFERROR(INDEX(MASTER!$F$2:$F$2000,MATCH($A22,MASTER!$A$2:$A$2000,0))&amp;"","")</f>
        <v>P2</v>
      </c>
      <c r="F22" s="12" t="str">
        <f>IFERROR(INDEX(MASTER!$G$2:$G$2000,MATCH($A22,MASTER!$A$2:$A$2000,0))&amp;"","NOT IN MASTER")</f>
        <v>NOT_STARTED</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
      </c>
      <c r="L22" s="12" t="str">
        <f>IFERROR(INDEX(MASTER!$R$2:$R$2000,MATCH($A22,MASTER!$A$2:$A$2000,0))&amp;"","")</f>
        <v/>
      </c>
    </row>
  </sheetData>
  <autoFilter ref="A7:L22" xr:uid="{00000000-0009-0000-0000-000003000000}"/>
  <conditionalFormatting sqref="E8:E22">
    <cfRule type="cellIs" dxfId="290" priority="19" operator="equal">
      <formula>"P0"</formula>
    </cfRule>
    <cfRule type="cellIs" dxfId="289" priority="20" operator="equal">
      <formula>"P1"</formula>
    </cfRule>
  </conditionalFormatting>
  <conditionalFormatting sqref="F8:F22">
    <cfRule type="cellIs" dxfId="288" priority="1" operator="equal">
      <formula>"DONE"</formula>
    </cfRule>
    <cfRule type="cellIs" dxfId="287" priority="2" operator="equal">
      <formula>"VERIFIED"</formula>
    </cfRule>
    <cfRule type="cellIs" dxfId="286" priority="3" operator="equal">
      <formula>"IN_PROGRESS"</formula>
    </cfRule>
    <cfRule type="cellIs" dxfId="285" priority="4" operator="equal">
      <formula>"IMPLEMENTED"</formula>
    </cfRule>
    <cfRule type="cellIs" dxfId="284" priority="5" operator="equal">
      <formula>"TESTING"</formula>
    </cfRule>
    <cfRule type="cellIs" dxfId="283" priority="6" operator="equal">
      <formula>"BLOCKED"</formula>
    </cfRule>
    <cfRule type="cellIs" dxfId="282" priority="7" operator="equal">
      <formula>"FAILED"</formula>
    </cfRule>
    <cfRule type="cellIs" dxfId="281" priority="8" operator="equal">
      <formula>"DEFERRED"</formula>
    </cfRule>
    <cfRule type="cellIs" dxfId="280" priority="9" operator="equal">
      <formula>"UNKNOWN"</formula>
    </cfRule>
    <cfRule type="cellIs" dxfId="279" priority="10" operator="equal">
      <formula>"PASS"</formula>
    </cfRule>
    <cfRule type="cellIs" dxfId="278" priority="11" operator="equal">
      <formula>"FAIL"</formula>
    </cfRule>
    <cfRule type="cellIs" dxfId="277" priority="12" operator="equal">
      <formula>"PARTIAL"</formula>
    </cfRule>
    <cfRule type="cellIs" dxfId="276" priority="13" operator="equal">
      <formula>"RESOLVED"</formula>
    </cfRule>
    <cfRule type="cellIs" dxfId="275" priority="14" operator="equal">
      <formula>"OPEN"</formula>
    </cfRule>
    <cfRule type="cellIs" dxfId="274" priority="15" operator="equal">
      <formula>"WITHIN"</formula>
    </cfRule>
    <cfRule type="cellIs" dxfId="273" priority="16" operator="equal">
      <formula>"OVER"</formula>
    </cfRule>
    <cfRule type="cellIs" dxfId="272" priority="17" operator="equal">
      <formula>"NOW"</formula>
    </cfRule>
    <cfRule type="cellIs" dxfId="271" priority="18" operator="equal">
      <formula>"NOT IN MASTER"</formula>
    </cfRule>
  </conditionalFormatting>
  <pageMargins left="0.75" right="0.75" top="1" bottom="1" header="0.5" footer="0.5"/>
  <pageSetup fitToHeight="0"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L26"/>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868</v>
      </c>
    </row>
    <row r="2" spans="1:12" x14ac:dyDescent="0.25">
      <c r="A2" s="4" t="s">
        <v>869</v>
      </c>
    </row>
    <row r="3" spans="1:12" x14ac:dyDescent="0.25">
      <c r="A3" s="6" t="s">
        <v>45</v>
      </c>
      <c r="B3" s="6" t="s">
        <v>46</v>
      </c>
      <c r="C3" s="6" t="s">
        <v>47</v>
      </c>
      <c r="D3" s="6" t="s">
        <v>13</v>
      </c>
      <c r="E3" s="6" t="s">
        <v>16</v>
      </c>
      <c r="F3" s="6" t="s">
        <v>19</v>
      </c>
      <c r="G3" s="6" t="s">
        <v>48</v>
      </c>
      <c r="H3" s="6" t="s">
        <v>33</v>
      </c>
    </row>
    <row r="4" spans="1:12" x14ac:dyDescent="0.25">
      <c r="A4" s="7">
        <f>COUNTIF(MASTER!$C$2:$C$2000,"DOCX")</f>
        <v>19</v>
      </c>
      <c r="B4" s="7">
        <f>COUNTIFS(MASTER!$C$2:$C$2000,"DOCX",MASTER!$G$2:$G$2000,"DONE")</f>
        <v>1</v>
      </c>
      <c r="C4" s="7">
        <f>COUNTIFS(MASTER!$C$2:$C$2000,"DOCX",MASTER!$G$2:$G$2000,"VERIFIED")+B4</f>
        <v>1</v>
      </c>
      <c r="D4" s="7">
        <f>COUNTIFS(MASTER!$C$2:$C$2000,"DOCX",MASTER!$G$2:$G$2000,"IN_PROGRESS")+COUNTIFS(MASTER!$C$2:$C$2000,"DOCX",MASTER!$G$2:$G$2000,"IMPLEMENTED")+COUNTIFS(MASTER!$C$2:$C$2000,"DOCX",MASTER!$G$2:$G$2000,"TESTING")</f>
        <v>1</v>
      </c>
      <c r="E4" s="7">
        <f>COUNTIFS(MASTER!$C$2:$C$2000,"DOCX",MASTER!$G$2:$G$2000,"BLOCKED")</f>
        <v>0</v>
      </c>
      <c r="F4" s="7">
        <f>COUNTIFS(MASTER!$C$2:$C$2000,"DOCX",MASTER!$G$2:$G$2000,"FAILED")</f>
        <v>0</v>
      </c>
      <c r="G4" s="9">
        <f>IF(A4=0,0,B4/A4)</f>
        <v>5.2631578947368418E-2</v>
      </c>
      <c r="H4" s="9">
        <f>IF(A4=0,0,C4/A4)</f>
        <v>5.2631578947368418E-2</v>
      </c>
    </row>
    <row r="6" spans="1:12" ht="15.75" x14ac:dyDescent="0.25">
      <c r="A6" s="5" t="s">
        <v>867</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322</v>
      </c>
      <c r="B8" s="12" t="str">
        <f>IFERROR(INDEX(MASTER!$C$2:$C$2000,MATCH($A8,MASTER!$A$2:$A$2000,0))&amp;"","")</f>
        <v>DOCX</v>
      </c>
      <c r="C8" s="16">
        <f>IFERROR(INDEX(MASTER!$B$2:$B$2000,MATCH($A8,MASTER!$A$2:$A$2000,0)),"")</f>
        <v>1</v>
      </c>
      <c r="D8" s="12" t="str">
        <f>IFERROR(INDEX(MASTER!$D$2:$D$2000,MATCH($A8,MASTER!$A$2:$A$2000,0))&amp;"","")</f>
        <v>DOCX export of nested blocks</v>
      </c>
      <c r="E8" s="12" t="str">
        <f>IFERROR(INDEX(MASTER!$F$2:$F$2000,MATCH($A8,MASTER!$A$2:$A$2000,0))&amp;"","")</f>
        <v>P0</v>
      </c>
      <c r="F8" s="12" t="str">
        <f>IFERROR(INDEX(MASTER!$G$2:$G$2000,MATCH($A8,MASTER!$A$2:$A$2000,0))&amp;"","NOT IN MASTER")</f>
        <v>DONE</v>
      </c>
      <c r="G8" s="12" t="str">
        <f>IFERROR(INDEX(MASTER!$H$2:$H$2000,MATCH($A8,MASTER!$A$2:$A$2000,0))&amp;"","")</f>
        <v>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v>
      </c>
      <c r="H8" s="12" t="str">
        <f>IFERROR(INDEX(MASTER!$I$2:$I$2000,MATCH($A8,MASTER!$A$2:$A$2000,0))&amp;"","")</f>
        <v>tests/test_nested_blocks_api.py::test_the_word_export_keeps_every_nested_block, ::test_the_word_export_numbers_a_list_from_its_start_in_its_format; existing DOCX suites green</v>
      </c>
      <c r="I8" s="19">
        <f>IFERROR(IF(INDEX(MASTER!$O$2:$O$2000,MATCH($A8,MASTER!$A$2:$A$2000,0))="","",INDEX(MASTER!$O$2:$O$2000,MATCH($A8,MASTER!$A$2:$A$2000,0))),"")</f>
        <v>46292.196828703702</v>
      </c>
      <c r="J8" s="12" t="str">
        <f>IFERROR(INDEX(MASTER!$P$2:$P$2000,MATCH($A8,MASTER!$A$2:$A$2000,0))&amp;"","")</f>
        <v>1fe27a9</v>
      </c>
      <c r="K8" s="12" t="str">
        <f>IFERROR(INDEX(MASTER!$Q$2:$Q$2000,MATCH($A8,MASTER!$A$2:$A$2000,0))&amp;"","")</f>
        <v/>
      </c>
      <c r="L8" s="12" t="str">
        <f>IFERROR(INDEX(MASTER!$R$2:$R$2000,MATCH($A8,MASTER!$A$2:$A$2000,0))&amp;"","")</f>
        <v/>
      </c>
    </row>
    <row r="9" spans="1:12" x14ac:dyDescent="0.25">
      <c r="A9" s="15" t="s">
        <v>422</v>
      </c>
      <c r="B9" s="12" t="str">
        <f>IFERROR(INDEX(MASTER!$C$2:$C$2000,MATCH($A9,MASTER!$A$2:$A$2000,0))&amp;"","")</f>
        <v>DOCX</v>
      </c>
      <c r="C9" s="16">
        <f>IFERROR(INDEX(MASTER!$B$2:$B$2000,MATCH($A9,MASTER!$A$2:$A$2000,0)),"")</f>
        <v>3</v>
      </c>
      <c r="D9" s="12" t="str">
        <f>IFERROR(INDEX(MASTER!$D$2:$D$2000,MATCH($A9,MASTER!$A$2:$A$2000,0))&amp;"","")</f>
        <v>Original package store</v>
      </c>
      <c r="E9" s="12" t="str">
        <f>IFERROR(INDEX(MASTER!$F$2:$F$2000,MATCH($A9,MASTER!$A$2:$A$2000,0))&amp;"","")</f>
        <v>P0</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427</v>
      </c>
      <c r="B10" s="12" t="str">
        <f>IFERROR(INDEX(MASTER!$C$2:$C$2000,MATCH($A10,MASTER!$A$2:$A$2000,0))&amp;"","")</f>
        <v>DOCX</v>
      </c>
      <c r="C10" s="16">
        <f>IFERROR(INDEX(MASTER!$B$2:$B$2000,MATCH($A10,MASTER!$A$2:$A$2000,0)),"")</f>
        <v>3</v>
      </c>
      <c r="D10" s="12" t="str">
        <f>IFERROR(INDEX(MASTER!$D$2:$D$2000,MATCH($A10,MASTER!$A$2:$A$2000,0))&amp;"","")</f>
        <v>Patch-writer export for imported documents</v>
      </c>
      <c r="E10" s="12" t="str">
        <f>IFERROR(INDEX(MASTER!$F$2:$F$2000,MATCH($A10,MASTER!$A$2:$A$2000,0))&amp;"","")</f>
        <v>P0</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DOCX-010</v>
      </c>
    </row>
    <row r="11" spans="1:12" x14ac:dyDescent="0.25">
      <c r="A11" s="15" t="s">
        <v>430</v>
      </c>
      <c r="B11" s="12" t="str">
        <f>IFERROR(INDEX(MASTER!$C$2:$C$2000,MATCH($A11,MASTER!$A$2:$A$2000,0))&amp;"","")</f>
        <v>DOCX</v>
      </c>
      <c r="C11" s="16">
        <f>IFERROR(INDEX(MASTER!$B$2:$B$2000,MATCH($A11,MASTER!$A$2:$A$2000,0)),"")</f>
        <v>3</v>
      </c>
      <c r="D11" s="12" t="str">
        <f>IFERROR(INDEX(MASTER!$D$2:$D$2000,MATCH($A11,MASTER!$A$2:$A$2000,0))&amp;"","")</f>
        <v>Metadata preserved and correct</v>
      </c>
      <c r="E11" s="12" t="str">
        <f>IFERROR(INDEX(MASTER!$F$2:$F$2000,MATCH($A11,MASTER!$A$2:$A$2000,0))&amp;"","")</f>
        <v>P0</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434</v>
      </c>
      <c r="B12" s="12" t="str">
        <f>IFERROR(INDEX(MASTER!$C$2:$C$2000,MATCH($A12,MASTER!$A$2:$A$2000,0))&amp;"","")</f>
        <v>DOCX</v>
      </c>
      <c r="C12" s="16">
        <f>IFERROR(INDEX(MASTER!$B$2:$B$2000,MATCH($A12,MASTER!$A$2:$A$2000,0)),"")</f>
        <v>3</v>
      </c>
      <c r="D12" s="12" t="str">
        <f>IFERROR(INDEX(MASTER!$D$2:$D$2000,MATCH($A12,MASTER!$A$2:$A$2000,0))&amp;"","")</f>
        <v>Character formatting</v>
      </c>
      <c r="E12" s="12" t="str">
        <f>IFERROR(INDEX(MASTER!$F$2:$F$2000,MATCH($A12,MASTER!$A$2:$A$2000,0))&amp;"","")</f>
        <v>P0</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438</v>
      </c>
      <c r="B13" s="12" t="str">
        <f>IFERROR(INDEX(MASTER!$C$2:$C$2000,MATCH($A13,MASTER!$A$2:$A$2000,0))&amp;"","")</f>
        <v>DOCX</v>
      </c>
      <c r="C13" s="16">
        <f>IFERROR(INDEX(MASTER!$B$2:$B$2000,MATCH($A13,MASTER!$A$2:$A$2000,0)),"")</f>
        <v>3</v>
      </c>
      <c r="D13" s="12" t="str">
        <f>IFERROR(INDEX(MASTER!$D$2:$D$2000,MATCH($A13,MASTER!$A$2:$A$2000,0))&amp;"","")</f>
        <v>Paragraph formatting</v>
      </c>
      <c r="E13" s="12" t="str">
        <f>IFERROR(INDEX(MASTER!$F$2:$F$2000,MATCH($A13,MASTER!$A$2:$A$2000,0))&amp;"","")</f>
        <v>P1</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441</v>
      </c>
      <c r="B14" s="12" t="str">
        <f>IFERROR(INDEX(MASTER!$C$2:$C$2000,MATCH($A14,MASTER!$A$2:$A$2000,0))&amp;"","")</f>
        <v>DOCX</v>
      </c>
      <c r="C14" s="16">
        <f>IFERROR(INDEX(MASTER!$B$2:$B$2000,MATCH($A14,MASTER!$A$2:$A$2000,0)),"")</f>
        <v>3</v>
      </c>
      <c r="D14" s="12" t="str">
        <f>IFERROR(INDEX(MASTER!$D$2:$D$2000,MATCH($A14,MASTER!$A$2:$A$2000,0))&amp;"","")</f>
        <v>Sections as a first-class concept</v>
      </c>
      <c r="E14" s="12" t="str">
        <f>IFERROR(INDEX(MASTER!$F$2:$F$2000,MATCH($A14,MASTER!$A$2:$A$2000,0))&amp;"","")</f>
        <v>P0</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445</v>
      </c>
      <c r="B15" s="12" t="str">
        <f>IFERROR(INDEX(MASTER!$C$2:$C$2000,MATCH($A15,MASTER!$A$2:$A$2000,0))&amp;"","")</f>
        <v>DOCX</v>
      </c>
      <c r="C15" s="16">
        <f>IFERROR(INDEX(MASTER!$B$2:$B$2000,MATCH($A15,MASTER!$A$2:$A$2000,0)),"")</f>
        <v>3</v>
      </c>
      <c r="D15" s="12" t="str">
        <f>IFERROR(INDEX(MASTER!$D$2:$D$2000,MATCH($A15,MASTER!$A$2:$A$2000,0))&amp;"","")</f>
        <v>Numbering engine</v>
      </c>
      <c r="E15" s="12" t="str">
        <f>IFERROR(INDEX(MASTER!$F$2:$F$2000,MATCH($A15,MASTER!$A$2:$A$2000,0))&amp;"","")</f>
        <v>P0</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449</v>
      </c>
      <c r="B16" s="12" t="str">
        <f>IFERROR(INDEX(MASTER!$C$2:$C$2000,MATCH($A16,MASTER!$A$2:$A$2000,0))&amp;"","")</f>
        <v>DOCX</v>
      </c>
      <c r="C16" s="16">
        <f>IFERROR(INDEX(MASTER!$B$2:$B$2000,MATCH($A16,MASTER!$A$2:$A$2000,0)),"")</f>
        <v>3</v>
      </c>
      <c r="D16" s="12" t="str">
        <f>IFERROR(INDEX(MASTER!$D$2:$D$2000,MATCH($A16,MASTER!$A$2:$A$2000,0))&amp;"","")</f>
        <v>Table engine</v>
      </c>
      <c r="E16" s="12" t="str">
        <f>IFERROR(INDEX(MASTER!$F$2:$F$2000,MATCH($A16,MASTER!$A$2:$A$2000,0))&amp;"","")</f>
        <v>P0</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row r="17" spans="1:12" x14ac:dyDescent="0.25">
      <c r="A17" s="15" t="s">
        <v>452</v>
      </c>
      <c r="B17" s="12" t="str">
        <f>IFERROR(INDEX(MASTER!$C$2:$C$2000,MATCH($A17,MASTER!$A$2:$A$2000,0))&amp;"","")</f>
        <v>DOCX</v>
      </c>
      <c r="C17" s="16">
        <f>IFERROR(INDEX(MASTER!$B$2:$B$2000,MATCH($A17,MASTER!$A$2:$A$2000,0)),"")</f>
        <v>3</v>
      </c>
      <c r="D17" s="12" t="str">
        <f>IFERROR(INDEX(MASTER!$D$2:$D$2000,MATCH($A17,MASTER!$A$2:$A$2000,0))&amp;"","")</f>
        <v>Images</v>
      </c>
      <c r="E17" s="12" t="str">
        <f>IFERROR(INDEX(MASTER!$F$2:$F$2000,MATCH($A17,MASTER!$A$2:$A$2000,0))&amp;"","")</f>
        <v>P0</v>
      </c>
      <c r="F17" s="12" t="str">
        <f>IFERROR(INDEX(MASTER!$G$2:$G$2000,MATCH($A17,MASTER!$A$2:$A$2000,0))&amp;"","NOT IN MASTER")</f>
        <v>IN_PROGRESS</v>
      </c>
      <c r="G17" s="12" t="str">
        <f>IFERROR(INDEX(MASTER!$H$2:$H$2000,MATCH($A17,MASTER!$A$2:$A$2000,0))&amp;"","")</f>
        <v/>
      </c>
      <c r="H17" s="12" t="str">
        <f>IFERROR(INDEX(MASTER!$I$2:$I$2000,MATCH($A17,MASTER!$A$2:$A$2000,0))&amp;"","")</f>
        <v/>
      </c>
      <c r="I17" s="19" t="str">
        <f>IFERROR(IF(INDEX(MASTER!$O$2:$O$2000,MATCH($A17,MASTER!$A$2:$A$2000,0))="","",INDEX(MASTER!$O$2:$O$2000,MATCH($A17,MASTER!$A$2:$A$2000,0))),"")</f>
        <v/>
      </c>
      <c r="J17" s="12" t="str">
        <f>IFERROR(INDEX(MASTER!$P$2:$P$2000,MATCH($A17,MASTER!$A$2:$A$2000,0))&amp;"","")</f>
        <v/>
      </c>
      <c r="K17" s="12" t="str">
        <f>IFERROR(INDEX(MASTER!$Q$2:$Q$2000,MATCH($A17,MASTER!$A$2:$A$2000,0))&amp;"","")</f>
        <v>Alt text + title now exported (docPr descr/title) with DOCX-001; crop, rotation, WEBP still open.</v>
      </c>
      <c r="L17" s="12" t="str">
        <f>IFERROR(INDEX(MASTER!$R$2:$R$2000,MATCH($A17,MASTER!$A$2:$A$2000,0))&amp;"","")</f>
        <v/>
      </c>
    </row>
    <row r="18" spans="1:12" x14ac:dyDescent="0.25">
      <c r="A18" s="15" t="s">
        <v>456</v>
      </c>
      <c r="B18" s="12" t="str">
        <f>IFERROR(INDEX(MASTER!$C$2:$C$2000,MATCH($A18,MASTER!$A$2:$A$2000,0))&amp;"","")</f>
        <v>DOCX</v>
      </c>
      <c r="C18" s="16">
        <f>IFERROR(INDEX(MASTER!$B$2:$B$2000,MATCH($A18,MASTER!$A$2:$A$2000,0)),"")</f>
        <v>3</v>
      </c>
      <c r="D18" s="12" t="str">
        <f>IFERROR(INDEX(MASTER!$D$2:$D$2000,MATCH($A18,MASTER!$A$2:$A$2000,0))&amp;"","")</f>
        <v>Drawings and text boxes preserved</v>
      </c>
      <c r="E18" s="12" t="str">
        <f>IFERROR(INDEX(MASTER!$F$2:$F$2000,MATCH($A18,MASTER!$A$2:$A$2000,0))&amp;"","")</f>
        <v>P1</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
      </c>
    </row>
    <row r="19" spans="1:12" x14ac:dyDescent="0.25">
      <c r="A19" s="15" t="s">
        <v>459</v>
      </c>
      <c r="B19" s="12" t="str">
        <f>IFERROR(INDEX(MASTER!$C$2:$C$2000,MATCH($A19,MASTER!$A$2:$A$2000,0))&amp;"","")</f>
        <v>DOCX</v>
      </c>
      <c r="C19" s="16">
        <f>IFERROR(INDEX(MASTER!$B$2:$B$2000,MATCH($A19,MASTER!$A$2:$A$2000,0)),"")</f>
        <v>3</v>
      </c>
      <c r="D19" s="12" t="str">
        <f>IFERROR(INDEX(MASTER!$D$2:$D$2000,MATCH($A19,MASTER!$A$2:$A$2000,0))&amp;"","")</f>
        <v>Fields</v>
      </c>
      <c r="E19" s="12" t="str">
        <f>IFERROR(INDEX(MASTER!$F$2:$F$2000,MATCH($A19,MASTER!$A$2:$A$2000,0))&amp;"","")</f>
        <v>P1</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
      </c>
      <c r="L19" s="12" t="str">
        <f>IFERROR(INDEX(MASTER!$R$2:$R$2000,MATCH($A19,MASTER!$A$2:$A$2000,0))&amp;"","")</f>
        <v/>
      </c>
    </row>
    <row r="20" spans="1:12" x14ac:dyDescent="0.25">
      <c r="A20" s="15" t="s">
        <v>464</v>
      </c>
      <c r="B20" s="12" t="str">
        <f>IFERROR(INDEX(MASTER!$C$2:$C$2000,MATCH($A20,MASTER!$A$2:$A$2000,0))&amp;"","")</f>
        <v>DOCX</v>
      </c>
      <c r="C20" s="16">
        <f>IFERROR(INDEX(MASTER!$B$2:$B$2000,MATCH($A20,MASTER!$A$2:$A$2000,0)),"")</f>
        <v>3</v>
      </c>
      <c r="D20" s="12" t="str">
        <f>IFERROR(INDEX(MASTER!$D$2:$D$2000,MATCH($A20,MASTER!$A$2:$A$2000,0))&amp;"","")</f>
        <v>Comment threads</v>
      </c>
      <c r="E20" s="12" t="str">
        <f>IFERROR(INDEX(MASTER!$F$2:$F$2000,MATCH($A20,MASTER!$A$2:$A$2000,0))&amp;"","")</f>
        <v>P1</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
      </c>
    </row>
    <row r="21" spans="1:12" x14ac:dyDescent="0.25">
      <c r="A21" s="15" t="s">
        <v>468</v>
      </c>
      <c r="B21" s="12" t="str">
        <f>IFERROR(INDEX(MASTER!$C$2:$C$2000,MATCH($A21,MASTER!$A$2:$A$2000,0))&amp;"","")</f>
        <v>DOCX</v>
      </c>
      <c r="C21" s="16">
        <f>IFERROR(INDEX(MASTER!$B$2:$B$2000,MATCH($A21,MASTER!$A$2:$A$2000,0)),"")</f>
        <v>3</v>
      </c>
      <c r="D21" s="12" t="str">
        <f>IFERROR(INDEX(MASTER!$D$2:$D$2000,MATCH($A21,MASTER!$A$2:$A$2000,0))&amp;"","")</f>
        <v>Tracked changes preserved</v>
      </c>
      <c r="E21" s="12" t="str">
        <f>IFERROR(INDEX(MASTER!$F$2:$F$2000,MATCH($A21,MASTER!$A$2:$A$2000,0))&amp;"","")</f>
        <v>P1</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
      </c>
    </row>
    <row r="22" spans="1:12" x14ac:dyDescent="0.25">
      <c r="A22" s="15" t="s">
        <v>471</v>
      </c>
      <c r="B22" s="12" t="str">
        <f>IFERROR(INDEX(MASTER!$C$2:$C$2000,MATCH($A22,MASTER!$A$2:$A$2000,0))&amp;"","")</f>
        <v>DOCX</v>
      </c>
      <c r="C22" s="16">
        <f>IFERROR(INDEX(MASTER!$B$2:$B$2000,MATCH($A22,MASTER!$A$2:$A$2000,0)),"")</f>
        <v>3</v>
      </c>
      <c r="D22" s="12" t="str">
        <f>IFERROR(INDEX(MASTER!$D$2:$D$2000,MATCH($A22,MASTER!$A$2:$A$2000,0))&amp;"","")</f>
        <v>Content controls preserved</v>
      </c>
      <c r="E22" s="12" t="str">
        <f>IFERROR(INDEX(MASTER!$F$2:$F$2000,MATCH($A22,MASTER!$A$2:$A$2000,0))&amp;"","")</f>
        <v>P1</v>
      </c>
      <c r="F22" s="12" t="str">
        <f>IFERROR(INDEX(MASTER!$G$2:$G$2000,MATCH($A22,MASTER!$A$2:$A$2000,0))&amp;"","NOT IN MASTER")</f>
        <v>NOT_STARTED</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
      </c>
      <c r="L22" s="12" t="str">
        <f>IFERROR(INDEX(MASTER!$R$2:$R$2000,MATCH($A22,MASTER!$A$2:$A$2000,0))&amp;"","")</f>
        <v/>
      </c>
    </row>
    <row r="23" spans="1:12" x14ac:dyDescent="0.25">
      <c r="A23" s="15" t="s">
        <v>474</v>
      </c>
      <c r="B23" s="12" t="str">
        <f>IFERROR(INDEX(MASTER!$C$2:$C$2000,MATCH($A23,MASTER!$A$2:$A$2000,0))&amp;"","")</f>
        <v>DOCX</v>
      </c>
      <c r="C23" s="16">
        <f>IFERROR(INDEX(MASTER!$B$2:$B$2000,MATCH($A23,MASTER!$A$2:$A$2000,0)),"")</f>
        <v>3</v>
      </c>
      <c r="D23" s="12" t="str">
        <f>IFERROR(INDEX(MASTER!$D$2:$D$2000,MATCH($A23,MASTER!$A$2:$A$2000,0))&amp;"","")</f>
        <v>Real footnotes and endnotes</v>
      </c>
      <c r="E23" s="12" t="str">
        <f>IFERROR(INDEX(MASTER!$F$2:$F$2000,MATCH($A23,MASTER!$A$2:$A$2000,0))&amp;"","")</f>
        <v>P1</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
      </c>
    </row>
    <row r="24" spans="1:12" x14ac:dyDescent="0.25">
      <c r="A24" s="15" t="s">
        <v>477</v>
      </c>
      <c r="B24" s="12" t="str">
        <f>IFERROR(INDEX(MASTER!$C$2:$C$2000,MATCH($A24,MASTER!$A$2:$A$2000,0))&amp;"","")</f>
        <v>DOCX</v>
      </c>
      <c r="C24" s="16">
        <f>IFERROR(INDEX(MASTER!$B$2:$B$2000,MATCH($A24,MASTER!$A$2:$A$2000,0)),"")</f>
        <v>3</v>
      </c>
      <c r="D24" s="12" t="str">
        <f>IFERROR(INDEX(MASTER!$D$2:$D$2000,MATCH($A24,MASTER!$A$2:$A$2000,0))&amp;"","")</f>
        <v>Hidden text stays hidden</v>
      </c>
      <c r="E24" s="12" t="str">
        <f>IFERROR(INDEX(MASTER!$F$2:$F$2000,MATCH($A24,MASTER!$A$2:$A$2000,0))&amp;"","")</f>
        <v>P0</v>
      </c>
      <c r="F24" s="12" t="str">
        <f>IFERROR(INDEX(MASTER!$G$2:$G$2000,MATCH($A24,MASTER!$A$2:$A$2000,0))&amp;"","NOT IN MASTER")</f>
        <v>NOT_STARTED</v>
      </c>
      <c r="G24" s="12" t="str">
        <f>IFERROR(INDEX(MASTER!$H$2:$H$2000,MATCH($A24,MASTER!$A$2:$A$2000,0))&amp;"","")</f>
        <v/>
      </c>
      <c r="H24" s="12" t="str">
        <f>IFERROR(INDEX(MASTER!$I$2:$I$2000,MATCH($A24,MASTER!$A$2:$A$2000,0))&amp;"","")</f>
        <v/>
      </c>
      <c r="I24" s="19" t="str">
        <f>IFERROR(IF(INDEX(MASTER!$O$2:$O$2000,MATCH($A24,MASTER!$A$2:$A$2000,0))="","",INDEX(MASTER!$O$2:$O$2000,MATCH($A24,MASTER!$A$2:$A$2000,0))),"")</f>
        <v/>
      </c>
      <c r="J24" s="12" t="str">
        <f>IFERROR(INDEX(MASTER!$P$2:$P$2000,MATCH($A24,MASTER!$A$2:$A$2000,0))&amp;"","")</f>
        <v/>
      </c>
      <c r="K24" s="12" t="str">
        <f>IFERROR(INDEX(MASTER!$Q$2:$Q$2000,MATCH($A24,MASTER!$A$2:$A$2000,0))&amp;"","")</f>
        <v/>
      </c>
      <c r="L24" s="12" t="str">
        <f>IFERROR(INDEX(MASTER!$R$2:$R$2000,MATCH($A24,MASTER!$A$2:$A$2000,0))&amp;"","")</f>
        <v/>
      </c>
    </row>
    <row r="25" spans="1:12" x14ac:dyDescent="0.25">
      <c r="A25" s="15" t="s">
        <v>481</v>
      </c>
      <c r="B25" s="12" t="str">
        <f>IFERROR(INDEX(MASTER!$C$2:$C$2000,MATCH($A25,MASTER!$A$2:$A$2000,0))&amp;"","")</f>
        <v>DOCX</v>
      </c>
      <c r="C25" s="16">
        <f>IFERROR(INDEX(MASTER!$B$2:$B$2000,MATCH($A25,MASTER!$A$2:$A$2000,0)),"")</f>
        <v>3</v>
      </c>
      <c r="D25" s="12" t="str">
        <f>IFERROR(INDEX(MASTER!$D$2:$D$2000,MATCH($A25,MASTER!$A$2:$A$2000,0))&amp;"","")</f>
        <v>Hyperlink policy and no silent autolink</v>
      </c>
      <c r="E25" s="12" t="str">
        <f>IFERROR(INDEX(MASTER!$F$2:$F$2000,MATCH($A25,MASTER!$A$2:$A$2000,0))&amp;"","")</f>
        <v>P0</v>
      </c>
      <c r="F25" s="12" t="str">
        <f>IFERROR(INDEX(MASTER!$G$2:$G$2000,MATCH($A25,MASTER!$A$2:$A$2000,0))&amp;"","NOT IN MASTER")</f>
        <v>NOT_STARTED</v>
      </c>
      <c r="G25" s="12" t="str">
        <f>IFERROR(INDEX(MASTER!$H$2:$H$2000,MATCH($A25,MASTER!$A$2:$A$2000,0))&amp;"","")</f>
        <v/>
      </c>
      <c r="H25" s="12" t="str">
        <f>IFERROR(INDEX(MASTER!$I$2:$I$2000,MATCH($A25,MASTER!$A$2:$A$2000,0))&amp;"","")</f>
        <v/>
      </c>
      <c r="I25" s="19" t="str">
        <f>IFERROR(IF(INDEX(MASTER!$O$2:$O$2000,MATCH($A25,MASTER!$A$2:$A$2000,0))="","",INDEX(MASTER!$O$2:$O$2000,MATCH($A25,MASTER!$A$2:$A$2000,0))),"")</f>
        <v/>
      </c>
      <c r="J25" s="12" t="str">
        <f>IFERROR(INDEX(MASTER!$P$2:$P$2000,MATCH($A25,MASTER!$A$2:$A$2000,0))&amp;"","")</f>
        <v/>
      </c>
      <c r="K25" s="12" t="str">
        <f>IFERROR(INDEX(MASTER!$Q$2:$Q$2000,MATCH($A25,MASTER!$A$2:$A$2000,0))&amp;"","")</f>
        <v/>
      </c>
      <c r="L25" s="12" t="str">
        <f>IFERROR(INDEX(MASTER!$R$2:$R$2000,MATCH($A25,MASTER!$A$2:$A$2000,0))&amp;"","")</f>
        <v/>
      </c>
    </row>
    <row r="26" spans="1:12" x14ac:dyDescent="0.25">
      <c r="A26" s="15" t="s">
        <v>502</v>
      </c>
      <c r="B26" s="12" t="str">
        <f>IFERROR(INDEX(MASTER!$C$2:$C$2000,MATCH($A26,MASTER!$A$2:$A$2000,0))&amp;"","")</f>
        <v>DOCX</v>
      </c>
      <c r="C26" s="16">
        <f>IFERROR(INDEX(MASTER!$B$2:$B$2000,MATCH($A26,MASTER!$A$2:$A$2000,0)),"")</f>
        <v>3</v>
      </c>
      <c r="D26" s="12" t="str">
        <f>IFERROR(INDEX(MASTER!$D$2:$D$2000,MATCH($A26,MASTER!$A$2:$A$2000,0))&amp;"","")</f>
        <v>Importer builds nested blocks</v>
      </c>
      <c r="E26" s="12" t="str">
        <f>IFERROR(INDEX(MASTER!$F$2:$F$2000,MATCH($A26,MASTER!$A$2:$A$2000,0))&amp;"","")</f>
        <v>P0</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
      </c>
      <c r="L26" s="12" t="str">
        <f>IFERROR(INDEX(MASTER!$R$2:$R$2000,MATCH($A26,MASTER!$A$2:$A$2000,0))&amp;"","")</f>
        <v/>
      </c>
    </row>
  </sheetData>
  <autoFilter ref="A7:L26" xr:uid="{00000000-0009-0000-0000-000004000000}"/>
  <conditionalFormatting sqref="E8:E26">
    <cfRule type="cellIs" dxfId="270" priority="19" operator="equal">
      <formula>"P0"</formula>
    </cfRule>
    <cfRule type="cellIs" dxfId="269" priority="20" operator="equal">
      <formula>"P1"</formula>
    </cfRule>
  </conditionalFormatting>
  <conditionalFormatting sqref="F8:F26">
    <cfRule type="cellIs" dxfId="268" priority="1" operator="equal">
      <formula>"DONE"</formula>
    </cfRule>
    <cfRule type="cellIs" dxfId="267" priority="2" operator="equal">
      <formula>"VERIFIED"</formula>
    </cfRule>
    <cfRule type="cellIs" dxfId="266" priority="3" operator="equal">
      <formula>"IN_PROGRESS"</formula>
    </cfRule>
    <cfRule type="cellIs" dxfId="265" priority="4" operator="equal">
      <formula>"IMPLEMENTED"</formula>
    </cfRule>
    <cfRule type="cellIs" dxfId="264" priority="5" operator="equal">
      <formula>"TESTING"</formula>
    </cfRule>
    <cfRule type="cellIs" dxfId="263" priority="6" operator="equal">
      <formula>"BLOCKED"</formula>
    </cfRule>
    <cfRule type="cellIs" dxfId="262" priority="7" operator="equal">
      <formula>"FAILED"</formula>
    </cfRule>
    <cfRule type="cellIs" dxfId="261" priority="8" operator="equal">
      <formula>"DEFERRED"</formula>
    </cfRule>
    <cfRule type="cellIs" dxfId="260" priority="9" operator="equal">
      <formula>"UNKNOWN"</formula>
    </cfRule>
    <cfRule type="cellIs" dxfId="259" priority="10" operator="equal">
      <formula>"PASS"</formula>
    </cfRule>
    <cfRule type="cellIs" dxfId="258" priority="11" operator="equal">
      <formula>"FAIL"</formula>
    </cfRule>
    <cfRule type="cellIs" dxfId="257" priority="12" operator="equal">
      <formula>"PARTIAL"</formula>
    </cfRule>
    <cfRule type="cellIs" dxfId="256" priority="13" operator="equal">
      <formula>"RESOLVED"</formula>
    </cfRule>
    <cfRule type="cellIs" dxfId="255" priority="14" operator="equal">
      <formula>"OPEN"</formula>
    </cfRule>
    <cfRule type="cellIs" dxfId="254" priority="15" operator="equal">
      <formula>"WITHIN"</formula>
    </cfRule>
    <cfRule type="cellIs" dxfId="253" priority="16" operator="equal">
      <formula>"OVER"</formula>
    </cfRule>
    <cfRule type="cellIs" dxfId="252" priority="17" operator="equal">
      <formula>"NOW"</formula>
    </cfRule>
    <cfRule type="cellIs" dxfId="251" priority="18" operator="equal">
      <formula>"NOT IN MASTER"</formula>
    </cfRule>
  </conditionalFormatting>
  <pageMargins left="0.75" right="0.75" top="1" bottom="1" header="0.5" footer="0.5"/>
  <pageSetup fitToHeight="0"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L12"/>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870</v>
      </c>
    </row>
    <row r="2" spans="1:12" x14ac:dyDescent="0.25">
      <c r="A2" s="4" t="s">
        <v>871</v>
      </c>
    </row>
    <row r="3" spans="1:12" x14ac:dyDescent="0.25">
      <c r="A3" s="6" t="s">
        <v>45</v>
      </c>
      <c r="B3" s="6" t="s">
        <v>46</v>
      </c>
      <c r="C3" s="6" t="s">
        <v>47</v>
      </c>
      <c r="D3" s="6" t="s">
        <v>13</v>
      </c>
      <c r="E3" s="6" t="s">
        <v>16</v>
      </c>
      <c r="F3" s="6" t="s">
        <v>19</v>
      </c>
      <c r="G3" s="6" t="s">
        <v>48</v>
      </c>
      <c r="H3" s="6" t="s">
        <v>33</v>
      </c>
    </row>
    <row r="4" spans="1:12" x14ac:dyDescent="0.25">
      <c r="A4" s="7">
        <f>COUNTIF(MASTER!$C$2:$C$2000,"PDF")</f>
        <v>5</v>
      </c>
      <c r="B4" s="7">
        <f>COUNTIFS(MASTER!$C$2:$C$2000,"PDF",MASTER!$G$2:$G$2000,"DONE")</f>
        <v>1</v>
      </c>
      <c r="C4" s="7">
        <f>COUNTIFS(MASTER!$C$2:$C$2000,"PDF",MASTER!$G$2:$G$2000,"VERIFIED")+B4</f>
        <v>1</v>
      </c>
      <c r="D4" s="7">
        <f>COUNTIFS(MASTER!$C$2:$C$2000,"PDF",MASTER!$G$2:$G$2000,"IN_PROGRESS")+COUNTIFS(MASTER!$C$2:$C$2000,"PDF",MASTER!$G$2:$G$2000,"IMPLEMENTED")+COUNTIFS(MASTER!$C$2:$C$2000,"PDF",MASTER!$G$2:$G$2000,"TESTING")</f>
        <v>0</v>
      </c>
      <c r="E4" s="7">
        <f>COUNTIFS(MASTER!$C$2:$C$2000,"PDF",MASTER!$G$2:$G$2000,"BLOCKED")</f>
        <v>0</v>
      </c>
      <c r="F4" s="7">
        <f>COUNTIFS(MASTER!$C$2:$C$2000,"PDF",MASTER!$G$2:$G$2000,"FAILED")</f>
        <v>0</v>
      </c>
      <c r="G4" s="9">
        <f>IF(A4=0,0,B4/A4)</f>
        <v>0.2</v>
      </c>
      <c r="H4" s="9">
        <f>IF(A4=0,0,C4/A4)</f>
        <v>0.2</v>
      </c>
    </row>
    <row r="6" spans="1:12" ht="15.75" x14ac:dyDescent="0.25">
      <c r="A6" s="5" t="s">
        <v>867</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328</v>
      </c>
      <c r="B8" s="12" t="str">
        <f>IFERROR(INDEX(MASTER!$C$2:$C$2000,MATCH($A8,MASTER!$A$2:$A$2000,0))&amp;"","")</f>
        <v>PDF</v>
      </c>
      <c r="C8" s="16">
        <f>IFERROR(INDEX(MASTER!$B$2:$B$2000,MATCH($A8,MASTER!$A$2:$A$2000,0)),"")</f>
        <v>1</v>
      </c>
      <c r="D8" s="12" t="str">
        <f>IFERROR(INDEX(MASTER!$D$2:$D$2000,MATCH($A8,MASTER!$A$2:$A$2000,0))&amp;"","")</f>
        <v>PDF export of nested blocks</v>
      </c>
      <c r="E8" s="12" t="str">
        <f>IFERROR(INDEX(MASTER!$F$2:$F$2000,MATCH($A8,MASTER!$A$2:$A$2000,0))&amp;"","")</f>
        <v>P0</v>
      </c>
      <c r="F8" s="12" t="str">
        <f>IFERROR(INDEX(MASTER!$G$2:$G$2000,MATCH($A8,MASTER!$A$2:$A$2000,0))&amp;"","NOT IN MASTER")</f>
        <v>DONE</v>
      </c>
      <c r="G8" s="12" t="str">
        <f>IFERROR(INDEX(MASTER!$H$2:$H$2000,MATCH($A8,MASTER!$A$2:$A$2000,0))&amp;"","")</f>
        <v>export/pdf_export.py: cells with blocks become flowable lists sized to the cell; list item/quote blocks indented; numbering start/format with the same level sequence as the Word export (decimal, a, i)</v>
      </c>
      <c r="H8" s="12" t="str">
        <f>IFERROR(INDEX(MASTER!$I$2:$I$2000,MATCH($A8,MASTER!$A$2:$A$2000,0))&amp;"","")</f>
        <v>tests/test_nested_blocks_api.py::test_the_pdf_export_keeps_every_nested_block ('v. fifth', 'vi. sixth'); existing PDF suites green</v>
      </c>
      <c r="I8" s="19">
        <f>IFERROR(IF(INDEX(MASTER!$O$2:$O$2000,MATCH($A8,MASTER!$A$2:$A$2000,0))="","",INDEX(MASTER!$O$2:$O$2000,MATCH($A8,MASTER!$A$2:$A$2000,0))),"")</f>
        <v>46292.196863425917</v>
      </c>
      <c r="J8" s="12" t="str">
        <f>IFERROR(INDEX(MASTER!$P$2:$P$2000,MATCH($A8,MASTER!$A$2:$A$2000,0))&amp;"","")</f>
        <v>1fe27a9</v>
      </c>
      <c r="K8" s="12" t="str">
        <f>IFERROR(INDEX(MASTER!$Q$2:$Q$2000,MATCH($A8,MASTER!$A$2:$A$2000,0))&amp;"","")</f>
        <v/>
      </c>
      <c r="L8" s="12" t="str">
        <f>IFERROR(INDEX(MASTER!$R$2:$R$2000,MATCH($A8,MASTER!$A$2:$A$2000,0))&amp;"","")</f>
        <v/>
      </c>
    </row>
    <row r="9" spans="1:12" x14ac:dyDescent="0.25">
      <c r="A9" s="15" t="s">
        <v>623</v>
      </c>
      <c r="B9" s="12" t="str">
        <f>IFERROR(INDEX(MASTER!$C$2:$C$2000,MATCH($A9,MASTER!$A$2:$A$2000,0))&amp;"","")</f>
        <v>PDF</v>
      </c>
      <c r="C9" s="16">
        <f>IFERROR(INDEX(MASTER!$B$2:$B$2000,MATCH($A9,MASTER!$A$2:$A$2000,0)),"")</f>
        <v>7</v>
      </c>
      <c r="D9" s="12" t="str">
        <f>IFERROR(INDEX(MASTER!$D$2:$D$2000,MATCH($A9,MASTER!$A$2:$A$2000,0))&amp;"","")</f>
        <v>Geometry-aware PDF parser</v>
      </c>
      <c r="E9" s="12" t="str">
        <f>IFERROR(INDEX(MASTER!$F$2:$F$2000,MATCH($A9,MASTER!$A$2:$A$2000,0))&amp;"","")</f>
        <v>P0</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627</v>
      </c>
      <c r="B10" s="12" t="str">
        <f>IFERROR(INDEX(MASTER!$C$2:$C$2000,MATCH($A10,MASTER!$A$2:$A$2000,0))&amp;"","")</f>
        <v>PDF</v>
      </c>
      <c r="C10" s="16">
        <f>IFERROR(INDEX(MASTER!$B$2:$B$2000,MATCH($A10,MASTER!$A$2:$A$2000,0)),"")</f>
        <v>7</v>
      </c>
      <c r="D10" s="12" t="str">
        <f>IFERROR(INDEX(MASTER!$D$2:$D$2000,MATCH($A10,MASTER!$A$2:$A$2000,0))&amp;"","")</f>
        <v>Page classifier</v>
      </c>
      <c r="E10" s="12" t="str">
        <f>IFERROR(INDEX(MASTER!$F$2:$F$2000,MATCH($A10,MASTER!$A$2:$A$2000,0))&amp;"","")</f>
        <v>P0</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630</v>
      </c>
      <c r="B11" s="12" t="str">
        <f>IFERROR(INDEX(MASTER!$C$2:$C$2000,MATCH($A11,MASTER!$A$2:$A$2000,0))&amp;"","")</f>
        <v>PDF</v>
      </c>
      <c r="C11" s="16">
        <f>IFERROR(INDEX(MASTER!$B$2:$B$2000,MATCH($A11,MASTER!$A$2:$A$2000,0)),"")</f>
        <v>7</v>
      </c>
      <c r="D11" s="12" t="str">
        <f>IFERROR(INDEX(MASTER!$D$2:$D$2000,MATCH($A11,MASTER!$A$2:$A$2000,0))&amp;"","")</f>
        <v>PDF inspection report</v>
      </c>
      <c r="E11" s="12" t="str">
        <f>IFERROR(INDEX(MASTER!$F$2:$F$2000,MATCH($A11,MASTER!$A$2:$A$2000,0))&amp;"","")</f>
        <v>P1</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664</v>
      </c>
      <c r="B12" s="12" t="str">
        <f>IFERROR(INDEX(MASTER!$C$2:$C$2000,MATCH($A12,MASTER!$A$2:$A$2000,0))&amp;"","")</f>
        <v>PDF</v>
      </c>
      <c r="C12" s="16">
        <f>IFERROR(INDEX(MASTER!$B$2:$B$2000,MATCH($A12,MASTER!$A$2:$A$2000,0)),"")</f>
        <v>9</v>
      </c>
      <c r="D12" s="12" t="str">
        <f>IFERROR(INDEX(MASTER!$D$2:$D$2000,MATCH($A12,MASTER!$A$2:$A$2000,0))&amp;"","")</f>
        <v>PDF page operations service</v>
      </c>
      <c r="E12" s="12" t="str">
        <f>IFERROR(INDEX(MASTER!$F$2:$F$2000,MATCH($A12,MASTER!$A$2:$A$2000,0))&amp;"","")</f>
        <v>P2</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sheetData>
  <autoFilter ref="A7:L12" xr:uid="{00000000-0009-0000-0000-000005000000}"/>
  <conditionalFormatting sqref="E8:E12">
    <cfRule type="cellIs" dxfId="250" priority="19" operator="equal">
      <formula>"P0"</formula>
    </cfRule>
    <cfRule type="cellIs" dxfId="249" priority="20" operator="equal">
      <formula>"P1"</formula>
    </cfRule>
  </conditionalFormatting>
  <conditionalFormatting sqref="F8:F12">
    <cfRule type="cellIs" dxfId="248" priority="1" operator="equal">
      <formula>"DONE"</formula>
    </cfRule>
    <cfRule type="cellIs" dxfId="247" priority="2" operator="equal">
      <formula>"VERIFIED"</formula>
    </cfRule>
    <cfRule type="cellIs" dxfId="246" priority="3" operator="equal">
      <formula>"IN_PROGRESS"</formula>
    </cfRule>
    <cfRule type="cellIs" dxfId="245" priority="4" operator="equal">
      <formula>"IMPLEMENTED"</formula>
    </cfRule>
    <cfRule type="cellIs" dxfId="244" priority="5" operator="equal">
      <formula>"TESTING"</formula>
    </cfRule>
    <cfRule type="cellIs" dxfId="243" priority="6" operator="equal">
      <formula>"BLOCKED"</formula>
    </cfRule>
    <cfRule type="cellIs" dxfId="242" priority="7" operator="equal">
      <formula>"FAILED"</formula>
    </cfRule>
    <cfRule type="cellIs" dxfId="241" priority="8" operator="equal">
      <formula>"DEFERRED"</formula>
    </cfRule>
    <cfRule type="cellIs" dxfId="240" priority="9" operator="equal">
      <formula>"UNKNOWN"</formula>
    </cfRule>
    <cfRule type="cellIs" dxfId="239" priority="10" operator="equal">
      <formula>"PASS"</formula>
    </cfRule>
    <cfRule type="cellIs" dxfId="238" priority="11" operator="equal">
      <formula>"FAIL"</formula>
    </cfRule>
    <cfRule type="cellIs" dxfId="237" priority="12" operator="equal">
      <formula>"PARTIAL"</formula>
    </cfRule>
    <cfRule type="cellIs" dxfId="236" priority="13" operator="equal">
      <formula>"RESOLVED"</formula>
    </cfRule>
    <cfRule type="cellIs" dxfId="235" priority="14" operator="equal">
      <formula>"OPEN"</formula>
    </cfRule>
    <cfRule type="cellIs" dxfId="234" priority="15" operator="equal">
      <formula>"WITHIN"</formula>
    </cfRule>
    <cfRule type="cellIs" dxfId="233" priority="16" operator="equal">
      <formula>"OVER"</formula>
    </cfRule>
    <cfRule type="cellIs" dxfId="232" priority="17" operator="equal">
      <formula>"NOW"</formula>
    </cfRule>
    <cfRule type="cellIs" dxfId="231" priority="18" operator="equal">
      <formula>"NOT IN MASTER"</formula>
    </cfRule>
  </conditionalFormatting>
  <pageMargins left="0.75" right="0.75" top="1" bottom="1" header="0.5" footer="0.5"/>
  <pageSetup fitToHeight="0"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L19"/>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872</v>
      </c>
    </row>
    <row r="2" spans="1:12" x14ac:dyDescent="0.25">
      <c r="A2" s="4" t="s">
        <v>873</v>
      </c>
    </row>
    <row r="3" spans="1:12" x14ac:dyDescent="0.25">
      <c r="A3" s="6" t="s">
        <v>45</v>
      </c>
      <c r="B3" s="6" t="s">
        <v>46</v>
      </c>
      <c r="C3" s="6" t="s">
        <v>47</v>
      </c>
      <c r="D3" s="6" t="s">
        <v>13</v>
      </c>
      <c r="E3" s="6" t="s">
        <v>16</v>
      </c>
      <c r="F3" s="6" t="s">
        <v>19</v>
      </c>
      <c r="G3" s="6" t="s">
        <v>48</v>
      </c>
      <c r="H3" s="6" t="s">
        <v>33</v>
      </c>
    </row>
    <row r="4" spans="1:12" x14ac:dyDescent="0.25">
      <c r="A4" s="7">
        <f>COUNTIF(MASTER!$C$2:$C$2000,"EDITOR")</f>
        <v>12</v>
      </c>
      <c r="B4" s="7">
        <f>COUNTIFS(MASTER!$C$2:$C$2000,"EDITOR",MASTER!$G$2:$G$2000,"DONE")</f>
        <v>6</v>
      </c>
      <c r="C4" s="7">
        <f>COUNTIFS(MASTER!$C$2:$C$2000,"EDITOR",MASTER!$G$2:$G$2000,"VERIFIED")+B4</f>
        <v>6</v>
      </c>
      <c r="D4" s="7">
        <f>COUNTIFS(MASTER!$C$2:$C$2000,"EDITOR",MASTER!$G$2:$G$2000,"IN_PROGRESS")+COUNTIFS(MASTER!$C$2:$C$2000,"EDITOR",MASTER!$G$2:$G$2000,"IMPLEMENTED")+COUNTIFS(MASTER!$C$2:$C$2000,"EDITOR",MASTER!$G$2:$G$2000,"TESTING")</f>
        <v>0</v>
      </c>
      <c r="E4" s="7">
        <f>COUNTIFS(MASTER!$C$2:$C$2000,"EDITOR",MASTER!$G$2:$G$2000,"BLOCKED")</f>
        <v>0</v>
      </c>
      <c r="F4" s="7">
        <f>COUNTIFS(MASTER!$C$2:$C$2000,"EDITOR",MASTER!$G$2:$G$2000,"FAILED")</f>
        <v>0</v>
      </c>
      <c r="G4" s="9">
        <f>IF(A4=0,0,B4/A4)</f>
        <v>0.5</v>
      </c>
      <c r="H4" s="9">
        <f>IF(A4=0,0,C4/A4)</f>
        <v>0.5</v>
      </c>
    </row>
    <row r="6" spans="1:12" ht="15.75" x14ac:dyDescent="0.25">
      <c r="A6" s="5" t="s">
        <v>867</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272</v>
      </c>
      <c r="B8" s="12" t="str">
        <f>IFERROR(INDEX(MASTER!$C$2:$C$2000,MATCH($A8,MASTER!$A$2:$A$2000,0))&amp;"","")</f>
        <v>EDITOR</v>
      </c>
      <c r="C8" s="16">
        <f>IFERROR(INDEX(MASTER!$B$2:$B$2000,MATCH($A8,MASTER!$A$2:$A$2000,0)),"")</f>
        <v>1</v>
      </c>
      <c r="D8" s="12" t="str">
        <f>IFERROR(INDEX(MASTER!$D$2:$D$2000,MATCH($A8,MASTER!$A$2:$A$2000,0))&amp;"","")</f>
        <v>Map nested blocks inside table cells</v>
      </c>
      <c r="E8" s="12" t="str">
        <f>IFERROR(INDEX(MASTER!$F$2:$F$2000,MATCH($A8,MASTER!$A$2:$A$2000,0))&amp;"","")</f>
        <v>P0</v>
      </c>
      <c r="F8" s="12" t="str">
        <f>IFERROR(INDEX(MASTER!$G$2:$G$2000,MATCH($A8,MASTER!$A$2:$A$2000,0))&amp;"","NOT IN MASTER")</f>
        <v>DONE</v>
      </c>
      <c r="G8" s="12" t="str">
        <f>IFERROR(INDEX(MASTER!$H$2:$H$2000,MATCH($A8,MASTER!$A$2:$A$2000,0))&amp;"","")</f>
        <v>frontend/editor/tiptapToDocument.ts, documentToTiptap.ts</v>
      </c>
      <c r="H8" s="12" t="str">
        <f>IFERROR(INDEX(MASTER!$I$2:$I$2000,MATCH($A8,MASTER!$A$2:$A$2000,0))&amp;"","")</f>
        <v>frontend/editor/nestedBlocks.test.ts (28; 26 fail against the pre-fix mapping); e2e/nested.spec.ts (Edge: paste, autosave, reload)</v>
      </c>
      <c r="I8" s="19">
        <f>IFERROR(IF(INDEX(MASTER!$O$2:$O$2000,MATCH($A8,MASTER!$A$2:$A$2000,0))="","",INDEX(MASTER!$O$2:$O$2000,MATCH($A8,MASTER!$A$2:$A$2000,0))),"")</f>
        <v>46292.196597222217</v>
      </c>
      <c r="J8" s="12" t="str">
        <f>IFERROR(INDEX(MASTER!$P$2:$P$2000,MATCH($A8,MASTER!$A$2:$A$2000,0))&amp;"","")</f>
        <v>1fe27a9</v>
      </c>
      <c r="K8" s="12" t="str">
        <f>IFERROR(INDEX(MASTER!$Q$2:$Q$2000,MATCH($A8,MASTER!$A$2:$A$2000,0))&amp;"","")</f>
        <v/>
      </c>
      <c r="L8" s="12" t="str">
        <f>IFERROR(INDEX(MASTER!$R$2:$R$2000,MATCH($A8,MASTER!$A$2:$A$2000,0))&amp;"","")</f>
        <v/>
      </c>
    </row>
    <row r="9" spans="1:12" x14ac:dyDescent="0.25">
      <c r="A9" s="15" t="s">
        <v>278</v>
      </c>
      <c r="B9" s="12" t="str">
        <f>IFERROR(INDEX(MASTER!$C$2:$C$2000,MATCH($A9,MASTER!$A$2:$A$2000,0))&amp;"","")</f>
        <v>EDITOR</v>
      </c>
      <c r="C9" s="16">
        <f>IFERROR(INDEX(MASTER!$B$2:$B$2000,MATCH($A9,MASTER!$A$2:$A$2000,0)),"")</f>
        <v>1</v>
      </c>
      <c r="D9" s="12" t="str">
        <f>IFERROR(INDEX(MASTER!$D$2:$D$2000,MATCH($A9,MASTER!$A$2:$A$2000,0))&amp;"","")</f>
        <v>Map blocks inside list items</v>
      </c>
      <c r="E9" s="12" t="str">
        <f>IFERROR(INDEX(MASTER!$F$2:$F$2000,MATCH($A9,MASTER!$A$2:$A$2000,0))&amp;"","")</f>
        <v>P0</v>
      </c>
      <c r="F9" s="12" t="str">
        <f>IFERROR(INDEX(MASTER!$G$2:$G$2000,MATCH($A9,MASTER!$A$2:$A$2000,0))&amp;"","NOT IN MASTER")</f>
        <v>DONE</v>
      </c>
      <c r="G9" s="12" t="str">
        <f>IFERROR(INDEX(MASTER!$H$2:$H$2000,MATCH($A9,MASTER!$A$2:$A$2000,0))&amp;"","")</f>
        <v>frontend/editor/tiptapToDocument.ts, documentToTiptap.ts</v>
      </c>
      <c r="H9" s="12" t="str">
        <f>IFERROR(INDEX(MASTER!$I$2:$I$2000,MATCH($A9,MASTER!$A$2:$A$2000,0))&amp;"","")</f>
        <v>frontend/editor/nestedBlocks.test.ts (28; 26 fail against the pre-fix mapping); e2e/nested.spec.ts (Edge: paste, autosave, reload)</v>
      </c>
      <c r="I9" s="19">
        <f>IFERROR(IF(INDEX(MASTER!$O$2:$O$2000,MATCH($A9,MASTER!$A$2:$A$2000,0))="","",INDEX(MASTER!$O$2:$O$2000,MATCH($A9,MASTER!$A$2:$A$2000,0))),"")</f>
        <v>46292.196643518517</v>
      </c>
      <c r="J9" s="12" t="str">
        <f>IFERROR(INDEX(MASTER!$P$2:$P$2000,MATCH($A9,MASTER!$A$2:$A$2000,0))&amp;"","")</f>
        <v>1fe27a9</v>
      </c>
      <c r="K9" s="12" t="str">
        <f>IFERROR(INDEX(MASTER!$Q$2:$Q$2000,MATCH($A9,MASTER!$A$2:$A$2000,0))&amp;"","")</f>
        <v/>
      </c>
      <c r="L9" s="12" t="str">
        <f>IFERROR(INDEX(MASTER!$R$2:$R$2000,MATCH($A9,MASTER!$A$2:$A$2000,0))&amp;"","")</f>
        <v/>
      </c>
    </row>
    <row r="10" spans="1:12" x14ac:dyDescent="0.25">
      <c r="A10" s="15" t="s">
        <v>281</v>
      </c>
      <c r="B10" s="12" t="str">
        <f>IFERROR(INDEX(MASTER!$C$2:$C$2000,MATCH($A10,MASTER!$A$2:$A$2000,0))&amp;"","")</f>
        <v>EDITOR</v>
      </c>
      <c r="C10" s="16">
        <f>IFERROR(INDEX(MASTER!$B$2:$B$2000,MATCH($A10,MASTER!$A$2:$A$2000,0)),"")</f>
        <v>1</v>
      </c>
      <c r="D10" s="12" t="str">
        <f>IFERROR(INDEX(MASTER!$D$2:$D$2000,MATCH($A10,MASTER!$A$2:$A$2000,0))&amp;"","")</f>
        <v>Map blocks inside quotes</v>
      </c>
      <c r="E10" s="12" t="str">
        <f>IFERROR(INDEX(MASTER!$F$2:$F$2000,MATCH($A10,MASTER!$A$2:$A$2000,0))&amp;"","")</f>
        <v>P0</v>
      </c>
      <c r="F10" s="12" t="str">
        <f>IFERROR(INDEX(MASTER!$G$2:$G$2000,MATCH($A10,MASTER!$A$2:$A$2000,0))&amp;"","NOT IN MASTER")</f>
        <v>DONE</v>
      </c>
      <c r="G10" s="12" t="str">
        <f>IFERROR(INDEX(MASTER!$H$2:$H$2000,MATCH($A10,MASTER!$A$2:$A$2000,0))&amp;"","")</f>
        <v>frontend/editor/tiptapToDocument.ts, documentToTiptap.ts</v>
      </c>
      <c r="H10" s="12" t="str">
        <f>IFERROR(INDEX(MASTER!$I$2:$I$2000,MATCH($A10,MASTER!$A$2:$A$2000,0))&amp;"","")</f>
        <v>frontend/editor/nestedBlocks.test.ts (28; 26 fail against the pre-fix mapping); e2e/nested.spec.ts (Edge: paste, autosave, reload)</v>
      </c>
      <c r="I10" s="19">
        <f>IFERROR(IF(INDEX(MASTER!$O$2:$O$2000,MATCH($A10,MASTER!$A$2:$A$2000,0))="","",INDEX(MASTER!$O$2:$O$2000,MATCH($A10,MASTER!$A$2:$A$2000,0))),"")</f>
        <v>46292.19667824074</v>
      </c>
      <c r="J10" s="12" t="str">
        <f>IFERROR(INDEX(MASTER!$P$2:$P$2000,MATCH($A10,MASTER!$A$2:$A$2000,0))&amp;"","")</f>
        <v>1fe27a9</v>
      </c>
      <c r="K10" s="12" t="str">
        <f>IFERROR(INDEX(MASTER!$Q$2:$Q$2000,MATCH($A10,MASTER!$A$2:$A$2000,0))&amp;"","")</f>
        <v/>
      </c>
      <c r="L10" s="12" t="str">
        <f>IFERROR(INDEX(MASTER!$R$2:$R$2000,MATCH($A10,MASTER!$A$2:$A$2000,0))&amp;"","")</f>
        <v/>
      </c>
    </row>
    <row r="11" spans="1:12" x14ac:dyDescent="0.25">
      <c r="A11" s="15" t="s">
        <v>284</v>
      </c>
      <c r="B11" s="12" t="str">
        <f>IFERROR(INDEX(MASTER!$C$2:$C$2000,MATCH($A11,MASTER!$A$2:$A$2000,0))&amp;"","")</f>
        <v>EDITOR</v>
      </c>
      <c r="C11" s="16">
        <f>IFERROR(INDEX(MASTER!$B$2:$B$2000,MATCH($A11,MASTER!$A$2:$A$2000,0)),"")</f>
        <v>1</v>
      </c>
      <c r="D11" s="12" t="str">
        <f>IFERROR(INDEX(MASTER!$D$2:$D$2000,MATCH($A11,MASTER!$A$2:$A$2000,0))&amp;"","")</f>
        <v>Render nested blocks back into the editor</v>
      </c>
      <c r="E11" s="12" t="str">
        <f>IFERROR(INDEX(MASTER!$F$2:$F$2000,MATCH($A11,MASTER!$A$2:$A$2000,0))&amp;"","")</f>
        <v>P0</v>
      </c>
      <c r="F11" s="12" t="str">
        <f>IFERROR(INDEX(MASTER!$G$2:$G$2000,MATCH($A11,MASTER!$A$2:$A$2000,0))&amp;"","NOT IN MASTER")</f>
        <v>DONE</v>
      </c>
      <c r="G11" s="12" t="str">
        <f>IFERROR(INDEX(MASTER!$H$2:$H$2000,MATCH($A11,MASTER!$A$2:$A$2000,0))&amp;"","")</f>
        <v>frontend/editor/tiptapToDocument.ts, documentToTiptap.ts</v>
      </c>
      <c r="H11" s="12" t="str">
        <f>IFERROR(INDEX(MASTER!$I$2:$I$2000,MATCH($A11,MASTER!$A$2:$A$2000,0))&amp;"","")</f>
        <v>frontend/editor/nestedBlocks.test.ts (28; 26 fail against the pre-fix mapping); e2e/nested.spec.ts (Edge: paste, autosave, reload)</v>
      </c>
      <c r="I11" s="19">
        <f>IFERROR(IF(INDEX(MASTER!$O$2:$O$2000,MATCH($A11,MASTER!$A$2:$A$2000,0))="","",INDEX(MASTER!$O$2:$O$2000,MATCH($A11,MASTER!$A$2:$A$2000,0))),"")</f>
        <v>46292.196712962963</v>
      </c>
      <c r="J11" s="12" t="str">
        <f>IFERROR(INDEX(MASTER!$P$2:$P$2000,MATCH($A11,MASTER!$A$2:$A$2000,0))&amp;"","")</f>
        <v>1fe27a9</v>
      </c>
      <c r="K11" s="12" t="str">
        <f>IFERROR(INDEX(MASTER!$Q$2:$Q$2000,MATCH($A11,MASTER!$A$2:$A$2000,0))&amp;"","")</f>
        <v/>
      </c>
      <c r="L11" s="12" t="str">
        <f>IFERROR(INDEX(MASTER!$R$2:$R$2000,MATCH($A11,MASTER!$A$2:$A$2000,0))&amp;"","")</f>
        <v/>
      </c>
    </row>
    <row r="12" spans="1:12" x14ac:dyDescent="0.25">
      <c r="A12" s="15" t="s">
        <v>288</v>
      </c>
      <c r="B12" s="12" t="str">
        <f>IFERROR(INDEX(MASTER!$C$2:$C$2000,MATCH($A12,MASTER!$A$2:$A$2000,0))&amp;"","")</f>
        <v>EDITOR</v>
      </c>
      <c r="C12" s="16">
        <f>IFERROR(INDEX(MASTER!$B$2:$B$2000,MATCH($A12,MASTER!$A$2:$A$2000,0)),"")</f>
        <v>1</v>
      </c>
      <c r="D12" s="12" t="str">
        <f>IFERROR(INDEX(MASTER!$D$2:$D$2000,MATCH($A12,MASTER!$A$2:$A$2000,0))&amp;"","")</f>
        <v>Save guard: never drop a node silently</v>
      </c>
      <c r="E12" s="12" t="str">
        <f>IFERROR(INDEX(MASTER!$F$2:$F$2000,MATCH($A12,MASTER!$A$2:$A$2000,0))&amp;"","")</f>
        <v>P0</v>
      </c>
      <c r="F12" s="12" t="str">
        <f>IFERROR(INDEX(MASTER!$G$2:$G$2000,MATCH($A12,MASTER!$A$2:$A$2000,0))&amp;"","NOT IN MASTER")</f>
        <v>DONE</v>
      </c>
      <c r="G12" s="12" t="str">
        <f>IFERROR(INDEX(MASTER!$H$2:$H$2000,MATCH($A12,MASTER!$A$2:$A$2000,0))&amp;"","")</f>
        <v>tiptapToDocument.ts UnsupportedContentError (unknown node/inline node/mark anywhere); useAutoSave 'unsupported' status (no request, message, beforeunload warning); EditorStatusBar message</v>
      </c>
      <c r="H12" s="12" t="str">
        <f>IFERROR(INDEX(MASTER!$I$2:$I$2000,MATCH($A12,MASTER!$A$2:$A$2000,0))&amp;"","")</f>
        <v>nestedBlocks.test.ts refusal cases + schema coverage; useAutoSave.test.tsx (no request, 'unsupported' status, message, saves again once fixed)</v>
      </c>
      <c r="I12" s="19">
        <f>IFERROR(IF(INDEX(MASTER!$O$2:$O$2000,MATCH($A12,MASTER!$A$2:$A$2000,0))="","",INDEX(MASTER!$O$2:$O$2000,MATCH($A12,MASTER!$A$2:$A$2000,0))),"")</f>
        <v>46292.196747685193</v>
      </c>
      <c r="J12" s="12" t="str">
        <f>IFERROR(INDEX(MASTER!$P$2:$P$2000,MATCH($A12,MASTER!$A$2:$A$2000,0))&amp;"","")</f>
        <v>1fe27a9</v>
      </c>
      <c r="K12" s="12" t="str">
        <f>IFERROR(INDEX(MASTER!$Q$2:$Q$2000,MATCH($A12,MASTER!$A$2:$A$2000,0))&amp;"","")</f>
        <v/>
      </c>
      <c r="L12" s="12" t="str">
        <f>IFERROR(INDEX(MASTER!$R$2:$R$2000,MATCH($A12,MASTER!$A$2:$A$2000,0))&amp;"","")</f>
        <v/>
      </c>
    </row>
    <row r="13" spans="1:12" x14ac:dyDescent="0.25">
      <c r="A13" s="15" t="s">
        <v>293</v>
      </c>
      <c r="B13" s="12" t="str">
        <f>IFERROR(INDEX(MASTER!$C$2:$C$2000,MATCH($A13,MASTER!$A$2:$A$2000,0))&amp;"","")</f>
        <v>EDITOR</v>
      </c>
      <c r="C13" s="16">
        <f>IFERROR(INDEX(MASTER!$B$2:$B$2000,MATCH($A13,MASTER!$A$2:$A$2000,0)),"")</f>
        <v>1</v>
      </c>
      <c r="D13" s="12" t="str">
        <f>IFERROR(INDEX(MASTER!$D$2:$D$2000,MATCH($A13,MASTER!$A$2:$A$2000,0))&amp;"","")</f>
        <v>Pasted paragraph/heading alignment kept</v>
      </c>
      <c r="E13" s="12" t="str">
        <f>IFERROR(INDEX(MASTER!$F$2:$F$2000,MATCH($A13,MASTER!$A$2:$A$2000,0))&amp;"","")</f>
        <v>P1</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EDIT-005</v>
      </c>
    </row>
    <row r="14" spans="1:12" x14ac:dyDescent="0.25">
      <c r="A14" s="15" t="s">
        <v>297</v>
      </c>
      <c r="B14" s="12" t="str">
        <f>IFERROR(INDEX(MASTER!$C$2:$C$2000,MATCH($A14,MASTER!$A$2:$A$2000,0))&amp;"","")</f>
        <v>EDITOR</v>
      </c>
      <c r="C14" s="16">
        <f>IFERROR(INDEX(MASTER!$B$2:$B$2000,MATCH($A14,MASTER!$A$2:$A$2000,0)),"")</f>
        <v>1</v>
      </c>
      <c r="D14" s="12" t="str">
        <f>IFERROR(INDEX(MASTER!$D$2:$D$2000,MATCH($A14,MASTER!$A$2:$A$2000,0))&amp;"","")</f>
        <v>Pasted picture size kept</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EDIT-005</v>
      </c>
    </row>
    <row r="15" spans="1:12" x14ac:dyDescent="0.25">
      <c r="A15" s="15" t="s">
        <v>301</v>
      </c>
      <c r="B15" s="12" t="str">
        <f>IFERROR(INDEX(MASTER!$C$2:$C$2000,MATCH($A15,MASTER!$A$2:$A$2000,0))&amp;"","")</f>
        <v>EDITOR</v>
      </c>
      <c r="C15" s="16">
        <f>IFERROR(INDEX(MASTER!$B$2:$B$2000,MATCH($A15,MASTER!$A$2:$A$2000,0)),"")</f>
        <v>1</v>
      </c>
      <c r="D15" s="12" t="str">
        <f>IFERROR(INDEX(MASTER!$D$2:$D$2000,MATCH($A15,MASTER!$A$2:$A$2000,0))&amp;"","")</f>
        <v>Link title kept</v>
      </c>
      <c r="E15" s="12" t="str">
        <f>IFERROR(INDEX(MASTER!$F$2:$F$2000,MATCH($A15,MASTER!$A$2:$A$2000,0))&amp;"","")</f>
        <v>P2</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EDIT-005</v>
      </c>
    </row>
    <row r="16" spans="1:12" x14ac:dyDescent="0.25">
      <c r="A16" s="15" t="s">
        <v>305</v>
      </c>
      <c r="B16" s="12" t="str">
        <f>IFERROR(INDEX(MASTER!$C$2:$C$2000,MATCH($A16,MASTER!$A$2:$A$2000,0))&amp;"","")</f>
        <v>EDITOR</v>
      </c>
      <c r="C16" s="16">
        <f>IFERROR(INDEX(MASTER!$B$2:$B$2000,MATCH($A16,MASTER!$A$2:$A$2000,0)),"")</f>
        <v>1</v>
      </c>
      <c r="D16" s="12" t="str">
        <f>IFERROR(INDEX(MASTER!$D$2:$D$2000,MATCH($A16,MASTER!$A$2:$A$2000,0))&amp;"","")</f>
        <v>Cell alignment and column widths kept</v>
      </c>
      <c r="E16" s="12" t="str">
        <f>IFERROR(INDEX(MASTER!$F$2:$F$2000,MATCH($A16,MASTER!$A$2:$A$2000,0))&amp;"","")</f>
        <v>P2</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EDIT-005</v>
      </c>
    </row>
    <row r="17" spans="1:12" x14ac:dyDescent="0.25">
      <c r="A17" s="15" t="s">
        <v>309</v>
      </c>
      <c r="B17" s="12" t="str">
        <f>IFERROR(INDEX(MASTER!$C$2:$C$2000,MATCH($A17,MASTER!$A$2:$A$2000,0))&amp;"","")</f>
        <v>EDITOR</v>
      </c>
      <c r="C17" s="16">
        <f>IFERROR(INDEX(MASTER!$B$2:$B$2000,MATCH($A17,MASTER!$A$2:$A$2000,0)),"")</f>
        <v>1</v>
      </c>
      <c r="D17" s="12" t="str">
        <f>IFERROR(INDEX(MASTER!$D$2:$D$2000,MATCH($A17,MASTER!$A$2:$A$2000,0))&amp;"","")</f>
        <v>Colour and font values outside the model reported</v>
      </c>
      <c r="E17" s="12" t="str">
        <f>IFERROR(INDEX(MASTER!$F$2:$F$2000,MATCH($A17,MASTER!$A$2:$A$2000,0))&amp;"","")</f>
        <v>P3</v>
      </c>
      <c r="F17" s="12" t="str">
        <f>IFERROR(INDEX(MASTER!$G$2:$G$2000,MATCH($A17,MASTER!$A$2:$A$2000,0))&amp;"","NOT IN MASTER")</f>
        <v>NOT_STARTED</v>
      </c>
      <c r="G17" s="12" t="str">
        <f>IFERROR(INDEX(MASTER!$H$2:$H$2000,MATCH($A17,MASTER!$A$2:$A$2000,0))&amp;"","")</f>
        <v/>
      </c>
      <c r="H17" s="12" t="str">
        <f>IFERROR(INDEX(MASTER!$I$2:$I$2000,MATCH($A17,MASTER!$A$2:$A$2000,0))&amp;"","")</f>
        <v/>
      </c>
      <c r="I17" s="19" t="str">
        <f>IFERROR(IF(INDEX(MASTER!$O$2:$O$2000,MATCH($A17,MASTER!$A$2:$A$2000,0))="","",INDEX(MASTER!$O$2:$O$2000,MATCH($A17,MASTER!$A$2:$A$2000,0))),"")</f>
        <v/>
      </c>
      <c r="J17" s="12" t="str">
        <f>IFERROR(INDEX(MASTER!$P$2:$P$2000,MATCH($A17,MASTER!$A$2:$A$2000,0))&amp;"","")</f>
        <v/>
      </c>
      <c r="K17" s="12" t="str">
        <f>IFERROR(INDEX(MASTER!$Q$2:$Q$2000,MATCH($A17,MASTER!$A$2:$A$2000,0))&amp;"","")</f>
        <v/>
      </c>
      <c r="L17" s="12" t="str">
        <f>IFERROR(INDEX(MASTER!$R$2:$R$2000,MATCH($A17,MASTER!$A$2:$A$2000,0))&amp;"","")</f>
        <v>EDIT-005</v>
      </c>
    </row>
    <row r="18" spans="1:12" x14ac:dyDescent="0.25">
      <c r="A18" s="15" t="s">
        <v>313</v>
      </c>
      <c r="B18" s="12" t="str">
        <f>IFERROR(INDEX(MASTER!$C$2:$C$2000,MATCH($A18,MASTER!$A$2:$A$2000,0))&amp;"","")</f>
        <v>EDITOR</v>
      </c>
      <c r="C18" s="16">
        <f>IFERROR(INDEX(MASTER!$B$2:$B$2000,MATCH($A18,MASTER!$A$2:$A$2000,0)),"")</f>
        <v>1</v>
      </c>
      <c r="D18" s="12" t="str">
        <f>IFERROR(INDEX(MASTER!$D$2:$D$2000,MATCH($A18,MASTER!$A$2:$A$2000,0))&amp;"","")</f>
        <v>Pasted rich HTML survives save</v>
      </c>
      <c r="E18" s="12" t="str">
        <f>IFERROR(INDEX(MASTER!$F$2:$F$2000,MATCH($A18,MASTER!$A$2:$A$2000,0))&amp;"","")</f>
        <v>P0</v>
      </c>
      <c r="F18" s="12" t="str">
        <f>IFERROR(INDEX(MASTER!$G$2:$G$2000,MATCH($A18,MASTER!$A$2:$A$2000,0))&amp;"","NOT IN MASTER")</f>
        <v>DONE</v>
      </c>
      <c r="G18" s="12" t="str">
        <f>IFERROR(INDEX(MASTER!$H$2:$H$2000,MATCH($A18,MASTER!$A$2:$A$2000,0))&amp;"","")</f>
        <v>frontend/e2e/nested.spec.ts: real paste event with text/html in Edge</v>
      </c>
      <c r="H18" s="12" t="str">
        <f>IFERROR(INDEX(MASTER!$I$2:$I$2000,MATCH($A18,MASTER!$A$2:$A$2000,0))&amp;"","")</f>
        <v>npx playwright test e2e/nested.spec.ts -&gt; 1 passed</v>
      </c>
      <c r="I18" s="19">
        <f>IFERROR(IF(INDEX(MASTER!$O$2:$O$2000,MATCH($A18,MASTER!$A$2:$A$2000,0))="","",INDEX(MASTER!$O$2:$O$2000,MATCH($A18,MASTER!$A$2:$A$2000,0))),"")</f>
        <v>46292.196782407409</v>
      </c>
      <c r="J18" s="12" t="str">
        <f>IFERROR(INDEX(MASTER!$P$2:$P$2000,MATCH($A18,MASTER!$A$2:$A$2000,0))&amp;"","")</f>
        <v>1fe27a9</v>
      </c>
      <c r="K18" s="12" t="str">
        <f>IFERROR(INDEX(MASTER!$Q$2:$Q$2000,MATCH($A18,MASTER!$A$2:$A$2000,0))&amp;"","")</f>
        <v/>
      </c>
      <c r="L18" s="12" t="str">
        <f>IFERROR(INDEX(MASTER!$R$2:$R$2000,MATCH($A18,MASTER!$A$2:$A$2000,0))&amp;"","")</f>
        <v/>
      </c>
    </row>
    <row r="19" spans="1:12" x14ac:dyDescent="0.25">
      <c r="A19" s="15" t="s">
        <v>318</v>
      </c>
      <c r="B19" s="12" t="str">
        <f>IFERROR(INDEX(MASTER!$C$2:$C$2000,MATCH($A19,MASTER!$A$2:$A$2000,0))&amp;"","")</f>
        <v>EDITOR</v>
      </c>
      <c r="C19" s="16">
        <f>IFERROR(INDEX(MASTER!$B$2:$B$2000,MATCH($A19,MASTER!$A$2:$A$2000,0)),"")</f>
        <v>1</v>
      </c>
      <c r="D19" s="12" t="str">
        <f>IFERROR(INDEX(MASTER!$D$2:$D$2000,MATCH($A19,MASTER!$A$2:$A$2000,0))&amp;"","")</f>
        <v>Canonical mark order</v>
      </c>
      <c r="E19" s="12" t="str">
        <f>IFERROR(INDEX(MASTER!$F$2:$F$2000,MATCH($A19,MASTER!$A$2:$A$2000,0))&amp;"","")</f>
        <v>P2</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
      </c>
      <c r="L19" s="12" t="str">
        <f>IFERROR(INDEX(MASTER!$R$2:$R$2000,MATCH($A19,MASTER!$A$2:$A$2000,0))&amp;"","")</f>
        <v/>
      </c>
    </row>
  </sheetData>
  <autoFilter ref="A7:L19" xr:uid="{00000000-0009-0000-0000-000006000000}"/>
  <conditionalFormatting sqref="E8:E19">
    <cfRule type="cellIs" dxfId="230" priority="19" operator="equal">
      <formula>"P0"</formula>
    </cfRule>
    <cfRule type="cellIs" dxfId="229" priority="20" operator="equal">
      <formula>"P1"</formula>
    </cfRule>
  </conditionalFormatting>
  <conditionalFormatting sqref="F8:F19">
    <cfRule type="cellIs" dxfId="228" priority="1" operator="equal">
      <formula>"DONE"</formula>
    </cfRule>
    <cfRule type="cellIs" dxfId="227" priority="2" operator="equal">
      <formula>"VERIFIED"</formula>
    </cfRule>
    <cfRule type="cellIs" dxfId="226" priority="3" operator="equal">
      <formula>"IN_PROGRESS"</formula>
    </cfRule>
    <cfRule type="cellIs" dxfId="225" priority="4" operator="equal">
      <formula>"IMPLEMENTED"</formula>
    </cfRule>
    <cfRule type="cellIs" dxfId="224" priority="5" operator="equal">
      <formula>"TESTING"</formula>
    </cfRule>
    <cfRule type="cellIs" dxfId="223" priority="6" operator="equal">
      <formula>"BLOCKED"</formula>
    </cfRule>
    <cfRule type="cellIs" dxfId="222" priority="7" operator="equal">
      <formula>"FAILED"</formula>
    </cfRule>
    <cfRule type="cellIs" dxfId="221" priority="8" operator="equal">
      <formula>"DEFERRED"</formula>
    </cfRule>
    <cfRule type="cellIs" dxfId="220" priority="9" operator="equal">
      <formula>"UNKNOWN"</formula>
    </cfRule>
    <cfRule type="cellIs" dxfId="219" priority="10" operator="equal">
      <formula>"PASS"</formula>
    </cfRule>
    <cfRule type="cellIs" dxfId="218" priority="11" operator="equal">
      <formula>"FAIL"</formula>
    </cfRule>
    <cfRule type="cellIs" dxfId="217" priority="12" operator="equal">
      <formula>"PARTIAL"</formula>
    </cfRule>
    <cfRule type="cellIs" dxfId="216" priority="13" operator="equal">
      <formula>"RESOLVED"</formula>
    </cfRule>
    <cfRule type="cellIs" dxfId="215" priority="14" operator="equal">
      <formula>"OPEN"</formula>
    </cfRule>
    <cfRule type="cellIs" dxfId="214" priority="15" operator="equal">
      <formula>"WITHIN"</formula>
    </cfRule>
    <cfRule type="cellIs" dxfId="213" priority="16" operator="equal">
      <formula>"OVER"</formula>
    </cfRule>
    <cfRule type="cellIs" dxfId="212" priority="17" operator="equal">
      <formula>"NOW"</formula>
    </cfRule>
    <cfRule type="cellIs" dxfId="211" priority="18" operator="equal">
      <formula>"NOT IN MASTER"</formula>
    </cfRule>
  </conditionalFormatting>
  <pageMargins left="0.75" right="0.75" top="1" bottom="1" header="0.5" footer="0.5"/>
  <pageSetup fitToHeight="0"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L15"/>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874</v>
      </c>
    </row>
    <row r="2" spans="1:12" x14ac:dyDescent="0.25">
      <c r="A2" s="4" t="s">
        <v>875</v>
      </c>
    </row>
    <row r="3" spans="1:12" x14ac:dyDescent="0.25">
      <c r="A3" s="6" t="s">
        <v>45</v>
      </c>
      <c r="B3" s="6" t="s">
        <v>46</v>
      </c>
      <c r="C3" s="6" t="s">
        <v>47</v>
      </c>
      <c r="D3" s="6" t="s">
        <v>13</v>
      </c>
      <c r="E3" s="6" t="s">
        <v>16</v>
      </c>
      <c r="F3" s="6" t="s">
        <v>19</v>
      </c>
      <c r="G3" s="6" t="s">
        <v>48</v>
      </c>
      <c r="H3" s="6" t="s">
        <v>33</v>
      </c>
    </row>
    <row r="4" spans="1:12" x14ac:dyDescent="0.25">
      <c r="A4" s="7">
        <f>COUNTIF(MASTER!$C$2:$C$2000,"FORMATTING")+COUNTIF(MASTER!$C$2:$C$2000,"HEALTH")</f>
        <v>8</v>
      </c>
      <c r="B4" s="7">
        <f>COUNTIFS(MASTER!$C$2:$C$2000,"FORMATTING",MASTER!$G$2:$G$2000,"DONE")+COUNTIFS(MASTER!$C$2:$C$2000,"HEALTH",MASTER!$G$2:$G$2000,"DONE")</f>
        <v>0</v>
      </c>
      <c r="C4" s="7">
        <f>COUNTIFS(MASTER!$C$2:$C$2000,"FORMATTING",MASTER!$G$2:$G$2000,"VERIFIED")+COUNTIFS(MASTER!$C$2:$C$2000,"HEALTH",MASTER!$G$2:$G$2000,"VERIFIED")+B4</f>
        <v>0</v>
      </c>
      <c r="D4" s="7">
        <f>COUNTIFS(MASTER!$C$2:$C$2000,"FORMATTING",MASTER!$G$2:$G$2000,"IN_PROGRESS")+COUNTIFS(MASTER!$C$2:$C$2000,"FORMATTING",MASTER!$G$2:$G$2000,"IMPLEMENTED")+COUNTIFS(MASTER!$C$2:$C$2000,"FORMATTING",MASTER!$G$2:$G$2000,"TESTING")+COUNTIFS(MASTER!$C$2:$C$2000,"HEALTH",MASTER!$G$2:$G$2000,"IN_PROGRESS")+COUNTIFS(MASTER!$C$2:$C$2000,"HEALTH",MASTER!$G$2:$G$2000,"IMPLEMENTED")+COUNTIFS(MASTER!$C$2:$C$2000,"HEALTH",MASTER!$G$2:$G$2000,"TESTING")</f>
        <v>0</v>
      </c>
      <c r="E4" s="7">
        <f>COUNTIFS(MASTER!$C$2:$C$2000,"FORMATTING",MASTER!$G$2:$G$2000,"BLOCKED")+COUNTIFS(MASTER!$C$2:$C$2000,"HEALTH",MASTER!$G$2:$G$2000,"BLOCKED")</f>
        <v>0</v>
      </c>
      <c r="F4" s="7">
        <f>COUNTIFS(MASTER!$C$2:$C$2000,"FORMATTING",MASTER!$G$2:$G$2000,"FAILED")+COUNTIFS(MASTER!$C$2:$C$2000,"HEALTH",MASTER!$G$2:$G$2000,"FAILED")</f>
        <v>0</v>
      </c>
      <c r="G4" s="9">
        <f>IF(A4=0,0,B4/A4)</f>
        <v>0</v>
      </c>
      <c r="H4" s="9">
        <f>IF(A4=0,0,C4/A4)</f>
        <v>0</v>
      </c>
    </row>
    <row r="6" spans="1:12" ht="15.75" x14ac:dyDescent="0.25">
      <c r="A6" s="5" t="s">
        <v>867</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485</v>
      </c>
      <c r="B8" s="12" t="str">
        <f>IFERROR(INDEX(MASTER!$C$2:$C$2000,MATCH($A8,MASTER!$A$2:$A$2000,0))&amp;"","")</f>
        <v>FORMATTING</v>
      </c>
      <c r="C8" s="16">
        <f>IFERROR(INDEX(MASTER!$B$2:$B$2000,MATCH($A8,MASTER!$A$2:$A$2000,0)),"")</f>
        <v>3</v>
      </c>
      <c r="D8" s="12" t="str">
        <f>IFERROR(INDEX(MASTER!$D$2:$D$2000,MATCH($A8,MASTER!$A$2:$A$2000,0))&amp;"","")</f>
        <v>Render-spec defaults respect the source</v>
      </c>
      <c r="E8" s="12" t="str">
        <f>IFERROR(INDEX(MASTER!$F$2:$F$2000,MATCH($A8,MASTER!$A$2:$A$2000,0))&amp;"","")</f>
        <v>P0</v>
      </c>
      <c r="F8" s="12" t="str">
        <f>IFERROR(INDEX(MASTER!$G$2:$G$2000,MATCH($A8,MASTER!$A$2:$A$2000,0))&amp;"","NOT IN MASTER")</f>
        <v>NOT_STARTED</v>
      </c>
      <c r="G8" s="12" t="str">
        <f>IFERROR(INDEX(MASTER!$H$2:$H$2000,MATCH($A8,MASTER!$A$2:$A$2000,0))&amp;"","")</f>
        <v/>
      </c>
      <c r="H8" s="12" t="str">
        <f>IFERROR(INDEX(MASTER!$I$2:$I$2000,MATCH($A8,MASTER!$A$2:$A$2000,0))&amp;"","")</f>
        <v/>
      </c>
      <c r="I8" s="19" t="str">
        <f>IFERROR(IF(INDEX(MASTER!$O$2:$O$2000,MATCH($A8,MASTER!$A$2:$A$2000,0))="","",INDEX(MASTER!$O$2:$O$2000,MATCH($A8,MASTER!$A$2:$A$2000,0))),"")</f>
        <v/>
      </c>
      <c r="J8" s="12" t="str">
        <f>IFERROR(INDEX(MASTER!$P$2:$P$2000,MATCH($A8,MASTER!$A$2:$A$2000,0))&amp;"","")</f>
        <v/>
      </c>
      <c r="K8" s="12" t="str">
        <f>IFERROR(INDEX(MASTER!$Q$2:$Q$2000,MATCH($A8,MASTER!$A$2:$A$2000,0))&amp;"","")</f>
        <v/>
      </c>
      <c r="L8" s="12" t="str">
        <f>IFERROR(INDEX(MASTER!$R$2:$R$2000,MATCH($A8,MASTER!$A$2:$A$2000,0))&amp;"","")</f>
        <v/>
      </c>
    </row>
    <row r="9" spans="1:12" x14ac:dyDescent="0.25">
      <c r="A9" s="15" t="s">
        <v>720</v>
      </c>
      <c r="B9" s="12" t="str">
        <f>IFERROR(INDEX(MASTER!$C$2:$C$2000,MATCH($A9,MASTER!$A$2:$A$2000,0))&amp;"","")</f>
        <v>FORMATTING</v>
      </c>
      <c r="C9" s="16">
        <f>IFERROR(INDEX(MASTER!$B$2:$B$2000,MATCH($A9,MASTER!$A$2:$A$2000,0)),"")</f>
        <v>12</v>
      </c>
      <c r="D9" s="12" t="str">
        <f>IFERROR(INDEX(MASTER!$D$2:$D$2000,MATCH($A9,MASTER!$A$2:$A$2000,0))&amp;"","")</f>
        <v>Style extraction completeness</v>
      </c>
      <c r="E9" s="12" t="str">
        <f>IFERROR(INDEX(MASTER!$F$2:$F$2000,MATCH($A9,MASTER!$A$2:$A$2000,0))&amp;"","")</f>
        <v>P1</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723</v>
      </c>
      <c r="B10" s="12" t="str">
        <f>IFERROR(INDEX(MASTER!$C$2:$C$2000,MATCH($A10,MASTER!$A$2:$A$2000,0))&amp;"","")</f>
        <v>FORMATTING</v>
      </c>
      <c r="C10" s="16">
        <f>IFERROR(INDEX(MASTER!$B$2:$B$2000,MATCH($A10,MASTER!$A$2:$A$2000,0)),"")</f>
        <v>12</v>
      </c>
      <c r="D10" s="12" t="str">
        <f>IFERROR(INDEX(MASTER!$D$2:$D$2000,MATCH($A10,MASTER!$A$2:$A$2000,0))&amp;"","")</f>
        <v>Semantic mapping validated</v>
      </c>
      <c r="E10" s="12" t="str">
        <f>IFERROR(INDEX(MASTER!$F$2:$F$2000,MATCH($A10,MASTER!$A$2:$A$2000,0))&amp;"","")</f>
        <v>P1</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726</v>
      </c>
      <c r="B11" s="12" t="str">
        <f>IFERROR(INDEX(MASTER!$C$2:$C$2000,MATCH($A11,MASTER!$A$2:$A$2000,0))&amp;"","")</f>
        <v>FORMATTING</v>
      </c>
      <c r="C11" s="16">
        <f>IFERROR(INDEX(MASTER!$B$2:$B$2000,MATCH($A11,MASTER!$A$2:$A$2000,0)),"")</f>
        <v>12</v>
      </c>
      <c r="D11" s="12" t="str">
        <f>IFERROR(INDEX(MASTER!$D$2:$D$2000,MATCH($A11,MASTER!$A$2:$A$2000,0))&amp;"","")</f>
        <v>Before/after for Format by Example</v>
      </c>
      <c r="E11" s="12" t="str">
        <f>IFERROR(INDEX(MASTER!$F$2:$F$2000,MATCH($A11,MASTER!$A$2:$A$2000,0))&amp;"","")</f>
        <v>P1</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729</v>
      </c>
      <c r="B12" s="12" t="str">
        <f>IFERROR(INDEX(MASTER!$C$2:$C$2000,MATCH($A12,MASTER!$A$2:$A$2000,0))&amp;"","")</f>
        <v>FORMATTING</v>
      </c>
      <c r="C12" s="16">
        <f>IFERROR(INDEX(MASTER!$B$2:$B$2000,MATCH($A12,MASTER!$A$2:$A$2000,0)),"")</f>
        <v>12</v>
      </c>
      <c r="D12" s="12" t="str">
        <f>IFERROR(INDEX(MASTER!$D$2:$D$2000,MATCH($A12,MASTER!$A$2:$A$2000,0))&amp;"","")</f>
        <v>Rule value validation</v>
      </c>
      <c r="E12" s="12" t="str">
        <f>IFERROR(INDEX(MASTER!$F$2:$F$2000,MATCH($A12,MASTER!$A$2:$A$2000,0))&amp;"","")</f>
        <v>P1</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732</v>
      </c>
      <c r="B13" s="12" t="str">
        <f>IFERROR(INDEX(MASTER!$C$2:$C$2000,MATCH($A13,MASTER!$A$2:$A$2000,0))&amp;"","")</f>
        <v>HEALTH</v>
      </c>
      <c r="C13" s="16">
        <f>IFERROR(INDEX(MASTER!$B$2:$B$2000,MATCH($A13,MASTER!$A$2:$A$2000,0)),"")</f>
        <v>13</v>
      </c>
      <c r="D13" s="12" t="str">
        <f>IFERROR(INDEX(MASTER!$D$2:$D$2000,MATCH($A13,MASTER!$A$2:$A$2000,0))&amp;"","")</f>
        <v>Health 2.0 checks</v>
      </c>
      <c r="E13" s="12" t="str">
        <f>IFERROR(INDEX(MASTER!$F$2:$F$2000,MATCH($A13,MASTER!$A$2:$A$2000,0))&amp;"","")</f>
        <v>P1</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735</v>
      </c>
      <c r="B14" s="12" t="str">
        <f>IFERROR(INDEX(MASTER!$C$2:$C$2000,MATCH($A14,MASTER!$A$2:$A$2000,0))&amp;"","")</f>
        <v>HEALTH</v>
      </c>
      <c r="C14" s="16">
        <f>IFERROR(INDEX(MASTER!$B$2:$B$2000,MATCH($A14,MASTER!$A$2:$A$2000,0)),"")</f>
        <v>13</v>
      </c>
      <c r="D14" s="12" t="str">
        <f>IFERROR(INDEX(MASTER!$D$2:$D$2000,MATCH($A14,MASTER!$A$2:$A$2000,0))&amp;"","")</f>
        <v>Deterministic fixes with preview</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738</v>
      </c>
      <c r="B15" s="12" t="str">
        <f>IFERROR(INDEX(MASTER!$C$2:$C$2000,MATCH($A15,MASTER!$A$2:$A$2000,0))&amp;"","")</f>
        <v>HEALTH</v>
      </c>
      <c r="C15" s="16">
        <f>IFERROR(INDEX(MASTER!$B$2:$B$2000,MATCH($A15,MASTER!$A$2:$A$2000,0)),"")</f>
        <v>13</v>
      </c>
      <c r="D15" s="12" t="str">
        <f>IFERROR(INDEX(MASTER!$D$2:$D$2000,MATCH($A15,MASTER!$A$2:$A$2000,0))&amp;"","")</f>
        <v>AI explanations only</v>
      </c>
      <c r="E15" s="12" t="str">
        <f>IFERROR(INDEX(MASTER!$F$2:$F$2000,MATCH($A15,MASTER!$A$2:$A$2000,0))&amp;"","")</f>
        <v>P2</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sheetData>
  <autoFilter ref="A7:L15" xr:uid="{00000000-0009-0000-0000-000007000000}"/>
  <conditionalFormatting sqref="E8:E15">
    <cfRule type="cellIs" dxfId="210" priority="19" operator="equal">
      <formula>"P0"</formula>
    </cfRule>
    <cfRule type="cellIs" dxfId="209" priority="20" operator="equal">
      <formula>"P1"</formula>
    </cfRule>
  </conditionalFormatting>
  <conditionalFormatting sqref="F8:F15">
    <cfRule type="cellIs" dxfId="208" priority="1" operator="equal">
      <formula>"DONE"</formula>
    </cfRule>
    <cfRule type="cellIs" dxfId="207" priority="2" operator="equal">
      <formula>"VERIFIED"</formula>
    </cfRule>
    <cfRule type="cellIs" dxfId="206" priority="3" operator="equal">
      <formula>"IN_PROGRESS"</formula>
    </cfRule>
    <cfRule type="cellIs" dxfId="205" priority="4" operator="equal">
      <formula>"IMPLEMENTED"</formula>
    </cfRule>
    <cfRule type="cellIs" dxfId="204" priority="5" operator="equal">
      <formula>"TESTING"</formula>
    </cfRule>
    <cfRule type="cellIs" dxfId="203" priority="6" operator="equal">
      <formula>"BLOCKED"</formula>
    </cfRule>
    <cfRule type="cellIs" dxfId="202" priority="7" operator="equal">
      <formula>"FAILED"</formula>
    </cfRule>
    <cfRule type="cellIs" dxfId="201" priority="8" operator="equal">
      <formula>"DEFERRED"</formula>
    </cfRule>
    <cfRule type="cellIs" dxfId="200" priority="9" operator="equal">
      <formula>"UNKNOWN"</formula>
    </cfRule>
    <cfRule type="cellIs" dxfId="199" priority="10" operator="equal">
      <formula>"PASS"</formula>
    </cfRule>
    <cfRule type="cellIs" dxfId="198" priority="11" operator="equal">
      <formula>"FAIL"</formula>
    </cfRule>
    <cfRule type="cellIs" dxfId="197" priority="12" operator="equal">
      <formula>"PARTIAL"</formula>
    </cfRule>
    <cfRule type="cellIs" dxfId="196" priority="13" operator="equal">
      <formula>"RESOLVED"</formula>
    </cfRule>
    <cfRule type="cellIs" dxfId="195" priority="14" operator="equal">
      <formula>"OPEN"</formula>
    </cfRule>
    <cfRule type="cellIs" dxfId="194" priority="15" operator="equal">
      <formula>"WITHIN"</formula>
    </cfRule>
    <cfRule type="cellIs" dxfId="193" priority="16" operator="equal">
      <formula>"OVER"</formula>
    </cfRule>
    <cfRule type="cellIs" dxfId="192" priority="17" operator="equal">
      <formula>"NOW"</formula>
    </cfRule>
    <cfRule type="cellIs" dxfId="191" priority="18" operator="equal">
      <formula>"NOT IN MASTER"</formula>
    </cfRule>
  </conditionalFormatting>
  <pageMargins left="0.75" right="0.75" top="1" bottom="1" header="0.5" footer="0.5"/>
  <pageSetup fitToHeight="0"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L16"/>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876</v>
      </c>
    </row>
    <row r="2" spans="1:12" x14ac:dyDescent="0.25">
      <c r="A2" s="4" t="s">
        <v>877</v>
      </c>
    </row>
    <row r="3" spans="1:12" x14ac:dyDescent="0.25">
      <c r="A3" s="6" t="s">
        <v>45</v>
      </c>
      <c r="B3" s="6" t="s">
        <v>46</v>
      </c>
      <c r="C3" s="6" t="s">
        <v>47</v>
      </c>
      <c r="D3" s="6" t="s">
        <v>13</v>
      </c>
      <c r="E3" s="6" t="s">
        <v>16</v>
      </c>
      <c r="F3" s="6" t="s">
        <v>19</v>
      </c>
      <c r="G3" s="6" t="s">
        <v>48</v>
      </c>
      <c r="H3" s="6" t="s">
        <v>33</v>
      </c>
    </row>
    <row r="4" spans="1:12" x14ac:dyDescent="0.25">
      <c r="A4" s="7">
        <f>COUNTIF(MASTER!$C$2:$C$2000,"AI")</f>
        <v>9</v>
      </c>
      <c r="B4" s="7">
        <f>COUNTIFS(MASTER!$C$2:$C$2000,"AI",MASTER!$G$2:$G$2000,"DONE")</f>
        <v>0</v>
      </c>
      <c r="C4" s="7">
        <f>COUNTIFS(MASTER!$C$2:$C$2000,"AI",MASTER!$G$2:$G$2000,"VERIFIED")+B4</f>
        <v>0</v>
      </c>
      <c r="D4" s="7">
        <f>COUNTIFS(MASTER!$C$2:$C$2000,"AI",MASTER!$G$2:$G$2000,"IN_PROGRESS")+COUNTIFS(MASTER!$C$2:$C$2000,"AI",MASTER!$G$2:$G$2000,"IMPLEMENTED")+COUNTIFS(MASTER!$C$2:$C$2000,"AI",MASTER!$G$2:$G$2000,"TESTING")</f>
        <v>1</v>
      </c>
      <c r="E4" s="7">
        <f>COUNTIFS(MASTER!$C$2:$C$2000,"AI",MASTER!$G$2:$G$2000,"BLOCKED")</f>
        <v>0</v>
      </c>
      <c r="F4" s="7">
        <f>COUNTIFS(MASTER!$C$2:$C$2000,"AI",MASTER!$G$2:$G$2000,"FAILED")</f>
        <v>0</v>
      </c>
      <c r="G4" s="9">
        <f>IF(A4=0,0,B4/A4)</f>
        <v>0</v>
      </c>
      <c r="H4" s="9">
        <f>IF(A4=0,0,C4/A4)</f>
        <v>0</v>
      </c>
    </row>
    <row r="6" spans="1:12" ht="15.75" x14ac:dyDescent="0.25">
      <c r="A6" s="5" t="s">
        <v>867</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383</v>
      </c>
      <c r="B8" s="12" t="str">
        <f>IFERROR(INDEX(MASTER!$C$2:$C$2000,MATCH($A8,MASTER!$A$2:$A$2000,0))&amp;"","")</f>
        <v>AI</v>
      </c>
      <c r="C8" s="16">
        <f>IFERROR(INDEX(MASTER!$B$2:$B$2000,MATCH($A8,MASTER!$A$2:$A$2000,0)),"")</f>
        <v>2</v>
      </c>
      <c r="D8" s="12" t="str">
        <f>IFERROR(INDEX(MASTER!$D$2:$D$2000,MATCH($A8,MASTER!$A$2:$A$2000,0))&amp;"","")</f>
        <v>Content fidelity comparator</v>
      </c>
      <c r="E8" s="12" t="str">
        <f>IFERROR(INDEX(MASTER!$F$2:$F$2000,MATCH($A8,MASTER!$A$2:$A$2000,0))&amp;"","")</f>
        <v>P0</v>
      </c>
      <c r="F8" s="12" t="str">
        <f>IFERROR(INDEX(MASTER!$G$2:$G$2000,MATCH($A8,MASTER!$A$2:$A$2000,0))&amp;"","NOT IN MASTER")</f>
        <v>IN_PROGRESS</v>
      </c>
      <c r="G8" s="12" t="str">
        <f>IFERROR(INDEX(MASTER!$H$2:$H$2000,MATCH($A8,MASTER!$A$2:$A$2000,0))&amp;"","")</f>
        <v/>
      </c>
      <c r="H8" s="12" t="str">
        <f>IFERROR(INDEX(MASTER!$I$2:$I$2000,MATCH($A8,MASTER!$A$2:$A$2000,0))&amp;"","")</f>
        <v/>
      </c>
      <c r="I8" s="19" t="str">
        <f>IFERROR(IF(INDEX(MASTER!$O$2:$O$2000,MATCH($A8,MASTER!$A$2:$A$2000,0))="","",INDEX(MASTER!$O$2:$O$2000,MATCH($A8,MASTER!$A$2:$A$2000,0))),"")</f>
        <v/>
      </c>
      <c r="J8" s="12" t="str">
        <f>IFERROR(INDEX(MASTER!$P$2:$P$2000,MATCH($A8,MASTER!$A$2:$A$2000,0))&amp;"","")</f>
        <v/>
      </c>
      <c r="K8" s="12" t="str">
        <f>IFERROR(INDEX(MASTER!$Q$2:$Q$2000,MATCH($A8,MASTER!$A$2:$A$2000,0))&amp;"","")</f>
        <v>compare_words (app/fidelity/content.py): order/count/token-aware, numbers and negation caught, moved passages told apart; used by the import report. Phase 2: punctuation/structure awareness, use inside structure analysis.</v>
      </c>
      <c r="L8" s="12" t="str">
        <f>IFERROR(INDEX(MASTER!$R$2:$R$2000,MATCH($A8,MASTER!$A$2:$A$2000,0))&amp;"","")</f>
        <v/>
      </c>
    </row>
    <row r="9" spans="1:12" x14ac:dyDescent="0.25">
      <c r="A9" s="15" t="s">
        <v>389</v>
      </c>
      <c r="B9" s="12" t="str">
        <f>IFERROR(INDEX(MASTER!$C$2:$C$2000,MATCH($A9,MASTER!$A$2:$A$2000,0))&amp;"","")</f>
        <v>AI</v>
      </c>
      <c r="C9" s="16">
        <f>IFERROR(INDEX(MASTER!$B$2:$B$2000,MATCH($A9,MASTER!$A$2:$A$2000,0)),"")</f>
        <v>2</v>
      </c>
      <c r="D9" s="12" t="str">
        <f>IFERROR(INDEX(MASTER!$D$2:$D$2000,MATCH($A9,MASTER!$A$2:$A$2000,0))&amp;"","")</f>
        <v>Protected facts: numbers, units, percentages, dates, identifiers</v>
      </c>
      <c r="E9" s="12" t="str">
        <f>IFERROR(INDEX(MASTER!$F$2:$F$2000,MATCH($A9,MASTER!$A$2:$A$2000,0))&amp;"","")</f>
        <v>P0</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AI-001</v>
      </c>
    </row>
    <row r="10" spans="1:12" x14ac:dyDescent="0.25">
      <c r="A10" s="15" t="s">
        <v>392</v>
      </c>
      <c r="B10" s="12" t="str">
        <f>IFERROR(INDEX(MASTER!$C$2:$C$2000,MATCH($A10,MASTER!$A$2:$A$2000,0))&amp;"","")</f>
        <v>AI</v>
      </c>
      <c r="C10" s="16">
        <f>IFERROR(INDEX(MASTER!$B$2:$B$2000,MATCH($A10,MASTER!$A$2:$A$2000,0)),"")</f>
        <v>2</v>
      </c>
      <c r="D10" s="12" t="str">
        <f>IFERROR(INDEX(MASTER!$D$2:$D$2000,MATCH($A10,MASTER!$A$2:$A$2000,0))&amp;"","")</f>
        <v>Structure analysis uses the comparator</v>
      </c>
      <c r="E10" s="12" t="str">
        <f>IFERROR(INDEX(MASTER!$F$2:$F$2000,MATCH($A10,MASTER!$A$2:$A$2000,0))&amp;"","")</f>
        <v>P0</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AI-001</v>
      </c>
    </row>
    <row r="11" spans="1:12" x14ac:dyDescent="0.25">
      <c r="A11" s="15" t="s">
        <v>395</v>
      </c>
      <c r="B11" s="12" t="str">
        <f>IFERROR(INDEX(MASTER!$C$2:$C$2000,MATCH($A11,MASTER!$A$2:$A$2000,0))&amp;"","")</f>
        <v>AI</v>
      </c>
      <c r="C11" s="16">
        <f>IFERROR(INDEX(MASTER!$B$2:$B$2000,MATCH($A11,MASTER!$A$2:$A$2000,0)),"")</f>
        <v>2</v>
      </c>
      <c r="D11" s="12" t="str">
        <f>IFERROR(INDEX(MASTER!$D$2:$D$2000,MATCH($A11,MASTER!$A$2:$A$2000,0))&amp;"","")</f>
        <v>Adversarial fidelity tests</v>
      </c>
      <c r="E11" s="12" t="str">
        <f>IFERROR(INDEX(MASTER!$F$2:$F$2000,MATCH($A11,MASTER!$A$2:$A$2000,0))&amp;"","")</f>
        <v>P0</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AI-001</v>
      </c>
    </row>
    <row r="12" spans="1:12" x14ac:dyDescent="0.25">
      <c r="A12" s="15" t="s">
        <v>398</v>
      </c>
      <c r="B12" s="12" t="str">
        <f>IFERROR(INDEX(MASTER!$C$2:$C$2000,MATCH($A12,MASTER!$A$2:$A$2000,0))&amp;"","")</f>
        <v>AI</v>
      </c>
      <c r="C12" s="16">
        <f>IFERROR(INDEX(MASTER!$B$2:$B$2000,MATCH($A12,MASTER!$A$2:$A$2000,0)),"")</f>
        <v>2</v>
      </c>
      <c r="D12" s="12" t="str">
        <f>IFERROR(INDEX(MASTER!$D$2:$D$2000,MATCH($A12,MASTER!$A$2:$A$2000,0))&amp;"","")</f>
        <v>Classify AI operations</v>
      </c>
      <c r="E12" s="12" t="str">
        <f>IFERROR(INDEX(MASTER!$F$2:$F$2000,MATCH($A12,MASTER!$A$2:$A$2000,0))&amp;"","")</f>
        <v>P0</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402</v>
      </c>
      <c r="B13" s="12" t="str">
        <f>IFERROR(INDEX(MASTER!$C$2:$C$2000,MATCH($A13,MASTER!$A$2:$A$2000,0))&amp;"","")</f>
        <v>AI</v>
      </c>
      <c r="C13" s="16">
        <f>IFERROR(INDEX(MASTER!$B$2:$B$2000,MATCH($A13,MASTER!$A$2:$A$2000,0)),"")</f>
        <v>2</v>
      </c>
      <c r="D13" s="12" t="str">
        <f>IFERROR(INDEX(MASTER!$D$2:$D$2000,MATCH($A13,MASTER!$A$2:$A$2000,0))&amp;"","")</f>
        <v>PLAN -&gt; VALIDATE -&gt; PREVIEW -&gt; ACCEPT -&gt; APPLY</v>
      </c>
      <c r="E13" s="12" t="str">
        <f>IFERROR(INDEX(MASTER!$F$2:$F$2000,MATCH($A13,MASTER!$A$2:$A$2000,0))&amp;"","")</f>
        <v>P0</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AI-005</v>
      </c>
    </row>
    <row r="14" spans="1:12" x14ac:dyDescent="0.25">
      <c r="A14" s="15" t="s">
        <v>407</v>
      </c>
      <c r="B14" s="12" t="str">
        <f>IFERROR(INDEX(MASTER!$C$2:$C$2000,MATCH($A14,MASTER!$A$2:$A$2000,0))&amp;"","")</f>
        <v>AI</v>
      </c>
      <c r="C14" s="16">
        <f>IFERROR(INDEX(MASTER!$B$2:$B$2000,MATCH($A14,MASTER!$A$2:$A$2000,0)),"")</f>
        <v>2</v>
      </c>
      <c r="D14" s="12" t="str">
        <f>IFERROR(INDEX(MASTER!$D$2:$D$2000,MATCH($A14,MASTER!$A$2:$A$2000,0))&amp;"","")</f>
        <v>Proposal review UI</v>
      </c>
      <c r="E14" s="12" t="str">
        <f>IFERROR(INDEX(MASTER!$F$2:$F$2000,MATCH($A14,MASTER!$A$2:$A$2000,0))&amp;"","")</f>
        <v>P0</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AI-006</v>
      </c>
    </row>
    <row r="15" spans="1:12" x14ac:dyDescent="0.25">
      <c r="A15" s="15" t="s">
        <v>410</v>
      </c>
      <c r="B15" s="12" t="str">
        <f>IFERROR(INDEX(MASTER!$C$2:$C$2000,MATCH($A15,MASTER!$A$2:$A$2000,0))&amp;"","")</f>
        <v>AI</v>
      </c>
      <c r="C15" s="16">
        <f>IFERROR(INDEX(MASTER!$B$2:$B$2000,MATCH($A15,MASTER!$A$2:$A$2000,0)),"")</f>
        <v>2</v>
      </c>
      <c r="D15" s="12" t="str">
        <f>IFERROR(INDEX(MASTER!$D$2:$D$2000,MATCH($A15,MASTER!$A$2:$A$2000,0))&amp;"","")</f>
        <v>Per-document AI budget and deadline</v>
      </c>
      <c r="E15" s="12" t="str">
        <f>IFERROR(INDEX(MASTER!$F$2:$F$2000,MATCH($A15,MASTER!$A$2:$A$2000,0))&amp;"","")</f>
        <v>P1</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413</v>
      </c>
      <c r="B16" s="12" t="str">
        <f>IFERROR(INDEX(MASTER!$C$2:$C$2000,MATCH($A16,MASTER!$A$2:$A$2000,0))&amp;"","")</f>
        <v>AI</v>
      </c>
      <c r="C16" s="16">
        <f>IFERROR(INDEX(MASTER!$B$2:$B$2000,MATCH($A16,MASTER!$A$2:$A$2000,0)),"")</f>
        <v>2</v>
      </c>
      <c r="D16" s="12" t="str">
        <f>IFERROR(INDEX(MASTER!$D$2:$D$2000,MATCH($A16,MASTER!$A$2:$A$2000,0))&amp;"","")</f>
        <v>Prompt-injection hardening review</v>
      </c>
      <c r="E16" s="12" t="str">
        <f>IFERROR(INDEX(MASTER!$F$2:$F$2000,MATCH($A16,MASTER!$A$2:$A$2000,0))&amp;"","")</f>
        <v>P1</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sheetData>
  <autoFilter ref="A7:L16" xr:uid="{00000000-0009-0000-0000-000008000000}"/>
  <conditionalFormatting sqref="E8:E16">
    <cfRule type="cellIs" dxfId="190" priority="19" operator="equal">
      <formula>"P0"</formula>
    </cfRule>
    <cfRule type="cellIs" dxfId="189" priority="20" operator="equal">
      <formula>"P1"</formula>
    </cfRule>
  </conditionalFormatting>
  <conditionalFormatting sqref="F8:F16">
    <cfRule type="cellIs" dxfId="188" priority="1" operator="equal">
      <formula>"DONE"</formula>
    </cfRule>
    <cfRule type="cellIs" dxfId="187" priority="2" operator="equal">
      <formula>"VERIFIED"</formula>
    </cfRule>
    <cfRule type="cellIs" dxfId="186" priority="3" operator="equal">
      <formula>"IN_PROGRESS"</formula>
    </cfRule>
    <cfRule type="cellIs" dxfId="185" priority="4" operator="equal">
      <formula>"IMPLEMENTED"</formula>
    </cfRule>
    <cfRule type="cellIs" dxfId="184" priority="5" operator="equal">
      <formula>"TESTING"</formula>
    </cfRule>
    <cfRule type="cellIs" dxfId="183" priority="6" operator="equal">
      <formula>"BLOCKED"</formula>
    </cfRule>
    <cfRule type="cellIs" dxfId="182" priority="7" operator="equal">
      <formula>"FAILED"</formula>
    </cfRule>
    <cfRule type="cellIs" dxfId="181" priority="8" operator="equal">
      <formula>"DEFERRED"</formula>
    </cfRule>
    <cfRule type="cellIs" dxfId="180" priority="9" operator="equal">
      <formula>"UNKNOWN"</formula>
    </cfRule>
    <cfRule type="cellIs" dxfId="179" priority="10" operator="equal">
      <formula>"PASS"</formula>
    </cfRule>
    <cfRule type="cellIs" dxfId="178" priority="11" operator="equal">
      <formula>"FAIL"</formula>
    </cfRule>
    <cfRule type="cellIs" dxfId="177" priority="12" operator="equal">
      <formula>"PARTIAL"</formula>
    </cfRule>
    <cfRule type="cellIs" dxfId="176" priority="13" operator="equal">
      <formula>"RESOLVED"</formula>
    </cfRule>
    <cfRule type="cellIs" dxfId="175" priority="14" operator="equal">
      <formula>"OPEN"</formula>
    </cfRule>
    <cfRule type="cellIs" dxfId="174" priority="15" operator="equal">
      <formula>"WITHIN"</formula>
    </cfRule>
    <cfRule type="cellIs" dxfId="173" priority="16" operator="equal">
      <formula>"OVER"</formula>
    </cfRule>
    <cfRule type="cellIs" dxfId="172" priority="17" operator="equal">
      <formula>"NOW"</formula>
    </cfRule>
    <cfRule type="cellIs" dxfId="171" priority="18" operator="equal">
      <formula>"NOT IN MASTER"</formula>
    </cfRule>
  </conditionalFormatting>
  <pageMargins left="0.75" right="0.75" top="1" bottom="1" header="0.5" footer="0.5"/>
  <pageSetup fitToHeight="0"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L27"/>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878</v>
      </c>
    </row>
    <row r="2" spans="1:12" x14ac:dyDescent="0.25">
      <c r="A2" s="4" t="s">
        <v>879</v>
      </c>
    </row>
    <row r="3" spans="1:12" x14ac:dyDescent="0.25">
      <c r="A3" s="6" t="s">
        <v>45</v>
      </c>
      <c r="B3" s="6" t="s">
        <v>46</v>
      </c>
      <c r="C3" s="6" t="s">
        <v>47</v>
      </c>
      <c r="D3" s="6" t="s">
        <v>13</v>
      </c>
      <c r="E3" s="6" t="s">
        <v>16</v>
      </c>
      <c r="F3" s="6" t="s">
        <v>19</v>
      </c>
      <c r="G3" s="6" t="s">
        <v>48</v>
      </c>
      <c r="H3" s="6" t="s">
        <v>33</v>
      </c>
    </row>
    <row r="4" spans="1:12" x14ac:dyDescent="0.25">
      <c r="A4" s="7">
        <f>COUNTIF(MASTER!$C$2:$C$2000,"SECURITY")+COUNTIF(MASTER!$C$2:$C$2000,"ACCOUNT")</f>
        <v>20</v>
      </c>
      <c r="B4" s="7">
        <f>COUNTIFS(MASTER!$C$2:$C$2000,"SECURITY",MASTER!$G$2:$G$2000,"DONE")+COUNTIFS(MASTER!$C$2:$C$2000,"ACCOUNT",MASTER!$G$2:$G$2000,"DONE")</f>
        <v>1</v>
      </c>
      <c r="C4" s="7">
        <f>COUNTIFS(MASTER!$C$2:$C$2000,"SECURITY",MASTER!$G$2:$G$2000,"VERIFIED")+COUNTIFS(MASTER!$C$2:$C$2000,"ACCOUNT",MASTER!$G$2:$G$2000,"VERIFIED")+B4</f>
        <v>1</v>
      </c>
      <c r="D4" s="7">
        <f>COUNTIFS(MASTER!$C$2:$C$2000,"SECURITY",MASTER!$G$2:$G$2000,"IN_PROGRESS")+COUNTIFS(MASTER!$C$2:$C$2000,"SECURITY",MASTER!$G$2:$G$2000,"IMPLEMENTED")+COUNTIFS(MASTER!$C$2:$C$2000,"SECURITY",MASTER!$G$2:$G$2000,"TESTING")+COUNTIFS(MASTER!$C$2:$C$2000,"ACCOUNT",MASTER!$G$2:$G$2000,"IN_PROGRESS")+COUNTIFS(MASTER!$C$2:$C$2000,"ACCOUNT",MASTER!$G$2:$G$2000,"IMPLEMENTED")+COUNTIFS(MASTER!$C$2:$C$2000,"ACCOUNT",MASTER!$G$2:$G$2000,"TESTING")</f>
        <v>0</v>
      </c>
      <c r="E4" s="7">
        <f>COUNTIFS(MASTER!$C$2:$C$2000,"SECURITY",MASTER!$G$2:$G$2000,"BLOCKED")+COUNTIFS(MASTER!$C$2:$C$2000,"ACCOUNT",MASTER!$G$2:$G$2000,"BLOCKED")</f>
        <v>1</v>
      </c>
      <c r="F4" s="7">
        <f>COUNTIFS(MASTER!$C$2:$C$2000,"SECURITY",MASTER!$G$2:$G$2000,"FAILED")+COUNTIFS(MASTER!$C$2:$C$2000,"ACCOUNT",MASTER!$G$2:$G$2000,"FAILED")</f>
        <v>0</v>
      </c>
      <c r="G4" s="9">
        <f>IF(A4=0,0,B4/A4)</f>
        <v>0.05</v>
      </c>
      <c r="H4" s="9">
        <f>IF(A4=0,0,C4/A4)</f>
        <v>0.05</v>
      </c>
    </row>
    <row r="6" spans="1:12" ht="15.75" x14ac:dyDescent="0.25">
      <c r="A6" s="5" t="s">
        <v>867</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223</v>
      </c>
      <c r="B8" s="12" t="str">
        <f>IFERROR(INDEX(MASTER!$C$2:$C$2000,MATCH($A8,MASTER!$A$2:$A$2000,0))&amp;"","")</f>
        <v>SECURITY</v>
      </c>
      <c r="C8" s="16">
        <f>IFERROR(INDEX(MASTER!$B$2:$B$2000,MATCH($A8,MASTER!$A$2:$A$2000,0)),"")</f>
        <v>0</v>
      </c>
      <c r="D8" s="12" t="str">
        <f>IFERROR(INDEX(MASTER!$D$2:$D$2000,MATCH($A8,MASTER!$A$2:$A$2000,0))&amp;"","")</f>
        <v>Baseline: dependency audit</v>
      </c>
      <c r="E8" s="12" t="str">
        <f>IFERROR(INDEX(MASTER!$F$2:$F$2000,MATCH($A8,MASTER!$A$2:$A$2000,0))&amp;"","")</f>
        <v>P1</v>
      </c>
      <c r="F8" s="12" t="str">
        <f>IFERROR(INDEX(MASTER!$G$2:$G$2000,MATCH($A8,MASTER!$A$2:$A$2000,0))&amp;"","NOT IN MASTER")</f>
        <v>DONE</v>
      </c>
      <c r="G8" s="12" t="str">
        <f>IFERROR(INDEX(MASTER!$H$2:$H$2000,MATCH($A8,MASTER!$A$2:$A$2000,0))&amp;"","")</f>
        <v>docs/architecture/current-baseline.md; TESTING RUN-0009, RUN-0010</v>
      </c>
      <c r="H8" s="12" t="str">
        <f>IFERROR(INDEX(MASTER!$I$2:$I$2000,MATCH($A8,MASTER!$A$2:$A$2000,0))&amp;"","")</f>
        <v>pip-audit (both locks): no known vulnerabilities; npm audit: 0 of 633 dependencies</v>
      </c>
      <c r="I8" s="19">
        <f>IFERROR(IF(INDEX(MASTER!$O$2:$O$2000,MATCH($A8,MASTER!$A$2:$A$2000,0))="","",INDEX(MASTER!$O$2:$O$2000,MATCH($A8,MASTER!$A$2:$A$2000,0))),"")</f>
        <v>46292.171689814822</v>
      </c>
      <c r="J8" s="12" t="str">
        <f>IFERROR(INDEX(MASTER!$P$2:$P$2000,MATCH($A8,MASTER!$A$2:$A$2000,0))&amp;"","")</f>
        <v>4da4ecb</v>
      </c>
      <c r="K8" s="12" t="str">
        <f>IFERROR(INDEX(MASTER!$Q$2:$Q$2000,MATCH($A8,MASTER!$A$2:$A$2000,0))&amp;"","")</f>
        <v/>
      </c>
      <c r="L8" s="12" t="str">
        <f>IFERROR(INDEX(MASTER!$R$2:$R$2000,MATCH($A8,MASTER!$A$2:$A$2000,0))&amp;"","")</f>
        <v/>
      </c>
    </row>
    <row r="9" spans="1:12" x14ac:dyDescent="0.25">
      <c r="A9" s="15" t="s">
        <v>506</v>
      </c>
      <c r="B9" s="12" t="str">
        <f>IFERROR(INDEX(MASTER!$C$2:$C$2000,MATCH($A9,MASTER!$A$2:$A$2000,0))&amp;"","")</f>
        <v>SECURITY</v>
      </c>
      <c r="C9" s="16">
        <f>IFERROR(INDEX(MASTER!$B$2:$B$2000,MATCH($A9,MASTER!$A$2:$A$2000,0)),"")</f>
        <v>4</v>
      </c>
      <c r="D9" s="12" t="str">
        <f>IFERROR(INDEX(MASTER!$D$2:$D$2000,MATCH($A9,MASTER!$A$2:$A$2000,0))&amp;"","")</f>
        <v>Malformed DOCX -&gt; safe 4xx</v>
      </c>
      <c r="E9" s="12" t="str">
        <f>IFERROR(INDEX(MASTER!$F$2:$F$2000,MATCH($A9,MASTER!$A$2:$A$2000,0))&amp;"","")</f>
        <v>P0</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510</v>
      </c>
      <c r="B10" s="12" t="str">
        <f>IFERROR(INDEX(MASTER!$C$2:$C$2000,MATCH($A10,MASTER!$A$2:$A$2000,0))&amp;"","")</f>
        <v>SECURITY</v>
      </c>
      <c r="C10" s="16">
        <f>IFERROR(INDEX(MASTER!$B$2:$B$2000,MATCH($A10,MASTER!$A$2:$A$2000,0)),"")</f>
        <v>4</v>
      </c>
      <c r="D10" s="12" t="str">
        <f>IFERROR(INDEX(MASTER!$D$2:$D$2000,MATCH($A10,MASTER!$A$2:$A$2000,0))&amp;"","")</f>
        <v>Malformed PDF -&gt; safe 4xx</v>
      </c>
      <c r="E10" s="12" t="str">
        <f>IFERROR(INDEX(MASTER!$F$2:$F$2000,MATCH($A10,MASTER!$A$2:$A$2000,0))&amp;"","")</f>
        <v>P0</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513</v>
      </c>
      <c r="B11" s="12" t="str">
        <f>IFERROR(INDEX(MASTER!$C$2:$C$2000,MATCH($A11,MASTER!$A$2:$A$2000,0))&amp;"","")</f>
        <v>SECURITY</v>
      </c>
      <c r="C11" s="16">
        <f>IFERROR(INDEX(MASTER!$B$2:$B$2000,MATCH($A11,MASTER!$A$2:$A$2000,0)),"")</f>
        <v>4</v>
      </c>
      <c r="D11" s="12" t="str">
        <f>IFERROR(INDEX(MASTER!$D$2:$D$2000,MATCH($A11,MASTER!$A$2:$A$2000,0))&amp;"","")</f>
        <v>Image resource limits</v>
      </c>
      <c r="E11" s="12" t="str">
        <f>IFERROR(INDEX(MASTER!$F$2:$F$2000,MATCH($A11,MASTER!$A$2:$A$2000,0))&amp;"","")</f>
        <v>P0</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518</v>
      </c>
      <c r="B12" s="12" t="str">
        <f>IFERROR(INDEX(MASTER!$C$2:$C$2000,MATCH($A12,MASTER!$A$2:$A$2000,0))&amp;"","")</f>
        <v>SECURITY</v>
      </c>
      <c r="C12" s="16">
        <f>IFERROR(INDEX(MASTER!$B$2:$B$2000,MATCH($A12,MASTER!$A$2:$A$2000,0)),"")</f>
        <v>4</v>
      </c>
      <c r="D12" s="12" t="str">
        <f>IFERROR(INDEX(MASTER!$D$2:$D$2000,MATCH($A12,MASTER!$A$2:$A$2000,0))&amp;"","")</f>
        <v>PDF bombs, huge XML, decompression limits</v>
      </c>
      <c r="E12" s="12" t="str">
        <f>IFERROR(INDEX(MASTER!$F$2:$F$2000,MATCH($A12,MASTER!$A$2:$A$2000,0))&amp;"","")</f>
        <v>P1</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521</v>
      </c>
      <c r="B13" s="12" t="str">
        <f>IFERROR(INDEX(MASTER!$C$2:$C$2000,MATCH($A13,MASTER!$A$2:$A$2000,0))&amp;"","")</f>
        <v>SECURITY</v>
      </c>
      <c r="C13" s="16">
        <f>IFERROR(INDEX(MASTER!$B$2:$B$2000,MATCH($A13,MASTER!$A$2:$A$2000,0)),"")</f>
        <v>4</v>
      </c>
      <c r="D13" s="12" t="str">
        <f>IFERROR(INDEX(MASTER!$D$2:$D$2000,MATCH($A13,MASTER!$A$2:$A$2000,0))&amp;"","")</f>
        <v>Href policy</v>
      </c>
      <c r="E13" s="12" t="str">
        <f>IFERROR(INDEX(MASTER!$F$2:$F$2000,MATCH($A13,MASTER!$A$2:$A$2000,0))&amp;"","")</f>
        <v>P0</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526</v>
      </c>
      <c r="B14" s="12" t="str">
        <f>IFERROR(INDEX(MASTER!$C$2:$C$2000,MATCH($A14,MASTER!$A$2:$A$2000,0))&amp;"","")</f>
        <v>SECURITY</v>
      </c>
      <c r="C14" s="16">
        <f>IFERROR(INDEX(MASTER!$B$2:$B$2000,MATCH($A14,MASTER!$A$2:$A$2000,0)),"")</f>
        <v>4</v>
      </c>
      <c r="D14" s="12" t="str">
        <f>IFERROR(INDEX(MASTER!$D$2:$D$2000,MATCH($A14,MASTER!$A$2:$A$2000,0))&amp;"","")</f>
        <v>Field instruction allowlist</v>
      </c>
      <c r="E14" s="12" t="str">
        <f>IFERROR(INDEX(MASTER!$F$2:$F$2000,MATCH($A14,MASTER!$A$2:$A$2000,0))&amp;"","")</f>
        <v>P0</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529</v>
      </c>
      <c r="B15" s="12" t="str">
        <f>IFERROR(INDEX(MASTER!$C$2:$C$2000,MATCH($A15,MASTER!$A$2:$A$2000,0))&amp;"","")</f>
        <v>SECURITY</v>
      </c>
      <c r="C15" s="16">
        <f>IFERROR(INDEX(MASTER!$B$2:$B$2000,MATCH($A15,MASTER!$A$2:$A$2000,0)),"")</f>
        <v>4</v>
      </c>
      <c r="D15" s="12" t="str">
        <f>IFERROR(INDEX(MASTER!$D$2:$D$2000,MATCH($A15,MASTER!$A$2:$A$2000,0))&amp;"","")</f>
        <v>External relationships policy</v>
      </c>
      <c r="E15" s="12" t="str">
        <f>IFERROR(INDEX(MASTER!$F$2:$F$2000,MATCH($A15,MASTER!$A$2:$A$2000,0))&amp;"","")</f>
        <v>P1</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532</v>
      </c>
      <c r="B16" s="12" t="str">
        <f>IFERROR(INDEX(MASTER!$C$2:$C$2000,MATCH($A16,MASTER!$A$2:$A$2000,0))&amp;"","")</f>
        <v>SECURITY</v>
      </c>
      <c r="C16" s="16">
        <f>IFERROR(INDEX(MASTER!$B$2:$B$2000,MATCH($A16,MASTER!$A$2:$A$2000,0)),"")</f>
        <v>4</v>
      </c>
      <c r="D16" s="12" t="str">
        <f>IFERROR(INDEX(MASTER!$D$2:$D$2000,MATCH($A16,MASTER!$A$2:$A$2000,0))&amp;"","")</f>
        <v>Malicious SVG</v>
      </c>
      <c r="E16" s="12" t="str">
        <f>IFERROR(INDEX(MASTER!$F$2:$F$2000,MATCH($A16,MASTER!$A$2:$A$2000,0))&amp;"","")</f>
        <v>P1</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row r="17" spans="1:12" x14ac:dyDescent="0.25">
      <c r="A17" s="15" t="s">
        <v>535</v>
      </c>
      <c r="B17" s="12" t="str">
        <f>IFERROR(INDEX(MASTER!$C$2:$C$2000,MATCH($A17,MASTER!$A$2:$A$2000,0))&amp;"","")</f>
        <v>SECURITY</v>
      </c>
      <c r="C17" s="16">
        <f>IFERROR(INDEX(MASTER!$B$2:$B$2000,MATCH($A17,MASTER!$A$2:$A$2000,0)),"")</f>
        <v>4</v>
      </c>
      <c r="D17" s="12" t="str">
        <f>IFERROR(INDEX(MASTER!$D$2:$D$2000,MATCH($A17,MASTER!$A$2:$A$2000,0))&amp;"","")</f>
        <v>Prompt injection / AI output abuse</v>
      </c>
      <c r="E17" s="12" t="str">
        <f>IFERROR(INDEX(MASTER!$F$2:$F$2000,MATCH($A17,MASTER!$A$2:$A$2000,0))&amp;"","")</f>
        <v>P1</v>
      </c>
      <c r="F17" s="12" t="str">
        <f>IFERROR(INDEX(MASTER!$G$2:$G$2000,MATCH($A17,MASTER!$A$2:$A$2000,0))&amp;"","NOT IN MASTER")</f>
        <v>NOT_STARTED</v>
      </c>
      <c r="G17" s="12" t="str">
        <f>IFERROR(INDEX(MASTER!$H$2:$H$2000,MATCH($A17,MASTER!$A$2:$A$2000,0))&amp;"","")</f>
        <v/>
      </c>
      <c r="H17" s="12" t="str">
        <f>IFERROR(INDEX(MASTER!$I$2:$I$2000,MATCH($A17,MASTER!$A$2:$A$2000,0))&amp;"","")</f>
        <v/>
      </c>
      <c r="I17" s="19" t="str">
        <f>IFERROR(IF(INDEX(MASTER!$O$2:$O$2000,MATCH($A17,MASTER!$A$2:$A$2000,0))="","",INDEX(MASTER!$O$2:$O$2000,MATCH($A17,MASTER!$A$2:$A$2000,0))),"")</f>
        <v/>
      </c>
      <c r="J17" s="12" t="str">
        <f>IFERROR(INDEX(MASTER!$P$2:$P$2000,MATCH($A17,MASTER!$A$2:$A$2000,0))&amp;"","")</f>
        <v/>
      </c>
      <c r="K17" s="12" t="str">
        <f>IFERROR(INDEX(MASTER!$Q$2:$Q$2000,MATCH($A17,MASTER!$A$2:$A$2000,0))&amp;"","")</f>
        <v/>
      </c>
      <c r="L17" s="12" t="str">
        <f>IFERROR(INDEX(MASTER!$R$2:$R$2000,MATCH($A17,MASTER!$A$2:$A$2000,0))&amp;"","")</f>
        <v/>
      </c>
    </row>
    <row r="18" spans="1:12" x14ac:dyDescent="0.25">
      <c r="A18" s="15" t="s">
        <v>538</v>
      </c>
      <c r="B18" s="12" t="str">
        <f>IFERROR(INDEX(MASTER!$C$2:$C$2000,MATCH($A18,MASTER!$A$2:$A$2000,0))&amp;"","")</f>
        <v>SECURITY</v>
      </c>
      <c r="C18" s="16">
        <f>IFERROR(INDEX(MASTER!$B$2:$B$2000,MATCH($A18,MASTER!$A$2:$A$2000,0)),"")</f>
        <v>4</v>
      </c>
      <c r="D18" s="12" t="str">
        <f>IFERROR(INDEX(MASTER!$D$2:$D$2000,MATCH($A18,MASTER!$A$2:$A$2000,0))&amp;"","")</f>
        <v>Error envelope audit</v>
      </c>
      <c r="E18" s="12" t="str">
        <f>IFERROR(INDEX(MASTER!$F$2:$F$2000,MATCH($A18,MASTER!$A$2:$A$2000,0))&amp;"","")</f>
        <v>P1</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
      </c>
    </row>
    <row r="19" spans="1:12" x14ac:dyDescent="0.25">
      <c r="A19" s="15" t="s">
        <v>542</v>
      </c>
      <c r="B19" s="12" t="str">
        <f>IFERROR(INDEX(MASTER!$C$2:$C$2000,MATCH($A19,MASTER!$A$2:$A$2000,0))&amp;"","")</f>
        <v>SECURITY</v>
      </c>
      <c r="C19" s="16">
        <f>IFERROR(INDEX(MASTER!$B$2:$B$2000,MATCH($A19,MASTER!$A$2:$A$2000,0)),"")</f>
        <v>4</v>
      </c>
      <c r="D19" s="12" t="str">
        <f>IFERROR(INDEX(MASTER!$D$2:$D$2000,MATCH($A19,MASTER!$A$2:$A$2000,0))&amp;"","")</f>
        <v>CSP without 'unsafe-inline' scripts</v>
      </c>
      <c r="E19" s="12" t="str">
        <f>IFERROR(INDEX(MASTER!$F$2:$F$2000,MATCH($A19,MASTER!$A$2:$A$2000,0))&amp;"","")</f>
        <v>P2</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
      </c>
      <c r="L19" s="12" t="str">
        <f>IFERROR(INDEX(MASTER!$R$2:$R$2000,MATCH($A19,MASTER!$A$2:$A$2000,0))&amp;"","")</f>
        <v/>
      </c>
    </row>
    <row r="20" spans="1:12" x14ac:dyDescent="0.25">
      <c r="A20" s="15" t="s">
        <v>550</v>
      </c>
      <c r="B20" s="12" t="str">
        <f>IFERROR(INDEX(MASTER!$C$2:$C$2000,MATCH($A20,MASTER!$A$2:$A$2000,0))&amp;"","")</f>
        <v>SECURITY</v>
      </c>
      <c r="C20" s="16">
        <f>IFERROR(INDEX(MASTER!$B$2:$B$2000,MATCH($A20,MASTER!$A$2:$A$2000,0)),"")</f>
        <v>4</v>
      </c>
      <c r="D20" s="12" t="str">
        <f>IFERROR(INDEX(MASTER!$D$2:$D$2000,MATCH($A20,MASTER!$A$2:$A$2000,0))&amp;"","")</f>
        <v>Sensitivity-label metadata in the public repository</v>
      </c>
      <c r="E20" s="12" t="str">
        <f>IFERROR(INDEX(MASTER!$F$2:$F$2000,MATCH($A20,MASTER!$A$2:$A$2000,0))&amp;"","")</f>
        <v>P2</v>
      </c>
      <c r="F20" s="12" t="str">
        <f>IFERROR(INDEX(MASTER!$G$2:$G$2000,MATCH($A20,MASTER!$A$2:$A$2000,0))&amp;"","NOT IN MASTER")</f>
        <v>BLOCKED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Needs Boril: the choice involves his organisation's label and possibly rewriting pushed history. The tracker tools now strip MSIP labels on every write; the pre-push scan flags them.</v>
      </c>
      <c r="L20" s="12" t="str">
        <f>IFERROR(INDEX(MASTER!$R$2:$R$2000,MATCH($A20,MASTER!$A$2:$A$2000,0))&amp;"","")</f>
        <v/>
      </c>
    </row>
    <row r="21" spans="1:12" x14ac:dyDescent="0.25">
      <c r="A21" s="15" t="s">
        <v>582</v>
      </c>
      <c r="B21" s="12" t="str">
        <f>IFERROR(INDEX(MASTER!$C$2:$C$2000,MATCH($A21,MASTER!$A$2:$A$2000,0))&amp;"","")</f>
        <v>ACCOUNT</v>
      </c>
      <c r="C21" s="16">
        <f>IFERROR(INDEX(MASTER!$B$2:$B$2000,MATCH($A21,MASTER!$A$2:$A$2000,0)),"")</f>
        <v>6</v>
      </c>
      <c r="D21" s="12" t="str">
        <f>IFERROR(INDEX(MASTER!$D$2:$D$2000,MATCH($A21,MASTER!$A$2:$A$2000,0))&amp;"","")</f>
        <v>E-mail sender abstraction</v>
      </c>
      <c r="E21" s="12" t="str">
        <f>IFERROR(INDEX(MASTER!$F$2:$F$2000,MATCH($A21,MASTER!$A$2:$A$2000,0))&amp;"","")</f>
        <v>P0</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
      </c>
    </row>
    <row r="22" spans="1:12" x14ac:dyDescent="0.25">
      <c r="A22" s="15" t="s">
        <v>586</v>
      </c>
      <c r="B22" s="12" t="str">
        <f>IFERROR(INDEX(MASTER!$C$2:$C$2000,MATCH($A22,MASTER!$A$2:$A$2000,0))&amp;"","")</f>
        <v>ACCOUNT</v>
      </c>
      <c r="C22" s="16">
        <f>IFERROR(INDEX(MASTER!$B$2:$B$2000,MATCH($A22,MASTER!$A$2:$A$2000,0)),"")</f>
        <v>6</v>
      </c>
      <c r="D22" s="12" t="str">
        <f>IFERROR(INDEX(MASTER!$D$2:$D$2000,MATCH($A22,MASTER!$A$2:$A$2000,0))&amp;"","")</f>
        <v>Password reset</v>
      </c>
      <c r="E22" s="12" t="str">
        <f>IFERROR(INDEX(MASTER!$F$2:$F$2000,MATCH($A22,MASTER!$A$2:$A$2000,0))&amp;"","")</f>
        <v>P0</v>
      </c>
      <c r="F22" s="12" t="str">
        <f>IFERROR(INDEX(MASTER!$G$2:$G$2000,MATCH($A22,MASTER!$A$2:$A$2000,0))&amp;"","NOT IN MASTER")</f>
        <v>NOT_STARTED</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
      </c>
      <c r="L22" s="12" t="str">
        <f>IFERROR(INDEX(MASTER!$R$2:$R$2000,MATCH($A22,MASTER!$A$2:$A$2000,0))&amp;"","")</f>
        <v/>
      </c>
    </row>
    <row r="23" spans="1:12" x14ac:dyDescent="0.25">
      <c r="A23" s="15" t="s">
        <v>590</v>
      </c>
      <c r="B23" s="12" t="str">
        <f>IFERROR(INDEX(MASTER!$C$2:$C$2000,MATCH($A23,MASTER!$A$2:$A$2000,0))&amp;"","")</f>
        <v>ACCOUNT</v>
      </c>
      <c r="C23" s="16">
        <f>IFERROR(INDEX(MASTER!$B$2:$B$2000,MATCH($A23,MASTER!$A$2:$A$2000,0)),"")</f>
        <v>6</v>
      </c>
      <c r="D23" s="12" t="str">
        <f>IFERROR(INDEX(MASTER!$D$2:$D$2000,MATCH($A23,MASTER!$A$2:$A$2000,0))&amp;"","")</f>
        <v>E-mail verification</v>
      </c>
      <c r="E23" s="12" t="str">
        <f>IFERROR(INDEX(MASTER!$F$2:$F$2000,MATCH($A23,MASTER!$A$2:$A$2000,0))&amp;"","")</f>
        <v>P0</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
      </c>
    </row>
    <row r="24" spans="1:12" x14ac:dyDescent="0.25">
      <c r="A24" s="15" t="s">
        <v>593</v>
      </c>
      <c r="B24" s="12" t="str">
        <f>IFERROR(INDEX(MASTER!$C$2:$C$2000,MATCH($A24,MASTER!$A$2:$A$2000,0))&amp;"","")</f>
        <v>ACCOUNT</v>
      </c>
      <c r="C24" s="16">
        <f>IFERROR(INDEX(MASTER!$B$2:$B$2000,MATCH($A24,MASTER!$A$2:$A$2000,0)),"")</f>
        <v>6</v>
      </c>
      <c r="D24" s="12" t="str">
        <f>IFERROR(INDEX(MASTER!$D$2:$D$2000,MATCH($A24,MASTER!$A$2:$A$2000,0))&amp;"","")</f>
        <v>Password change</v>
      </c>
      <c r="E24" s="12" t="str">
        <f>IFERROR(INDEX(MASTER!$F$2:$F$2000,MATCH($A24,MASTER!$A$2:$A$2000,0))&amp;"","")</f>
        <v>P0</v>
      </c>
      <c r="F24" s="12" t="str">
        <f>IFERROR(INDEX(MASTER!$G$2:$G$2000,MATCH($A24,MASTER!$A$2:$A$2000,0))&amp;"","NOT IN MASTER")</f>
        <v>NOT_STARTED</v>
      </c>
      <c r="G24" s="12" t="str">
        <f>IFERROR(INDEX(MASTER!$H$2:$H$2000,MATCH($A24,MASTER!$A$2:$A$2000,0))&amp;"","")</f>
        <v/>
      </c>
      <c r="H24" s="12" t="str">
        <f>IFERROR(INDEX(MASTER!$I$2:$I$2000,MATCH($A24,MASTER!$A$2:$A$2000,0))&amp;"","")</f>
        <v/>
      </c>
      <c r="I24" s="19" t="str">
        <f>IFERROR(IF(INDEX(MASTER!$O$2:$O$2000,MATCH($A24,MASTER!$A$2:$A$2000,0))="","",INDEX(MASTER!$O$2:$O$2000,MATCH($A24,MASTER!$A$2:$A$2000,0))),"")</f>
        <v/>
      </c>
      <c r="J24" s="12" t="str">
        <f>IFERROR(INDEX(MASTER!$P$2:$P$2000,MATCH($A24,MASTER!$A$2:$A$2000,0))&amp;"","")</f>
        <v/>
      </c>
      <c r="K24" s="12" t="str">
        <f>IFERROR(INDEX(MASTER!$Q$2:$Q$2000,MATCH($A24,MASTER!$A$2:$A$2000,0))&amp;"","")</f>
        <v/>
      </c>
      <c r="L24" s="12" t="str">
        <f>IFERROR(INDEX(MASTER!$R$2:$R$2000,MATCH($A24,MASTER!$A$2:$A$2000,0))&amp;"","")</f>
        <v/>
      </c>
    </row>
    <row r="25" spans="1:12" x14ac:dyDescent="0.25">
      <c r="A25" s="15" t="s">
        <v>596</v>
      </c>
      <c r="B25" s="12" t="str">
        <f>IFERROR(INDEX(MASTER!$C$2:$C$2000,MATCH($A25,MASTER!$A$2:$A$2000,0))&amp;"","")</f>
        <v>ACCOUNT</v>
      </c>
      <c r="C25" s="16">
        <f>IFERROR(INDEX(MASTER!$B$2:$B$2000,MATCH($A25,MASTER!$A$2:$A$2000,0)),"")</f>
        <v>6</v>
      </c>
      <c r="D25" s="12" t="str">
        <f>IFERROR(INDEX(MASTER!$D$2:$D$2000,MATCH($A25,MASTER!$A$2:$A$2000,0))&amp;"","")</f>
        <v>Account deletion</v>
      </c>
      <c r="E25" s="12" t="str">
        <f>IFERROR(INDEX(MASTER!$F$2:$F$2000,MATCH($A25,MASTER!$A$2:$A$2000,0))&amp;"","")</f>
        <v>P0</v>
      </c>
      <c r="F25" s="12" t="str">
        <f>IFERROR(INDEX(MASTER!$G$2:$G$2000,MATCH($A25,MASTER!$A$2:$A$2000,0))&amp;"","NOT IN MASTER")</f>
        <v>NOT_STARTED</v>
      </c>
      <c r="G25" s="12" t="str">
        <f>IFERROR(INDEX(MASTER!$H$2:$H$2000,MATCH($A25,MASTER!$A$2:$A$2000,0))&amp;"","")</f>
        <v/>
      </c>
      <c r="H25" s="12" t="str">
        <f>IFERROR(INDEX(MASTER!$I$2:$I$2000,MATCH($A25,MASTER!$A$2:$A$2000,0))&amp;"","")</f>
        <v/>
      </c>
      <c r="I25" s="19" t="str">
        <f>IFERROR(IF(INDEX(MASTER!$O$2:$O$2000,MATCH($A25,MASTER!$A$2:$A$2000,0))="","",INDEX(MASTER!$O$2:$O$2000,MATCH($A25,MASTER!$A$2:$A$2000,0))),"")</f>
        <v/>
      </c>
      <c r="J25" s="12" t="str">
        <f>IFERROR(INDEX(MASTER!$P$2:$P$2000,MATCH($A25,MASTER!$A$2:$A$2000,0))&amp;"","")</f>
        <v/>
      </c>
      <c r="K25" s="12" t="str">
        <f>IFERROR(INDEX(MASTER!$Q$2:$Q$2000,MATCH($A25,MASTER!$A$2:$A$2000,0))&amp;"","")</f>
        <v/>
      </c>
      <c r="L25" s="12" t="str">
        <f>IFERROR(INDEX(MASTER!$R$2:$R$2000,MATCH($A25,MASTER!$A$2:$A$2000,0))&amp;"","")</f>
        <v/>
      </c>
    </row>
    <row r="26" spans="1:12" x14ac:dyDescent="0.25">
      <c r="A26" s="15" t="s">
        <v>599</v>
      </c>
      <c r="B26" s="12" t="str">
        <f>IFERROR(INDEX(MASTER!$C$2:$C$2000,MATCH($A26,MASTER!$A$2:$A$2000,0))&amp;"","")</f>
        <v>ACCOUNT</v>
      </c>
      <c r="C26" s="16">
        <f>IFERROR(INDEX(MASTER!$B$2:$B$2000,MATCH($A26,MASTER!$A$2:$A$2000,0)),"")</f>
        <v>6</v>
      </c>
      <c r="D26" s="12" t="str">
        <f>IFERROR(INDEX(MASTER!$D$2:$D$2000,MATCH($A26,MASTER!$A$2:$A$2000,0))&amp;"","")</f>
        <v>Session revocation and cleanup</v>
      </c>
      <c r="E26" s="12" t="str">
        <f>IFERROR(INDEX(MASTER!$F$2:$F$2000,MATCH($A26,MASTER!$A$2:$A$2000,0))&amp;"","")</f>
        <v>P1</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
      </c>
      <c r="L26" s="12" t="str">
        <f>IFERROR(INDEX(MASTER!$R$2:$R$2000,MATCH($A26,MASTER!$A$2:$A$2000,0))&amp;"","")</f>
        <v/>
      </c>
    </row>
    <row r="27" spans="1:12" x14ac:dyDescent="0.25">
      <c r="A27" s="15" t="s">
        <v>602</v>
      </c>
      <c r="B27" s="12" t="str">
        <f>IFERROR(INDEX(MASTER!$C$2:$C$2000,MATCH($A27,MASTER!$A$2:$A$2000,0))&amp;"","")</f>
        <v>ACCOUNT</v>
      </c>
      <c r="C27" s="16">
        <f>IFERROR(INDEX(MASTER!$B$2:$B$2000,MATCH($A27,MASTER!$A$2:$A$2000,0)),"")</f>
        <v>6</v>
      </c>
      <c r="D27" s="12" t="str">
        <f>IFERROR(INDEX(MASTER!$D$2:$D$2000,MATCH($A27,MASTER!$A$2:$A$2000,0))&amp;"","")</f>
        <v>Suspicious login handling</v>
      </c>
      <c r="E27" s="12" t="str">
        <f>IFERROR(INDEX(MASTER!$F$2:$F$2000,MATCH($A27,MASTER!$A$2:$A$2000,0))&amp;"","")</f>
        <v>P2</v>
      </c>
      <c r="F27" s="12" t="str">
        <f>IFERROR(INDEX(MASTER!$G$2:$G$2000,MATCH($A27,MASTER!$A$2:$A$2000,0))&amp;"","NOT IN MASTER")</f>
        <v>NOT_STARTED</v>
      </c>
      <c r="G27" s="12" t="str">
        <f>IFERROR(INDEX(MASTER!$H$2:$H$2000,MATCH($A27,MASTER!$A$2:$A$2000,0))&amp;"","")</f>
        <v/>
      </c>
      <c r="H27" s="12" t="str">
        <f>IFERROR(INDEX(MASTER!$I$2:$I$2000,MATCH($A27,MASTER!$A$2:$A$2000,0))&amp;"","")</f>
        <v/>
      </c>
      <c r="I27" s="19" t="str">
        <f>IFERROR(IF(INDEX(MASTER!$O$2:$O$2000,MATCH($A27,MASTER!$A$2:$A$2000,0))="","",INDEX(MASTER!$O$2:$O$2000,MATCH($A27,MASTER!$A$2:$A$2000,0))),"")</f>
        <v/>
      </c>
      <c r="J27" s="12" t="str">
        <f>IFERROR(INDEX(MASTER!$P$2:$P$2000,MATCH($A27,MASTER!$A$2:$A$2000,0))&amp;"","")</f>
        <v/>
      </c>
      <c r="K27" s="12" t="str">
        <f>IFERROR(INDEX(MASTER!$Q$2:$Q$2000,MATCH($A27,MASTER!$A$2:$A$2000,0))&amp;"","")</f>
        <v/>
      </c>
      <c r="L27" s="12" t="str">
        <f>IFERROR(INDEX(MASTER!$R$2:$R$2000,MATCH($A27,MASTER!$A$2:$A$2000,0))&amp;"","")</f>
        <v/>
      </c>
    </row>
  </sheetData>
  <autoFilter ref="A7:L27" xr:uid="{00000000-0009-0000-0000-000009000000}"/>
  <conditionalFormatting sqref="E8:E27">
    <cfRule type="cellIs" dxfId="170" priority="19" operator="equal">
      <formula>"P0"</formula>
    </cfRule>
    <cfRule type="cellIs" dxfId="169" priority="20" operator="equal">
      <formula>"P1"</formula>
    </cfRule>
  </conditionalFormatting>
  <conditionalFormatting sqref="F8:F27">
    <cfRule type="cellIs" dxfId="168" priority="1" operator="equal">
      <formula>"DONE"</formula>
    </cfRule>
    <cfRule type="cellIs" dxfId="167" priority="2" operator="equal">
      <formula>"VERIFIED"</formula>
    </cfRule>
    <cfRule type="cellIs" dxfId="166" priority="3" operator="equal">
      <formula>"IN_PROGRESS"</formula>
    </cfRule>
    <cfRule type="cellIs" dxfId="165" priority="4" operator="equal">
      <formula>"IMPLEMENTED"</formula>
    </cfRule>
    <cfRule type="cellIs" dxfId="164" priority="5" operator="equal">
      <formula>"TESTING"</formula>
    </cfRule>
    <cfRule type="cellIs" dxfId="163" priority="6" operator="equal">
      <formula>"BLOCKED"</formula>
    </cfRule>
    <cfRule type="cellIs" dxfId="162" priority="7" operator="equal">
      <formula>"FAILED"</formula>
    </cfRule>
    <cfRule type="cellIs" dxfId="161" priority="8" operator="equal">
      <formula>"DEFERRED"</formula>
    </cfRule>
    <cfRule type="cellIs" dxfId="160" priority="9" operator="equal">
      <formula>"UNKNOWN"</formula>
    </cfRule>
    <cfRule type="cellIs" dxfId="159" priority="10" operator="equal">
      <formula>"PASS"</formula>
    </cfRule>
    <cfRule type="cellIs" dxfId="158" priority="11" operator="equal">
      <formula>"FAIL"</formula>
    </cfRule>
    <cfRule type="cellIs" dxfId="157" priority="12" operator="equal">
      <formula>"PARTIAL"</formula>
    </cfRule>
    <cfRule type="cellIs" dxfId="156" priority="13" operator="equal">
      <formula>"RESOLVED"</formula>
    </cfRule>
    <cfRule type="cellIs" dxfId="155" priority="14" operator="equal">
      <formula>"OPEN"</formula>
    </cfRule>
    <cfRule type="cellIs" dxfId="154" priority="15" operator="equal">
      <formula>"WITHIN"</formula>
    </cfRule>
    <cfRule type="cellIs" dxfId="153" priority="16" operator="equal">
      <formula>"OVER"</formula>
    </cfRule>
    <cfRule type="cellIs" dxfId="152" priority="17" operator="equal">
      <formula>"NOW"</formula>
    </cfRule>
    <cfRule type="cellIs" dxfId="151" priority="18" operator="equal">
      <formula>"NOT IN MASTER"</formula>
    </cfRule>
  </conditionalFormatting>
  <pageMargins left="0.75" right="0.75" top="1" bottom="1" header="0.5" footer="0.5"/>
  <pageSetup fitToHeight="0"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L31"/>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50" customWidth="1"/>
    <col min="5" max="5" width="10" customWidth="1"/>
    <col min="6" max="6" width="16" customWidth="1"/>
    <col min="7" max="7" width="44" customWidth="1"/>
    <col min="8" max="8" width="34" customWidth="1"/>
    <col min="9" max="9" width="16" customWidth="1"/>
    <col min="10" max="10" width="10" customWidth="1"/>
    <col min="11" max="11" width="40" customWidth="1"/>
    <col min="12" max="12" width="11" customWidth="1"/>
  </cols>
  <sheetData>
    <row r="1" spans="1:11" ht="20.25" x14ac:dyDescent="0.3">
      <c r="A1" s="3" t="s">
        <v>880</v>
      </c>
    </row>
    <row r="2" spans="1:11" x14ac:dyDescent="0.25">
      <c r="A2" s="4" t="s">
        <v>131</v>
      </c>
    </row>
    <row r="3" spans="1:11" x14ac:dyDescent="0.25">
      <c r="A3" s="6" t="s">
        <v>45</v>
      </c>
      <c r="B3" s="6" t="s">
        <v>46</v>
      </c>
      <c r="C3" s="6" t="s">
        <v>47</v>
      </c>
      <c r="D3" s="6" t="s">
        <v>13</v>
      </c>
      <c r="E3" s="6" t="s">
        <v>16</v>
      </c>
      <c r="F3" s="6" t="s">
        <v>19</v>
      </c>
      <c r="G3" s="6" t="s">
        <v>48</v>
      </c>
      <c r="H3" s="6" t="s">
        <v>33</v>
      </c>
    </row>
    <row r="4" spans="1:11" x14ac:dyDescent="0.25">
      <c r="A4" s="7">
        <f>COUNTIF(MASTER!$C$2:$C$2000,"PERFORMANCE")</f>
        <v>7</v>
      </c>
      <c r="B4" s="7">
        <f>COUNTIFS(MASTER!$C$2:$C$2000,"PERFORMANCE",MASTER!$G$2:$G$2000,"DONE")</f>
        <v>0</v>
      </c>
      <c r="C4" s="7">
        <f>COUNTIFS(MASTER!$C$2:$C$2000,"PERFORMANCE",MASTER!$G$2:$G$2000,"VERIFIED")+B4</f>
        <v>0</v>
      </c>
      <c r="D4" s="7">
        <f>COUNTIFS(MASTER!$C$2:$C$2000,"PERFORMANCE",MASTER!$G$2:$G$2000,"IN_PROGRESS")+COUNTIFS(MASTER!$C$2:$C$2000,"PERFORMANCE",MASTER!$G$2:$G$2000,"IMPLEMENTED")+COUNTIFS(MASTER!$C$2:$C$2000,"PERFORMANCE",MASTER!$G$2:$G$2000,"TESTING")</f>
        <v>0</v>
      </c>
      <c r="E4" s="7">
        <f>COUNTIFS(MASTER!$C$2:$C$2000,"PERFORMANCE",MASTER!$G$2:$G$2000,"BLOCKED")</f>
        <v>0</v>
      </c>
      <c r="F4" s="7">
        <f>COUNTIFS(MASTER!$C$2:$C$2000,"PERFORMANCE",MASTER!$G$2:$G$2000,"FAILED")</f>
        <v>0</v>
      </c>
      <c r="G4" s="9">
        <f>IF(A4=0,0,B4/A4)</f>
        <v>0</v>
      </c>
      <c r="H4" s="9">
        <f>IF(A4=0,0,C4/A4)</f>
        <v>0</v>
      </c>
    </row>
    <row r="6" spans="1:11" ht="15.75" x14ac:dyDescent="0.25">
      <c r="A6" s="5" t="s">
        <v>881</v>
      </c>
    </row>
    <row r="7" spans="1:11" x14ac:dyDescent="0.25">
      <c r="A7" s="10" t="s">
        <v>882</v>
      </c>
      <c r="B7" s="10" t="s">
        <v>883</v>
      </c>
      <c r="C7" s="10" t="s">
        <v>884</v>
      </c>
      <c r="D7" s="10" t="s">
        <v>885</v>
      </c>
      <c r="E7" s="10" t="s">
        <v>886</v>
      </c>
      <c r="F7" s="10" t="s">
        <v>57</v>
      </c>
      <c r="G7" s="10" t="s">
        <v>887</v>
      </c>
      <c r="H7" s="10" t="s">
        <v>888</v>
      </c>
      <c r="I7" s="10" t="s">
        <v>889</v>
      </c>
      <c r="J7" s="10" t="s">
        <v>890</v>
      </c>
      <c r="K7" s="10" t="s">
        <v>174</v>
      </c>
    </row>
    <row r="8" spans="1:11" ht="25.5" x14ac:dyDescent="0.25">
      <c r="A8" s="15" t="s">
        <v>891</v>
      </c>
      <c r="B8" s="12" t="s">
        <v>892</v>
      </c>
      <c r="C8" s="12" t="s">
        <v>893</v>
      </c>
      <c r="D8" s="18" t="s">
        <v>894</v>
      </c>
      <c r="E8" s="12">
        <v>321</v>
      </c>
      <c r="F8" s="12" t="str">
        <f t="shared" ref="F8:F20" si="0">IF(H8="","NOT_REMEASURED",IF(J8="","NO_THRESHOLD",IF(H8&lt;=J8,"WITHIN","OVER")))</f>
        <v>NOT_REMEASURED</v>
      </c>
      <c r="G8" s="18" t="s">
        <v>895</v>
      </c>
      <c r="H8" s="12"/>
      <c r="I8" s="19"/>
      <c r="J8" s="12"/>
      <c r="K8" s="18"/>
    </row>
    <row r="9" spans="1:11" x14ac:dyDescent="0.25">
      <c r="A9" s="15" t="s">
        <v>896</v>
      </c>
      <c r="B9" s="12" t="s">
        <v>892</v>
      </c>
      <c r="C9" s="12" t="s">
        <v>893</v>
      </c>
      <c r="D9" s="18" t="s">
        <v>897</v>
      </c>
      <c r="E9" s="12">
        <v>1.4</v>
      </c>
      <c r="F9" s="12" t="str">
        <f t="shared" si="0"/>
        <v>NOT_REMEASURED</v>
      </c>
      <c r="G9" s="18" t="s">
        <v>898</v>
      </c>
      <c r="H9" s="12"/>
      <c r="I9" s="19"/>
      <c r="J9" s="12"/>
      <c r="K9" s="18"/>
    </row>
    <row r="10" spans="1:11" x14ac:dyDescent="0.25">
      <c r="A10" s="15" t="s">
        <v>899</v>
      </c>
      <c r="B10" s="12" t="s">
        <v>892</v>
      </c>
      <c r="C10" s="12" t="s">
        <v>893</v>
      </c>
      <c r="D10" s="18" t="s">
        <v>900</v>
      </c>
      <c r="E10" s="12">
        <v>0.32800000000000001</v>
      </c>
      <c r="F10" s="12" t="str">
        <f t="shared" si="0"/>
        <v>NOT_REMEASURED</v>
      </c>
      <c r="G10" s="18" t="s">
        <v>901</v>
      </c>
      <c r="H10" s="12"/>
      <c r="I10" s="19"/>
      <c r="J10" s="12"/>
      <c r="K10" s="18"/>
    </row>
    <row r="11" spans="1:11" x14ac:dyDescent="0.25">
      <c r="A11" s="15" t="s">
        <v>902</v>
      </c>
      <c r="B11" s="12" t="s">
        <v>892</v>
      </c>
      <c r="C11" s="12" t="s">
        <v>893</v>
      </c>
      <c r="D11" s="18" t="s">
        <v>903</v>
      </c>
      <c r="E11" s="12">
        <v>0.66900000000000004</v>
      </c>
      <c r="F11" s="12" t="str">
        <f t="shared" si="0"/>
        <v>NOT_REMEASURED</v>
      </c>
      <c r="G11" s="18" t="s">
        <v>901</v>
      </c>
      <c r="H11" s="12"/>
      <c r="I11" s="19"/>
      <c r="J11" s="12"/>
      <c r="K11" s="18"/>
    </row>
    <row r="12" spans="1:11" x14ac:dyDescent="0.25">
      <c r="A12" s="15" t="s">
        <v>904</v>
      </c>
      <c r="B12" s="12" t="s">
        <v>892</v>
      </c>
      <c r="C12" s="12" t="s">
        <v>893</v>
      </c>
      <c r="D12" s="18" t="s">
        <v>905</v>
      </c>
      <c r="E12" s="12">
        <v>1.8</v>
      </c>
      <c r="F12" s="12" t="str">
        <f t="shared" si="0"/>
        <v>NOT_REMEASURED</v>
      </c>
      <c r="G12" s="18" t="s">
        <v>901</v>
      </c>
      <c r="H12" s="12"/>
      <c r="I12" s="19"/>
      <c r="J12" s="12"/>
      <c r="K12" s="18"/>
    </row>
    <row r="13" spans="1:11" ht="25.5" x14ac:dyDescent="0.25">
      <c r="A13" s="15" t="s">
        <v>906</v>
      </c>
      <c r="B13" s="12" t="s">
        <v>907</v>
      </c>
      <c r="C13" s="12" t="s">
        <v>908</v>
      </c>
      <c r="D13" s="18" t="s">
        <v>909</v>
      </c>
      <c r="E13" s="12">
        <v>1382</v>
      </c>
      <c r="F13" s="12" t="str">
        <f t="shared" si="0"/>
        <v>NOT_REMEASURED</v>
      </c>
      <c r="G13" s="18" t="s">
        <v>910</v>
      </c>
      <c r="H13" s="12"/>
      <c r="I13" s="19"/>
      <c r="J13" s="12"/>
      <c r="K13" s="18"/>
    </row>
    <row r="14" spans="1:11" x14ac:dyDescent="0.25">
      <c r="A14" s="15" t="s">
        <v>911</v>
      </c>
      <c r="B14" s="12" t="s">
        <v>907</v>
      </c>
      <c r="C14" s="12" t="s">
        <v>908</v>
      </c>
      <c r="D14" s="18" t="s">
        <v>912</v>
      </c>
      <c r="E14" s="12">
        <v>180</v>
      </c>
      <c r="F14" s="12" t="str">
        <f t="shared" si="0"/>
        <v>NOT_REMEASURED</v>
      </c>
      <c r="G14" s="18" t="s">
        <v>913</v>
      </c>
      <c r="H14" s="12"/>
      <c r="I14" s="19"/>
      <c r="J14" s="12"/>
      <c r="K14" s="18"/>
    </row>
    <row r="15" spans="1:11" ht="25.5" x14ac:dyDescent="0.25">
      <c r="A15" s="15" t="s">
        <v>914</v>
      </c>
      <c r="B15" s="12" t="s">
        <v>892</v>
      </c>
      <c r="C15" s="12" t="s">
        <v>893</v>
      </c>
      <c r="D15" s="18" t="s">
        <v>915</v>
      </c>
      <c r="E15" s="12">
        <v>9.4</v>
      </c>
      <c r="F15" s="12" t="str">
        <f t="shared" si="0"/>
        <v>NOT_REMEASURED</v>
      </c>
      <c r="G15" s="18" t="s">
        <v>916</v>
      </c>
      <c r="H15" s="12"/>
      <c r="I15" s="19"/>
      <c r="J15" s="12"/>
      <c r="K15" s="18"/>
    </row>
    <row r="16" spans="1:11" x14ac:dyDescent="0.25">
      <c r="A16" s="15" t="s">
        <v>917</v>
      </c>
      <c r="B16" s="12" t="s">
        <v>892</v>
      </c>
      <c r="C16" s="12" t="s">
        <v>893</v>
      </c>
      <c r="D16" s="18" t="s">
        <v>918</v>
      </c>
      <c r="E16" s="12">
        <v>0.62</v>
      </c>
      <c r="F16" s="12" t="str">
        <f t="shared" si="0"/>
        <v>NOT_REMEASURED</v>
      </c>
      <c r="G16" s="18" t="s">
        <v>919</v>
      </c>
      <c r="H16" s="12"/>
      <c r="I16" s="19"/>
      <c r="J16" s="12"/>
      <c r="K16" s="18"/>
    </row>
    <row r="17" spans="1:12" ht="25.5" x14ac:dyDescent="0.25">
      <c r="A17" s="15" t="s">
        <v>920</v>
      </c>
      <c r="B17" s="12" t="s">
        <v>921</v>
      </c>
      <c r="C17" s="12" t="s">
        <v>908</v>
      </c>
      <c r="D17" s="18" t="s">
        <v>922</v>
      </c>
      <c r="E17" s="12">
        <v>2.77</v>
      </c>
      <c r="F17" s="12" t="str">
        <f t="shared" si="0"/>
        <v>NOT_REMEASURED</v>
      </c>
      <c r="G17" s="18" t="s">
        <v>923</v>
      </c>
      <c r="H17" s="12"/>
      <c r="I17" s="19"/>
      <c r="J17" s="12"/>
      <c r="K17" s="18"/>
    </row>
    <row r="18" spans="1:12" x14ac:dyDescent="0.25">
      <c r="A18" s="15" t="s">
        <v>924</v>
      </c>
      <c r="B18" s="12" t="s">
        <v>921</v>
      </c>
      <c r="C18" s="12" t="s">
        <v>908</v>
      </c>
      <c r="D18" s="18" t="s">
        <v>925</v>
      </c>
      <c r="E18" s="12">
        <v>5.99</v>
      </c>
      <c r="F18" s="12" t="str">
        <f t="shared" si="0"/>
        <v>NOT_REMEASURED</v>
      </c>
      <c r="G18" s="18" t="s">
        <v>919</v>
      </c>
      <c r="H18" s="12"/>
      <c r="I18" s="19"/>
      <c r="J18" s="12"/>
      <c r="K18" s="18"/>
    </row>
    <row r="19" spans="1:12" ht="25.5" x14ac:dyDescent="0.25">
      <c r="A19" s="15" t="s">
        <v>926</v>
      </c>
      <c r="B19" s="12" t="s">
        <v>927</v>
      </c>
      <c r="C19" s="12" t="s">
        <v>908</v>
      </c>
      <c r="D19" s="18" t="s">
        <v>928</v>
      </c>
      <c r="E19" s="12">
        <v>140</v>
      </c>
      <c r="F19" s="12" t="str">
        <f t="shared" si="0"/>
        <v>NOT_REMEASURED</v>
      </c>
      <c r="G19" s="18" t="s">
        <v>929</v>
      </c>
      <c r="H19" s="12"/>
      <c r="I19" s="19"/>
      <c r="J19" s="12"/>
      <c r="K19" s="18"/>
    </row>
    <row r="20" spans="1:12" ht="25.5" x14ac:dyDescent="0.25">
      <c r="A20" s="15" t="s">
        <v>930</v>
      </c>
      <c r="B20" s="12" t="s">
        <v>892</v>
      </c>
      <c r="C20" s="12" t="s">
        <v>893</v>
      </c>
      <c r="D20" s="18" t="s">
        <v>931</v>
      </c>
      <c r="E20" s="12">
        <v>0.65</v>
      </c>
      <c r="F20" s="12" t="str">
        <f t="shared" si="0"/>
        <v>NOT_REMEASURED</v>
      </c>
      <c r="G20" s="18" t="s">
        <v>932</v>
      </c>
      <c r="H20" s="12"/>
      <c r="I20" s="19"/>
      <c r="J20" s="12"/>
      <c r="K20" s="18"/>
    </row>
    <row r="23" spans="1:12" ht="15.75" x14ac:dyDescent="0.25">
      <c r="A23" s="5" t="s">
        <v>933</v>
      </c>
    </row>
    <row r="24" spans="1:12" x14ac:dyDescent="0.25">
      <c r="A24" s="10" t="s">
        <v>162</v>
      </c>
      <c r="B24" s="10" t="s">
        <v>99</v>
      </c>
      <c r="C24" s="10" t="s">
        <v>43</v>
      </c>
      <c r="D24" s="10" t="s">
        <v>163</v>
      </c>
      <c r="E24" s="10" t="s">
        <v>165</v>
      </c>
      <c r="F24" s="10" t="s">
        <v>57</v>
      </c>
      <c r="G24" s="10" t="s">
        <v>166</v>
      </c>
      <c r="H24" s="10" t="s">
        <v>167</v>
      </c>
      <c r="I24" s="10" t="s">
        <v>15</v>
      </c>
      <c r="J24" s="10" t="s">
        <v>173</v>
      </c>
      <c r="K24" s="10" t="s">
        <v>174</v>
      </c>
      <c r="L24" s="10" t="s">
        <v>175</v>
      </c>
    </row>
    <row r="25" spans="1:12" x14ac:dyDescent="0.25">
      <c r="A25" s="15" t="s">
        <v>555</v>
      </c>
      <c r="B25" s="12" t="str">
        <f>IFERROR(INDEX(MASTER!$C$2:$C$2000,MATCH($A25,MASTER!$A$2:$A$2000,0))&amp;"","")</f>
        <v>PERFORMANCE</v>
      </c>
      <c r="C25" s="16">
        <f>IFERROR(INDEX(MASTER!$B$2:$B$2000,MATCH($A25,MASTER!$A$2:$A$2000,0)),"")</f>
        <v>5</v>
      </c>
      <c r="D25" s="12" t="str">
        <f>IFERROR(INDEX(MASTER!$D$2:$D$2000,MATCH($A25,MASTER!$A$2:$A$2000,0))&amp;"","")</f>
        <v>Linear DOCX table export</v>
      </c>
      <c r="E25" s="12" t="str">
        <f>IFERROR(INDEX(MASTER!$F$2:$F$2000,MATCH($A25,MASTER!$A$2:$A$2000,0))&amp;"","")</f>
        <v>P0</v>
      </c>
      <c r="F25" s="12" t="str">
        <f>IFERROR(INDEX(MASTER!$G$2:$G$2000,MATCH($A25,MASTER!$A$2:$A$2000,0))&amp;"","NOT IN MASTER")</f>
        <v>NOT_STARTED</v>
      </c>
      <c r="G25" s="12" t="str">
        <f>IFERROR(INDEX(MASTER!$H$2:$H$2000,MATCH($A25,MASTER!$A$2:$A$2000,0))&amp;"","")</f>
        <v/>
      </c>
      <c r="H25" s="12" t="str">
        <f>IFERROR(INDEX(MASTER!$I$2:$I$2000,MATCH($A25,MASTER!$A$2:$A$2000,0))&amp;"","")</f>
        <v/>
      </c>
      <c r="I25" s="19" t="str">
        <f>IFERROR(IF(INDEX(MASTER!$O$2:$O$2000,MATCH($A25,MASTER!$A$2:$A$2000,0))="","",INDEX(MASTER!$O$2:$O$2000,MATCH($A25,MASTER!$A$2:$A$2000,0))),"")</f>
        <v/>
      </c>
      <c r="J25" s="12" t="str">
        <f>IFERROR(INDEX(MASTER!$P$2:$P$2000,MATCH($A25,MASTER!$A$2:$A$2000,0))&amp;"","")</f>
        <v/>
      </c>
      <c r="K25" s="12" t="str">
        <f>IFERROR(INDEX(MASTER!$Q$2:$Q$2000,MATCH($A25,MASTER!$A$2:$A$2000,0))&amp;"","")</f>
        <v/>
      </c>
      <c r="L25" s="12" t="str">
        <f>IFERROR(INDEX(MASTER!$R$2:$R$2000,MATCH($A25,MASTER!$A$2:$A$2000,0))&amp;"","")</f>
        <v/>
      </c>
    </row>
    <row r="26" spans="1:12" x14ac:dyDescent="0.25">
      <c r="A26" s="15" t="s">
        <v>559</v>
      </c>
      <c r="B26" s="12" t="str">
        <f>IFERROR(INDEX(MASTER!$C$2:$C$2000,MATCH($A26,MASTER!$A$2:$A$2000,0))&amp;"","")</f>
        <v>PERFORMANCE</v>
      </c>
      <c r="C26" s="16">
        <f>IFERROR(INDEX(MASTER!$B$2:$B$2000,MATCH($A26,MASTER!$A$2:$A$2000,0)),"")</f>
        <v>5</v>
      </c>
      <c r="D26" s="12" t="str">
        <f>IFERROR(INDEX(MASTER!$D$2:$D$2000,MATCH($A26,MASTER!$A$2:$A$2000,0))&amp;"","")</f>
        <v>Benchmarks recorded</v>
      </c>
      <c r="E26" s="12" t="str">
        <f>IFERROR(INDEX(MASTER!$F$2:$F$2000,MATCH($A26,MASTER!$A$2:$A$2000,0))&amp;"","")</f>
        <v>P1</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
      </c>
      <c r="L26" s="12" t="str">
        <f>IFERROR(INDEX(MASTER!$R$2:$R$2000,MATCH($A26,MASTER!$A$2:$A$2000,0))&amp;"","")</f>
        <v/>
      </c>
    </row>
    <row r="27" spans="1:12" x14ac:dyDescent="0.25">
      <c r="A27" s="15" t="s">
        <v>563</v>
      </c>
      <c r="B27" s="12" t="str">
        <f>IFERROR(INDEX(MASTER!$C$2:$C$2000,MATCH($A27,MASTER!$A$2:$A$2000,0))&amp;"","")</f>
        <v>PERFORMANCE</v>
      </c>
      <c r="C27" s="16">
        <f>IFERROR(INDEX(MASTER!$B$2:$B$2000,MATCH($A27,MASTER!$A$2:$A$2000,0)),"")</f>
        <v>5</v>
      </c>
      <c r="D27" s="12" t="str">
        <f>IFERROR(INDEX(MASTER!$D$2:$D$2000,MATCH($A27,MASTER!$A$2:$A$2000,0))&amp;"","")</f>
        <v>Delta autosave</v>
      </c>
      <c r="E27" s="12" t="str">
        <f>IFERROR(INDEX(MASTER!$F$2:$F$2000,MATCH($A27,MASTER!$A$2:$A$2000,0))&amp;"","")</f>
        <v>P1</v>
      </c>
      <c r="F27" s="12" t="str">
        <f>IFERROR(INDEX(MASTER!$G$2:$G$2000,MATCH($A27,MASTER!$A$2:$A$2000,0))&amp;"","NOT IN MASTER")</f>
        <v>NOT_STARTED</v>
      </c>
      <c r="G27" s="12" t="str">
        <f>IFERROR(INDEX(MASTER!$H$2:$H$2000,MATCH($A27,MASTER!$A$2:$A$2000,0))&amp;"","")</f>
        <v/>
      </c>
      <c r="H27" s="12" t="str">
        <f>IFERROR(INDEX(MASTER!$I$2:$I$2000,MATCH($A27,MASTER!$A$2:$A$2000,0))&amp;"","")</f>
        <v/>
      </c>
      <c r="I27" s="19" t="str">
        <f>IFERROR(IF(INDEX(MASTER!$O$2:$O$2000,MATCH($A27,MASTER!$A$2:$A$2000,0))="","",INDEX(MASTER!$O$2:$O$2000,MATCH($A27,MASTER!$A$2:$A$2000,0))),"")</f>
        <v/>
      </c>
      <c r="J27" s="12" t="str">
        <f>IFERROR(INDEX(MASTER!$P$2:$P$2000,MATCH($A27,MASTER!$A$2:$A$2000,0))&amp;"","")</f>
        <v/>
      </c>
      <c r="K27" s="12" t="str">
        <f>IFERROR(INDEX(MASTER!$Q$2:$Q$2000,MATCH($A27,MASTER!$A$2:$A$2000,0))&amp;"","")</f>
        <v/>
      </c>
      <c r="L27" s="12" t="str">
        <f>IFERROR(INDEX(MASTER!$R$2:$R$2000,MATCH($A27,MASTER!$A$2:$A$2000,0))&amp;"","")</f>
        <v/>
      </c>
    </row>
    <row r="28" spans="1:12" x14ac:dyDescent="0.25">
      <c r="A28" s="15" t="s">
        <v>567</v>
      </c>
      <c r="B28" s="12" t="str">
        <f>IFERROR(INDEX(MASTER!$C$2:$C$2000,MATCH($A28,MASTER!$A$2:$A$2000,0))&amp;"","")</f>
        <v>PERFORMANCE</v>
      </c>
      <c r="C28" s="16">
        <f>IFERROR(INDEX(MASTER!$B$2:$B$2000,MATCH($A28,MASTER!$A$2:$A$2000,0)),"")</f>
        <v>5</v>
      </c>
      <c r="D28" s="12" t="str">
        <f>IFERROR(INDEX(MASTER!$D$2:$D$2000,MATCH($A28,MASTER!$A$2:$A$2000,0))&amp;"","")</f>
        <v>Bounded, compressed version history</v>
      </c>
      <c r="E28" s="12" t="str">
        <f>IFERROR(INDEX(MASTER!$F$2:$F$2000,MATCH($A28,MASTER!$A$2:$A$2000,0))&amp;"","")</f>
        <v>P1</v>
      </c>
      <c r="F28" s="12" t="str">
        <f>IFERROR(INDEX(MASTER!$G$2:$G$2000,MATCH($A28,MASTER!$A$2:$A$2000,0))&amp;"","NOT IN MASTER")</f>
        <v>NOT_STARTED</v>
      </c>
      <c r="G28" s="12" t="str">
        <f>IFERROR(INDEX(MASTER!$H$2:$H$2000,MATCH($A28,MASTER!$A$2:$A$2000,0))&amp;"","")</f>
        <v/>
      </c>
      <c r="H28" s="12" t="str">
        <f>IFERROR(INDEX(MASTER!$I$2:$I$2000,MATCH($A28,MASTER!$A$2:$A$2000,0))&amp;"","")</f>
        <v/>
      </c>
      <c r="I28" s="19" t="str">
        <f>IFERROR(IF(INDEX(MASTER!$O$2:$O$2000,MATCH($A28,MASTER!$A$2:$A$2000,0))="","",INDEX(MASTER!$O$2:$O$2000,MATCH($A28,MASTER!$A$2:$A$2000,0))),"")</f>
        <v/>
      </c>
      <c r="J28" s="12" t="str">
        <f>IFERROR(INDEX(MASTER!$P$2:$P$2000,MATCH($A28,MASTER!$A$2:$A$2000,0))&amp;"","")</f>
        <v/>
      </c>
      <c r="K28" s="12" t="str">
        <f>IFERROR(INDEX(MASTER!$Q$2:$Q$2000,MATCH($A28,MASTER!$A$2:$A$2000,0))&amp;"","")</f>
        <v/>
      </c>
      <c r="L28" s="12" t="str">
        <f>IFERROR(INDEX(MASTER!$R$2:$R$2000,MATCH($A28,MASTER!$A$2:$A$2000,0))&amp;"","")</f>
        <v/>
      </c>
    </row>
    <row r="29" spans="1:12" x14ac:dyDescent="0.25">
      <c r="A29" s="15" t="s">
        <v>570</v>
      </c>
      <c r="B29" s="12" t="str">
        <f>IFERROR(INDEX(MASTER!$C$2:$C$2000,MATCH($A29,MASTER!$A$2:$A$2000,0))&amp;"","")</f>
        <v>PERFORMANCE</v>
      </c>
      <c r="C29" s="16">
        <f>IFERROR(INDEX(MASTER!$B$2:$B$2000,MATCH($A29,MASTER!$A$2:$A$2000,0)),"")</f>
        <v>5</v>
      </c>
      <c r="D29" s="12" t="str">
        <f>IFERROR(INDEX(MASTER!$D$2:$D$2000,MATCH($A29,MASTER!$A$2:$A$2000,0))&amp;"","")</f>
        <v>Editor at 5k-12k blocks</v>
      </c>
      <c r="E29" s="12" t="str">
        <f>IFERROR(INDEX(MASTER!$F$2:$F$2000,MATCH($A29,MASTER!$A$2:$A$2000,0))&amp;"","")</f>
        <v>P2</v>
      </c>
      <c r="F29" s="12" t="str">
        <f>IFERROR(INDEX(MASTER!$G$2:$G$2000,MATCH($A29,MASTER!$A$2:$A$2000,0))&amp;"","NOT IN MASTER")</f>
        <v>NOT_STARTED</v>
      </c>
      <c r="G29" s="12" t="str">
        <f>IFERROR(INDEX(MASTER!$H$2:$H$2000,MATCH($A29,MASTER!$A$2:$A$2000,0))&amp;"","")</f>
        <v/>
      </c>
      <c r="H29" s="12" t="str">
        <f>IFERROR(INDEX(MASTER!$I$2:$I$2000,MATCH($A29,MASTER!$A$2:$A$2000,0))&amp;"","")</f>
        <v/>
      </c>
      <c r="I29" s="19" t="str">
        <f>IFERROR(IF(INDEX(MASTER!$O$2:$O$2000,MATCH($A29,MASTER!$A$2:$A$2000,0))="","",INDEX(MASTER!$O$2:$O$2000,MATCH($A29,MASTER!$A$2:$A$2000,0))),"")</f>
        <v/>
      </c>
      <c r="J29" s="12" t="str">
        <f>IFERROR(INDEX(MASTER!$P$2:$P$2000,MATCH($A29,MASTER!$A$2:$A$2000,0))&amp;"","")</f>
        <v/>
      </c>
      <c r="K29" s="12" t="str">
        <f>IFERROR(INDEX(MASTER!$Q$2:$Q$2000,MATCH($A29,MASTER!$A$2:$A$2000,0))&amp;"","")</f>
        <v/>
      </c>
      <c r="L29" s="12" t="str">
        <f>IFERROR(INDEX(MASTER!$R$2:$R$2000,MATCH($A29,MASTER!$A$2:$A$2000,0))&amp;"","")</f>
        <v/>
      </c>
    </row>
    <row r="30" spans="1:12" x14ac:dyDescent="0.25">
      <c r="A30" s="15" t="s">
        <v>573</v>
      </c>
      <c r="B30" s="12" t="str">
        <f>IFERROR(INDEX(MASTER!$C$2:$C$2000,MATCH($A30,MASTER!$A$2:$A$2000,0))&amp;"","")</f>
        <v>PERFORMANCE</v>
      </c>
      <c r="C30" s="16">
        <f>IFERROR(INDEX(MASTER!$B$2:$B$2000,MATCH($A30,MASTER!$A$2:$A$2000,0)),"")</f>
        <v>5</v>
      </c>
      <c r="D30" s="12" t="str">
        <f>IFERROR(INDEX(MASTER!$D$2:$D$2000,MATCH($A30,MASTER!$A$2:$A$2000,0))&amp;"","")</f>
        <v>JSON without ASCII escaping</v>
      </c>
      <c r="E30" s="12" t="str">
        <f>IFERROR(INDEX(MASTER!$F$2:$F$2000,MATCH($A30,MASTER!$A$2:$A$2000,0))&amp;"","")</f>
        <v>P2</v>
      </c>
      <c r="F30" s="12" t="str">
        <f>IFERROR(INDEX(MASTER!$G$2:$G$2000,MATCH($A30,MASTER!$A$2:$A$2000,0))&amp;"","NOT IN MASTER")</f>
        <v>NOT_STARTED</v>
      </c>
      <c r="G30" s="12" t="str">
        <f>IFERROR(INDEX(MASTER!$H$2:$H$2000,MATCH($A30,MASTER!$A$2:$A$2000,0))&amp;"","")</f>
        <v/>
      </c>
      <c r="H30" s="12" t="str">
        <f>IFERROR(INDEX(MASTER!$I$2:$I$2000,MATCH($A30,MASTER!$A$2:$A$2000,0))&amp;"","")</f>
        <v/>
      </c>
      <c r="I30" s="19" t="str">
        <f>IFERROR(IF(INDEX(MASTER!$O$2:$O$2000,MATCH($A30,MASTER!$A$2:$A$2000,0))="","",INDEX(MASTER!$O$2:$O$2000,MATCH($A30,MASTER!$A$2:$A$2000,0))),"")</f>
        <v/>
      </c>
      <c r="J30" s="12" t="str">
        <f>IFERROR(INDEX(MASTER!$P$2:$P$2000,MATCH($A30,MASTER!$A$2:$A$2000,0))&amp;"","")</f>
        <v/>
      </c>
      <c r="K30" s="12" t="str">
        <f>IFERROR(INDEX(MASTER!$Q$2:$Q$2000,MATCH($A30,MASTER!$A$2:$A$2000,0))&amp;"","")</f>
        <v/>
      </c>
      <c r="L30" s="12" t="str">
        <f>IFERROR(INDEX(MASTER!$R$2:$R$2000,MATCH($A30,MASTER!$A$2:$A$2000,0))&amp;"","")</f>
        <v/>
      </c>
    </row>
    <row r="31" spans="1:12" x14ac:dyDescent="0.25">
      <c r="A31" s="15" t="s">
        <v>577</v>
      </c>
      <c r="B31" s="12" t="str">
        <f>IFERROR(INDEX(MASTER!$C$2:$C$2000,MATCH($A31,MASTER!$A$2:$A$2000,0))&amp;"","")</f>
        <v>PERFORMANCE</v>
      </c>
      <c r="C31" s="16">
        <f>IFERROR(INDEX(MASTER!$B$2:$B$2000,MATCH($A31,MASTER!$A$2:$A$2000,0)),"")</f>
        <v>5</v>
      </c>
      <c r="D31" s="12" t="str">
        <f>IFERROR(INDEX(MASTER!$D$2:$D$2000,MATCH($A31,MASTER!$A$2:$A$2000,0))&amp;"","")</f>
        <v>Safe size limits recorded</v>
      </c>
      <c r="E31" s="12" t="str">
        <f>IFERROR(INDEX(MASTER!$F$2:$F$2000,MATCH($A31,MASTER!$A$2:$A$2000,0))&amp;"","")</f>
        <v>P1</v>
      </c>
      <c r="F31" s="12" t="str">
        <f>IFERROR(INDEX(MASTER!$G$2:$G$2000,MATCH($A31,MASTER!$A$2:$A$2000,0))&amp;"","NOT IN MASTER")</f>
        <v>NOT_STARTED</v>
      </c>
      <c r="G31" s="12" t="str">
        <f>IFERROR(INDEX(MASTER!$H$2:$H$2000,MATCH($A31,MASTER!$A$2:$A$2000,0))&amp;"","")</f>
        <v/>
      </c>
      <c r="H31" s="12" t="str">
        <f>IFERROR(INDEX(MASTER!$I$2:$I$2000,MATCH($A31,MASTER!$A$2:$A$2000,0))&amp;"","")</f>
        <v/>
      </c>
      <c r="I31" s="19" t="str">
        <f>IFERROR(IF(INDEX(MASTER!$O$2:$O$2000,MATCH($A31,MASTER!$A$2:$A$2000,0))="","",INDEX(MASTER!$O$2:$O$2000,MATCH($A31,MASTER!$A$2:$A$2000,0))),"")</f>
        <v/>
      </c>
      <c r="J31" s="12" t="str">
        <f>IFERROR(INDEX(MASTER!$P$2:$P$2000,MATCH($A31,MASTER!$A$2:$A$2000,0))&amp;"","")</f>
        <v/>
      </c>
      <c r="K31" s="12" t="str">
        <f>IFERROR(INDEX(MASTER!$Q$2:$Q$2000,MATCH($A31,MASTER!$A$2:$A$2000,0))&amp;"","")</f>
        <v/>
      </c>
      <c r="L31" s="12" t="str">
        <f>IFERROR(INDEX(MASTER!$R$2:$R$2000,MATCH($A31,MASTER!$A$2:$A$2000,0))&amp;"","")</f>
        <v/>
      </c>
    </row>
  </sheetData>
  <autoFilter ref="A24:L31" xr:uid="{00000000-0009-0000-0000-00000A000000}"/>
  <conditionalFormatting sqref="E25:E31">
    <cfRule type="cellIs" dxfId="150" priority="21" operator="equal">
      <formula>"P0"</formula>
    </cfRule>
    <cfRule type="cellIs" dxfId="149" priority="22" operator="equal">
      <formula>"P1"</formula>
    </cfRule>
  </conditionalFormatting>
  <conditionalFormatting sqref="F8:F20">
    <cfRule type="cellIs" dxfId="148" priority="1" operator="equal">
      <formula>"WITHIN"</formula>
    </cfRule>
    <cfRule type="cellIs" dxfId="147" priority="2" operator="equal">
      <formula>"OVER"</formula>
    </cfRule>
  </conditionalFormatting>
  <conditionalFormatting sqref="F25:F31">
    <cfRule type="cellIs" dxfId="146" priority="3" operator="equal">
      <formula>"DONE"</formula>
    </cfRule>
    <cfRule type="cellIs" dxfId="145" priority="4" operator="equal">
      <formula>"VERIFIED"</formula>
    </cfRule>
    <cfRule type="cellIs" dxfId="144" priority="5" operator="equal">
      <formula>"IN_PROGRESS"</formula>
    </cfRule>
    <cfRule type="cellIs" dxfId="143" priority="6" operator="equal">
      <formula>"IMPLEMENTED"</formula>
    </cfRule>
    <cfRule type="cellIs" dxfId="142" priority="7" operator="equal">
      <formula>"TESTING"</formula>
    </cfRule>
    <cfRule type="cellIs" dxfId="141" priority="8" operator="equal">
      <formula>"BLOCKED"</formula>
    </cfRule>
    <cfRule type="cellIs" dxfId="140" priority="9" operator="equal">
      <formula>"FAILED"</formula>
    </cfRule>
    <cfRule type="cellIs" dxfId="139" priority="10" operator="equal">
      <formula>"DEFERRED"</formula>
    </cfRule>
    <cfRule type="cellIs" dxfId="138" priority="11" operator="equal">
      <formula>"UNKNOWN"</formula>
    </cfRule>
    <cfRule type="cellIs" dxfId="137" priority="12" operator="equal">
      <formula>"PASS"</formula>
    </cfRule>
    <cfRule type="cellIs" dxfId="136" priority="13" operator="equal">
      <formula>"FAIL"</formula>
    </cfRule>
    <cfRule type="cellIs" dxfId="135" priority="14" operator="equal">
      <formula>"PARTIAL"</formula>
    </cfRule>
    <cfRule type="cellIs" dxfId="134" priority="15" operator="equal">
      <formula>"RESOLVED"</formula>
    </cfRule>
    <cfRule type="cellIs" dxfId="133" priority="16" operator="equal">
      <formula>"OPEN"</formula>
    </cfRule>
    <cfRule type="cellIs" dxfId="132" priority="17" operator="equal">
      <formula>"WITHIN"</formula>
    </cfRule>
    <cfRule type="cellIs" dxfId="131" priority="18" operator="equal">
      <formula>"OVER"</formula>
    </cfRule>
    <cfRule type="cellIs" dxfId="130" priority="19" operator="equal">
      <formula>"NOW"</formula>
    </cfRule>
    <cfRule type="cellIs" dxfId="129" priority="20" operator="equal">
      <formula>"NOT IN MASTER"</formula>
    </cfRule>
  </conditionalFormatting>
  <pageMargins left="0.75" right="0.75" top="1" bottom="1" header="0.5" footer="0.5"/>
  <pageSetup fitToHeight="0"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L47"/>
  <sheetViews>
    <sheetView workbookViewId="0">
      <pane ySplit="4" topLeftCell="A5" activePane="bottomLeft" state="frozen"/>
      <selection pane="bottomLeft"/>
    </sheetView>
  </sheetViews>
  <sheetFormatPr defaultRowHeight="15" x14ac:dyDescent="0.25"/>
  <cols>
    <col min="1" max="1" width="12" customWidth="1"/>
    <col min="2" max="2" width="16" customWidth="1"/>
    <col min="3" max="3" width="9" customWidth="1"/>
    <col min="4" max="4" width="50" customWidth="1"/>
    <col min="5" max="5" width="9" customWidth="1"/>
    <col min="6" max="6" width="14" customWidth="1"/>
    <col min="7" max="7" width="40" customWidth="1"/>
    <col min="8" max="8" width="34" customWidth="1"/>
    <col min="9" max="9" width="16" customWidth="1"/>
    <col min="10" max="10" width="11" customWidth="1"/>
    <col min="11" max="11" width="40" customWidth="1"/>
    <col min="12" max="12" width="11" customWidth="1"/>
  </cols>
  <sheetData>
    <row r="1" spans="1:11" ht="20.25" x14ac:dyDescent="0.3">
      <c r="A1" s="3" t="s">
        <v>934</v>
      </c>
    </row>
    <row r="2" spans="1:11" x14ac:dyDescent="0.25">
      <c r="A2" s="4" t="s">
        <v>133</v>
      </c>
    </row>
    <row r="3" spans="1:11" x14ac:dyDescent="0.25">
      <c r="A3" s="6" t="s">
        <v>45</v>
      </c>
      <c r="B3" s="6" t="s">
        <v>46</v>
      </c>
      <c r="C3" s="6" t="s">
        <v>47</v>
      </c>
      <c r="D3" s="6" t="s">
        <v>13</v>
      </c>
      <c r="E3" s="6" t="s">
        <v>16</v>
      </c>
      <c r="F3" s="6" t="s">
        <v>19</v>
      </c>
      <c r="G3" s="6" t="s">
        <v>48</v>
      </c>
      <c r="H3" s="6" t="s">
        <v>33</v>
      </c>
    </row>
    <row r="4" spans="1:11" x14ac:dyDescent="0.25">
      <c r="A4" s="7">
        <f>COUNTIF(MASTER!$C$2:$C$2000,"TESTING")</f>
        <v>15</v>
      </c>
      <c r="B4" s="7">
        <f>COUNTIFS(MASTER!$C$2:$C$2000,"TESTING",MASTER!$G$2:$G$2000,"DONE")</f>
        <v>5</v>
      </c>
      <c r="C4" s="7">
        <f>COUNTIFS(MASTER!$C$2:$C$2000,"TESTING",MASTER!$G$2:$G$2000,"VERIFIED")+B4</f>
        <v>5</v>
      </c>
      <c r="D4" s="7">
        <f>COUNTIFS(MASTER!$C$2:$C$2000,"TESTING",MASTER!$G$2:$G$2000,"IN_PROGRESS")+COUNTIFS(MASTER!$C$2:$C$2000,"TESTING",MASTER!$G$2:$G$2000,"IMPLEMENTED")+COUNTIFS(MASTER!$C$2:$C$2000,"TESTING",MASTER!$G$2:$G$2000,"TESTING")</f>
        <v>1</v>
      </c>
      <c r="E4" s="7">
        <f>COUNTIFS(MASTER!$C$2:$C$2000,"TESTING",MASTER!$G$2:$G$2000,"BLOCKED")</f>
        <v>0</v>
      </c>
      <c r="F4" s="7">
        <f>COUNTIFS(MASTER!$C$2:$C$2000,"TESTING",MASTER!$G$2:$G$2000,"FAILED")</f>
        <v>0</v>
      </c>
      <c r="G4" s="9">
        <f>IF(A4=0,0,B4/A4)</f>
        <v>0.33333333333333331</v>
      </c>
      <c r="H4" s="9">
        <f>IF(A4=0,0,C4/A4)</f>
        <v>0.33333333333333331</v>
      </c>
    </row>
    <row r="6" spans="1:11" ht="15.75" x14ac:dyDescent="0.25">
      <c r="A6" s="5" t="s">
        <v>935</v>
      </c>
    </row>
    <row r="7" spans="1:11" ht="25.5" x14ac:dyDescent="0.25">
      <c r="A7" s="10" t="s">
        <v>936</v>
      </c>
      <c r="B7" s="10" t="s">
        <v>93</v>
      </c>
      <c r="C7" s="10" t="s">
        <v>94</v>
      </c>
      <c r="D7" s="10" t="s">
        <v>937</v>
      </c>
      <c r="E7" s="10" t="s">
        <v>938</v>
      </c>
      <c r="F7" s="10" t="s">
        <v>19</v>
      </c>
      <c r="G7" s="10" t="s">
        <v>174</v>
      </c>
      <c r="H7" s="10" t="s">
        <v>939</v>
      </c>
      <c r="I7" s="10" t="s">
        <v>940</v>
      </c>
      <c r="J7" s="10" t="s">
        <v>941</v>
      </c>
      <c r="K7" s="10" t="s">
        <v>173</v>
      </c>
    </row>
    <row r="8" spans="1:11" ht="51" x14ac:dyDescent="0.25">
      <c r="A8" s="15" t="s">
        <v>942</v>
      </c>
      <c r="B8" s="12" t="s">
        <v>943</v>
      </c>
      <c r="C8" s="12" t="s">
        <v>944</v>
      </c>
      <c r="D8" s="18" t="s">
        <v>945</v>
      </c>
      <c r="E8" s="12">
        <v>643</v>
      </c>
      <c r="F8" s="12">
        <v>0</v>
      </c>
      <c r="G8" s="18" t="s">
        <v>946</v>
      </c>
      <c r="H8" s="12">
        <v>1</v>
      </c>
      <c r="I8" s="19">
        <v>46292.166724537034</v>
      </c>
      <c r="J8" s="12">
        <v>88</v>
      </c>
      <c r="K8" s="12" t="s">
        <v>947</v>
      </c>
    </row>
    <row r="9" spans="1:11" x14ac:dyDescent="0.25">
      <c r="A9" s="15" t="s">
        <v>948</v>
      </c>
      <c r="B9" s="12" t="s">
        <v>949</v>
      </c>
      <c r="C9" s="12" t="s">
        <v>944</v>
      </c>
      <c r="D9" s="18" t="s">
        <v>950</v>
      </c>
      <c r="E9" s="12">
        <v>0</v>
      </c>
      <c r="F9" s="12">
        <v>0</v>
      </c>
      <c r="G9" s="18" t="s">
        <v>951</v>
      </c>
      <c r="H9" s="12">
        <v>0</v>
      </c>
      <c r="I9" s="19">
        <v>46292.166759259257</v>
      </c>
      <c r="J9" s="12">
        <v>53</v>
      </c>
      <c r="K9" s="12" t="s">
        <v>947</v>
      </c>
    </row>
    <row r="10" spans="1:11" x14ac:dyDescent="0.25">
      <c r="A10" s="15" t="s">
        <v>952</v>
      </c>
      <c r="B10" s="12" t="s">
        <v>953</v>
      </c>
      <c r="C10" s="12" t="s">
        <v>944</v>
      </c>
      <c r="D10" s="18" t="s">
        <v>954</v>
      </c>
      <c r="E10" s="12">
        <v>0</v>
      </c>
      <c r="F10" s="12">
        <v>0</v>
      </c>
      <c r="G10" s="18" t="s">
        <v>955</v>
      </c>
      <c r="H10" s="12">
        <v>0</v>
      </c>
      <c r="I10" s="19">
        <v>46292.16679398148</v>
      </c>
      <c r="J10" s="12">
        <v>7</v>
      </c>
      <c r="K10" s="12" t="s">
        <v>947</v>
      </c>
    </row>
    <row r="11" spans="1:11" x14ac:dyDescent="0.25">
      <c r="A11" s="15" t="s">
        <v>956</v>
      </c>
      <c r="B11" s="12" t="s">
        <v>957</v>
      </c>
      <c r="C11" s="12" t="s">
        <v>944</v>
      </c>
      <c r="D11" s="18" t="s">
        <v>958</v>
      </c>
      <c r="E11" s="12">
        <v>46</v>
      </c>
      <c r="F11" s="12">
        <v>0</v>
      </c>
      <c r="G11" s="18" t="s">
        <v>959</v>
      </c>
      <c r="H11" s="12">
        <v>0</v>
      </c>
      <c r="I11" s="19">
        <v>46292.166828703703</v>
      </c>
      <c r="J11" s="12">
        <v>30</v>
      </c>
      <c r="K11" s="12" t="s">
        <v>947</v>
      </c>
    </row>
    <row r="12" spans="1:11" x14ac:dyDescent="0.25">
      <c r="A12" s="15" t="s">
        <v>960</v>
      </c>
      <c r="B12" s="12" t="s">
        <v>961</v>
      </c>
      <c r="C12" s="12" t="s">
        <v>944</v>
      </c>
      <c r="D12" s="18" t="s">
        <v>962</v>
      </c>
      <c r="E12" s="12">
        <v>0</v>
      </c>
      <c r="F12" s="12">
        <v>0</v>
      </c>
      <c r="G12" s="18" t="s">
        <v>963</v>
      </c>
      <c r="H12" s="12">
        <v>0</v>
      </c>
      <c r="I12" s="19">
        <v>46292.166863425933</v>
      </c>
      <c r="J12" s="12">
        <v>20</v>
      </c>
      <c r="K12" s="12" t="s">
        <v>947</v>
      </c>
    </row>
    <row r="13" spans="1:11" ht="63.75" x14ac:dyDescent="0.25">
      <c r="A13" s="15" t="s">
        <v>964</v>
      </c>
      <c r="B13" s="12" t="s">
        <v>965</v>
      </c>
      <c r="C13" s="12" t="s">
        <v>944</v>
      </c>
      <c r="D13" s="18" t="s">
        <v>966</v>
      </c>
      <c r="E13" s="12">
        <v>16</v>
      </c>
      <c r="F13" s="12">
        <v>0</v>
      </c>
      <c r="G13" s="18" t="s">
        <v>967</v>
      </c>
      <c r="H13" s="12">
        <v>0</v>
      </c>
      <c r="I13" s="19">
        <v>46292.166898148149</v>
      </c>
      <c r="J13" s="12">
        <v>67</v>
      </c>
      <c r="K13" s="12" t="s">
        <v>947</v>
      </c>
    </row>
    <row r="14" spans="1:11" ht="38.25" x14ac:dyDescent="0.25">
      <c r="A14" s="15" t="s">
        <v>968</v>
      </c>
      <c r="B14" s="12" t="s">
        <v>969</v>
      </c>
      <c r="C14" s="12" t="s">
        <v>944</v>
      </c>
      <c r="D14" s="18" t="s">
        <v>970</v>
      </c>
      <c r="E14" s="12">
        <v>4</v>
      </c>
      <c r="F14" s="12">
        <v>0</v>
      </c>
      <c r="G14" s="18" t="s">
        <v>971</v>
      </c>
      <c r="H14" s="12">
        <v>0</v>
      </c>
      <c r="I14" s="19">
        <v>46292.166932870372</v>
      </c>
      <c r="J14" s="12"/>
      <c r="K14" s="12" t="s">
        <v>947</v>
      </c>
    </row>
    <row r="15" spans="1:11" ht="63.75" x14ac:dyDescent="0.25">
      <c r="A15" s="15" t="s">
        <v>972</v>
      </c>
      <c r="B15" s="12" t="s">
        <v>973</v>
      </c>
      <c r="C15" s="12" t="s">
        <v>944</v>
      </c>
      <c r="D15" s="18" t="s">
        <v>974</v>
      </c>
      <c r="E15" s="12">
        <v>8</v>
      </c>
      <c r="F15" s="12">
        <v>0</v>
      </c>
      <c r="G15" s="18" t="s">
        <v>975</v>
      </c>
      <c r="H15" s="12">
        <v>0</v>
      </c>
      <c r="I15" s="19">
        <v>46292.166979166657</v>
      </c>
      <c r="J15" s="12"/>
      <c r="K15" s="12" t="s">
        <v>947</v>
      </c>
    </row>
    <row r="16" spans="1:11" ht="25.5" x14ac:dyDescent="0.25">
      <c r="A16" s="15" t="s">
        <v>976</v>
      </c>
      <c r="B16" s="12" t="s">
        <v>977</v>
      </c>
      <c r="C16" s="12" t="s">
        <v>944</v>
      </c>
      <c r="D16" s="18" t="s">
        <v>978</v>
      </c>
      <c r="E16" s="12">
        <v>2</v>
      </c>
      <c r="F16" s="12">
        <v>0</v>
      </c>
      <c r="G16" s="18" t="s">
        <v>979</v>
      </c>
      <c r="H16" s="12">
        <v>0</v>
      </c>
      <c r="I16" s="19">
        <v>46292.167013888888</v>
      </c>
      <c r="J16" s="12"/>
      <c r="K16" s="12" t="s">
        <v>947</v>
      </c>
    </row>
    <row r="17" spans="1:12" x14ac:dyDescent="0.25">
      <c r="A17" s="15" t="s">
        <v>980</v>
      </c>
      <c r="B17" s="12" t="s">
        <v>981</v>
      </c>
      <c r="C17" s="12" t="s">
        <v>944</v>
      </c>
      <c r="D17" s="18" t="s">
        <v>982</v>
      </c>
      <c r="E17" s="12">
        <v>1</v>
      </c>
      <c r="F17" s="12">
        <v>0</v>
      </c>
      <c r="G17" s="18" t="s">
        <v>983</v>
      </c>
      <c r="H17" s="12">
        <v>0</v>
      </c>
      <c r="I17" s="19">
        <v>46292.167048611111</v>
      </c>
      <c r="J17" s="12"/>
      <c r="K17" s="12" t="s">
        <v>947</v>
      </c>
    </row>
    <row r="18" spans="1:12" ht="63.75" x14ac:dyDescent="0.25">
      <c r="A18" s="15" t="s">
        <v>984</v>
      </c>
      <c r="B18" s="12" t="s">
        <v>985</v>
      </c>
      <c r="C18" s="12" t="s">
        <v>986</v>
      </c>
      <c r="D18" s="18" t="s">
        <v>987</v>
      </c>
      <c r="E18" s="12">
        <v>1</v>
      </c>
      <c r="F18" s="12">
        <v>0</v>
      </c>
      <c r="G18" s="18" t="s">
        <v>988</v>
      </c>
      <c r="H18" s="12">
        <v>0</v>
      </c>
      <c r="I18" s="19">
        <v>46292.167083333326</v>
      </c>
      <c r="J18" s="12"/>
      <c r="K18" s="12" t="s">
        <v>947</v>
      </c>
    </row>
    <row r="19" spans="1:12" ht="25.5" x14ac:dyDescent="0.25">
      <c r="A19" s="15" t="s">
        <v>989</v>
      </c>
      <c r="B19" s="12" t="s">
        <v>943</v>
      </c>
      <c r="C19" s="12" t="s">
        <v>944</v>
      </c>
      <c r="D19" s="18" t="s">
        <v>945</v>
      </c>
      <c r="E19" s="12">
        <v>659</v>
      </c>
      <c r="F19" s="12">
        <v>0</v>
      </c>
      <c r="G19" s="18" t="s">
        <v>990</v>
      </c>
      <c r="H19" s="12">
        <v>1</v>
      </c>
      <c r="I19" s="19">
        <v>46292.194814814808</v>
      </c>
      <c r="J19" s="12">
        <v>85</v>
      </c>
      <c r="K19" s="12" t="s">
        <v>185</v>
      </c>
    </row>
    <row r="20" spans="1:12" ht="25.5" x14ac:dyDescent="0.25">
      <c r="A20" s="15" t="s">
        <v>991</v>
      </c>
      <c r="B20" s="12" t="s">
        <v>957</v>
      </c>
      <c r="C20" s="12" t="s">
        <v>944</v>
      </c>
      <c r="D20" s="18" t="s">
        <v>992</v>
      </c>
      <c r="E20" s="12">
        <v>77</v>
      </c>
      <c r="F20" s="12">
        <v>0</v>
      </c>
      <c r="G20" s="18" t="s">
        <v>993</v>
      </c>
      <c r="H20" s="12">
        <v>0</v>
      </c>
      <c r="I20" s="19">
        <v>46292.194849537038</v>
      </c>
      <c r="J20" s="12">
        <v>4</v>
      </c>
      <c r="K20" s="12" t="s">
        <v>185</v>
      </c>
    </row>
    <row r="21" spans="1:12" ht="25.5" x14ac:dyDescent="0.25">
      <c r="A21" s="15" t="s">
        <v>994</v>
      </c>
      <c r="B21" s="12" t="s">
        <v>965</v>
      </c>
      <c r="C21" s="12" t="s">
        <v>944</v>
      </c>
      <c r="D21" s="18" t="s">
        <v>995</v>
      </c>
      <c r="E21" s="12">
        <v>17</v>
      </c>
      <c r="F21" s="12">
        <v>0</v>
      </c>
      <c r="G21" s="18" t="s">
        <v>996</v>
      </c>
      <c r="H21" s="12">
        <v>0</v>
      </c>
      <c r="I21" s="19">
        <v>46292.194884259261</v>
      </c>
      <c r="J21" s="12">
        <v>71</v>
      </c>
      <c r="K21" s="12" t="s">
        <v>185</v>
      </c>
    </row>
    <row r="22" spans="1:12" ht="25.5" x14ac:dyDescent="0.25">
      <c r="A22" s="15" t="s">
        <v>997</v>
      </c>
      <c r="B22" s="12" t="s">
        <v>943</v>
      </c>
      <c r="C22" s="12" t="s">
        <v>944</v>
      </c>
      <c r="D22" s="18" t="s">
        <v>945</v>
      </c>
      <c r="E22" s="12">
        <v>688</v>
      </c>
      <c r="F22" s="12">
        <v>0</v>
      </c>
      <c r="G22" s="18" t="s">
        <v>998</v>
      </c>
      <c r="H22" s="12">
        <v>1</v>
      </c>
      <c r="I22" s="19">
        <v>46292.218171296299</v>
      </c>
      <c r="J22" s="12">
        <v>102</v>
      </c>
      <c r="K22" s="12" t="s">
        <v>255</v>
      </c>
    </row>
    <row r="23" spans="1:12" x14ac:dyDescent="0.25">
      <c r="A23" s="15" t="s">
        <v>999</v>
      </c>
      <c r="B23" s="12" t="s">
        <v>957</v>
      </c>
      <c r="C23" s="12" t="s">
        <v>944</v>
      </c>
      <c r="D23" s="18" t="s">
        <v>992</v>
      </c>
      <c r="E23" s="12">
        <v>80</v>
      </c>
      <c r="F23" s="12">
        <v>0</v>
      </c>
      <c r="G23" s="18" t="s">
        <v>1000</v>
      </c>
      <c r="H23" s="12">
        <v>0</v>
      </c>
      <c r="I23" s="19">
        <v>46292.218206018522</v>
      </c>
      <c r="J23" s="12">
        <v>5</v>
      </c>
      <c r="K23" s="12" t="s">
        <v>255</v>
      </c>
    </row>
    <row r="24" spans="1:12" ht="38.25" x14ac:dyDescent="0.25">
      <c r="A24" s="15" t="s">
        <v>1001</v>
      </c>
      <c r="B24" s="12" t="s">
        <v>965</v>
      </c>
      <c r="C24" s="12" t="s">
        <v>944</v>
      </c>
      <c r="D24" s="18" t="s">
        <v>995</v>
      </c>
      <c r="E24" s="12">
        <v>18</v>
      </c>
      <c r="F24" s="12">
        <v>0</v>
      </c>
      <c r="G24" s="18" t="s">
        <v>1002</v>
      </c>
      <c r="H24" s="12">
        <v>0</v>
      </c>
      <c r="I24" s="19">
        <v>46292.218240740738</v>
      </c>
      <c r="J24" s="12">
        <v>72</v>
      </c>
      <c r="K24" s="12" t="s">
        <v>255</v>
      </c>
    </row>
    <row r="25" spans="1:12" ht="25.5" x14ac:dyDescent="0.25">
      <c r="A25" s="15" t="s">
        <v>1003</v>
      </c>
      <c r="B25" s="12" t="s">
        <v>943</v>
      </c>
      <c r="C25" s="12" t="s">
        <v>944</v>
      </c>
      <c r="D25" s="18" t="s">
        <v>945</v>
      </c>
      <c r="E25" s="12">
        <v>694</v>
      </c>
      <c r="F25" s="12">
        <v>0</v>
      </c>
      <c r="G25" s="18" t="s">
        <v>1004</v>
      </c>
      <c r="H25" s="12">
        <v>1</v>
      </c>
      <c r="I25" s="19">
        <v>46292.350682870368</v>
      </c>
      <c r="J25" s="12">
        <v>107</v>
      </c>
      <c r="K25" s="12" t="s">
        <v>338</v>
      </c>
    </row>
    <row r="26" spans="1:12" x14ac:dyDescent="0.25">
      <c r="A26" s="15" t="s">
        <v>1005</v>
      </c>
      <c r="B26" s="12" t="s">
        <v>957</v>
      </c>
      <c r="C26" s="12" t="s">
        <v>944</v>
      </c>
      <c r="D26" s="18" t="s">
        <v>992</v>
      </c>
      <c r="E26" s="12">
        <v>84</v>
      </c>
      <c r="F26" s="12">
        <v>0</v>
      </c>
      <c r="G26" s="18" t="s">
        <v>1006</v>
      </c>
      <c r="H26" s="12">
        <v>0</v>
      </c>
      <c r="I26" s="19">
        <v>46292.350717592592</v>
      </c>
      <c r="J26" s="12">
        <v>5</v>
      </c>
      <c r="K26" s="12" t="s">
        <v>338</v>
      </c>
    </row>
    <row r="27" spans="1:12" ht="25.5" x14ac:dyDescent="0.25">
      <c r="A27" s="15" t="s">
        <v>1007</v>
      </c>
      <c r="B27" s="12" t="s">
        <v>965</v>
      </c>
      <c r="C27" s="12" t="s">
        <v>944</v>
      </c>
      <c r="D27" s="18" t="s">
        <v>995</v>
      </c>
      <c r="E27" s="12">
        <v>18</v>
      </c>
      <c r="F27" s="12">
        <v>0</v>
      </c>
      <c r="G27" s="18" t="s">
        <v>1008</v>
      </c>
      <c r="H27" s="12">
        <v>0</v>
      </c>
      <c r="I27" s="19">
        <v>46292.350763888891</v>
      </c>
      <c r="J27" s="12">
        <v>72</v>
      </c>
      <c r="K27" s="12" t="s">
        <v>338</v>
      </c>
    </row>
    <row r="28" spans="1:12" ht="25.5" x14ac:dyDescent="0.25">
      <c r="A28" s="15" t="s">
        <v>1009</v>
      </c>
      <c r="B28" s="12" t="s">
        <v>943</v>
      </c>
      <c r="C28" s="12" t="s">
        <v>944</v>
      </c>
      <c r="D28" s="18" t="s">
        <v>945</v>
      </c>
      <c r="E28" s="12">
        <v>700</v>
      </c>
      <c r="F28" s="12">
        <v>0</v>
      </c>
      <c r="G28" s="18" t="s">
        <v>1010</v>
      </c>
      <c r="H28" s="12">
        <v>1</v>
      </c>
      <c r="I28" s="19">
        <v>46292.356620370367</v>
      </c>
      <c r="J28" s="12">
        <v>89</v>
      </c>
      <c r="K28" s="12" t="s">
        <v>350</v>
      </c>
    </row>
    <row r="31" spans="1:12" ht="15.75" x14ac:dyDescent="0.25">
      <c r="A31" s="5" t="s">
        <v>1011</v>
      </c>
    </row>
    <row r="32" spans="1:12" x14ac:dyDescent="0.25">
      <c r="A32" s="10" t="s">
        <v>162</v>
      </c>
      <c r="B32" s="10" t="s">
        <v>99</v>
      </c>
      <c r="C32" s="10" t="s">
        <v>43</v>
      </c>
      <c r="D32" s="10" t="s">
        <v>163</v>
      </c>
      <c r="E32" s="10" t="s">
        <v>165</v>
      </c>
      <c r="F32" s="10" t="s">
        <v>57</v>
      </c>
      <c r="G32" s="10" t="s">
        <v>166</v>
      </c>
      <c r="H32" s="10" t="s">
        <v>167</v>
      </c>
      <c r="I32" s="10" t="s">
        <v>15</v>
      </c>
      <c r="J32" s="10" t="s">
        <v>173</v>
      </c>
      <c r="K32" s="10" t="s">
        <v>174</v>
      </c>
      <c r="L32" s="10" t="s">
        <v>175</v>
      </c>
    </row>
    <row r="33" spans="1:12" x14ac:dyDescent="0.25">
      <c r="A33" s="15" t="s">
        <v>199</v>
      </c>
      <c r="B33" s="12" t="str">
        <f>IFERROR(INDEX(MASTER!$C$2:$C$2000,MATCH($A33,MASTER!$A$2:$A$2000,0))&amp;"","")</f>
        <v>TESTING</v>
      </c>
      <c r="C33" s="16">
        <f>IFERROR(INDEX(MASTER!$B$2:$B$2000,MATCH($A33,MASTER!$A$2:$A$2000,0)),"")</f>
        <v>0</v>
      </c>
      <c r="D33" s="12" t="str">
        <f>IFERROR(INDEX(MASTER!$D$2:$D$2000,MATCH($A33,MASTER!$A$2:$A$2000,0))&amp;"","")</f>
        <v>Baseline: backend tests</v>
      </c>
      <c r="E33" s="12" t="str">
        <f>IFERROR(INDEX(MASTER!$F$2:$F$2000,MATCH($A33,MASTER!$A$2:$A$2000,0))&amp;"","")</f>
        <v>P0</v>
      </c>
      <c r="F33" s="12" t="str">
        <f>IFERROR(INDEX(MASTER!$G$2:$G$2000,MATCH($A33,MASTER!$A$2:$A$2000,0))&amp;"","NOT IN MASTER")</f>
        <v>DONE</v>
      </c>
      <c r="G33" s="12" t="str">
        <f>IFERROR(INDEX(MASTER!$H$2:$H$2000,MATCH($A33,MASTER!$A$2:$A$2000,0))&amp;"","")</f>
        <v>docs/architecture/current-baseline.md; TESTING RUN-0001</v>
      </c>
      <c r="H33" s="12" t="str">
        <f>IFERROR(INDEX(MASTER!$I$2:$I$2000,MATCH($A33,MASTER!$A$2:$A$2000,0))&amp;"","")</f>
        <v>backend pytest: 643 passed, 1 skipped, 0 failed (88 s)</v>
      </c>
      <c r="I33" s="19">
        <f>IFERROR(IF(INDEX(MASTER!$O$2:$O$2000,MATCH($A33,MASTER!$A$2:$A$2000,0))="","",INDEX(MASTER!$O$2:$O$2000,MATCH($A33,MASTER!$A$2:$A$2000,0))),"")</f>
        <v>46292.17150462963</v>
      </c>
      <c r="J33" s="12" t="str">
        <f>IFERROR(INDEX(MASTER!$P$2:$P$2000,MATCH($A33,MASTER!$A$2:$A$2000,0))&amp;"","")</f>
        <v>4da4ecb</v>
      </c>
      <c r="K33" s="12" t="str">
        <f>IFERROR(INDEX(MASTER!$Q$2:$Q$2000,MATCH($A33,MASTER!$A$2:$A$2000,0))&amp;"","")</f>
        <v/>
      </c>
      <c r="L33" s="12" t="str">
        <f>IFERROR(INDEX(MASTER!$R$2:$R$2000,MATCH($A33,MASTER!$A$2:$A$2000,0))&amp;"","")</f>
        <v/>
      </c>
    </row>
    <row r="34" spans="1:12" x14ac:dyDescent="0.25">
      <c r="A34" s="15" t="s">
        <v>205</v>
      </c>
      <c r="B34" s="12" t="str">
        <f>IFERROR(INDEX(MASTER!$C$2:$C$2000,MATCH($A34,MASTER!$A$2:$A$2000,0))&amp;"","")</f>
        <v>TESTING</v>
      </c>
      <c r="C34" s="16">
        <f>IFERROR(INDEX(MASTER!$B$2:$B$2000,MATCH($A34,MASTER!$A$2:$A$2000,0)),"")</f>
        <v>0</v>
      </c>
      <c r="D34" s="12" t="str">
        <f>IFERROR(INDEX(MASTER!$D$2:$D$2000,MATCH($A34,MASTER!$A$2:$A$2000,0))&amp;"","")</f>
        <v>Baseline: frontend tests, typecheck, lint, build</v>
      </c>
      <c r="E34" s="12" t="str">
        <f>IFERROR(INDEX(MASTER!$F$2:$F$2000,MATCH($A34,MASTER!$A$2:$A$2000,0))&amp;"","")</f>
        <v>P0</v>
      </c>
      <c r="F34" s="12" t="str">
        <f>IFERROR(INDEX(MASTER!$G$2:$G$2000,MATCH($A34,MASTER!$A$2:$A$2000,0))&amp;"","NOT IN MASTER")</f>
        <v>DONE</v>
      </c>
      <c r="G34" s="12" t="str">
        <f>IFERROR(INDEX(MASTER!$H$2:$H$2000,MATCH($A34,MASTER!$A$2:$A$2000,0))&amp;"","")</f>
        <v>docs/architecture/current-baseline.md; TESTING RUN-0002..0005</v>
      </c>
      <c r="H34" s="12" t="str">
        <f>IFERROR(INDEX(MASTER!$I$2:$I$2000,MATCH($A34,MASTER!$A$2:$A$2000,0))&amp;"","")</f>
        <v>eslint 0 problems; tsc 0 errors; Vitest 46/46; next build OK (11 routes)</v>
      </c>
      <c r="I34" s="19">
        <f>IFERROR(IF(INDEX(MASTER!$O$2:$O$2000,MATCH($A34,MASTER!$A$2:$A$2000,0))="","",INDEX(MASTER!$O$2:$O$2000,MATCH($A34,MASTER!$A$2:$A$2000,0))),"")</f>
        <v>46292.171550925923</v>
      </c>
      <c r="J34" s="12" t="str">
        <f>IFERROR(INDEX(MASTER!$P$2:$P$2000,MATCH($A34,MASTER!$A$2:$A$2000,0))&amp;"","")</f>
        <v>4da4ecb</v>
      </c>
      <c r="K34" s="12" t="str">
        <f>IFERROR(INDEX(MASTER!$Q$2:$Q$2000,MATCH($A34,MASTER!$A$2:$A$2000,0))&amp;"","")</f>
        <v/>
      </c>
      <c r="L34" s="12" t="str">
        <f>IFERROR(INDEX(MASTER!$R$2:$R$2000,MATCH($A34,MASTER!$A$2:$A$2000,0))&amp;"","")</f>
        <v/>
      </c>
    </row>
    <row r="35" spans="1:12" x14ac:dyDescent="0.25">
      <c r="A35" s="15" t="s">
        <v>211</v>
      </c>
      <c r="B35" s="12" t="str">
        <f>IFERROR(INDEX(MASTER!$C$2:$C$2000,MATCH($A35,MASTER!$A$2:$A$2000,0))&amp;"","")</f>
        <v>TESTING</v>
      </c>
      <c r="C35" s="16">
        <f>IFERROR(INDEX(MASTER!$B$2:$B$2000,MATCH($A35,MASTER!$A$2:$A$2000,0)),"")</f>
        <v>0</v>
      </c>
      <c r="D35" s="12" t="str">
        <f>IFERROR(INDEX(MASTER!$D$2:$D$2000,MATCH($A35,MASTER!$A$2:$A$2000,0))&amp;"","")</f>
        <v>Baseline: Playwright E2E</v>
      </c>
      <c r="E35" s="12" t="str">
        <f>IFERROR(INDEX(MASTER!$F$2:$F$2000,MATCH($A35,MASTER!$A$2:$A$2000,0))&amp;"","")</f>
        <v>P0</v>
      </c>
      <c r="F35" s="12" t="str">
        <f>IFERROR(INDEX(MASTER!$G$2:$G$2000,MATCH($A35,MASTER!$A$2:$A$2000,0))&amp;"","NOT IN MASTER")</f>
        <v>DONE</v>
      </c>
      <c r="G35" s="12" t="str">
        <f>IFERROR(INDEX(MASTER!$H$2:$H$2000,MATCH($A35,MASTER!$A$2:$A$2000,0))&amp;"","")</f>
        <v>docs/architecture/current-baseline.md; TESTING RUN-0006</v>
      </c>
      <c r="H35" s="12" t="str">
        <f>IFERROR(INDEX(MASTER!$I$2:$I$2000,MATCH($A35,MASTER!$A$2:$A$2000,0))&amp;"","")</f>
        <v>Playwright (Edge): 16 passed, 0 failed (67 s)</v>
      </c>
      <c r="I35" s="19">
        <f>IFERROR(IF(INDEX(MASTER!$O$2:$O$2000,MATCH($A35,MASTER!$A$2:$A$2000,0))="","",INDEX(MASTER!$O$2:$O$2000,MATCH($A35,MASTER!$A$2:$A$2000,0))),"")</f>
        <v>46292.171585648153</v>
      </c>
      <c r="J35" s="12" t="str">
        <f>IFERROR(INDEX(MASTER!$P$2:$P$2000,MATCH($A35,MASTER!$A$2:$A$2000,0))&amp;"","")</f>
        <v>4da4ecb</v>
      </c>
      <c r="K35" s="12" t="str">
        <f>IFERROR(INDEX(MASTER!$Q$2:$Q$2000,MATCH($A35,MASTER!$A$2:$A$2000,0))&amp;"","")</f>
        <v/>
      </c>
      <c r="L35" s="12" t="str">
        <f>IFERROR(INDEX(MASTER!$R$2:$R$2000,MATCH($A35,MASTER!$A$2:$A$2000,0))&amp;"","")</f>
        <v/>
      </c>
    </row>
    <row r="36" spans="1:12" x14ac:dyDescent="0.25">
      <c r="A36" s="15" t="s">
        <v>217</v>
      </c>
      <c r="B36" s="12" t="str">
        <f>IFERROR(INDEX(MASTER!$C$2:$C$2000,MATCH($A36,MASTER!$A$2:$A$2000,0))&amp;"","")</f>
        <v>TESTING</v>
      </c>
      <c r="C36" s="16">
        <f>IFERROR(INDEX(MASTER!$B$2:$B$2000,MATCH($A36,MASTER!$A$2:$A$2000,0)),"")</f>
        <v>0</v>
      </c>
      <c r="D36" s="12" t="str">
        <f>IFERROR(INDEX(MASTER!$D$2:$D$2000,MATCH($A36,MASTER!$A$2:$A$2000,0))&amp;"","")</f>
        <v>Baseline: migrations and database</v>
      </c>
      <c r="E36" s="12" t="str">
        <f>IFERROR(INDEX(MASTER!$F$2:$F$2000,MATCH($A36,MASTER!$A$2:$A$2000,0))&amp;"","")</f>
        <v>P0</v>
      </c>
      <c r="F36" s="12" t="str">
        <f>IFERROR(INDEX(MASTER!$G$2:$G$2000,MATCH($A36,MASTER!$A$2:$A$2000,0))&amp;"","NOT IN MASTER")</f>
        <v>DONE</v>
      </c>
      <c r="G36" s="12" t="str">
        <f>IFERROR(INDEX(MASTER!$H$2:$H$2000,MATCH($A36,MASTER!$A$2:$A$2000,0))&amp;"","")</f>
        <v>docs/architecture/current-baseline.md; TESTING RUN-0007, RUN-0008</v>
      </c>
      <c r="H36" s="12" t="str">
        <f>IFERROR(INDEX(MASTER!$I$2:$I$2000,MATCH($A36,MASTER!$A$2:$A$2000,0))&amp;"","")</f>
        <v>alembic upgrade/check/downgrade/upgrade on scratch SQLite; offline PostgreSQL SQL; Supabase list_migrations 8/8 + advisors</v>
      </c>
      <c r="I36" s="19">
        <f>IFERROR(IF(INDEX(MASTER!$O$2:$O$2000,MATCH($A36,MASTER!$A$2:$A$2000,0))="","",INDEX(MASTER!$O$2:$O$2000,MATCH($A36,MASTER!$A$2:$A$2000,0))),"")</f>
        <v>46292.171620370369</v>
      </c>
      <c r="J36" s="12" t="str">
        <f>IFERROR(INDEX(MASTER!$P$2:$P$2000,MATCH($A36,MASTER!$A$2:$A$2000,0))&amp;"","")</f>
        <v>4da4ecb</v>
      </c>
      <c r="K36" s="12" t="str">
        <f>IFERROR(INDEX(MASTER!$Q$2:$Q$2000,MATCH($A36,MASTER!$A$2:$A$2000,0))&amp;"","")</f>
        <v/>
      </c>
      <c r="L36" s="12" t="str">
        <f>IFERROR(INDEX(MASTER!$R$2:$R$2000,MATCH($A36,MASTER!$A$2:$A$2000,0))&amp;"","")</f>
        <v/>
      </c>
    </row>
    <row r="37" spans="1:12" x14ac:dyDescent="0.25">
      <c r="A37" s="15" t="s">
        <v>236</v>
      </c>
      <c r="B37" s="12" t="str">
        <f>IFERROR(INDEX(MASTER!$C$2:$C$2000,MATCH($A37,MASTER!$A$2:$A$2000,0))&amp;"","")</f>
        <v>TESTING</v>
      </c>
      <c r="C37" s="16">
        <f>IFERROR(INDEX(MASTER!$B$2:$B$2000,MATCH($A37,MASTER!$A$2:$A$2000,0)),"")</f>
        <v>0</v>
      </c>
      <c r="D37" s="12" t="str">
        <f>IFERROR(INDEX(MASTER!$D$2:$D$2000,MATCH($A37,MASTER!$A$2:$A$2000,0))&amp;"","")</f>
        <v>Baseline: fixture inventory</v>
      </c>
      <c r="E37" s="12" t="str">
        <f>IFERROR(INDEX(MASTER!$F$2:$F$2000,MATCH($A37,MASTER!$A$2:$A$2000,0))&amp;"","")</f>
        <v>P1</v>
      </c>
      <c r="F37" s="12" t="str">
        <f>IFERROR(INDEX(MASTER!$G$2:$G$2000,MATCH($A37,MASTER!$A$2:$A$2000,0))&amp;"","NOT IN MASTER")</f>
        <v>DONE</v>
      </c>
      <c r="G37" s="12" t="str">
        <f>IFERROR(INDEX(MASTER!$H$2:$H$2000,MATCH($A37,MASTER!$A$2:$A$2000,0))&amp;"","")</f>
        <v>docs/architecture/current-baseline.md (fixture inventory)</v>
      </c>
      <c r="H37" s="12" t="str">
        <f>IFERROR(INDEX(MASTER!$I$2:$I$2000,MATCH($A37,MASTER!$A$2:$A$2000,0))&amp;"","")</f>
        <v>backend/tests/fixtures: 12 generated DOCX + sample.pdf; 17 Word-authored audit fixtures (a01-a12, r01-r05) outside the repo</v>
      </c>
      <c r="I37" s="19">
        <f>IFERROR(IF(INDEX(MASTER!$O$2:$O$2000,MATCH($A37,MASTER!$A$2:$A$2000,0))="","",INDEX(MASTER!$O$2:$O$2000,MATCH($A37,MASTER!$A$2:$A$2000,0))),"")</f>
        <v>46292.171655092592</v>
      </c>
      <c r="J37" s="12" t="str">
        <f>IFERROR(INDEX(MASTER!$P$2:$P$2000,MATCH($A37,MASTER!$A$2:$A$2000,0))&amp;"","")</f>
        <v>4da4ecb</v>
      </c>
      <c r="K37" s="12" t="str">
        <f>IFERROR(INDEX(MASTER!$Q$2:$Q$2000,MATCH($A37,MASTER!$A$2:$A$2000,0))&amp;"","")</f>
        <v/>
      </c>
      <c r="L37" s="12" t="str">
        <f>IFERROR(INDEX(MASTER!$R$2:$R$2000,MATCH($A37,MASTER!$A$2:$A$2000,0))&amp;"","")</f>
        <v/>
      </c>
    </row>
    <row r="38" spans="1:12" x14ac:dyDescent="0.25">
      <c r="A38" s="15" t="s">
        <v>370</v>
      </c>
      <c r="B38" s="12" t="str">
        <f>IFERROR(INDEX(MASTER!$C$2:$C$2000,MATCH($A38,MASTER!$A$2:$A$2000,0))&amp;"","")</f>
        <v>TESTING</v>
      </c>
      <c r="C38" s="16">
        <f>IFERROR(INDEX(MASTER!$B$2:$B$2000,MATCH($A38,MASTER!$A$2:$A$2000,0)),"")</f>
        <v>1</v>
      </c>
      <c r="D38" s="12" t="str">
        <f>IFERROR(INDEX(MASTER!$D$2:$D$2000,MATCH($A38,MASTER!$A$2:$A$2000,0))&amp;"","")</f>
        <v>Regression tests for nested structures</v>
      </c>
      <c r="E38" s="12" t="str">
        <f>IFERROR(INDEX(MASTER!$F$2:$F$2000,MATCH($A38,MASTER!$A$2:$A$2000,0))&amp;"","")</f>
        <v>P0</v>
      </c>
      <c r="F38" s="12" t="str">
        <f>IFERROR(INDEX(MASTER!$G$2:$G$2000,MATCH($A38,MASTER!$A$2:$A$2000,0))&amp;"","NOT IN MASTER")</f>
        <v>IMPLEMENTED</v>
      </c>
      <c r="G38" s="12" t="str">
        <f>IFERROR(INDEX(MASTER!$H$2:$H$2000,MATCH($A38,MASTER!$A$2:$A$2000,0))&amp;"","")</f>
        <v>backend: test_document_nesting.py, test_nested_blocks_api.py, test_health.py; frontend: nestedBlocks.test.ts, useAutoSave.test.tsx; e2e: nested.spec.ts</v>
      </c>
      <c r="H38" s="12" t="str">
        <f>IFERROR(INDEX(MASTER!$I$2:$I$2000,MATCH($A38,MASTER!$A$2:$A$2000,0))&amp;"","")</f>
        <v>backend 659 passed; Vitest 77 passed; e2e nested 1 passed</v>
      </c>
      <c r="I38" s="19" t="str">
        <f>IFERROR(IF(INDEX(MASTER!$O$2:$O$2000,MATCH($A38,MASTER!$A$2:$A$2000,0))="","",INDEX(MASTER!$O$2:$O$2000,MATCH($A38,MASTER!$A$2:$A$2000,0))),"")</f>
        <v/>
      </c>
      <c r="J38" s="12" t="str">
        <f>IFERROR(INDEX(MASTER!$P$2:$P$2000,MATCH($A38,MASTER!$A$2:$A$2000,0))&amp;"","")</f>
        <v/>
      </c>
      <c r="K38" s="12" t="str">
        <f>IFERROR(INDEX(MASTER!$Q$2:$Q$2000,MATCH($A38,MASTER!$A$2:$A$2000,0))&amp;"","")</f>
        <v/>
      </c>
      <c r="L38" s="12" t="str">
        <f>IFERROR(INDEX(MASTER!$R$2:$R$2000,MATCH($A38,MASTER!$A$2:$A$2000,0))&amp;"","")</f>
        <v/>
      </c>
    </row>
    <row r="39" spans="1:12" x14ac:dyDescent="0.25">
      <c r="A39" s="15" t="s">
        <v>489</v>
      </c>
      <c r="B39" s="12" t="str">
        <f>IFERROR(INDEX(MASTER!$C$2:$C$2000,MATCH($A39,MASTER!$A$2:$A$2000,0))&amp;"","")</f>
        <v>TESTING</v>
      </c>
      <c r="C39" s="16">
        <f>IFERROR(INDEX(MASTER!$B$2:$B$2000,MATCH($A39,MASTER!$A$2:$A$2000,0)),"")</f>
        <v>3</v>
      </c>
      <c r="D39" s="12" t="str">
        <f>IFERROR(INDEX(MASTER!$D$2:$D$2000,MATCH($A39,MASTER!$A$2:$A$2000,0))&amp;"","")</f>
        <v>Word-authored fixtures in the repository</v>
      </c>
      <c r="E39" s="12" t="str">
        <f>IFERROR(INDEX(MASTER!$F$2:$F$2000,MATCH($A39,MASTER!$A$2:$A$2000,0))&amp;"","")</f>
        <v>P0</v>
      </c>
      <c r="F39" s="12" t="str">
        <f>IFERROR(INDEX(MASTER!$G$2:$G$2000,MATCH($A39,MASTER!$A$2:$A$2000,0))&amp;"","NOT IN MASTER")</f>
        <v>NOT_STARTED</v>
      </c>
      <c r="G39" s="12" t="str">
        <f>IFERROR(INDEX(MASTER!$H$2:$H$2000,MATCH($A39,MASTER!$A$2:$A$2000,0))&amp;"","")</f>
        <v/>
      </c>
      <c r="H39" s="12" t="str">
        <f>IFERROR(INDEX(MASTER!$I$2:$I$2000,MATCH($A39,MASTER!$A$2:$A$2000,0))&amp;"","")</f>
        <v/>
      </c>
      <c r="I39" s="19" t="str">
        <f>IFERROR(IF(INDEX(MASTER!$O$2:$O$2000,MATCH($A39,MASTER!$A$2:$A$2000,0))="","",INDEX(MASTER!$O$2:$O$2000,MATCH($A39,MASTER!$A$2:$A$2000,0))),"")</f>
        <v/>
      </c>
      <c r="J39" s="12" t="str">
        <f>IFERROR(INDEX(MASTER!$P$2:$P$2000,MATCH($A39,MASTER!$A$2:$A$2000,0))&amp;"","")</f>
        <v/>
      </c>
      <c r="K39" s="12" t="str">
        <f>IFERROR(INDEX(MASTER!$Q$2:$Q$2000,MATCH($A39,MASTER!$A$2:$A$2000,0))&amp;"","")</f>
        <v/>
      </c>
      <c r="L39" s="12" t="str">
        <f>IFERROR(INDEX(MASTER!$R$2:$R$2000,MATCH($A39,MASTER!$A$2:$A$2000,0))&amp;"","")</f>
        <v/>
      </c>
    </row>
    <row r="40" spans="1:12" x14ac:dyDescent="0.25">
      <c r="A40" s="15" t="s">
        <v>493</v>
      </c>
      <c r="B40" s="12" t="str">
        <f>IFERROR(INDEX(MASTER!$C$2:$C$2000,MATCH($A40,MASTER!$A$2:$A$2000,0))&amp;"","")</f>
        <v>TESTING</v>
      </c>
      <c r="C40" s="16">
        <f>IFERROR(INDEX(MASTER!$B$2:$B$2000,MATCH($A40,MASTER!$A$2:$A$2000,0)),"")</f>
        <v>3</v>
      </c>
      <c r="D40" s="12" t="str">
        <f>IFERROR(INDEX(MASTER!$D$2:$D$2000,MATCH($A40,MASTER!$A$2:$A$2000,0))&amp;"","")</f>
        <v>Expected-loss manifests in CI</v>
      </c>
      <c r="E40" s="12" t="str">
        <f>IFERROR(INDEX(MASTER!$F$2:$F$2000,MATCH($A40,MASTER!$A$2:$A$2000,0))&amp;"","")</f>
        <v>P0</v>
      </c>
      <c r="F40" s="12" t="str">
        <f>IFERROR(INDEX(MASTER!$G$2:$G$2000,MATCH($A40,MASTER!$A$2:$A$2000,0))&amp;"","NOT IN MASTER")</f>
        <v>NOT_STARTED</v>
      </c>
      <c r="G40" s="12" t="str">
        <f>IFERROR(INDEX(MASTER!$H$2:$H$2000,MATCH($A40,MASTER!$A$2:$A$2000,0))&amp;"","")</f>
        <v/>
      </c>
      <c r="H40" s="12" t="str">
        <f>IFERROR(INDEX(MASTER!$I$2:$I$2000,MATCH($A40,MASTER!$A$2:$A$2000,0))&amp;"","")</f>
        <v/>
      </c>
      <c r="I40" s="19" t="str">
        <f>IFERROR(IF(INDEX(MASTER!$O$2:$O$2000,MATCH($A40,MASTER!$A$2:$A$2000,0))="","",INDEX(MASTER!$O$2:$O$2000,MATCH($A40,MASTER!$A$2:$A$2000,0))),"")</f>
        <v/>
      </c>
      <c r="J40" s="12" t="str">
        <f>IFERROR(INDEX(MASTER!$P$2:$P$2000,MATCH($A40,MASTER!$A$2:$A$2000,0))&amp;"","")</f>
        <v/>
      </c>
      <c r="K40" s="12" t="str">
        <f>IFERROR(INDEX(MASTER!$Q$2:$Q$2000,MATCH($A40,MASTER!$A$2:$A$2000,0))&amp;"","")</f>
        <v/>
      </c>
      <c r="L40" s="12" t="str">
        <f>IFERROR(INDEX(MASTER!$R$2:$R$2000,MATCH($A40,MASTER!$A$2:$A$2000,0))&amp;"","")</f>
        <v>TEST-020</v>
      </c>
    </row>
    <row r="41" spans="1:12" x14ac:dyDescent="0.25">
      <c r="A41" s="15" t="s">
        <v>496</v>
      </c>
      <c r="B41" s="12" t="str">
        <f>IFERROR(INDEX(MASTER!$C$2:$C$2000,MATCH($A41,MASTER!$A$2:$A$2000,0))&amp;"","")</f>
        <v>TESTING</v>
      </c>
      <c r="C41" s="16">
        <f>IFERROR(INDEX(MASTER!$B$2:$B$2000,MATCH($A41,MASTER!$A$2:$A$2000,0)),"")</f>
        <v>3</v>
      </c>
      <c r="D41" s="12" t="str">
        <f>IFERROR(INDEX(MASTER!$D$2:$D$2000,MATCH($A41,MASTER!$A$2:$A$2000,0))&amp;"","")</f>
        <v>True fidelity test</v>
      </c>
      <c r="E41" s="12" t="str">
        <f>IFERROR(INDEX(MASTER!$F$2:$F$2000,MATCH($A41,MASTER!$A$2:$A$2000,0))&amp;"","")</f>
        <v>P0</v>
      </c>
      <c r="F41" s="12" t="str">
        <f>IFERROR(INDEX(MASTER!$G$2:$G$2000,MATCH($A41,MASTER!$A$2:$A$2000,0))&amp;"","NOT IN MASTER")</f>
        <v>NOT_STARTED</v>
      </c>
      <c r="G41" s="12" t="str">
        <f>IFERROR(INDEX(MASTER!$H$2:$H$2000,MATCH($A41,MASTER!$A$2:$A$2000,0))&amp;"","")</f>
        <v/>
      </c>
      <c r="H41" s="12" t="str">
        <f>IFERROR(INDEX(MASTER!$I$2:$I$2000,MATCH($A41,MASTER!$A$2:$A$2000,0))&amp;"","")</f>
        <v/>
      </c>
      <c r="I41" s="19" t="str">
        <f>IFERROR(IF(INDEX(MASTER!$O$2:$O$2000,MATCH($A41,MASTER!$A$2:$A$2000,0))="","",INDEX(MASTER!$O$2:$O$2000,MATCH($A41,MASTER!$A$2:$A$2000,0))),"")</f>
        <v/>
      </c>
      <c r="J41" s="12" t="str">
        <f>IFERROR(INDEX(MASTER!$P$2:$P$2000,MATCH($A41,MASTER!$A$2:$A$2000,0))&amp;"","")</f>
        <v/>
      </c>
      <c r="K41" s="12" t="str">
        <f>IFERROR(INDEX(MASTER!$Q$2:$Q$2000,MATCH($A41,MASTER!$A$2:$A$2000,0))&amp;"","")</f>
        <v/>
      </c>
      <c r="L41" s="12" t="str">
        <f>IFERROR(INDEX(MASTER!$R$2:$R$2000,MATCH($A41,MASTER!$A$2:$A$2000,0))&amp;"","")</f>
        <v>TEST-020</v>
      </c>
    </row>
    <row r="42" spans="1:12" x14ac:dyDescent="0.25">
      <c r="A42" s="15" t="s">
        <v>499</v>
      </c>
      <c r="B42" s="12" t="str">
        <f>IFERROR(INDEX(MASTER!$C$2:$C$2000,MATCH($A42,MASTER!$A$2:$A$2000,0))&amp;"","")</f>
        <v>TESTING</v>
      </c>
      <c r="C42" s="16">
        <f>IFERROR(INDEX(MASTER!$B$2:$B$2000,MATCH($A42,MASTER!$A$2:$A$2000,0)),"")</f>
        <v>3</v>
      </c>
      <c r="D42" s="12" t="str">
        <f>IFERROR(INDEX(MASTER!$D$2:$D$2000,MATCH($A42,MASTER!$A$2:$A$2000,0))&amp;"","")</f>
        <v>Independent validation</v>
      </c>
      <c r="E42" s="12" t="str">
        <f>IFERROR(INDEX(MASTER!$F$2:$F$2000,MATCH($A42,MASTER!$A$2:$A$2000,0))&amp;"","")</f>
        <v>P1</v>
      </c>
      <c r="F42" s="12" t="str">
        <f>IFERROR(INDEX(MASTER!$G$2:$G$2000,MATCH($A42,MASTER!$A$2:$A$2000,0))&amp;"","NOT IN MASTER")</f>
        <v>NOT_STARTED</v>
      </c>
      <c r="G42" s="12" t="str">
        <f>IFERROR(INDEX(MASTER!$H$2:$H$2000,MATCH($A42,MASTER!$A$2:$A$2000,0))&amp;"","")</f>
        <v/>
      </c>
      <c r="H42" s="12" t="str">
        <f>IFERROR(INDEX(MASTER!$I$2:$I$2000,MATCH($A42,MASTER!$A$2:$A$2000,0))&amp;"","")</f>
        <v/>
      </c>
      <c r="I42" s="19" t="str">
        <f>IFERROR(IF(INDEX(MASTER!$O$2:$O$2000,MATCH($A42,MASTER!$A$2:$A$2000,0))="","",INDEX(MASTER!$O$2:$O$2000,MATCH($A42,MASTER!$A$2:$A$2000,0))),"")</f>
        <v/>
      </c>
      <c r="J42" s="12" t="str">
        <f>IFERROR(INDEX(MASTER!$P$2:$P$2000,MATCH($A42,MASTER!$A$2:$A$2000,0))&amp;"","")</f>
        <v/>
      </c>
      <c r="K42" s="12" t="str">
        <f>IFERROR(INDEX(MASTER!$Q$2:$Q$2000,MATCH($A42,MASTER!$A$2:$A$2000,0))&amp;"","")</f>
        <v/>
      </c>
      <c r="L42" s="12" t="str">
        <f>IFERROR(INDEX(MASTER!$R$2:$R$2000,MATCH($A42,MASTER!$A$2:$A$2000,0))&amp;"","")</f>
        <v/>
      </c>
    </row>
    <row r="43" spans="1:12" x14ac:dyDescent="0.25">
      <c r="A43" s="15" t="s">
        <v>545</v>
      </c>
      <c r="B43" s="12" t="str">
        <f>IFERROR(INDEX(MASTER!$C$2:$C$2000,MATCH($A43,MASTER!$A$2:$A$2000,0))&amp;"","")</f>
        <v>TESTING</v>
      </c>
      <c r="C43" s="16">
        <f>IFERROR(INDEX(MASTER!$B$2:$B$2000,MATCH($A43,MASTER!$A$2:$A$2000,0)),"")</f>
        <v>4</v>
      </c>
      <c r="D43" s="12" t="str">
        <f>IFERROR(INDEX(MASTER!$D$2:$D$2000,MATCH($A43,MASTER!$A$2:$A$2000,0))&amp;"","")</f>
        <v>Security regression suite</v>
      </c>
      <c r="E43" s="12" t="str">
        <f>IFERROR(INDEX(MASTER!$F$2:$F$2000,MATCH($A43,MASTER!$A$2:$A$2000,0))&amp;"","")</f>
        <v>P0</v>
      </c>
      <c r="F43" s="12" t="str">
        <f>IFERROR(INDEX(MASTER!$G$2:$G$2000,MATCH($A43,MASTER!$A$2:$A$2000,0))&amp;"","NOT IN MASTER")</f>
        <v>NOT_STARTED</v>
      </c>
      <c r="G43" s="12" t="str">
        <f>IFERROR(INDEX(MASTER!$H$2:$H$2000,MATCH($A43,MASTER!$A$2:$A$2000,0))&amp;"","")</f>
        <v/>
      </c>
      <c r="H43" s="12" t="str">
        <f>IFERROR(INDEX(MASTER!$I$2:$I$2000,MATCH($A43,MASTER!$A$2:$A$2000,0))&amp;"","")</f>
        <v/>
      </c>
      <c r="I43" s="19" t="str">
        <f>IFERROR(IF(INDEX(MASTER!$O$2:$O$2000,MATCH($A43,MASTER!$A$2:$A$2000,0))="","",INDEX(MASTER!$O$2:$O$2000,MATCH($A43,MASTER!$A$2:$A$2000,0))),"")</f>
        <v/>
      </c>
      <c r="J43" s="12" t="str">
        <f>IFERROR(INDEX(MASTER!$P$2:$P$2000,MATCH($A43,MASTER!$A$2:$A$2000,0))&amp;"","")</f>
        <v/>
      </c>
      <c r="K43" s="12" t="str">
        <f>IFERROR(INDEX(MASTER!$Q$2:$Q$2000,MATCH($A43,MASTER!$A$2:$A$2000,0))&amp;"","")</f>
        <v/>
      </c>
      <c r="L43" s="12" t="str">
        <f>IFERROR(INDEX(MASTER!$R$2:$R$2000,MATCH($A43,MASTER!$A$2:$A$2000,0))&amp;"","")</f>
        <v/>
      </c>
    </row>
    <row r="44" spans="1:12" x14ac:dyDescent="0.25">
      <c r="A44" s="15" t="s">
        <v>795</v>
      </c>
      <c r="B44" s="12" t="str">
        <f>IFERROR(INDEX(MASTER!$C$2:$C$2000,MATCH($A44,MASTER!$A$2:$A$2000,0))&amp;"","")</f>
        <v>TESTING</v>
      </c>
      <c r="C44" s="16">
        <f>IFERROR(INDEX(MASTER!$B$2:$B$2000,MATCH($A44,MASTER!$A$2:$A$2000,0)),"")</f>
        <v>17</v>
      </c>
      <c r="D44" s="12" t="str">
        <f>IFERROR(INDEX(MASTER!$D$2:$D$2000,MATCH($A44,MASTER!$A$2:$A$2000,0))&amp;"","")</f>
        <v>Playwright workflow coverage</v>
      </c>
      <c r="E44" s="12" t="str">
        <f>IFERROR(INDEX(MASTER!$F$2:$F$2000,MATCH($A44,MASTER!$A$2:$A$2000,0))&amp;"","")</f>
        <v>P0</v>
      </c>
      <c r="F44" s="12" t="str">
        <f>IFERROR(INDEX(MASTER!$G$2:$G$2000,MATCH($A44,MASTER!$A$2:$A$2000,0))&amp;"","NOT IN MASTER")</f>
        <v>NOT_STARTED</v>
      </c>
      <c r="G44" s="12" t="str">
        <f>IFERROR(INDEX(MASTER!$H$2:$H$2000,MATCH($A44,MASTER!$A$2:$A$2000,0))&amp;"","")</f>
        <v/>
      </c>
      <c r="H44" s="12" t="str">
        <f>IFERROR(INDEX(MASTER!$I$2:$I$2000,MATCH($A44,MASTER!$A$2:$A$2000,0))&amp;"","")</f>
        <v/>
      </c>
      <c r="I44" s="19" t="str">
        <f>IFERROR(IF(INDEX(MASTER!$O$2:$O$2000,MATCH($A44,MASTER!$A$2:$A$2000,0))="","",INDEX(MASTER!$O$2:$O$2000,MATCH($A44,MASTER!$A$2:$A$2000,0))),"")</f>
        <v/>
      </c>
      <c r="J44" s="12" t="str">
        <f>IFERROR(INDEX(MASTER!$P$2:$P$2000,MATCH($A44,MASTER!$A$2:$A$2000,0))&amp;"","")</f>
        <v/>
      </c>
      <c r="K44" s="12" t="str">
        <f>IFERROR(INDEX(MASTER!$Q$2:$Q$2000,MATCH($A44,MASTER!$A$2:$A$2000,0))&amp;"","")</f>
        <v/>
      </c>
      <c r="L44" s="12" t="str">
        <f>IFERROR(INDEX(MASTER!$R$2:$R$2000,MATCH($A44,MASTER!$A$2:$A$2000,0))&amp;"","")</f>
        <v/>
      </c>
    </row>
    <row r="45" spans="1:12" x14ac:dyDescent="0.25">
      <c r="A45" s="15" t="s">
        <v>798</v>
      </c>
      <c r="B45" s="12" t="str">
        <f>IFERROR(INDEX(MASTER!$C$2:$C$2000,MATCH($A45,MASTER!$A$2:$A$2000,0))&amp;"","")</f>
        <v>TESTING</v>
      </c>
      <c r="C45" s="16">
        <f>IFERROR(INDEX(MASTER!$B$2:$B$2000,MATCH($A45,MASTER!$A$2:$A$2000,0)),"")</f>
        <v>17</v>
      </c>
      <c r="D45" s="12" t="str">
        <f>IFERROR(INDEX(MASTER!$D$2:$D$2000,MATCH($A45,MASTER!$A$2:$A$2000,0))&amp;"","")</f>
        <v>Performance gates</v>
      </c>
      <c r="E45" s="12" t="str">
        <f>IFERROR(INDEX(MASTER!$F$2:$F$2000,MATCH($A45,MASTER!$A$2:$A$2000,0))&amp;"","")</f>
        <v>P1</v>
      </c>
      <c r="F45" s="12" t="str">
        <f>IFERROR(INDEX(MASTER!$G$2:$G$2000,MATCH($A45,MASTER!$A$2:$A$2000,0))&amp;"","NOT IN MASTER")</f>
        <v>NOT_STARTED</v>
      </c>
      <c r="G45" s="12" t="str">
        <f>IFERROR(INDEX(MASTER!$H$2:$H$2000,MATCH($A45,MASTER!$A$2:$A$2000,0))&amp;"","")</f>
        <v/>
      </c>
      <c r="H45" s="12" t="str">
        <f>IFERROR(INDEX(MASTER!$I$2:$I$2000,MATCH($A45,MASTER!$A$2:$A$2000,0))&amp;"","")</f>
        <v/>
      </c>
      <c r="I45" s="19" t="str">
        <f>IFERROR(IF(INDEX(MASTER!$O$2:$O$2000,MATCH($A45,MASTER!$A$2:$A$2000,0))="","",INDEX(MASTER!$O$2:$O$2000,MATCH($A45,MASTER!$A$2:$A$2000,0))),"")</f>
        <v/>
      </c>
      <c r="J45" s="12" t="str">
        <f>IFERROR(INDEX(MASTER!$P$2:$P$2000,MATCH($A45,MASTER!$A$2:$A$2000,0))&amp;"","")</f>
        <v/>
      </c>
      <c r="K45" s="12" t="str">
        <f>IFERROR(INDEX(MASTER!$Q$2:$Q$2000,MATCH($A45,MASTER!$A$2:$A$2000,0))&amp;"","")</f>
        <v/>
      </c>
      <c r="L45" s="12" t="str">
        <f>IFERROR(INDEX(MASTER!$R$2:$R$2000,MATCH($A45,MASTER!$A$2:$A$2000,0))&amp;"","")</f>
        <v/>
      </c>
    </row>
    <row r="46" spans="1:12" x14ac:dyDescent="0.25">
      <c r="A46" s="15" t="s">
        <v>801</v>
      </c>
      <c r="B46" s="12" t="str">
        <f>IFERROR(INDEX(MASTER!$C$2:$C$2000,MATCH($A46,MASTER!$A$2:$A$2000,0))&amp;"","")</f>
        <v>TESTING</v>
      </c>
      <c r="C46" s="16">
        <f>IFERROR(INDEX(MASTER!$B$2:$B$2000,MATCH($A46,MASTER!$A$2:$A$2000,0)),"")</f>
        <v>17</v>
      </c>
      <c r="D46" s="12" t="str">
        <f>IFERROR(INDEX(MASTER!$D$2:$D$2000,MATCH($A46,MASTER!$A$2:$A$2000,0))&amp;"","")</f>
        <v>Browser matrix</v>
      </c>
      <c r="E46" s="12" t="str">
        <f>IFERROR(INDEX(MASTER!$F$2:$F$2000,MATCH($A46,MASTER!$A$2:$A$2000,0))&amp;"","")</f>
        <v>P2</v>
      </c>
      <c r="F46" s="12" t="str">
        <f>IFERROR(INDEX(MASTER!$G$2:$G$2000,MATCH($A46,MASTER!$A$2:$A$2000,0))&amp;"","NOT IN MASTER")</f>
        <v>NOT_STARTED</v>
      </c>
      <c r="G46" s="12" t="str">
        <f>IFERROR(INDEX(MASTER!$H$2:$H$2000,MATCH($A46,MASTER!$A$2:$A$2000,0))&amp;"","")</f>
        <v/>
      </c>
      <c r="H46" s="12" t="str">
        <f>IFERROR(INDEX(MASTER!$I$2:$I$2000,MATCH($A46,MASTER!$A$2:$A$2000,0))&amp;"","")</f>
        <v/>
      </c>
      <c r="I46" s="19" t="str">
        <f>IFERROR(IF(INDEX(MASTER!$O$2:$O$2000,MATCH($A46,MASTER!$A$2:$A$2000,0))="","",INDEX(MASTER!$O$2:$O$2000,MATCH($A46,MASTER!$A$2:$A$2000,0))),"")</f>
        <v/>
      </c>
      <c r="J46" s="12" t="str">
        <f>IFERROR(INDEX(MASTER!$P$2:$P$2000,MATCH($A46,MASTER!$A$2:$A$2000,0))&amp;"","")</f>
        <v/>
      </c>
      <c r="K46" s="12" t="str">
        <f>IFERROR(INDEX(MASTER!$Q$2:$Q$2000,MATCH($A46,MASTER!$A$2:$A$2000,0))&amp;"","")</f>
        <v/>
      </c>
      <c r="L46" s="12" t="str">
        <f>IFERROR(INDEX(MASTER!$R$2:$R$2000,MATCH($A46,MASTER!$A$2:$A$2000,0))&amp;"","")</f>
        <v/>
      </c>
    </row>
    <row r="47" spans="1:12" x14ac:dyDescent="0.25">
      <c r="A47" s="15" t="s">
        <v>804</v>
      </c>
      <c r="B47" s="12" t="str">
        <f>IFERROR(INDEX(MASTER!$C$2:$C$2000,MATCH($A47,MASTER!$A$2:$A$2000,0))&amp;"","")</f>
        <v>TESTING</v>
      </c>
      <c r="C47" s="16">
        <f>IFERROR(INDEX(MASTER!$B$2:$B$2000,MATCH($A47,MASTER!$A$2:$A$2000,0)),"")</f>
        <v>17</v>
      </c>
      <c r="D47" s="12" t="str">
        <f>IFERROR(INDEX(MASTER!$D$2:$D$2000,MATCH($A47,MASTER!$A$2:$A$2000,0))&amp;"","")</f>
        <v>E2E backend removes its temp directory</v>
      </c>
      <c r="E47" s="12" t="str">
        <f>IFERROR(INDEX(MASTER!$F$2:$F$2000,MATCH($A47,MASTER!$A$2:$A$2000,0))&amp;"","")</f>
        <v>P3</v>
      </c>
      <c r="F47" s="12" t="str">
        <f>IFERROR(INDEX(MASTER!$G$2:$G$2000,MATCH($A47,MASTER!$A$2:$A$2000,0))&amp;"","NOT IN MASTER")</f>
        <v>NOT_STARTED</v>
      </c>
      <c r="G47" s="12" t="str">
        <f>IFERROR(INDEX(MASTER!$H$2:$H$2000,MATCH($A47,MASTER!$A$2:$A$2000,0))&amp;"","")</f>
        <v/>
      </c>
      <c r="H47" s="12" t="str">
        <f>IFERROR(INDEX(MASTER!$I$2:$I$2000,MATCH($A47,MASTER!$A$2:$A$2000,0))&amp;"","")</f>
        <v/>
      </c>
      <c r="I47" s="19" t="str">
        <f>IFERROR(IF(INDEX(MASTER!$O$2:$O$2000,MATCH($A47,MASTER!$A$2:$A$2000,0))="","",INDEX(MASTER!$O$2:$O$2000,MATCH($A47,MASTER!$A$2:$A$2000,0))),"")</f>
        <v/>
      </c>
      <c r="J47" s="12" t="str">
        <f>IFERROR(INDEX(MASTER!$P$2:$P$2000,MATCH($A47,MASTER!$A$2:$A$2000,0))&amp;"","")</f>
        <v/>
      </c>
      <c r="K47" s="12" t="str">
        <f>IFERROR(INDEX(MASTER!$Q$2:$Q$2000,MATCH($A47,MASTER!$A$2:$A$2000,0))&amp;"","")</f>
        <v/>
      </c>
      <c r="L47" s="12" t="str">
        <f>IFERROR(INDEX(MASTER!$R$2:$R$2000,MATCH($A47,MASTER!$A$2:$A$2000,0))&amp;"","")</f>
        <v/>
      </c>
    </row>
  </sheetData>
  <autoFilter ref="A32:L47" xr:uid="{00000000-0009-0000-0000-00000B000000}"/>
  <conditionalFormatting sqref="C8:C28">
    <cfRule type="cellIs" dxfId="128" priority="1" operator="equal">
      <formula>"PASS"</formula>
    </cfRule>
    <cfRule type="cellIs" dxfId="127" priority="2" operator="equal">
      <formula>"FAIL"</formula>
    </cfRule>
    <cfRule type="cellIs" dxfId="126" priority="3" operator="equal">
      <formula>"PARTIAL"</formula>
    </cfRule>
  </conditionalFormatting>
  <conditionalFormatting sqref="E33:E47">
    <cfRule type="cellIs" dxfId="125" priority="22" operator="equal">
      <formula>"P0"</formula>
    </cfRule>
    <cfRule type="cellIs" dxfId="124" priority="23" operator="equal">
      <formula>"P1"</formula>
    </cfRule>
  </conditionalFormatting>
  <conditionalFormatting sqref="F33:F47">
    <cfRule type="cellIs" dxfId="123" priority="4" operator="equal">
      <formula>"DONE"</formula>
    </cfRule>
    <cfRule type="cellIs" dxfId="122" priority="5" operator="equal">
      <formula>"VERIFIED"</formula>
    </cfRule>
    <cfRule type="cellIs" dxfId="121" priority="6" operator="equal">
      <formula>"IN_PROGRESS"</formula>
    </cfRule>
    <cfRule type="cellIs" dxfId="120" priority="7" operator="equal">
      <formula>"IMPLEMENTED"</formula>
    </cfRule>
    <cfRule type="cellIs" dxfId="119" priority="8" operator="equal">
      <formula>"TESTING"</formula>
    </cfRule>
    <cfRule type="cellIs" dxfId="118" priority="9" operator="equal">
      <formula>"BLOCKED"</formula>
    </cfRule>
    <cfRule type="cellIs" dxfId="117" priority="10" operator="equal">
      <formula>"FAILED"</formula>
    </cfRule>
    <cfRule type="cellIs" dxfId="116" priority="11" operator="equal">
      <formula>"DEFERRED"</formula>
    </cfRule>
    <cfRule type="cellIs" dxfId="115" priority="12" operator="equal">
      <formula>"UNKNOWN"</formula>
    </cfRule>
    <cfRule type="cellIs" dxfId="114" priority="13" operator="equal">
      <formula>"PASS"</formula>
    </cfRule>
    <cfRule type="cellIs" dxfId="113" priority="14" operator="equal">
      <formula>"FAIL"</formula>
    </cfRule>
    <cfRule type="cellIs" dxfId="112" priority="15" operator="equal">
      <formula>"PARTIAL"</formula>
    </cfRule>
    <cfRule type="cellIs" dxfId="111" priority="16" operator="equal">
      <formula>"RESOLVED"</formula>
    </cfRule>
    <cfRule type="cellIs" dxfId="110" priority="17" operator="equal">
      <formula>"OPEN"</formula>
    </cfRule>
    <cfRule type="cellIs" dxfId="109" priority="18" operator="equal">
      <formula>"WITHIN"</formula>
    </cfRule>
    <cfRule type="cellIs" dxfId="108" priority="19" operator="equal">
      <formula>"OVER"</formula>
    </cfRule>
    <cfRule type="cellIs" dxfId="107" priority="20" operator="equal">
      <formula>"NOW"</formula>
    </cfRule>
    <cfRule type="cellIs" dxfId="106" priority="21" operator="equal">
      <formula>"NOT IN MASTER"</formula>
    </cfRule>
  </conditionalFormatting>
  <dataValidations count="1">
    <dataValidation type="list" allowBlank="1" showErrorMessage="1" errorTitle="Invalid result" error="Pick a result from the list." sqref="C8:C28" xr:uid="{00000000-0002-0000-0B00-000000000000}">
      <formula1>"PASS,FAIL,PARTIAL,N/A"</formula1>
    </dataValidation>
  </dataValidations>
  <pageMargins left="0.75" right="0.75" top="1" bottom="1" header="0.5" footer="0.5"/>
  <pageSetup fitToHeight="0"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A1:L74"/>
  <sheetViews>
    <sheetView workbookViewId="0">
      <pane ySplit="4" topLeftCell="A5" activePane="bottomLeft" state="frozen"/>
      <selection pane="bottomLeft"/>
    </sheetView>
  </sheetViews>
  <sheetFormatPr defaultRowHeight="15" x14ac:dyDescent="0.25"/>
  <cols>
    <col min="1" max="1" width="44" customWidth="1"/>
    <col min="2" max="2" width="19" customWidth="1"/>
    <col min="3" max="3" width="34" customWidth="1"/>
    <col min="4" max="4" width="44" customWidth="1"/>
    <col min="5" max="5" width="12" customWidth="1"/>
    <col min="6" max="6" width="50" customWidth="1"/>
    <col min="7" max="7" width="40" customWidth="1"/>
    <col min="8" max="8" width="34" customWidth="1"/>
    <col min="9" max="9" width="16" customWidth="1"/>
    <col min="10" max="10" width="10" customWidth="1"/>
    <col min="11" max="11" width="40" customWidth="1"/>
    <col min="12" max="12" width="11" customWidth="1"/>
  </cols>
  <sheetData>
    <row r="1" spans="1:8" ht="20.25" x14ac:dyDescent="0.3">
      <c r="A1" s="3" t="s">
        <v>1012</v>
      </c>
    </row>
    <row r="2" spans="1:8" x14ac:dyDescent="0.25">
      <c r="A2" s="4" t="s">
        <v>135</v>
      </c>
    </row>
    <row r="3" spans="1:8" x14ac:dyDescent="0.25">
      <c r="A3" s="6" t="s">
        <v>45</v>
      </c>
      <c r="B3" s="6" t="s">
        <v>46</v>
      </c>
      <c r="C3" s="6" t="s">
        <v>47</v>
      </c>
      <c r="D3" s="6" t="s">
        <v>13</v>
      </c>
      <c r="E3" s="6" t="s">
        <v>16</v>
      </c>
      <c r="F3" s="6" t="s">
        <v>19</v>
      </c>
      <c r="G3" s="6" t="s">
        <v>48</v>
      </c>
      <c r="H3" s="6" t="s">
        <v>33</v>
      </c>
    </row>
    <row r="4" spans="1:8" x14ac:dyDescent="0.25">
      <c r="A4" s="7">
        <f>COUNTIF(MASTER!$C$2:$C$2000,"PRODUCT")</f>
        <v>5</v>
      </c>
      <c r="B4" s="7">
        <f>COUNTIFS(MASTER!$C$2:$C$2000,"PRODUCT",MASTER!$G$2:$G$2000,"DONE")</f>
        <v>0</v>
      </c>
      <c r="C4" s="7">
        <f>COUNTIFS(MASTER!$C$2:$C$2000,"PRODUCT",MASTER!$G$2:$G$2000,"VERIFIED")+B4</f>
        <v>0</v>
      </c>
      <c r="D4" s="7">
        <f>COUNTIFS(MASTER!$C$2:$C$2000,"PRODUCT",MASTER!$G$2:$G$2000,"IN_PROGRESS")+COUNTIFS(MASTER!$C$2:$C$2000,"PRODUCT",MASTER!$G$2:$G$2000,"IMPLEMENTED")+COUNTIFS(MASTER!$C$2:$C$2000,"PRODUCT",MASTER!$G$2:$G$2000,"TESTING")</f>
        <v>0</v>
      </c>
      <c r="E4" s="7">
        <f>COUNTIFS(MASTER!$C$2:$C$2000,"PRODUCT",MASTER!$G$2:$G$2000,"BLOCKED")</f>
        <v>0</v>
      </c>
      <c r="F4" s="7">
        <f>COUNTIFS(MASTER!$C$2:$C$2000,"PRODUCT",MASTER!$G$2:$G$2000,"FAILED")</f>
        <v>0</v>
      </c>
      <c r="G4" s="9">
        <f>IF(A4=0,0,B4/A4)</f>
        <v>0</v>
      </c>
      <c r="H4" s="9">
        <f>IF(A4=0,0,C4/A4)</f>
        <v>0</v>
      </c>
    </row>
    <row r="6" spans="1:8" ht="15.75" x14ac:dyDescent="0.25">
      <c r="A6" s="5" t="s">
        <v>1013</v>
      </c>
    </row>
    <row r="7" spans="1:8" ht="25.5" x14ac:dyDescent="0.25">
      <c r="A7" s="10" t="s">
        <v>1014</v>
      </c>
      <c r="B7" s="10" t="s">
        <v>1015</v>
      </c>
      <c r="C7" s="10" t="s">
        <v>1016</v>
      </c>
      <c r="D7" s="10" t="s">
        <v>1017</v>
      </c>
      <c r="E7" s="10" t="s">
        <v>1018</v>
      </c>
      <c r="F7" s="10" t="s">
        <v>174</v>
      </c>
    </row>
    <row r="8" spans="1:8" x14ac:dyDescent="0.25">
      <c r="A8" s="15" t="s">
        <v>1019</v>
      </c>
      <c r="B8" s="12" t="s">
        <v>1020</v>
      </c>
      <c r="C8" s="18" t="s">
        <v>1021</v>
      </c>
      <c r="D8" s="16">
        <f>SUMPRODUCT(ISNUMBER(SEARCH(","&amp;MASTER!$A$2:$A$2000&amp;",",","&amp;SUBSTITUTE($C8," ","")&amp;","))*((MASTER!$G$2:$G$2000="DONE")))</f>
        <v>2</v>
      </c>
      <c r="E8" s="16">
        <f t="shared" ref="E8:E39" si="0">IF(LEN(SUBSTITUTE($C8," ",""))=0,0,LEN(SUBSTITUTE($C8," ",""))-LEN(SUBSTITUTE(SUBSTITUTE($C8," ",""),",",""))+1)</f>
        <v>3</v>
      </c>
      <c r="F8" s="18" t="s">
        <v>1022</v>
      </c>
    </row>
    <row r="9" spans="1:8" x14ac:dyDescent="0.25">
      <c r="A9" s="15" t="s">
        <v>1023</v>
      </c>
      <c r="B9" s="12" t="s">
        <v>1020</v>
      </c>
      <c r="C9" s="18" t="s">
        <v>1024</v>
      </c>
      <c r="D9" s="16">
        <f>SUMPRODUCT(ISNUMBER(SEARCH(","&amp;MASTER!$A$2:$A$2000&amp;",",","&amp;SUBSTITUTE($C9," ","")&amp;","))*((MASTER!$G$2:$G$2000="DONE")))</f>
        <v>0</v>
      </c>
      <c r="E9" s="16">
        <f t="shared" si="0"/>
        <v>2</v>
      </c>
      <c r="F9" s="18" t="s">
        <v>1025</v>
      </c>
    </row>
    <row r="10" spans="1:8" x14ac:dyDescent="0.25">
      <c r="A10" s="15" t="s">
        <v>1026</v>
      </c>
      <c r="B10" s="12" t="s">
        <v>1020</v>
      </c>
      <c r="C10" s="18" t="s">
        <v>1027</v>
      </c>
      <c r="D10" s="16">
        <f>SUMPRODUCT(ISNUMBER(SEARCH(","&amp;MASTER!$A$2:$A$2000&amp;",",","&amp;SUBSTITUTE($C10," ","")&amp;","))*((MASTER!$G$2:$G$2000="DONE")))</f>
        <v>0</v>
      </c>
      <c r="E10" s="16">
        <f t="shared" si="0"/>
        <v>3</v>
      </c>
      <c r="F10" s="18" t="s">
        <v>1028</v>
      </c>
    </row>
    <row r="11" spans="1:8" x14ac:dyDescent="0.25">
      <c r="A11" s="15" t="s">
        <v>1029</v>
      </c>
      <c r="B11" s="12" t="s">
        <v>1020</v>
      </c>
      <c r="C11" s="18" t="s">
        <v>1030</v>
      </c>
      <c r="D11" s="16">
        <f>SUMPRODUCT(ISNUMBER(SEARCH(","&amp;MASTER!$A$2:$A$2000&amp;",",","&amp;SUBSTITUTE($C11," ","")&amp;","))*((MASTER!$G$2:$G$2000="DONE")))</f>
        <v>0</v>
      </c>
      <c r="E11" s="16">
        <f t="shared" si="0"/>
        <v>3</v>
      </c>
      <c r="F11" s="18" t="s">
        <v>1031</v>
      </c>
    </row>
    <row r="12" spans="1:8" x14ac:dyDescent="0.25">
      <c r="A12" s="15" t="s">
        <v>1032</v>
      </c>
      <c r="B12" s="12" t="s">
        <v>1020</v>
      </c>
      <c r="C12" s="18" t="s">
        <v>1033</v>
      </c>
      <c r="D12" s="16">
        <f>SUMPRODUCT(ISNUMBER(SEARCH(","&amp;MASTER!$A$2:$A$2000&amp;",",","&amp;SUBSTITUTE($C12," ","")&amp;","))*((MASTER!$G$2:$G$2000="DONE")))</f>
        <v>0</v>
      </c>
      <c r="E12" s="16">
        <f t="shared" si="0"/>
        <v>2</v>
      </c>
      <c r="F12" s="18" t="s">
        <v>1034</v>
      </c>
    </row>
    <row r="13" spans="1:8" x14ac:dyDescent="0.25">
      <c r="A13" s="15" t="s">
        <v>77</v>
      </c>
      <c r="B13" s="12" t="s">
        <v>1020</v>
      </c>
      <c r="C13" s="18" t="s">
        <v>1035</v>
      </c>
      <c r="D13" s="16">
        <f>SUMPRODUCT(ISNUMBER(SEARCH(","&amp;MASTER!$A$2:$A$2000&amp;",",","&amp;SUBSTITUTE($C13," ","")&amp;","))*((MASTER!$G$2:$G$2000="DONE")))</f>
        <v>0</v>
      </c>
      <c r="E13" s="16">
        <f t="shared" si="0"/>
        <v>2</v>
      </c>
      <c r="F13" s="18" t="s">
        <v>1036</v>
      </c>
    </row>
    <row r="14" spans="1:8" x14ac:dyDescent="0.25">
      <c r="A14" s="15" t="s">
        <v>706</v>
      </c>
      <c r="B14" s="12" t="s">
        <v>1020</v>
      </c>
      <c r="C14" s="18" t="s">
        <v>1037</v>
      </c>
      <c r="D14" s="16">
        <f>SUMPRODUCT(ISNUMBER(SEARCH(","&amp;MASTER!$A$2:$A$2000&amp;",",","&amp;SUBSTITUTE($C14," ","")&amp;","))*((MASTER!$G$2:$G$2000="DONE")))</f>
        <v>0</v>
      </c>
      <c r="E14" s="16">
        <f t="shared" si="0"/>
        <v>2</v>
      </c>
      <c r="F14" s="18" t="s">
        <v>1038</v>
      </c>
    </row>
    <row r="15" spans="1:8" x14ac:dyDescent="0.25">
      <c r="A15" s="15" t="s">
        <v>1039</v>
      </c>
      <c r="B15" s="12" t="s">
        <v>1020</v>
      </c>
      <c r="C15" s="18" t="s">
        <v>1040</v>
      </c>
      <c r="D15" s="16">
        <f>SUMPRODUCT(ISNUMBER(SEARCH(","&amp;MASTER!$A$2:$A$2000&amp;",",","&amp;SUBSTITUTE($C15," ","")&amp;","))*((MASTER!$G$2:$G$2000="DONE")))</f>
        <v>0</v>
      </c>
      <c r="E15" s="16">
        <f t="shared" si="0"/>
        <v>2</v>
      </c>
      <c r="F15" s="18" t="s">
        <v>1041</v>
      </c>
    </row>
    <row r="16" spans="1:8" x14ac:dyDescent="0.25">
      <c r="A16" s="15" t="s">
        <v>86</v>
      </c>
      <c r="B16" s="12" t="s">
        <v>1020</v>
      </c>
      <c r="C16" s="18" t="s">
        <v>1042</v>
      </c>
      <c r="D16" s="16">
        <f>SUMPRODUCT(ISNUMBER(SEARCH(","&amp;MASTER!$A$2:$A$2000&amp;",",","&amp;SUBSTITUTE($C16," ","")&amp;","))*((MASTER!$G$2:$G$2000="DONE")))</f>
        <v>0</v>
      </c>
      <c r="E16" s="16">
        <f t="shared" si="0"/>
        <v>2</v>
      </c>
      <c r="F16" s="18" t="s">
        <v>1043</v>
      </c>
    </row>
    <row r="17" spans="1:6" x14ac:dyDescent="0.25">
      <c r="A17" s="15" t="s">
        <v>83</v>
      </c>
      <c r="B17" s="12" t="s">
        <v>1020</v>
      </c>
      <c r="C17" s="18" t="s">
        <v>1044</v>
      </c>
      <c r="D17" s="16">
        <f>SUMPRODUCT(ISNUMBER(SEARCH(","&amp;MASTER!$A$2:$A$2000&amp;",",","&amp;SUBSTITUTE($C17," ","")&amp;","))*((MASTER!$G$2:$G$2000="DONE")))</f>
        <v>0</v>
      </c>
      <c r="E17" s="16">
        <f t="shared" si="0"/>
        <v>3</v>
      </c>
      <c r="F17" s="18" t="s">
        <v>1045</v>
      </c>
    </row>
    <row r="18" spans="1:6" x14ac:dyDescent="0.25">
      <c r="A18" s="15" t="s">
        <v>1046</v>
      </c>
      <c r="B18" s="12" t="s">
        <v>1020</v>
      </c>
      <c r="C18" s="18" t="s">
        <v>649</v>
      </c>
      <c r="D18" s="16">
        <f>SUMPRODUCT(ISNUMBER(SEARCH(","&amp;MASTER!$A$2:$A$2000&amp;",",","&amp;SUBSTITUTE($C18," ","")&amp;","))*((MASTER!$G$2:$G$2000="DONE")))</f>
        <v>0</v>
      </c>
      <c r="E18" s="16">
        <f t="shared" si="0"/>
        <v>1</v>
      </c>
      <c r="F18" s="18" t="s">
        <v>1047</v>
      </c>
    </row>
    <row r="19" spans="1:6" x14ac:dyDescent="0.25">
      <c r="A19" s="15" t="s">
        <v>1048</v>
      </c>
      <c r="B19" s="12" t="s">
        <v>1020</v>
      </c>
      <c r="C19" s="18" t="s">
        <v>1049</v>
      </c>
      <c r="D19" s="16">
        <f>SUMPRODUCT(ISNUMBER(SEARCH(","&amp;MASTER!$A$2:$A$2000&amp;",",","&amp;SUBSTITUTE($C19," ","")&amp;","))*((MASTER!$G$2:$G$2000="DONE")))</f>
        <v>0</v>
      </c>
      <c r="E19" s="16">
        <f t="shared" si="0"/>
        <v>2</v>
      </c>
      <c r="F19" s="18" t="s">
        <v>1050</v>
      </c>
    </row>
    <row r="20" spans="1:6" x14ac:dyDescent="0.25">
      <c r="A20" s="15" t="s">
        <v>1051</v>
      </c>
      <c r="B20" s="12" t="s">
        <v>1020</v>
      </c>
      <c r="C20" s="18" t="s">
        <v>1052</v>
      </c>
      <c r="D20" s="16">
        <f>SUMPRODUCT(ISNUMBER(SEARCH(","&amp;MASTER!$A$2:$A$2000&amp;",",","&amp;SUBSTITUTE($C20," ","")&amp;","))*((MASTER!$G$2:$G$2000="DONE")))</f>
        <v>0</v>
      </c>
      <c r="E20" s="16">
        <f t="shared" si="0"/>
        <v>2</v>
      </c>
      <c r="F20" s="18" t="s">
        <v>1053</v>
      </c>
    </row>
    <row r="21" spans="1:6" x14ac:dyDescent="0.25">
      <c r="A21" s="15" t="s">
        <v>1054</v>
      </c>
      <c r="B21" s="12" t="s">
        <v>1020</v>
      </c>
      <c r="C21" s="18" t="s">
        <v>708</v>
      </c>
      <c r="D21" s="16">
        <f>SUMPRODUCT(ISNUMBER(SEARCH(","&amp;MASTER!$A$2:$A$2000&amp;",",","&amp;SUBSTITUTE($C21," ","")&amp;","))*((MASTER!$G$2:$G$2000="DONE")))</f>
        <v>0</v>
      </c>
      <c r="E21" s="16">
        <f t="shared" si="0"/>
        <v>1</v>
      </c>
      <c r="F21" s="18" t="s">
        <v>1053</v>
      </c>
    </row>
    <row r="22" spans="1:6" x14ac:dyDescent="0.25">
      <c r="A22" s="15" t="s">
        <v>1055</v>
      </c>
      <c r="B22" s="12" t="s">
        <v>1020</v>
      </c>
      <c r="C22" s="18" t="s">
        <v>677</v>
      </c>
      <c r="D22" s="16">
        <f>SUMPRODUCT(ISNUMBER(SEARCH(","&amp;MASTER!$A$2:$A$2000&amp;",",","&amp;SUBSTITUTE($C22," ","")&amp;","))*((MASTER!$G$2:$G$2000="DONE")))</f>
        <v>0</v>
      </c>
      <c r="E22" s="16">
        <f t="shared" si="0"/>
        <v>1</v>
      </c>
      <c r="F22" s="18" t="s">
        <v>1056</v>
      </c>
    </row>
    <row r="23" spans="1:6" x14ac:dyDescent="0.25">
      <c r="A23" s="15" t="s">
        <v>1057</v>
      </c>
      <c r="B23" s="12" t="s">
        <v>1020</v>
      </c>
      <c r="C23" s="18" t="s">
        <v>677</v>
      </c>
      <c r="D23" s="16">
        <f>SUMPRODUCT(ISNUMBER(SEARCH(","&amp;MASTER!$A$2:$A$2000&amp;",",","&amp;SUBSTITUTE($C23," ","")&amp;","))*((MASTER!$G$2:$G$2000="DONE")))</f>
        <v>0</v>
      </c>
      <c r="E23" s="16">
        <f t="shared" si="0"/>
        <v>1</v>
      </c>
      <c r="F23" s="18" t="s">
        <v>1056</v>
      </c>
    </row>
    <row r="24" spans="1:6" x14ac:dyDescent="0.25">
      <c r="A24" s="15" t="s">
        <v>1058</v>
      </c>
      <c r="B24" s="12" t="s">
        <v>1020</v>
      </c>
      <c r="C24" s="18" t="s">
        <v>459</v>
      </c>
      <c r="D24" s="16">
        <f>SUMPRODUCT(ISNUMBER(SEARCH(","&amp;MASTER!$A$2:$A$2000&amp;",",","&amp;SUBSTITUTE($C24," ","")&amp;","))*((MASTER!$G$2:$G$2000="DONE")))</f>
        <v>0</v>
      </c>
      <c r="E24" s="16">
        <f t="shared" si="0"/>
        <v>1</v>
      </c>
      <c r="F24" s="18" t="s">
        <v>1059</v>
      </c>
    </row>
    <row r="25" spans="1:6" x14ac:dyDescent="0.25">
      <c r="A25" s="15" t="s">
        <v>1060</v>
      </c>
      <c r="B25" s="12" t="s">
        <v>1020</v>
      </c>
      <c r="C25" s="18" t="s">
        <v>459</v>
      </c>
      <c r="D25" s="16">
        <f>SUMPRODUCT(ISNUMBER(SEARCH(","&amp;MASTER!$A$2:$A$2000&amp;",",","&amp;SUBSTITUTE($C25," ","")&amp;","))*((MASTER!$G$2:$G$2000="DONE")))</f>
        <v>0</v>
      </c>
      <c r="E25" s="16">
        <f t="shared" si="0"/>
        <v>1</v>
      </c>
      <c r="F25" s="18" t="s">
        <v>1061</v>
      </c>
    </row>
    <row r="26" spans="1:6" x14ac:dyDescent="0.25">
      <c r="A26" s="15" t="s">
        <v>1062</v>
      </c>
      <c r="B26" s="12" t="s">
        <v>1020</v>
      </c>
      <c r="C26" s="18" t="s">
        <v>471</v>
      </c>
      <c r="D26" s="16">
        <f>SUMPRODUCT(ISNUMBER(SEARCH(","&amp;MASTER!$A$2:$A$2000&amp;",",","&amp;SUBSTITUTE($C26," ","")&amp;","))*((MASTER!$G$2:$G$2000="DONE")))</f>
        <v>0</v>
      </c>
      <c r="E26" s="16">
        <f t="shared" si="0"/>
        <v>1</v>
      </c>
      <c r="F26" s="18" t="s">
        <v>1063</v>
      </c>
    </row>
    <row r="27" spans="1:6" ht="25.5" x14ac:dyDescent="0.25">
      <c r="A27" s="15" t="s">
        <v>1064</v>
      </c>
      <c r="B27" s="12" t="s">
        <v>1020</v>
      </c>
      <c r="C27" s="18" t="s">
        <v>858</v>
      </c>
      <c r="D27" s="16">
        <f>SUMPRODUCT(ISNUMBER(SEARCH(","&amp;MASTER!$A$2:$A$2000&amp;",",","&amp;SUBSTITUTE($C27," ","")&amp;","))*((MASTER!$G$2:$G$2000="DONE")))</f>
        <v>0</v>
      </c>
      <c r="E27" s="16">
        <f t="shared" si="0"/>
        <v>2</v>
      </c>
      <c r="F27" s="18" t="s">
        <v>1065</v>
      </c>
    </row>
    <row r="28" spans="1:6" x14ac:dyDescent="0.25">
      <c r="A28" s="15" t="s">
        <v>1066</v>
      </c>
      <c r="B28" s="12" t="s">
        <v>1067</v>
      </c>
      <c r="C28" s="18"/>
      <c r="D28" s="16">
        <f>SUMPRODUCT(ISNUMBER(SEARCH(","&amp;MASTER!$A$2:$A$2000&amp;",",","&amp;SUBSTITUTE($C28," ","")&amp;","))*((MASTER!$G$2:$G$2000="DONE")))</f>
        <v>0</v>
      </c>
      <c r="E28" s="16">
        <f t="shared" si="0"/>
        <v>0</v>
      </c>
      <c r="F28" s="18" t="s">
        <v>1068</v>
      </c>
    </row>
    <row r="29" spans="1:6" x14ac:dyDescent="0.25">
      <c r="A29" s="15" t="s">
        <v>1069</v>
      </c>
      <c r="B29" s="12" t="s">
        <v>1067</v>
      </c>
      <c r="C29" s="18"/>
      <c r="D29" s="16">
        <f>SUMPRODUCT(ISNUMBER(SEARCH(","&amp;MASTER!$A$2:$A$2000&amp;",",","&amp;SUBSTITUTE($C29," ","")&amp;","))*((MASTER!$G$2:$G$2000="DONE")))</f>
        <v>0</v>
      </c>
      <c r="E29" s="16">
        <f t="shared" si="0"/>
        <v>0</v>
      </c>
      <c r="F29" s="18"/>
    </row>
    <row r="30" spans="1:6" x14ac:dyDescent="0.25">
      <c r="A30" s="15" t="s">
        <v>755</v>
      </c>
      <c r="B30" s="12" t="s">
        <v>1067</v>
      </c>
      <c r="C30" s="18" t="s">
        <v>754</v>
      </c>
      <c r="D30" s="16">
        <f>SUMPRODUCT(ISNUMBER(SEARCH(","&amp;MASTER!$A$2:$A$2000&amp;",",","&amp;SUBSTITUTE($C30," ","")&amp;","))*((MASTER!$G$2:$G$2000="DONE")))</f>
        <v>0</v>
      </c>
      <c r="E30" s="16">
        <f t="shared" si="0"/>
        <v>1</v>
      </c>
      <c r="F30" s="18" t="s">
        <v>1070</v>
      </c>
    </row>
    <row r="31" spans="1:6" x14ac:dyDescent="0.25">
      <c r="A31" s="15" t="s">
        <v>759</v>
      </c>
      <c r="B31" s="12" t="s">
        <v>1067</v>
      </c>
      <c r="C31" s="18" t="s">
        <v>758</v>
      </c>
      <c r="D31" s="16">
        <f>SUMPRODUCT(ISNUMBER(SEARCH(","&amp;MASTER!$A$2:$A$2000&amp;",",","&amp;SUBSTITUTE($C31," ","")&amp;","))*((MASTER!$G$2:$G$2000="DONE")))</f>
        <v>0</v>
      </c>
      <c r="E31" s="16">
        <f t="shared" si="0"/>
        <v>1</v>
      </c>
      <c r="F31" s="18" t="s">
        <v>1070</v>
      </c>
    </row>
    <row r="32" spans="1:6" x14ac:dyDescent="0.25">
      <c r="A32" s="15" t="s">
        <v>762</v>
      </c>
      <c r="B32" s="12" t="s">
        <v>1067</v>
      </c>
      <c r="C32" s="18" t="s">
        <v>761</v>
      </c>
      <c r="D32" s="16">
        <f>SUMPRODUCT(ISNUMBER(SEARCH(","&amp;MASTER!$A$2:$A$2000&amp;",",","&amp;SUBSTITUTE($C32," ","")&amp;","))*((MASTER!$G$2:$G$2000="DONE")))</f>
        <v>0</v>
      </c>
      <c r="E32" s="16">
        <f t="shared" si="0"/>
        <v>1</v>
      </c>
      <c r="F32" s="18" t="s">
        <v>1071</v>
      </c>
    </row>
    <row r="33" spans="1:6" x14ac:dyDescent="0.25">
      <c r="A33" s="15" t="s">
        <v>749</v>
      </c>
      <c r="B33" s="12" t="s">
        <v>1067</v>
      </c>
      <c r="C33" s="18" t="s">
        <v>748</v>
      </c>
      <c r="D33" s="16">
        <f>SUMPRODUCT(ISNUMBER(SEARCH(","&amp;MASTER!$A$2:$A$2000&amp;",",","&amp;SUBSTITUTE($C33," ","")&amp;","))*((MASTER!$G$2:$G$2000="DONE")))</f>
        <v>0</v>
      </c>
      <c r="E33" s="16">
        <f t="shared" si="0"/>
        <v>1</v>
      </c>
      <c r="F33" s="18" t="s">
        <v>1068</v>
      </c>
    </row>
    <row r="34" spans="1:6" x14ac:dyDescent="0.25">
      <c r="A34" s="15" t="s">
        <v>1072</v>
      </c>
      <c r="B34" s="12" t="s">
        <v>1067</v>
      </c>
      <c r="C34" s="18" t="s">
        <v>748</v>
      </c>
      <c r="D34" s="16">
        <f>SUMPRODUCT(ISNUMBER(SEARCH(","&amp;MASTER!$A$2:$A$2000&amp;",",","&amp;SUBSTITUTE($C34," ","")&amp;","))*((MASTER!$G$2:$G$2000="DONE")))</f>
        <v>0</v>
      </c>
      <c r="E34" s="16">
        <f t="shared" si="0"/>
        <v>1</v>
      </c>
      <c r="F34" s="18"/>
    </row>
    <row r="35" spans="1:6" x14ac:dyDescent="0.25">
      <c r="A35" s="15" t="s">
        <v>1073</v>
      </c>
      <c r="B35" s="12" t="s">
        <v>1067</v>
      </c>
      <c r="C35" s="18" t="s">
        <v>748</v>
      </c>
      <c r="D35" s="16">
        <f>SUMPRODUCT(ISNUMBER(SEARCH(","&amp;MASTER!$A$2:$A$2000&amp;",",","&amp;SUBSTITUTE($C35," ","")&amp;","))*((MASTER!$G$2:$G$2000="DONE")))</f>
        <v>0</v>
      </c>
      <c r="E35" s="16">
        <f t="shared" si="0"/>
        <v>1</v>
      </c>
      <c r="F35" s="18"/>
    </row>
    <row r="36" spans="1:6" x14ac:dyDescent="0.25">
      <c r="A36" s="15" t="s">
        <v>765</v>
      </c>
      <c r="B36" s="12" t="s">
        <v>1067</v>
      </c>
      <c r="C36" s="18" t="s">
        <v>764</v>
      </c>
      <c r="D36" s="16">
        <f>SUMPRODUCT(ISNUMBER(SEARCH(","&amp;MASTER!$A$2:$A$2000&amp;",",","&amp;SUBSTITUTE($C36," ","")&amp;","))*((MASTER!$G$2:$G$2000="DONE")))</f>
        <v>0</v>
      </c>
      <c r="E36" s="16">
        <f t="shared" si="0"/>
        <v>1</v>
      </c>
      <c r="F36" s="18" t="s">
        <v>1074</v>
      </c>
    </row>
    <row r="37" spans="1:6" x14ac:dyDescent="0.25">
      <c r="A37" s="15" t="s">
        <v>1075</v>
      </c>
      <c r="B37" s="12" t="s">
        <v>1067</v>
      </c>
      <c r="C37" s="18" t="s">
        <v>764</v>
      </c>
      <c r="D37" s="16">
        <f>SUMPRODUCT(ISNUMBER(SEARCH(","&amp;MASTER!$A$2:$A$2000&amp;",",","&amp;SUBSTITUTE($C37," ","")&amp;","))*((MASTER!$G$2:$G$2000="DONE")))</f>
        <v>0</v>
      </c>
      <c r="E37" s="16">
        <f t="shared" si="0"/>
        <v>1</v>
      </c>
      <c r="F37" s="18"/>
    </row>
    <row r="38" spans="1:6" x14ac:dyDescent="0.25">
      <c r="A38" s="15" t="s">
        <v>1076</v>
      </c>
      <c r="B38" s="12" t="s">
        <v>1067</v>
      </c>
      <c r="C38" s="18" t="s">
        <v>732</v>
      </c>
      <c r="D38" s="16">
        <f>SUMPRODUCT(ISNUMBER(SEARCH(","&amp;MASTER!$A$2:$A$2000&amp;",",","&amp;SUBSTITUTE($C38," ","")&amp;","))*((MASTER!$G$2:$G$2000="DONE")))</f>
        <v>0</v>
      </c>
      <c r="E38" s="16">
        <f t="shared" si="0"/>
        <v>1</v>
      </c>
      <c r="F38" s="18"/>
    </row>
    <row r="39" spans="1:6" x14ac:dyDescent="0.25">
      <c r="A39" s="15" t="s">
        <v>1077</v>
      </c>
      <c r="B39" s="12" t="s">
        <v>1067</v>
      </c>
      <c r="C39" s="18" t="s">
        <v>1078</v>
      </c>
      <c r="D39" s="16">
        <f>SUMPRODUCT(ISNUMBER(SEARCH(","&amp;MASTER!$A$2:$A$2000&amp;",",","&amp;SUBSTITUTE($C39," ","")&amp;","))*((MASTER!$G$2:$G$2000="DONE")))</f>
        <v>0</v>
      </c>
      <c r="E39" s="16">
        <f t="shared" si="0"/>
        <v>2</v>
      </c>
      <c r="F39" s="18"/>
    </row>
    <row r="40" spans="1:6" x14ac:dyDescent="0.25">
      <c r="A40" s="15" t="s">
        <v>1079</v>
      </c>
      <c r="B40" s="12" t="s">
        <v>1067</v>
      </c>
      <c r="C40" s="18"/>
      <c r="D40" s="16">
        <f>SUMPRODUCT(ISNUMBER(SEARCH(","&amp;MASTER!$A$2:$A$2000&amp;",",","&amp;SUBSTITUTE($C40," ","")&amp;","))*((MASTER!$G$2:$G$2000="DONE")))</f>
        <v>0</v>
      </c>
      <c r="E40" s="16">
        <f t="shared" ref="E40:E65" si="1">IF(LEN(SUBSTITUTE($C40," ",""))=0,0,LEN(SUBSTITUTE($C40," ",""))-LEN(SUBSTITUTE(SUBSTITUTE($C40," ",""),",",""))+1)</f>
        <v>0</v>
      </c>
      <c r="F40" s="18"/>
    </row>
    <row r="41" spans="1:6" x14ac:dyDescent="0.25">
      <c r="A41" s="15" t="s">
        <v>1080</v>
      </c>
      <c r="B41" s="12" t="s">
        <v>1067</v>
      </c>
      <c r="C41" s="18"/>
      <c r="D41" s="16">
        <f>SUMPRODUCT(ISNUMBER(SEARCH(","&amp;MASTER!$A$2:$A$2000&amp;",",","&amp;SUBSTITUTE($C41," ","")&amp;","))*((MASTER!$G$2:$G$2000="DONE")))</f>
        <v>0</v>
      </c>
      <c r="E41" s="16">
        <f t="shared" si="1"/>
        <v>0</v>
      </c>
      <c r="F41" s="18"/>
    </row>
    <row r="42" spans="1:6" x14ac:dyDescent="0.25">
      <c r="A42" s="15" t="s">
        <v>1081</v>
      </c>
      <c r="B42" s="12" t="s">
        <v>1067</v>
      </c>
      <c r="C42" s="18"/>
      <c r="D42" s="16">
        <f>SUMPRODUCT(ISNUMBER(SEARCH(","&amp;MASTER!$A$2:$A$2000&amp;",",","&amp;SUBSTITUTE($C42," ","")&amp;","))*((MASTER!$G$2:$G$2000="DONE")))</f>
        <v>0</v>
      </c>
      <c r="E42" s="16">
        <f t="shared" si="1"/>
        <v>0</v>
      </c>
      <c r="F42" s="18"/>
    </row>
    <row r="43" spans="1:6" x14ac:dyDescent="0.25">
      <c r="A43" s="15" t="s">
        <v>752</v>
      </c>
      <c r="B43" s="12" t="s">
        <v>1067</v>
      </c>
      <c r="C43" s="18" t="s">
        <v>751</v>
      </c>
      <c r="D43" s="16">
        <f>SUMPRODUCT(ISNUMBER(SEARCH(","&amp;MASTER!$A$2:$A$2000&amp;",",","&amp;SUBSTITUTE($C43," ","")&amp;","))*((MASTER!$G$2:$G$2000="DONE")))</f>
        <v>0</v>
      </c>
      <c r="E43" s="16">
        <f t="shared" si="1"/>
        <v>1</v>
      </c>
      <c r="F43" s="18"/>
    </row>
    <row r="44" spans="1:6" x14ac:dyDescent="0.25">
      <c r="A44" s="15" t="s">
        <v>1082</v>
      </c>
      <c r="B44" s="12" t="s">
        <v>1067</v>
      </c>
      <c r="C44" s="18" t="s">
        <v>751</v>
      </c>
      <c r="D44" s="16">
        <f>SUMPRODUCT(ISNUMBER(SEARCH(","&amp;MASTER!$A$2:$A$2000&amp;",",","&amp;SUBSTITUTE($C44," ","")&amp;","))*((MASTER!$G$2:$G$2000="DONE")))</f>
        <v>0</v>
      </c>
      <c r="E44" s="16">
        <f t="shared" si="1"/>
        <v>1</v>
      </c>
      <c r="F44" s="18"/>
    </row>
    <row r="45" spans="1:6" x14ac:dyDescent="0.25">
      <c r="A45" s="15" t="s">
        <v>1083</v>
      </c>
      <c r="B45" s="12" t="s">
        <v>1067</v>
      </c>
      <c r="C45" s="18" t="s">
        <v>720</v>
      </c>
      <c r="D45" s="16">
        <f>SUMPRODUCT(ISNUMBER(SEARCH(","&amp;MASTER!$A$2:$A$2000&amp;",",","&amp;SUBSTITUTE($C45," ","")&amp;","))*((MASTER!$G$2:$G$2000="DONE")))</f>
        <v>0</v>
      </c>
      <c r="E45" s="16">
        <f t="shared" si="1"/>
        <v>1</v>
      </c>
      <c r="F45" s="18"/>
    </row>
    <row r="46" spans="1:6" x14ac:dyDescent="0.25">
      <c r="A46" s="15" t="s">
        <v>1084</v>
      </c>
      <c r="B46" s="12" t="s">
        <v>1067</v>
      </c>
      <c r="C46" s="18" t="s">
        <v>720</v>
      </c>
      <c r="D46" s="16">
        <f>SUMPRODUCT(ISNUMBER(SEARCH(","&amp;MASTER!$A$2:$A$2000&amp;",",","&amp;SUBSTITUTE($C46," ","")&amp;","))*((MASTER!$G$2:$G$2000="DONE")))</f>
        <v>0</v>
      </c>
      <c r="E46" s="16">
        <f t="shared" si="1"/>
        <v>1</v>
      </c>
      <c r="F46" s="18"/>
    </row>
    <row r="47" spans="1:6" x14ac:dyDescent="0.25">
      <c r="A47" s="15" t="s">
        <v>1085</v>
      </c>
      <c r="B47" s="12" t="s">
        <v>1067</v>
      </c>
      <c r="C47" s="18"/>
      <c r="D47" s="16">
        <f>SUMPRODUCT(ISNUMBER(SEARCH(","&amp;MASTER!$A$2:$A$2000&amp;",",","&amp;SUBSTITUTE($C47," ","")&amp;","))*((MASTER!$G$2:$G$2000="DONE")))</f>
        <v>0</v>
      </c>
      <c r="E47" s="16">
        <f t="shared" si="1"/>
        <v>0</v>
      </c>
      <c r="F47" s="18"/>
    </row>
    <row r="48" spans="1:6" x14ac:dyDescent="0.25">
      <c r="A48" s="15" t="s">
        <v>1086</v>
      </c>
      <c r="B48" s="12" t="s">
        <v>1067</v>
      </c>
      <c r="C48" s="18"/>
      <c r="D48" s="16">
        <f>SUMPRODUCT(ISNUMBER(SEARCH(","&amp;MASTER!$A$2:$A$2000&amp;",",","&amp;SUBSTITUTE($C48," ","")&amp;","))*((MASTER!$G$2:$G$2000="DONE")))</f>
        <v>0</v>
      </c>
      <c r="E48" s="16">
        <f t="shared" si="1"/>
        <v>0</v>
      </c>
      <c r="F48" s="18" t="s">
        <v>1068</v>
      </c>
    </row>
    <row r="49" spans="1:6" x14ac:dyDescent="0.25">
      <c r="A49" s="15" t="s">
        <v>1087</v>
      </c>
      <c r="B49" s="12" t="s">
        <v>1067</v>
      </c>
      <c r="C49" s="18"/>
      <c r="D49" s="16">
        <f>SUMPRODUCT(ISNUMBER(SEARCH(","&amp;MASTER!$A$2:$A$2000&amp;",",","&amp;SUBSTITUTE($C49," ","")&amp;","))*((MASTER!$G$2:$G$2000="DONE")))</f>
        <v>0</v>
      </c>
      <c r="E49" s="16">
        <f t="shared" si="1"/>
        <v>0</v>
      </c>
      <c r="F49" s="18" t="s">
        <v>1068</v>
      </c>
    </row>
    <row r="50" spans="1:6" x14ac:dyDescent="0.25">
      <c r="A50" s="15" t="s">
        <v>1088</v>
      </c>
      <c r="B50" s="12" t="s">
        <v>1067</v>
      </c>
      <c r="C50" s="18"/>
      <c r="D50" s="16">
        <f>SUMPRODUCT(ISNUMBER(SEARCH(","&amp;MASTER!$A$2:$A$2000&amp;",",","&amp;SUBSTITUTE($C50," ","")&amp;","))*((MASTER!$G$2:$G$2000="DONE")))</f>
        <v>0</v>
      </c>
      <c r="E50" s="16">
        <f t="shared" si="1"/>
        <v>0</v>
      </c>
      <c r="F50" s="18" t="s">
        <v>1068</v>
      </c>
    </row>
    <row r="51" spans="1:6" x14ac:dyDescent="0.25">
      <c r="A51" s="15" t="s">
        <v>1089</v>
      </c>
      <c r="B51" s="12" t="s">
        <v>1067</v>
      </c>
      <c r="C51" s="18" t="s">
        <v>664</v>
      </c>
      <c r="D51" s="16">
        <f>SUMPRODUCT(ISNUMBER(SEARCH(","&amp;MASTER!$A$2:$A$2000&amp;",",","&amp;SUBSTITUTE($C51," ","")&amp;","))*((MASTER!$G$2:$G$2000="DONE")))</f>
        <v>0</v>
      </c>
      <c r="E51" s="16">
        <f t="shared" si="1"/>
        <v>1</v>
      </c>
      <c r="F51" s="18"/>
    </row>
    <row r="52" spans="1:6" x14ac:dyDescent="0.25">
      <c r="A52" s="15" t="s">
        <v>1090</v>
      </c>
      <c r="B52" s="12" t="s">
        <v>1067</v>
      </c>
      <c r="C52" s="18" t="s">
        <v>664</v>
      </c>
      <c r="D52" s="16">
        <f>SUMPRODUCT(ISNUMBER(SEARCH(","&amp;MASTER!$A$2:$A$2000&amp;",",","&amp;SUBSTITUTE($C52," ","")&amp;","))*((MASTER!$G$2:$G$2000="DONE")))</f>
        <v>0</v>
      </c>
      <c r="E52" s="16">
        <f t="shared" si="1"/>
        <v>1</v>
      </c>
      <c r="F52" s="18"/>
    </row>
    <row r="53" spans="1:6" x14ac:dyDescent="0.25">
      <c r="A53" s="15" t="s">
        <v>1091</v>
      </c>
      <c r="B53" s="12" t="s">
        <v>1067</v>
      </c>
      <c r="C53" s="18" t="s">
        <v>664</v>
      </c>
      <c r="D53" s="16">
        <f>SUMPRODUCT(ISNUMBER(SEARCH(","&amp;MASTER!$A$2:$A$2000&amp;",",","&amp;SUBSTITUTE($C53," ","")&amp;","))*((MASTER!$G$2:$G$2000="DONE")))</f>
        <v>0</v>
      </c>
      <c r="E53" s="16">
        <f t="shared" si="1"/>
        <v>1</v>
      </c>
      <c r="F53" s="18"/>
    </row>
    <row r="54" spans="1:6" x14ac:dyDescent="0.25">
      <c r="A54" s="15" t="s">
        <v>1092</v>
      </c>
      <c r="B54" s="12" t="s">
        <v>1067</v>
      </c>
      <c r="C54" s="18" t="s">
        <v>664</v>
      </c>
      <c r="D54" s="16">
        <f>SUMPRODUCT(ISNUMBER(SEARCH(","&amp;MASTER!$A$2:$A$2000&amp;",",","&amp;SUBSTITUTE($C54," ","")&amp;","))*((MASTER!$G$2:$G$2000="DONE")))</f>
        <v>0</v>
      </c>
      <c r="E54" s="16">
        <f t="shared" si="1"/>
        <v>1</v>
      </c>
      <c r="F54" s="18"/>
    </row>
    <row r="55" spans="1:6" x14ac:dyDescent="0.25">
      <c r="A55" s="15" t="s">
        <v>1093</v>
      </c>
      <c r="B55" s="12" t="s">
        <v>1067</v>
      </c>
      <c r="C55" s="18" t="s">
        <v>664</v>
      </c>
      <c r="D55" s="16">
        <f>SUMPRODUCT(ISNUMBER(SEARCH(","&amp;MASTER!$A$2:$A$2000&amp;",",","&amp;SUBSTITUTE($C55," ","")&amp;","))*((MASTER!$G$2:$G$2000="DONE")))</f>
        <v>0</v>
      </c>
      <c r="E55" s="16">
        <f t="shared" si="1"/>
        <v>1</v>
      </c>
      <c r="F55" s="18"/>
    </row>
    <row r="56" spans="1:6" x14ac:dyDescent="0.25">
      <c r="A56" s="15" t="s">
        <v>1094</v>
      </c>
      <c r="B56" s="12" t="s">
        <v>1095</v>
      </c>
      <c r="C56" s="18"/>
      <c r="D56" s="16">
        <f>SUMPRODUCT(ISNUMBER(SEARCH(","&amp;MASTER!$A$2:$A$2000&amp;",",","&amp;SUBSTITUTE($C56," ","")&amp;","))*((MASTER!$G$2:$G$2000="DONE")))</f>
        <v>0</v>
      </c>
      <c r="E56" s="16">
        <f t="shared" si="1"/>
        <v>0</v>
      </c>
      <c r="F56" s="18"/>
    </row>
    <row r="57" spans="1:6" x14ac:dyDescent="0.25">
      <c r="A57" s="15" t="s">
        <v>1096</v>
      </c>
      <c r="B57" s="12" t="s">
        <v>1095</v>
      </c>
      <c r="C57" s="18"/>
      <c r="D57" s="16">
        <f>SUMPRODUCT(ISNUMBER(SEARCH(","&amp;MASTER!$A$2:$A$2000&amp;",",","&amp;SUBSTITUTE($C57," ","")&amp;","))*((MASTER!$G$2:$G$2000="DONE")))</f>
        <v>0</v>
      </c>
      <c r="E57" s="16">
        <f t="shared" si="1"/>
        <v>0</v>
      </c>
      <c r="F57" s="18"/>
    </row>
    <row r="58" spans="1:6" x14ac:dyDescent="0.25">
      <c r="A58" s="15" t="s">
        <v>1097</v>
      </c>
      <c r="B58" s="12" t="s">
        <v>1095</v>
      </c>
      <c r="C58" s="18"/>
      <c r="D58" s="16">
        <f>SUMPRODUCT(ISNUMBER(SEARCH(","&amp;MASTER!$A$2:$A$2000&amp;",",","&amp;SUBSTITUTE($C58," ","")&amp;","))*((MASTER!$G$2:$G$2000="DONE")))</f>
        <v>0</v>
      </c>
      <c r="E58" s="16">
        <f t="shared" si="1"/>
        <v>0</v>
      </c>
      <c r="F58" s="18"/>
    </row>
    <row r="59" spans="1:6" x14ac:dyDescent="0.25">
      <c r="A59" s="15" t="s">
        <v>1098</v>
      </c>
      <c r="B59" s="12" t="s">
        <v>1095</v>
      </c>
      <c r="C59" s="18"/>
      <c r="D59" s="16">
        <f>SUMPRODUCT(ISNUMBER(SEARCH(","&amp;MASTER!$A$2:$A$2000&amp;",",","&amp;SUBSTITUTE($C59," ","")&amp;","))*((MASTER!$G$2:$G$2000="DONE")))</f>
        <v>0</v>
      </c>
      <c r="E59" s="16">
        <f t="shared" si="1"/>
        <v>0</v>
      </c>
      <c r="F59" s="18" t="s">
        <v>1099</v>
      </c>
    </row>
    <row r="60" spans="1:6" x14ac:dyDescent="0.25">
      <c r="A60" s="15" t="s">
        <v>1100</v>
      </c>
      <c r="B60" s="12" t="s">
        <v>1095</v>
      </c>
      <c r="C60" s="18"/>
      <c r="D60" s="16">
        <f>SUMPRODUCT(ISNUMBER(SEARCH(","&amp;MASTER!$A$2:$A$2000&amp;",",","&amp;SUBSTITUTE($C60," ","")&amp;","))*((MASTER!$G$2:$G$2000="DONE")))</f>
        <v>0</v>
      </c>
      <c r="E60" s="16">
        <f t="shared" si="1"/>
        <v>0</v>
      </c>
      <c r="F60" s="18" t="s">
        <v>1101</v>
      </c>
    </row>
    <row r="61" spans="1:6" x14ac:dyDescent="0.25">
      <c r="A61" s="15" t="s">
        <v>1102</v>
      </c>
      <c r="B61" s="12" t="s">
        <v>1095</v>
      </c>
      <c r="C61" s="18"/>
      <c r="D61" s="16">
        <f>SUMPRODUCT(ISNUMBER(SEARCH(","&amp;MASTER!$A$2:$A$2000&amp;",",","&amp;SUBSTITUTE($C61," ","")&amp;","))*((MASTER!$G$2:$G$2000="DONE")))</f>
        <v>0</v>
      </c>
      <c r="E61" s="16">
        <f t="shared" si="1"/>
        <v>0</v>
      </c>
      <c r="F61" s="18" t="s">
        <v>1103</v>
      </c>
    </row>
    <row r="62" spans="1:6" x14ac:dyDescent="0.25">
      <c r="A62" s="15" t="s">
        <v>1104</v>
      </c>
      <c r="B62" s="12" t="s">
        <v>1095</v>
      </c>
      <c r="C62" s="18"/>
      <c r="D62" s="16">
        <f>SUMPRODUCT(ISNUMBER(SEARCH(","&amp;MASTER!$A$2:$A$2000&amp;",",","&amp;SUBSTITUTE($C62," ","")&amp;","))*((MASTER!$G$2:$G$2000="DONE")))</f>
        <v>0</v>
      </c>
      <c r="E62" s="16">
        <f t="shared" si="1"/>
        <v>0</v>
      </c>
      <c r="F62" s="18" t="s">
        <v>1099</v>
      </c>
    </row>
    <row r="63" spans="1:6" x14ac:dyDescent="0.25">
      <c r="A63" s="15" t="s">
        <v>1105</v>
      </c>
      <c r="B63" s="12" t="s">
        <v>1095</v>
      </c>
      <c r="C63" s="18"/>
      <c r="D63" s="16">
        <f>SUMPRODUCT(ISNUMBER(SEARCH(","&amp;MASTER!$A$2:$A$2000&amp;",",","&amp;SUBSTITUTE($C63," ","")&amp;","))*((MASTER!$G$2:$G$2000="DONE")))</f>
        <v>0</v>
      </c>
      <c r="E63" s="16">
        <f t="shared" si="1"/>
        <v>0</v>
      </c>
      <c r="F63" s="18" t="s">
        <v>1099</v>
      </c>
    </row>
    <row r="64" spans="1:6" x14ac:dyDescent="0.25">
      <c r="A64" s="15" t="s">
        <v>1106</v>
      </c>
      <c r="B64" s="12" t="s">
        <v>1095</v>
      </c>
      <c r="C64" s="18"/>
      <c r="D64" s="16">
        <f>SUMPRODUCT(ISNUMBER(SEARCH(","&amp;MASTER!$A$2:$A$2000&amp;",",","&amp;SUBSTITUTE($C64," ","")&amp;","))*((MASTER!$G$2:$G$2000="DONE")))</f>
        <v>0</v>
      </c>
      <c r="E64" s="16">
        <f t="shared" si="1"/>
        <v>0</v>
      </c>
      <c r="F64" s="18" t="s">
        <v>1099</v>
      </c>
    </row>
    <row r="65" spans="1:12" x14ac:dyDescent="0.25">
      <c r="A65" s="15" t="s">
        <v>1107</v>
      </c>
      <c r="B65" s="12" t="s">
        <v>1108</v>
      </c>
      <c r="C65" s="18" t="s">
        <v>660</v>
      </c>
      <c r="D65" s="16">
        <f>SUMPRODUCT(ISNUMBER(SEARCH(","&amp;MASTER!$A$2:$A$2000&amp;",",","&amp;SUBSTITUTE($C65," ","")&amp;","))*((MASTER!$G$2:$G$2000="DONE")))</f>
        <v>0</v>
      </c>
      <c r="E65" s="16">
        <f t="shared" si="1"/>
        <v>1</v>
      </c>
      <c r="F65" s="18" t="s">
        <v>1109</v>
      </c>
    </row>
    <row r="68" spans="1:12" ht="15.75" x14ac:dyDescent="0.25">
      <c r="A68" s="5" t="s">
        <v>1110</v>
      </c>
    </row>
    <row r="69" spans="1:12" x14ac:dyDescent="0.25">
      <c r="A69" s="10" t="s">
        <v>162</v>
      </c>
      <c r="B69" s="10" t="s">
        <v>99</v>
      </c>
      <c r="C69" s="10" t="s">
        <v>43</v>
      </c>
      <c r="D69" s="10" t="s">
        <v>163</v>
      </c>
      <c r="E69" s="10" t="s">
        <v>165</v>
      </c>
      <c r="F69" s="10" t="s">
        <v>57</v>
      </c>
      <c r="G69" s="10" t="s">
        <v>166</v>
      </c>
      <c r="H69" s="10" t="s">
        <v>167</v>
      </c>
      <c r="I69" s="10" t="s">
        <v>15</v>
      </c>
      <c r="J69" s="10" t="s">
        <v>173</v>
      </c>
      <c r="K69" s="10" t="s">
        <v>174</v>
      </c>
      <c r="L69" s="10" t="s">
        <v>175</v>
      </c>
    </row>
    <row r="70" spans="1:12" x14ac:dyDescent="0.25">
      <c r="A70" s="15" t="s">
        <v>754</v>
      </c>
      <c r="B70" s="12" t="str">
        <f>IFERROR(INDEX(MASTER!$C$2:$C$2000,MATCH($A70,MASTER!$A$2:$A$2000,0))&amp;"","")</f>
        <v>PRODUCT</v>
      </c>
      <c r="C70" s="16">
        <f>IFERROR(INDEX(MASTER!$B$2:$B$2000,MATCH($A70,MASTER!$A$2:$A$2000,0)),"")</f>
        <v>15</v>
      </c>
      <c r="D70" s="12" t="str">
        <f>IFERROR(INDEX(MASTER!$D$2:$D$2000,MATCH($A70,MASTER!$A$2:$A$2000,0))&amp;"","")</f>
        <v>Batch formatting</v>
      </c>
      <c r="E70" s="12" t="str">
        <f>IFERROR(INDEX(MASTER!$F$2:$F$2000,MATCH($A70,MASTER!$A$2:$A$2000,0))&amp;"","")</f>
        <v>P2</v>
      </c>
      <c r="F70" s="12" t="str">
        <f>IFERROR(INDEX(MASTER!$G$2:$G$2000,MATCH($A70,MASTER!$A$2:$A$2000,0))&amp;"","NOT IN MASTER")</f>
        <v>NOT_STARTED</v>
      </c>
      <c r="G70" s="12" t="str">
        <f>IFERROR(INDEX(MASTER!$H$2:$H$2000,MATCH($A70,MASTER!$A$2:$A$2000,0))&amp;"","")</f>
        <v/>
      </c>
      <c r="H70" s="12" t="str">
        <f>IFERROR(INDEX(MASTER!$I$2:$I$2000,MATCH($A70,MASTER!$A$2:$A$2000,0))&amp;"","")</f>
        <v/>
      </c>
      <c r="I70" s="19" t="str">
        <f>IFERROR(IF(INDEX(MASTER!$O$2:$O$2000,MATCH($A70,MASTER!$A$2:$A$2000,0))="","",INDEX(MASTER!$O$2:$O$2000,MATCH($A70,MASTER!$A$2:$A$2000,0))),"")</f>
        <v/>
      </c>
      <c r="J70" s="12" t="str">
        <f>IFERROR(INDEX(MASTER!$P$2:$P$2000,MATCH($A70,MASTER!$A$2:$A$2000,0))&amp;"","")</f>
        <v/>
      </c>
      <c r="K70" s="12" t="str">
        <f>IFERROR(INDEX(MASTER!$Q$2:$Q$2000,MATCH($A70,MASTER!$A$2:$A$2000,0))&amp;"","")</f>
        <v/>
      </c>
      <c r="L70" s="12" t="str">
        <f>IFERROR(INDEX(MASTER!$R$2:$R$2000,MATCH($A70,MASTER!$A$2:$A$2000,0))&amp;"","")</f>
        <v/>
      </c>
    </row>
    <row r="71" spans="1:12" x14ac:dyDescent="0.25">
      <c r="A71" s="15" t="s">
        <v>758</v>
      </c>
      <c r="B71" s="12" t="str">
        <f>IFERROR(INDEX(MASTER!$C$2:$C$2000,MATCH($A71,MASTER!$A$2:$A$2000,0))&amp;"","")</f>
        <v>PRODUCT</v>
      </c>
      <c r="C71" s="16">
        <f>IFERROR(INDEX(MASTER!$B$2:$B$2000,MATCH($A71,MASTER!$A$2:$A$2000,0)),"")</f>
        <v>15</v>
      </c>
      <c r="D71" s="12" t="str">
        <f>IFERROR(INDEX(MASTER!$D$2:$D$2000,MATCH($A71,MASTER!$A$2:$A$2000,0))&amp;"","")</f>
        <v>Batch export</v>
      </c>
      <c r="E71" s="12" t="str">
        <f>IFERROR(INDEX(MASTER!$F$2:$F$2000,MATCH($A71,MASTER!$A$2:$A$2000,0))&amp;"","")</f>
        <v>P2</v>
      </c>
      <c r="F71" s="12" t="str">
        <f>IFERROR(INDEX(MASTER!$G$2:$G$2000,MATCH($A71,MASTER!$A$2:$A$2000,0))&amp;"","NOT IN MASTER")</f>
        <v>NOT_STARTED</v>
      </c>
      <c r="G71" s="12" t="str">
        <f>IFERROR(INDEX(MASTER!$H$2:$H$2000,MATCH($A71,MASTER!$A$2:$A$2000,0))&amp;"","")</f>
        <v/>
      </c>
      <c r="H71" s="12" t="str">
        <f>IFERROR(INDEX(MASTER!$I$2:$I$2000,MATCH($A71,MASTER!$A$2:$A$2000,0))&amp;"","")</f>
        <v/>
      </c>
      <c r="I71" s="19" t="str">
        <f>IFERROR(IF(INDEX(MASTER!$O$2:$O$2000,MATCH($A71,MASTER!$A$2:$A$2000,0))="","",INDEX(MASTER!$O$2:$O$2000,MATCH($A71,MASTER!$A$2:$A$2000,0))),"")</f>
        <v/>
      </c>
      <c r="J71" s="12" t="str">
        <f>IFERROR(INDEX(MASTER!$P$2:$P$2000,MATCH($A71,MASTER!$A$2:$A$2000,0))&amp;"","")</f>
        <v/>
      </c>
      <c r="K71" s="12" t="str">
        <f>IFERROR(INDEX(MASTER!$Q$2:$Q$2000,MATCH($A71,MASTER!$A$2:$A$2000,0))&amp;"","")</f>
        <v/>
      </c>
      <c r="L71" s="12" t="str">
        <f>IFERROR(INDEX(MASTER!$R$2:$R$2000,MATCH($A71,MASTER!$A$2:$A$2000,0))&amp;"","")</f>
        <v/>
      </c>
    </row>
    <row r="72" spans="1:12" x14ac:dyDescent="0.25">
      <c r="A72" s="15" t="s">
        <v>761</v>
      </c>
      <c r="B72" s="12" t="str">
        <f>IFERROR(INDEX(MASTER!$C$2:$C$2000,MATCH($A72,MASTER!$A$2:$A$2000,0))&amp;"","")</f>
        <v>PRODUCT</v>
      </c>
      <c r="C72" s="16">
        <f>IFERROR(INDEX(MASTER!$B$2:$B$2000,MATCH($A72,MASTER!$A$2:$A$2000,0)),"")</f>
        <v>15</v>
      </c>
      <c r="D72" s="12" t="str">
        <f>IFERROR(INDEX(MASTER!$D$2:$D$2000,MATCH($A72,MASTER!$A$2:$A$2000,0))&amp;"","")</f>
        <v>Batch translation</v>
      </c>
      <c r="E72" s="12" t="str">
        <f>IFERROR(INDEX(MASTER!$F$2:$F$2000,MATCH($A72,MASTER!$A$2:$A$2000,0))&amp;"","")</f>
        <v>P3</v>
      </c>
      <c r="F72" s="12" t="str">
        <f>IFERROR(INDEX(MASTER!$G$2:$G$2000,MATCH($A72,MASTER!$A$2:$A$2000,0))&amp;"","NOT IN MASTER")</f>
        <v>NOT_STARTED</v>
      </c>
      <c r="G72" s="12" t="str">
        <f>IFERROR(INDEX(MASTER!$H$2:$H$2000,MATCH($A72,MASTER!$A$2:$A$2000,0))&amp;"","")</f>
        <v/>
      </c>
      <c r="H72" s="12" t="str">
        <f>IFERROR(INDEX(MASTER!$I$2:$I$2000,MATCH($A72,MASTER!$A$2:$A$2000,0))&amp;"","")</f>
        <v/>
      </c>
      <c r="I72" s="19" t="str">
        <f>IFERROR(IF(INDEX(MASTER!$O$2:$O$2000,MATCH($A72,MASTER!$A$2:$A$2000,0))="","",INDEX(MASTER!$O$2:$O$2000,MATCH($A72,MASTER!$A$2:$A$2000,0))),"")</f>
        <v/>
      </c>
      <c r="J72" s="12" t="str">
        <f>IFERROR(INDEX(MASTER!$P$2:$P$2000,MATCH($A72,MASTER!$A$2:$A$2000,0))&amp;"","")</f>
        <v/>
      </c>
      <c r="K72" s="12" t="str">
        <f>IFERROR(INDEX(MASTER!$Q$2:$Q$2000,MATCH($A72,MASTER!$A$2:$A$2000,0))&amp;"","")</f>
        <v/>
      </c>
      <c r="L72" s="12" t="str">
        <f>IFERROR(INDEX(MASTER!$R$2:$R$2000,MATCH($A72,MASTER!$A$2:$A$2000,0))&amp;"","")</f>
        <v/>
      </c>
    </row>
    <row r="73" spans="1:12" x14ac:dyDescent="0.25">
      <c r="A73" s="15" t="s">
        <v>764</v>
      </c>
      <c r="B73" s="12" t="str">
        <f>IFERROR(INDEX(MASTER!$C$2:$C$2000,MATCH($A73,MASTER!$A$2:$A$2000,0))&amp;"","")</f>
        <v>PRODUCT</v>
      </c>
      <c r="C73" s="16">
        <f>IFERROR(INDEX(MASTER!$B$2:$B$2000,MATCH($A73,MASTER!$A$2:$A$2000,0)),"")</f>
        <v>16</v>
      </c>
      <c r="D73" s="12" t="str">
        <f>IFERROR(INDEX(MASTER!$D$2:$D$2000,MATCH($A73,MASTER!$A$2:$A$2000,0))&amp;"","")</f>
        <v>Accessibility checker</v>
      </c>
      <c r="E73" s="12" t="str">
        <f>IFERROR(INDEX(MASTER!$F$2:$F$2000,MATCH($A73,MASTER!$A$2:$A$2000,0))&amp;"","")</f>
        <v>P1</v>
      </c>
      <c r="F73" s="12" t="str">
        <f>IFERROR(INDEX(MASTER!$G$2:$G$2000,MATCH($A73,MASTER!$A$2:$A$2000,0))&amp;"","NOT IN MASTER")</f>
        <v>NOT_STARTED</v>
      </c>
      <c r="G73" s="12" t="str">
        <f>IFERROR(INDEX(MASTER!$H$2:$H$2000,MATCH($A73,MASTER!$A$2:$A$2000,0))&amp;"","")</f>
        <v/>
      </c>
      <c r="H73" s="12" t="str">
        <f>IFERROR(INDEX(MASTER!$I$2:$I$2000,MATCH($A73,MASTER!$A$2:$A$2000,0))&amp;"","")</f>
        <v/>
      </c>
      <c r="I73" s="19" t="str">
        <f>IFERROR(IF(INDEX(MASTER!$O$2:$O$2000,MATCH($A73,MASTER!$A$2:$A$2000,0))="","",INDEX(MASTER!$O$2:$O$2000,MATCH($A73,MASTER!$A$2:$A$2000,0))),"")</f>
        <v/>
      </c>
      <c r="J73" s="12" t="str">
        <f>IFERROR(INDEX(MASTER!$P$2:$P$2000,MATCH($A73,MASTER!$A$2:$A$2000,0))&amp;"","")</f>
        <v/>
      </c>
      <c r="K73" s="12" t="str">
        <f>IFERROR(INDEX(MASTER!$Q$2:$Q$2000,MATCH($A73,MASTER!$A$2:$A$2000,0))&amp;"","")</f>
        <v/>
      </c>
      <c r="L73" s="12" t="str">
        <f>IFERROR(INDEX(MASTER!$R$2:$R$2000,MATCH($A73,MASTER!$A$2:$A$2000,0))&amp;"","")</f>
        <v/>
      </c>
    </row>
    <row r="74" spans="1:12" x14ac:dyDescent="0.25">
      <c r="A74" s="15" t="s">
        <v>767</v>
      </c>
      <c r="B74" s="12" t="str">
        <f>IFERROR(INDEX(MASTER!$C$2:$C$2000,MATCH($A74,MASTER!$A$2:$A$2000,0))&amp;"","")</f>
        <v>PRODUCT</v>
      </c>
      <c r="C74" s="16">
        <f>IFERROR(INDEX(MASTER!$B$2:$B$2000,MATCH($A74,MASTER!$A$2:$A$2000,0)),"")</f>
        <v>16</v>
      </c>
      <c r="D74" s="12" t="str">
        <f>IFERROR(INDEX(MASTER!$D$2:$D$2000,MATCH($A74,MASTER!$A$2:$A$2000,0))&amp;"","")</f>
        <v>App accessibility fixes</v>
      </c>
      <c r="E74" s="12" t="str">
        <f>IFERROR(INDEX(MASTER!$F$2:$F$2000,MATCH($A74,MASTER!$A$2:$A$2000,0))&amp;"","")</f>
        <v>P1</v>
      </c>
      <c r="F74" s="12" t="str">
        <f>IFERROR(INDEX(MASTER!$G$2:$G$2000,MATCH($A74,MASTER!$A$2:$A$2000,0))&amp;"","NOT IN MASTER")</f>
        <v>NOT_STARTED</v>
      </c>
      <c r="G74" s="12" t="str">
        <f>IFERROR(INDEX(MASTER!$H$2:$H$2000,MATCH($A74,MASTER!$A$2:$A$2000,0))&amp;"","")</f>
        <v/>
      </c>
      <c r="H74" s="12" t="str">
        <f>IFERROR(INDEX(MASTER!$I$2:$I$2000,MATCH($A74,MASTER!$A$2:$A$2000,0))&amp;"","")</f>
        <v/>
      </c>
      <c r="I74" s="19" t="str">
        <f>IFERROR(IF(INDEX(MASTER!$O$2:$O$2000,MATCH($A74,MASTER!$A$2:$A$2000,0))="","",INDEX(MASTER!$O$2:$O$2000,MATCH($A74,MASTER!$A$2:$A$2000,0))),"")</f>
        <v/>
      </c>
      <c r="J74" s="12" t="str">
        <f>IFERROR(INDEX(MASTER!$P$2:$P$2000,MATCH($A74,MASTER!$A$2:$A$2000,0))&amp;"","")</f>
        <v/>
      </c>
      <c r="K74" s="12" t="str">
        <f>IFERROR(INDEX(MASTER!$Q$2:$Q$2000,MATCH($A74,MASTER!$A$2:$A$2000,0))&amp;"","")</f>
        <v/>
      </c>
      <c r="L74" s="12" t="str">
        <f>IFERROR(INDEX(MASTER!$R$2:$R$2000,MATCH($A74,MASTER!$A$2:$A$2000,0))&amp;"","")</f>
        <v/>
      </c>
    </row>
  </sheetData>
  <autoFilter ref="A69:L74" xr:uid="{00000000-0009-0000-0000-00000C000000}"/>
  <conditionalFormatting sqref="B8:B65">
    <cfRule type="cellIs" dxfId="105" priority="1" operator="equal">
      <formula>"NOW"</formula>
    </cfRule>
  </conditionalFormatting>
  <conditionalFormatting sqref="E70:E74">
    <cfRule type="cellIs" dxfId="104" priority="20" operator="equal">
      <formula>"P0"</formula>
    </cfRule>
    <cfRule type="cellIs" dxfId="103" priority="21" operator="equal">
      <formula>"P1"</formula>
    </cfRule>
  </conditionalFormatting>
  <conditionalFormatting sqref="F70:F74">
    <cfRule type="cellIs" dxfId="102" priority="2" operator="equal">
      <formula>"DONE"</formula>
    </cfRule>
    <cfRule type="cellIs" dxfId="101" priority="3" operator="equal">
      <formula>"VERIFIED"</formula>
    </cfRule>
    <cfRule type="cellIs" dxfId="100" priority="4" operator="equal">
      <formula>"IN_PROGRESS"</formula>
    </cfRule>
    <cfRule type="cellIs" dxfId="99" priority="5" operator="equal">
      <formula>"IMPLEMENTED"</formula>
    </cfRule>
    <cfRule type="cellIs" dxfId="98" priority="6" operator="equal">
      <formula>"TESTING"</formula>
    </cfRule>
    <cfRule type="cellIs" dxfId="97" priority="7" operator="equal">
      <formula>"BLOCKED"</formula>
    </cfRule>
    <cfRule type="cellIs" dxfId="96" priority="8" operator="equal">
      <formula>"FAILED"</formula>
    </cfRule>
    <cfRule type="cellIs" dxfId="95" priority="9" operator="equal">
      <formula>"DEFERRED"</formula>
    </cfRule>
    <cfRule type="cellIs" dxfId="94" priority="10" operator="equal">
      <formula>"UNKNOWN"</formula>
    </cfRule>
    <cfRule type="cellIs" dxfId="93" priority="11" operator="equal">
      <formula>"PASS"</formula>
    </cfRule>
    <cfRule type="cellIs" dxfId="92" priority="12" operator="equal">
      <formula>"FAIL"</formula>
    </cfRule>
    <cfRule type="cellIs" dxfId="91" priority="13" operator="equal">
      <formula>"PARTIAL"</formula>
    </cfRule>
    <cfRule type="cellIs" dxfId="90" priority="14" operator="equal">
      <formula>"RESOLVED"</formula>
    </cfRule>
    <cfRule type="cellIs" dxfId="89" priority="15" operator="equal">
      <formula>"OPEN"</formula>
    </cfRule>
    <cfRule type="cellIs" dxfId="88" priority="16" operator="equal">
      <formula>"WITHIN"</formula>
    </cfRule>
    <cfRule type="cellIs" dxfId="87" priority="17" operator="equal">
      <formula>"OVER"</formula>
    </cfRule>
    <cfRule type="cellIs" dxfId="86" priority="18" operator="equal">
      <formula>"NOW"</formula>
    </cfRule>
    <cfRule type="cellIs" dxfId="85" priority="19" operator="equal">
      <formula>"NOT IN MASTER"</formula>
    </cfRule>
  </conditionalFormatting>
  <dataValidations count="1">
    <dataValidation type="list" allowBlank="1" showErrorMessage="1" errorTitle="Invalid bucket" error="Pick a bucket from the list." sqref="B8:B65" xr:uid="{00000000-0002-0000-0C00-000000000000}">
      <formula1>"NOW,NEXT,LATER,ARCHITECTURE_ONLY"</formula1>
    </dataValidation>
  </dataValidations>
  <pageMargins left="0.75" right="0.75" top="1" bottom="1" header="0.5" footer="0.5"/>
  <pageSetup fitToHeight="0" orientation="landscape"/>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A1:L23"/>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1111</v>
      </c>
    </row>
    <row r="2" spans="1:12" x14ac:dyDescent="0.25">
      <c r="A2" s="4" t="s">
        <v>1112</v>
      </c>
    </row>
    <row r="3" spans="1:12" x14ac:dyDescent="0.25">
      <c r="A3" s="6" t="s">
        <v>45</v>
      </c>
      <c r="B3" s="6" t="s">
        <v>46</v>
      </c>
      <c r="C3" s="6" t="s">
        <v>47</v>
      </c>
      <c r="D3" s="6" t="s">
        <v>13</v>
      </c>
      <c r="E3" s="6" t="s">
        <v>16</v>
      </c>
      <c r="F3" s="6" t="s">
        <v>19</v>
      </c>
      <c r="G3" s="6" t="s">
        <v>48</v>
      </c>
      <c r="H3" s="6" t="s">
        <v>33</v>
      </c>
    </row>
    <row r="4" spans="1:12" x14ac:dyDescent="0.25">
      <c r="A4" s="7">
        <f>COUNTIF(MASTER!$C$2:$C$2000,"TRANSLATION")+COUNTIF(MASTER!$C$2:$C$2000,"FONT")</f>
        <v>16</v>
      </c>
      <c r="B4" s="7">
        <f>COUNTIFS(MASTER!$C$2:$C$2000,"TRANSLATION",MASTER!$G$2:$G$2000,"DONE")+COUNTIFS(MASTER!$C$2:$C$2000,"FONT",MASTER!$G$2:$G$2000,"DONE")</f>
        <v>0</v>
      </c>
      <c r="C4" s="7">
        <f>COUNTIFS(MASTER!$C$2:$C$2000,"TRANSLATION",MASTER!$G$2:$G$2000,"VERIFIED")+COUNTIFS(MASTER!$C$2:$C$2000,"FONT",MASTER!$G$2:$G$2000,"VERIFIED")+B4</f>
        <v>0</v>
      </c>
      <c r="D4" s="7">
        <f>COUNTIFS(MASTER!$C$2:$C$2000,"TRANSLATION",MASTER!$G$2:$G$2000,"IN_PROGRESS")+COUNTIFS(MASTER!$C$2:$C$2000,"TRANSLATION",MASTER!$G$2:$G$2000,"IMPLEMENTED")+COUNTIFS(MASTER!$C$2:$C$2000,"TRANSLATION",MASTER!$G$2:$G$2000,"TESTING")+COUNTIFS(MASTER!$C$2:$C$2000,"FONT",MASTER!$G$2:$G$2000,"IN_PROGRESS")+COUNTIFS(MASTER!$C$2:$C$2000,"FONT",MASTER!$G$2:$G$2000,"IMPLEMENTED")+COUNTIFS(MASTER!$C$2:$C$2000,"FONT",MASTER!$G$2:$G$2000,"TESTING")</f>
        <v>0</v>
      </c>
      <c r="E4" s="7">
        <f>COUNTIFS(MASTER!$C$2:$C$2000,"TRANSLATION",MASTER!$G$2:$G$2000,"BLOCKED")+COUNTIFS(MASTER!$C$2:$C$2000,"FONT",MASTER!$G$2:$G$2000,"BLOCKED")</f>
        <v>0</v>
      </c>
      <c r="F4" s="7">
        <f>COUNTIFS(MASTER!$C$2:$C$2000,"TRANSLATION",MASTER!$G$2:$G$2000,"FAILED")+COUNTIFS(MASTER!$C$2:$C$2000,"FONT",MASTER!$G$2:$G$2000,"FAILED")</f>
        <v>0</v>
      </c>
      <c r="G4" s="9">
        <f>IF(A4=0,0,B4/A4)</f>
        <v>0</v>
      </c>
      <c r="H4" s="9">
        <f>IF(A4=0,0,C4/A4)</f>
        <v>0</v>
      </c>
    </row>
    <row r="6" spans="1:12" ht="15.75" x14ac:dyDescent="0.25">
      <c r="A6" s="5" t="s">
        <v>867</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667</v>
      </c>
      <c r="B8" s="12" t="str">
        <f>IFERROR(INDEX(MASTER!$C$2:$C$2000,MATCH($A8,MASTER!$A$2:$A$2000,0))&amp;"","")</f>
        <v>TRANSLATION</v>
      </c>
      <c r="C8" s="16">
        <f>IFERROR(INDEX(MASTER!$B$2:$B$2000,MATCH($A8,MASTER!$A$2:$A$2000,0)),"")</f>
        <v>10</v>
      </c>
      <c r="D8" s="12" t="str">
        <f>IFERROR(INDEX(MASTER!$D$2:$D$2000,MATCH($A8,MASTER!$A$2:$A$2000,0))&amp;"","")</f>
        <v>Segments and tag protocol</v>
      </c>
      <c r="E8" s="12" t="str">
        <f>IFERROR(INDEX(MASTER!$F$2:$F$2000,MATCH($A8,MASTER!$A$2:$A$2000,0))&amp;"","")</f>
        <v>P0</v>
      </c>
      <c r="F8" s="12" t="str">
        <f>IFERROR(INDEX(MASTER!$G$2:$G$2000,MATCH($A8,MASTER!$A$2:$A$2000,0))&amp;"","NOT IN MASTER")</f>
        <v>NOT_STARTED</v>
      </c>
      <c r="G8" s="12" t="str">
        <f>IFERROR(INDEX(MASTER!$H$2:$H$2000,MATCH($A8,MASTER!$A$2:$A$2000,0))&amp;"","")</f>
        <v/>
      </c>
      <c r="H8" s="12" t="str">
        <f>IFERROR(INDEX(MASTER!$I$2:$I$2000,MATCH($A8,MASTER!$A$2:$A$2000,0))&amp;"","")</f>
        <v/>
      </c>
      <c r="I8" s="19" t="str">
        <f>IFERROR(IF(INDEX(MASTER!$O$2:$O$2000,MATCH($A8,MASTER!$A$2:$A$2000,0))="","",INDEX(MASTER!$O$2:$O$2000,MATCH($A8,MASTER!$A$2:$A$2000,0))),"")</f>
        <v/>
      </c>
      <c r="J8" s="12" t="str">
        <f>IFERROR(INDEX(MASTER!$P$2:$P$2000,MATCH($A8,MASTER!$A$2:$A$2000,0))&amp;"","")</f>
        <v/>
      </c>
      <c r="K8" s="12" t="str">
        <f>IFERROR(INDEX(MASTER!$Q$2:$Q$2000,MATCH($A8,MASTER!$A$2:$A$2000,0))&amp;"","")</f>
        <v/>
      </c>
      <c r="L8" s="12" t="str">
        <f>IFERROR(INDEX(MASTER!$R$2:$R$2000,MATCH($A8,MASTER!$A$2:$A$2000,0))&amp;"","")</f>
        <v/>
      </c>
    </row>
    <row r="9" spans="1:12" x14ac:dyDescent="0.25">
      <c r="A9" s="15" t="s">
        <v>671</v>
      </c>
      <c r="B9" s="12" t="str">
        <f>IFERROR(INDEX(MASTER!$C$2:$C$2000,MATCH($A9,MASTER!$A$2:$A$2000,0))&amp;"","")</f>
        <v>TRANSLATION</v>
      </c>
      <c r="C9" s="16">
        <f>IFERROR(INDEX(MASTER!$B$2:$B$2000,MATCH($A9,MASTER!$A$2:$A$2000,0)),"")</f>
        <v>10</v>
      </c>
      <c r="D9" s="12" t="str">
        <f>IFERROR(INDEX(MASTER!$D$2:$D$2000,MATCH($A9,MASTER!$A$2:$A$2000,0))&amp;"","")</f>
        <v>TranslationProvider abstraction</v>
      </c>
      <c r="E9" s="12" t="str">
        <f>IFERROR(INDEX(MASTER!$F$2:$F$2000,MATCH($A9,MASTER!$A$2:$A$2000,0))&amp;"","")</f>
        <v>P0</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674</v>
      </c>
      <c r="B10" s="12" t="str">
        <f>IFERROR(INDEX(MASTER!$C$2:$C$2000,MATCH($A10,MASTER!$A$2:$A$2000,0))&amp;"","")</f>
        <v>TRANSLATION</v>
      </c>
      <c r="C10" s="16">
        <f>IFERROR(INDEX(MASTER!$B$2:$B$2000,MATCH($A10,MASTER!$A$2:$A$2000,0)),"")</f>
        <v>10</v>
      </c>
      <c r="D10" s="12" t="str">
        <f>IFERROR(INDEX(MASTER!$D$2:$D$2000,MATCH($A10,MASTER!$A$2:$A$2000,0))&amp;"","")</f>
        <v>Translation validation</v>
      </c>
      <c r="E10" s="12" t="str">
        <f>IFERROR(INDEX(MASTER!$F$2:$F$2000,MATCH($A10,MASTER!$A$2:$A$2000,0))&amp;"","")</f>
        <v>P0</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677</v>
      </c>
      <c r="B11" s="12" t="str">
        <f>IFERROR(INDEX(MASTER!$C$2:$C$2000,MATCH($A11,MASTER!$A$2:$A$2000,0))&amp;"","")</f>
        <v>TRANSLATION</v>
      </c>
      <c r="C11" s="16">
        <f>IFERROR(INDEX(MASTER!$B$2:$B$2000,MATCH($A11,MASTER!$A$2:$A$2000,0)),"")</f>
        <v>10</v>
      </c>
      <c r="D11" s="12" t="str">
        <f>IFERROR(INDEX(MASTER!$D$2:$D$2000,MATCH($A11,MASTER!$A$2:$A$2000,0))&amp;"","")</f>
        <v>Glossary and terminology lock</v>
      </c>
      <c r="E11" s="12" t="str">
        <f>IFERROR(INDEX(MASTER!$F$2:$F$2000,MATCH($A11,MASTER!$A$2:$A$2000,0))&amp;"","")</f>
        <v>P1</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681</v>
      </c>
      <c r="B12" s="12" t="str">
        <f>IFERROR(INDEX(MASTER!$C$2:$C$2000,MATCH($A12,MASTER!$A$2:$A$2000,0))&amp;"","")</f>
        <v>TRANSLATION</v>
      </c>
      <c r="C12" s="16">
        <f>IFERROR(INDEX(MASTER!$B$2:$B$2000,MATCH($A12,MASTER!$A$2:$A$2000,0)),"")</f>
        <v>10</v>
      </c>
      <c r="D12" s="12" t="str">
        <f>IFERROR(INDEX(MASTER!$D$2:$D$2000,MATCH($A12,MASTER!$A$2:$A$2000,0))&amp;"","")</f>
        <v>Selection/paragraph/block translation proposals</v>
      </c>
      <c r="E12" s="12" t="str">
        <f>IFERROR(INDEX(MASTER!$F$2:$F$2000,MATCH($A12,MASTER!$A$2:$A$2000,0))&amp;"","")</f>
        <v>P0</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685</v>
      </c>
      <c r="B13" s="12" t="str">
        <f>IFERROR(INDEX(MASTER!$C$2:$C$2000,MATCH($A13,MASTER!$A$2:$A$2000,0))&amp;"","")</f>
        <v>TRANSLATION</v>
      </c>
      <c r="C13" s="16">
        <f>IFERROR(INDEX(MASTER!$B$2:$B$2000,MATCH($A13,MASTER!$A$2:$A$2000,0)),"")</f>
        <v>10</v>
      </c>
      <c r="D13" s="12" t="str">
        <f>IFERROR(INDEX(MASTER!$D$2:$D$2000,MATCH($A13,MASTER!$A$2:$A$2000,0))&amp;"","")</f>
        <v>Whole-document translated version</v>
      </c>
      <c r="E13" s="12" t="str">
        <f>IFERROR(INDEX(MASTER!$F$2:$F$2000,MATCH($A13,MASTER!$A$2:$A$2000,0))&amp;"","")</f>
        <v>P0</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688</v>
      </c>
      <c r="B14" s="12" t="str">
        <f>IFERROR(INDEX(MASTER!$C$2:$C$2000,MATCH($A14,MASTER!$A$2:$A$2000,0))&amp;"","")</f>
        <v>TRANSLATION</v>
      </c>
      <c r="C14" s="16">
        <f>IFERROR(INDEX(MASTER!$B$2:$B$2000,MATCH($A14,MASTER!$A$2:$A$2000,0)),"")</f>
        <v>10</v>
      </c>
      <c r="D14" s="12" t="str">
        <f>IFERROR(INDEX(MASTER!$D$2:$D$2000,MATCH($A14,MASTER!$A$2:$A$2000,0))&amp;"","")</f>
        <v>Language, script, direction metadata</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691</v>
      </c>
      <c r="B15" s="12" t="str">
        <f>IFERROR(INDEX(MASTER!$C$2:$C$2000,MATCH($A15,MASTER!$A$2:$A$2000,0))&amp;"","")</f>
        <v>TRANSLATION</v>
      </c>
      <c r="C15" s="16">
        <f>IFERROR(INDEX(MASTER!$B$2:$B$2000,MATCH($A15,MASTER!$A$2:$A$2000,0)),"")</f>
        <v>10</v>
      </c>
      <c r="D15" s="12" t="str">
        <f>IFERROR(INDEX(MASTER!$D$2:$D$2000,MATCH($A15,MASTER!$A$2:$A$2000,0))&amp;"","")</f>
        <v>Translation UX</v>
      </c>
      <c r="E15" s="12" t="str">
        <f>IFERROR(INDEX(MASTER!$F$2:$F$2000,MATCH($A15,MASTER!$A$2:$A$2000,0))&amp;"","")</f>
        <v>P0</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694</v>
      </c>
      <c r="B16" s="12" t="str">
        <f>IFERROR(INDEX(MASTER!$C$2:$C$2000,MATCH($A16,MASTER!$A$2:$A$2000,0))&amp;"","")</f>
        <v>TRANSLATION</v>
      </c>
      <c r="C16" s="16">
        <f>IFERROR(INDEX(MASTER!$B$2:$B$2000,MATCH($A16,MASTER!$A$2:$A$2000,0)),"")</f>
        <v>10</v>
      </c>
      <c r="D16" s="12" t="str">
        <f>IFERROR(INDEX(MASTER!$D$2:$D$2000,MATCH($A16,MASTER!$A$2:$A$2000,0))&amp;"","")</f>
        <v>Translation metering</v>
      </c>
      <c r="E16" s="12" t="str">
        <f>IFERROR(INDEX(MASTER!$F$2:$F$2000,MATCH($A16,MASTER!$A$2:$A$2000,0))&amp;"","")</f>
        <v>P1</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row r="17" spans="1:12" x14ac:dyDescent="0.25">
      <c r="A17" s="15" t="s">
        <v>697</v>
      </c>
      <c r="B17" s="12" t="str">
        <f>IFERROR(INDEX(MASTER!$C$2:$C$2000,MATCH($A17,MASTER!$A$2:$A$2000,0))&amp;"","")</f>
        <v>TRANSLATION</v>
      </c>
      <c r="C17" s="16">
        <f>IFERROR(INDEX(MASTER!$B$2:$B$2000,MATCH($A17,MASTER!$A$2:$A$2000,0)),"")</f>
        <v>10</v>
      </c>
      <c r="D17" s="12" t="str">
        <f>IFERROR(INDEX(MASTER!$D$2:$D$2000,MATCH($A17,MASTER!$A$2:$A$2000,0))&amp;"","")</f>
        <v>Translation tests</v>
      </c>
      <c r="E17" s="12" t="str">
        <f>IFERROR(INDEX(MASTER!$F$2:$F$2000,MATCH($A17,MASTER!$A$2:$A$2000,0))&amp;"","")</f>
        <v>P0</v>
      </c>
      <c r="F17" s="12" t="str">
        <f>IFERROR(INDEX(MASTER!$G$2:$G$2000,MATCH($A17,MASTER!$A$2:$A$2000,0))&amp;"","NOT IN MASTER")</f>
        <v>NOT_STARTED</v>
      </c>
      <c r="G17" s="12" t="str">
        <f>IFERROR(INDEX(MASTER!$H$2:$H$2000,MATCH($A17,MASTER!$A$2:$A$2000,0))&amp;"","")</f>
        <v/>
      </c>
      <c r="H17" s="12" t="str">
        <f>IFERROR(INDEX(MASTER!$I$2:$I$2000,MATCH($A17,MASTER!$A$2:$A$2000,0))&amp;"","")</f>
        <v/>
      </c>
      <c r="I17" s="19" t="str">
        <f>IFERROR(IF(INDEX(MASTER!$O$2:$O$2000,MATCH($A17,MASTER!$A$2:$A$2000,0))="","",INDEX(MASTER!$O$2:$O$2000,MATCH($A17,MASTER!$A$2:$A$2000,0))),"")</f>
        <v/>
      </c>
      <c r="J17" s="12" t="str">
        <f>IFERROR(INDEX(MASTER!$P$2:$P$2000,MATCH($A17,MASTER!$A$2:$A$2000,0))&amp;"","")</f>
        <v/>
      </c>
      <c r="K17" s="12" t="str">
        <f>IFERROR(INDEX(MASTER!$Q$2:$Q$2000,MATCH($A17,MASTER!$A$2:$A$2000,0))&amp;"","")</f>
        <v/>
      </c>
      <c r="L17" s="12" t="str">
        <f>IFERROR(INDEX(MASTER!$R$2:$R$2000,MATCH($A17,MASTER!$A$2:$A$2000,0))&amp;"","")</f>
        <v/>
      </c>
    </row>
    <row r="18" spans="1:12" x14ac:dyDescent="0.25">
      <c r="A18" s="15" t="s">
        <v>700</v>
      </c>
      <c r="B18" s="12" t="str">
        <f>IFERROR(INDEX(MASTER!$C$2:$C$2000,MATCH($A18,MASTER!$A$2:$A$2000,0))&amp;"","")</f>
        <v>FONT</v>
      </c>
      <c r="C18" s="16">
        <f>IFERROR(INDEX(MASTER!$B$2:$B$2000,MATCH($A18,MASTER!$A$2:$A$2000,0)),"")</f>
        <v>11</v>
      </c>
      <c r="D18" s="12" t="str">
        <f>IFERROR(INDEX(MASTER!$D$2:$D$2000,MATCH($A18,MASTER!$A$2:$A$2000,0))&amp;"","")</f>
        <v>Font catalogue with Unicode coverage</v>
      </c>
      <c r="E18" s="12" t="str">
        <f>IFERROR(INDEX(MASTER!$F$2:$F$2000,MATCH($A18,MASTER!$A$2:$A$2000,0))&amp;"","")</f>
        <v>P0</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
      </c>
    </row>
    <row r="19" spans="1:12" x14ac:dyDescent="0.25">
      <c r="A19" s="15" t="s">
        <v>705</v>
      </c>
      <c r="B19" s="12" t="str">
        <f>IFERROR(INDEX(MASTER!$C$2:$C$2000,MATCH($A19,MASTER!$A$2:$A$2000,0))&amp;"","")</f>
        <v>FONT</v>
      </c>
      <c r="C19" s="16">
        <f>IFERROR(INDEX(MASTER!$B$2:$B$2000,MATCH($A19,MASTER!$A$2:$A$2000,0)),"")</f>
        <v>11</v>
      </c>
      <c r="D19" s="12" t="str">
        <f>IFERROR(INDEX(MASTER!$D$2:$D$2000,MATCH($A19,MASTER!$A$2:$A$2000,0))&amp;"","")</f>
        <v>FontResolver</v>
      </c>
      <c r="E19" s="12" t="str">
        <f>IFERROR(INDEX(MASTER!$F$2:$F$2000,MATCH($A19,MASTER!$A$2:$A$2000,0))&amp;"","")</f>
        <v>P0</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
      </c>
      <c r="L19" s="12" t="str">
        <f>IFERROR(INDEX(MASTER!$R$2:$R$2000,MATCH($A19,MASTER!$A$2:$A$2000,0))&amp;"","")</f>
        <v>FONT-001</v>
      </c>
    </row>
    <row r="20" spans="1:12" x14ac:dyDescent="0.25">
      <c r="A20" s="15" t="s">
        <v>708</v>
      </c>
      <c r="B20" s="12" t="str">
        <f>IFERROR(INDEX(MASTER!$C$2:$C$2000,MATCH($A20,MASTER!$A$2:$A$2000,0))&amp;"","")</f>
        <v>FONT</v>
      </c>
      <c r="C20" s="16">
        <f>IFERROR(INDEX(MASTER!$B$2:$B$2000,MATCH($A20,MASTER!$A$2:$A$2000,0)),"")</f>
        <v>11</v>
      </c>
      <c r="D20" s="12" t="str">
        <f>IFERROR(INDEX(MASTER!$D$2:$D$2000,MATCH($A20,MASTER!$A$2:$A$2000,0))&amp;"","")</f>
        <v>Multilingual PDF rendering</v>
      </c>
      <c r="E20" s="12" t="str">
        <f>IFERROR(INDEX(MASTER!$F$2:$F$2000,MATCH($A20,MASTER!$A$2:$A$2000,0))&amp;"","")</f>
        <v>P0</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FONT-002</v>
      </c>
    </row>
    <row r="21" spans="1:12" x14ac:dyDescent="0.25">
      <c r="A21" s="15" t="s">
        <v>711</v>
      </c>
      <c r="B21" s="12" t="str">
        <f>IFERROR(INDEX(MASTER!$C$2:$C$2000,MATCH($A21,MASTER!$A$2:$A$2000,0))&amp;"","")</f>
        <v>FONT</v>
      </c>
      <c r="C21" s="16">
        <f>IFERROR(INDEX(MASTER!$B$2:$B$2000,MATCH($A21,MASTER!$A$2:$A$2000,0)),"")</f>
        <v>11</v>
      </c>
      <c r="D21" s="12" t="str">
        <f>IFERROR(INDEX(MASTER!$D$2:$D$2000,MATCH($A21,MASTER!$A$2:$A$2000,0))&amp;"","")</f>
        <v>DOCX per-script fonts</v>
      </c>
      <c r="E21" s="12" t="str">
        <f>IFERROR(INDEX(MASTER!$F$2:$F$2000,MATCH($A21,MASTER!$A$2:$A$2000,0))&amp;"","")</f>
        <v>P1</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FONT-002</v>
      </c>
    </row>
    <row r="22" spans="1:12" x14ac:dyDescent="0.25">
      <c r="A22" s="15" t="s">
        <v>714</v>
      </c>
      <c r="B22" s="12" t="str">
        <f>IFERROR(INDEX(MASTER!$C$2:$C$2000,MATCH($A22,MASTER!$A$2:$A$2000,0))&amp;"","")</f>
        <v>FONT</v>
      </c>
      <c r="C22" s="16">
        <f>IFERROR(INDEX(MASTER!$B$2:$B$2000,MATCH($A22,MASTER!$A$2:$A$2000,0)),"")</f>
        <v>11</v>
      </c>
      <c r="D22" s="12" t="str">
        <f>IFERROR(INDEX(MASTER!$D$2:$D$2000,MATCH($A22,MASTER!$A$2:$A$2000,0))&amp;"","")</f>
        <v>Editor fallback stacks</v>
      </c>
      <c r="E22" s="12" t="str">
        <f>IFERROR(INDEX(MASTER!$F$2:$F$2000,MATCH($A22,MASTER!$A$2:$A$2000,0))&amp;"","")</f>
        <v>P2</v>
      </c>
      <c r="F22" s="12" t="str">
        <f>IFERROR(INDEX(MASTER!$G$2:$G$2000,MATCH($A22,MASTER!$A$2:$A$2000,0))&amp;"","NOT IN MASTER")</f>
        <v>NOT_STARTED</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
      </c>
      <c r="L22" s="12" t="str">
        <f>IFERROR(INDEX(MASTER!$R$2:$R$2000,MATCH($A22,MASTER!$A$2:$A$2000,0))&amp;"","")</f>
        <v>FONT-002</v>
      </c>
    </row>
    <row r="23" spans="1:12" x14ac:dyDescent="0.25">
      <c r="A23" s="15" t="s">
        <v>717</v>
      </c>
      <c r="B23" s="12" t="str">
        <f>IFERROR(INDEX(MASTER!$C$2:$C$2000,MATCH($A23,MASTER!$A$2:$A$2000,0))&amp;"","")</f>
        <v>FONT</v>
      </c>
      <c r="C23" s="16">
        <f>IFERROR(INDEX(MASTER!$B$2:$B$2000,MATCH($A23,MASTER!$A$2:$A$2000,0)),"")</f>
        <v>11</v>
      </c>
      <c r="D23" s="12" t="str">
        <f>IFERROR(INDEX(MASTER!$D$2:$D$2000,MATCH($A23,MASTER!$A$2:$A$2000,0))&amp;"","")</f>
        <v>Multilingual tests</v>
      </c>
      <c r="E23" s="12" t="str">
        <f>IFERROR(INDEX(MASTER!$F$2:$F$2000,MATCH($A23,MASTER!$A$2:$A$2000,0))&amp;"","")</f>
        <v>P0</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FONT-003</v>
      </c>
    </row>
  </sheetData>
  <autoFilter ref="A7:L23" xr:uid="{00000000-0009-0000-0000-00000D000000}"/>
  <conditionalFormatting sqref="E8:E23">
    <cfRule type="cellIs" dxfId="84" priority="19" operator="equal">
      <formula>"P0"</formula>
    </cfRule>
    <cfRule type="cellIs" dxfId="83" priority="20" operator="equal">
      <formula>"P1"</formula>
    </cfRule>
  </conditionalFormatting>
  <conditionalFormatting sqref="F8:F23">
    <cfRule type="cellIs" dxfId="82" priority="1" operator="equal">
      <formula>"DONE"</formula>
    </cfRule>
    <cfRule type="cellIs" dxfId="81" priority="2" operator="equal">
      <formula>"VERIFIED"</formula>
    </cfRule>
    <cfRule type="cellIs" dxfId="80" priority="3" operator="equal">
      <formula>"IN_PROGRESS"</formula>
    </cfRule>
    <cfRule type="cellIs" dxfId="79" priority="4" operator="equal">
      <formula>"IMPLEMENTED"</formula>
    </cfRule>
    <cfRule type="cellIs" dxfId="78" priority="5" operator="equal">
      <formula>"TESTING"</formula>
    </cfRule>
    <cfRule type="cellIs" dxfId="77" priority="6" operator="equal">
      <formula>"BLOCKED"</formula>
    </cfRule>
    <cfRule type="cellIs" dxfId="76" priority="7" operator="equal">
      <formula>"FAILED"</formula>
    </cfRule>
    <cfRule type="cellIs" dxfId="75" priority="8" operator="equal">
      <formula>"DEFERRED"</formula>
    </cfRule>
    <cfRule type="cellIs" dxfId="74" priority="9" operator="equal">
      <formula>"UNKNOWN"</formula>
    </cfRule>
    <cfRule type="cellIs" dxfId="73" priority="10" operator="equal">
      <formula>"PASS"</formula>
    </cfRule>
    <cfRule type="cellIs" dxfId="72" priority="11" operator="equal">
      <formula>"FAIL"</formula>
    </cfRule>
    <cfRule type="cellIs" dxfId="71" priority="12" operator="equal">
      <formula>"PARTIAL"</formula>
    </cfRule>
    <cfRule type="cellIs" dxfId="70" priority="13" operator="equal">
      <formula>"RESOLVED"</formula>
    </cfRule>
    <cfRule type="cellIs" dxfId="69" priority="14" operator="equal">
      <formula>"OPEN"</formula>
    </cfRule>
    <cfRule type="cellIs" dxfId="68" priority="15" operator="equal">
      <formula>"WITHIN"</formula>
    </cfRule>
    <cfRule type="cellIs" dxfId="67" priority="16" operator="equal">
      <formula>"OVER"</formula>
    </cfRule>
    <cfRule type="cellIs" dxfId="66" priority="17" operator="equal">
      <formula>"NOW"</formula>
    </cfRule>
    <cfRule type="cellIs" dxfId="65" priority="18" operator="equal">
      <formula>"NOT IN MASTER"</formula>
    </cfRule>
  </conditionalFormatting>
  <pageMargins left="0.75" right="0.75" top="1" bottom="1" header="0.5" footer="0.5"/>
  <pageSetup fitToHeight="0" orientation="landscape"/>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A1:L16"/>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1113</v>
      </c>
    </row>
    <row r="2" spans="1:12" x14ac:dyDescent="0.25">
      <c r="A2" s="4" t="s">
        <v>1114</v>
      </c>
    </row>
    <row r="3" spans="1:12" x14ac:dyDescent="0.25">
      <c r="A3" s="6" t="s">
        <v>45</v>
      </c>
      <c r="B3" s="6" t="s">
        <v>46</v>
      </c>
      <c r="C3" s="6" t="s">
        <v>47</v>
      </c>
      <c r="D3" s="6" t="s">
        <v>13</v>
      </c>
      <c r="E3" s="6" t="s">
        <v>16</v>
      </c>
      <c r="F3" s="6" t="s">
        <v>19</v>
      </c>
      <c r="G3" s="6" t="s">
        <v>48</v>
      </c>
      <c r="H3" s="6" t="s">
        <v>33</v>
      </c>
    </row>
    <row r="4" spans="1:12" x14ac:dyDescent="0.25">
      <c r="A4" s="7">
        <f>COUNTIF(MASTER!$C$2:$C$2000,"P2E")</f>
        <v>9</v>
      </c>
      <c r="B4" s="7">
        <f>COUNTIFS(MASTER!$C$2:$C$2000,"P2E",MASTER!$G$2:$G$2000,"DONE")</f>
        <v>0</v>
      </c>
      <c r="C4" s="7">
        <f>COUNTIFS(MASTER!$C$2:$C$2000,"P2E",MASTER!$G$2:$G$2000,"VERIFIED")+B4</f>
        <v>0</v>
      </c>
      <c r="D4" s="7">
        <f>COUNTIFS(MASTER!$C$2:$C$2000,"P2E",MASTER!$G$2:$G$2000,"IN_PROGRESS")+COUNTIFS(MASTER!$C$2:$C$2000,"P2E",MASTER!$G$2:$G$2000,"IMPLEMENTED")+COUNTIFS(MASTER!$C$2:$C$2000,"P2E",MASTER!$G$2:$G$2000,"TESTING")</f>
        <v>0</v>
      </c>
      <c r="E4" s="7">
        <f>COUNTIFS(MASTER!$C$2:$C$2000,"P2E",MASTER!$G$2:$G$2000,"BLOCKED")</f>
        <v>0</v>
      </c>
      <c r="F4" s="7">
        <f>COUNTIFS(MASTER!$C$2:$C$2000,"P2E",MASTER!$G$2:$G$2000,"FAILED")</f>
        <v>0</v>
      </c>
      <c r="G4" s="9">
        <f>IF(A4=0,0,B4/A4)</f>
        <v>0</v>
      </c>
      <c r="H4" s="9">
        <f>IF(A4=0,0,C4/A4)</f>
        <v>0</v>
      </c>
    </row>
    <row r="6" spans="1:12" ht="15.75" x14ac:dyDescent="0.25">
      <c r="A6" s="5" t="s">
        <v>867</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633</v>
      </c>
      <c r="B8" s="12" t="str">
        <f>IFERROR(INDEX(MASTER!$C$2:$C$2000,MATCH($A8,MASTER!$A$2:$A$2000,0))&amp;"","")</f>
        <v>P2E</v>
      </c>
      <c r="C8" s="16">
        <f>IFERROR(INDEX(MASTER!$B$2:$B$2000,MATCH($A8,MASTER!$A$2:$A$2000,0)),"")</f>
        <v>8</v>
      </c>
      <c r="D8" s="12" t="str">
        <f>IFERROR(INDEX(MASTER!$D$2:$D$2000,MATCH($A8,MASTER!$A$2:$A$2000,0))&amp;"","")</f>
        <v>Layout primitives where PDF needs them</v>
      </c>
      <c r="E8" s="12" t="str">
        <f>IFERROR(INDEX(MASTER!$F$2:$F$2000,MATCH($A8,MASTER!$A$2:$A$2000,0))&amp;"","")</f>
        <v>P0</v>
      </c>
      <c r="F8" s="12" t="str">
        <f>IFERROR(INDEX(MASTER!$G$2:$G$2000,MATCH($A8,MASTER!$A$2:$A$2000,0))&amp;"","NOT IN MASTER")</f>
        <v>NOT_STARTED</v>
      </c>
      <c r="G8" s="12" t="str">
        <f>IFERROR(INDEX(MASTER!$H$2:$H$2000,MATCH($A8,MASTER!$A$2:$A$2000,0))&amp;"","")</f>
        <v/>
      </c>
      <c r="H8" s="12" t="str">
        <f>IFERROR(INDEX(MASTER!$I$2:$I$2000,MATCH($A8,MASTER!$A$2:$A$2000,0))&amp;"","")</f>
        <v/>
      </c>
      <c r="I8" s="19" t="str">
        <f>IFERROR(IF(INDEX(MASTER!$O$2:$O$2000,MATCH($A8,MASTER!$A$2:$A$2000,0))="","",INDEX(MASTER!$O$2:$O$2000,MATCH($A8,MASTER!$A$2:$A$2000,0))),"")</f>
        <v/>
      </c>
      <c r="J8" s="12" t="str">
        <f>IFERROR(INDEX(MASTER!$P$2:$P$2000,MATCH($A8,MASTER!$A$2:$A$2000,0))&amp;"","")</f>
        <v/>
      </c>
      <c r="K8" s="12" t="str">
        <f>IFERROR(INDEX(MASTER!$Q$2:$Q$2000,MATCH($A8,MASTER!$A$2:$A$2000,0))&amp;"","")</f>
        <v/>
      </c>
      <c r="L8" s="12" t="str">
        <f>IFERROR(INDEX(MASTER!$R$2:$R$2000,MATCH($A8,MASTER!$A$2:$A$2000,0))&amp;"","")</f>
        <v/>
      </c>
    </row>
    <row r="9" spans="1:12" x14ac:dyDescent="0.25">
      <c r="A9" s="15" t="s">
        <v>636</v>
      </c>
      <c r="B9" s="12" t="str">
        <f>IFERROR(INDEX(MASTER!$C$2:$C$2000,MATCH($A9,MASTER!$A$2:$A$2000,0))&amp;"","")</f>
        <v>P2E</v>
      </c>
      <c r="C9" s="16">
        <f>IFERROR(INDEX(MASTER!$B$2:$B$2000,MATCH($A9,MASTER!$A$2:$A$2000,0)),"")</f>
        <v>8</v>
      </c>
      <c r="D9" s="12" t="str">
        <f>IFERROR(INDEX(MASTER!$D$2:$D$2000,MATCH($A9,MASTER!$A$2:$A$2000,0))&amp;"","")</f>
        <v>Structure reconstruction</v>
      </c>
      <c r="E9" s="12" t="str">
        <f>IFERROR(INDEX(MASTER!$F$2:$F$2000,MATCH($A9,MASTER!$A$2:$A$2000,0))&amp;"","")</f>
        <v>P0</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640</v>
      </c>
      <c r="B10" s="12" t="str">
        <f>IFERROR(INDEX(MASTER!$C$2:$C$2000,MATCH($A10,MASTER!$A$2:$A$2000,0))&amp;"","")</f>
        <v>P2E</v>
      </c>
      <c r="C10" s="16">
        <f>IFERROR(INDEX(MASTER!$B$2:$B$2000,MATCH($A10,MASTER!$A$2:$A$2000,0)),"")</f>
        <v>8</v>
      </c>
      <c r="D10" s="12" t="str">
        <f>IFERROR(INDEX(MASTER!$D$2:$D$2000,MATCH($A10,MASTER!$A$2:$A$2000,0))&amp;"","")</f>
        <v>Images with position</v>
      </c>
      <c r="E10" s="12" t="str">
        <f>IFERROR(INDEX(MASTER!$F$2:$F$2000,MATCH($A10,MASTER!$A$2:$A$2000,0))&amp;"","")</f>
        <v>P1</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643</v>
      </c>
      <c r="B11" s="12" t="str">
        <f>IFERROR(INDEX(MASTER!$C$2:$C$2000,MATCH($A11,MASTER!$A$2:$A$2000,0))&amp;"","")</f>
        <v>P2E</v>
      </c>
      <c r="C11" s="16">
        <f>IFERROR(INDEX(MASTER!$B$2:$B$2000,MATCH($A11,MASTER!$A$2:$A$2000,0)),"")</f>
        <v>8</v>
      </c>
      <c r="D11" s="12" t="str">
        <f>IFERROR(INDEX(MASTER!$D$2:$D$2000,MATCH($A11,MASTER!$A$2:$A$2000,0))&amp;"","")</f>
        <v>Tables from PDF</v>
      </c>
      <c r="E11" s="12" t="str">
        <f>IFERROR(INDEX(MASTER!$F$2:$F$2000,MATCH($A11,MASTER!$A$2:$A$2000,0))&amp;"","")</f>
        <v>P1</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646</v>
      </c>
      <c r="B12" s="12" t="str">
        <f>IFERROR(INDEX(MASTER!$C$2:$C$2000,MATCH($A12,MASTER!$A$2:$A$2000,0))&amp;"","")</f>
        <v>P2E</v>
      </c>
      <c r="C12" s="16">
        <f>IFERROR(INDEX(MASTER!$B$2:$B$2000,MATCH($A12,MASTER!$A$2:$A$2000,0)),"")</f>
        <v>8</v>
      </c>
      <c r="D12" s="12" t="str">
        <f>IFERROR(INDEX(MASTER!$D$2:$D$2000,MATCH($A12,MASTER!$A$2:$A$2000,0))&amp;"","")</f>
        <v>Confidence and conversion report</v>
      </c>
      <c r="E12" s="12" t="str">
        <f>IFERROR(INDEX(MASTER!$F$2:$F$2000,MATCH($A12,MASTER!$A$2:$A$2000,0))&amp;"","")</f>
        <v>P0</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649</v>
      </c>
      <c r="B13" s="12" t="str">
        <f>IFERROR(INDEX(MASTER!$C$2:$C$2000,MATCH($A13,MASTER!$A$2:$A$2000,0))&amp;"","")</f>
        <v>P2E</v>
      </c>
      <c r="C13" s="16">
        <f>IFERROR(INDEX(MASTER!$B$2:$B$2000,MATCH($A13,MASTER!$A$2:$A$2000,0)),"")</f>
        <v>8</v>
      </c>
      <c r="D13" s="12" t="str">
        <f>IFERROR(INDEX(MASTER!$D$2:$D$2000,MATCH($A13,MASTER!$A$2:$A$2000,0))&amp;"","")</f>
        <v>OCR provider abstraction</v>
      </c>
      <c r="E13" s="12" t="str">
        <f>IFERROR(INDEX(MASTER!$F$2:$F$2000,MATCH($A13,MASTER!$A$2:$A$2000,0))&amp;"","")</f>
        <v>P1</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653</v>
      </c>
      <c r="B14" s="12" t="str">
        <f>IFERROR(INDEX(MASTER!$C$2:$C$2000,MATCH($A14,MASTER!$A$2:$A$2000,0))&amp;"","")</f>
        <v>P2E</v>
      </c>
      <c r="C14" s="16">
        <f>IFERROR(INDEX(MASTER!$B$2:$B$2000,MATCH($A14,MASTER!$A$2:$A$2000,0)),"")</f>
        <v>8</v>
      </c>
      <c r="D14" s="12" t="str">
        <f>IFERROR(INDEX(MASTER!$D$2:$D$2000,MATCH($A14,MASTER!$A$2:$A$2000,0))&amp;"","")</f>
        <v>Imported-from-PDF version and UX</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657</v>
      </c>
      <c r="B15" s="12" t="str">
        <f>IFERROR(INDEX(MASTER!$C$2:$C$2000,MATCH($A15,MASTER!$A$2:$A$2000,0))&amp;"","")</f>
        <v>P2E</v>
      </c>
      <c r="C15" s="16">
        <f>IFERROR(INDEX(MASTER!$B$2:$B$2000,MATCH($A15,MASTER!$A$2:$A$2000,0)),"")</f>
        <v>8</v>
      </c>
      <c r="D15" s="12" t="str">
        <f>IFERROR(INDEX(MASTER!$D$2:$D$2000,MATCH($A15,MASTER!$A$2:$A$2000,0))&amp;"","")</f>
        <v>PDF fixtures and tests</v>
      </c>
      <c r="E15" s="12" t="str">
        <f>IFERROR(INDEX(MASTER!$F$2:$F$2000,MATCH($A15,MASTER!$A$2:$A$2000,0))&amp;"","")</f>
        <v>P0</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660</v>
      </c>
      <c r="B16" s="12" t="str">
        <f>IFERROR(INDEX(MASTER!$C$2:$C$2000,MATCH($A16,MASTER!$A$2:$A$2000,0))&amp;"","")</f>
        <v>P2E</v>
      </c>
      <c r="C16" s="16">
        <f>IFERROR(INDEX(MASTER!$B$2:$B$2000,MATCH($A16,MASTER!$A$2:$A$2000,0)),"")</f>
        <v>9</v>
      </c>
      <c r="D16" s="12" t="str">
        <f>IFERROR(INDEX(MASTER!$D$2:$D$2000,MATCH($A16,MASTER!$A$2:$A$2000,0))&amp;"","")</f>
        <v>Layout-preserving architecture</v>
      </c>
      <c r="E16" s="12" t="str">
        <f>IFERROR(INDEX(MASTER!$F$2:$F$2000,MATCH($A16,MASTER!$A$2:$A$2000,0))&amp;"","")</f>
        <v>P2</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sheetData>
  <autoFilter ref="A7:L16" xr:uid="{00000000-0009-0000-0000-00000E000000}"/>
  <conditionalFormatting sqref="E8:E16">
    <cfRule type="cellIs" dxfId="64" priority="19" operator="equal">
      <formula>"P0"</formula>
    </cfRule>
    <cfRule type="cellIs" dxfId="63" priority="20" operator="equal">
      <formula>"P1"</formula>
    </cfRule>
  </conditionalFormatting>
  <conditionalFormatting sqref="F8:F16">
    <cfRule type="cellIs" dxfId="62" priority="1" operator="equal">
      <formula>"DONE"</formula>
    </cfRule>
    <cfRule type="cellIs" dxfId="61" priority="2" operator="equal">
      <formula>"VERIFIED"</formula>
    </cfRule>
    <cfRule type="cellIs" dxfId="60" priority="3" operator="equal">
      <formula>"IN_PROGRESS"</formula>
    </cfRule>
    <cfRule type="cellIs" dxfId="59" priority="4" operator="equal">
      <formula>"IMPLEMENTED"</formula>
    </cfRule>
    <cfRule type="cellIs" dxfId="58" priority="5" operator="equal">
      <formula>"TESTING"</formula>
    </cfRule>
    <cfRule type="cellIs" dxfId="57" priority="6" operator="equal">
      <formula>"BLOCKED"</formula>
    </cfRule>
    <cfRule type="cellIs" dxfId="56" priority="7" operator="equal">
      <formula>"FAILED"</formula>
    </cfRule>
    <cfRule type="cellIs" dxfId="55" priority="8" operator="equal">
      <formula>"DEFERRED"</formula>
    </cfRule>
    <cfRule type="cellIs" dxfId="54" priority="9" operator="equal">
      <formula>"UNKNOWN"</formula>
    </cfRule>
    <cfRule type="cellIs" dxfId="53" priority="10" operator="equal">
      <formula>"PASS"</formula>
    </cfRule>
    <cfRule type="cellIs" dxfId="52" priority="11" operator="equal">
      <formula>"FAIL"</formula>
    </cfRule>
    <cfRule type="cellIs" dxfId="51" priority="12" operator="equal">
      <formula>"PARTIAL"</formula>
    </cfRule>
    <cfRule type="cellIs" dxfId="50" priority="13" operator="equal">
      <formula>"RESOLVED"</formula>
    </cfRule>
    <cfRule type="cellIs" dxfId="49" priority="14" operator="equal">
      <formula>"OPEN"</formula>
    </cfRule>
    <cfRule type="cellIs" dxfId="48" priority="15" operator="equal">
      <formula>"WITHIN"</formula>
    </cfRule>
    <cfRule type="cellIs" dxfId="47" priority="16" operator="equal">
      <formula>"OVER"</formula>
    </cfRule>
    <cfRule type="cellIs" dxfId="46" priority="17" operator="equal">
      <formula>"NOW"</formula>
    </cfRule>
    <cfRule type="cellIs" dxfId="45" priority="18" operator="equal">
      <formula>"NOT IN MASTER"</formula>
    </cfRule>
  </conditionalFormatting>
  <pageMargins left="0.75" right="0.75" top="1" bottom="1" header="0.5" footer="0.5"/>
  <pageSetup fitToHeight="0" orientation="landscape"/>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pageSetUpPr fitToPage="1"/>
  </sheetPr>
  <dimension ref="A1:L30"/>
  <sheetViews>
    <sheetView workbookViewId="0">
      <pane ySplit="4" topLeftCell="A5" activePane="bottomLeft" state="frozen"/>
      <selection pane="bottomLeft"/>
    </sheetView>
  </sheetViews>
  <sheetFormatPr defaultRowHeight="15" x14ac:dyDescent="0.25"/>
  <cols>
    <col min="1" max="1" width="34" customWidth="1"/>
    <col min="2" max="2" width="16" customWidth="1"/>
    <col min="3" max="3" width="20" customWidth="1"/>
    <col min="4" max="4" width="44" customWidth="1"/>
    <col min="5" max="5" width="40"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8" ht="20.25" x14ac:dyDescent="0.3">
      <c r="A1" s="3" t="s">
        <v>1115</v>
      </c>
    </row>
    <row r="2" spans="1:8" x14ac:dyDescent="0.25">
      <c r="A2" s="4" t="s">
        <v>143</v>
      </c>
    </row>
    <row r="3" spans="1:8" x14ac:dyDescent="0.25">
      <c r="A3" s="6" t="s">
        <v>45</v>
      </c>
      <c r="B3" s="6" t="s">
        <v>46</v>
      </c>
      <c r="C3" s="6" t="s">
        <v>47</v>
      </c>
      <c r="D3" s="6" t="s">
        <v>13</v>
      </c>
      <c r="E3" s="6" t="s">
        <v>16</v>
      </c>
      <c r="F3" s="6" t="s">
        <v>19</v>
      </c>
      <c r="G3" s="6" t="s">
        <v>48</v>
      </c>
      <c r="H3" s="6" t="s">
        <v>33</v>
      </c>
    </row>
    <row r="4" spans="1:8" x14ac:dyDescent="0.25">
      <c r="A4" s="7">
        <f>COUNTIF(MASTER!$C$2:$C$2000,"BILLING")</f>
        <v>5</v>
      </c>
      <c r="B4" s="7">
        <f>COUNTIFS(MASTER!$C$2:$C$2000,"BILLING",MASTER!$G$2:$G$2000,"DONE")</f>
        <v>0</v>
      </c>
      <c r="C4" s="7">
        <f>COUNTIFS(MASTER!$C$2:$C$2000,"BILLING",MASTER!$G$2:$G$2000,"VERIFIED")+B4</f>
        <v>0</v>
      </c>
      <c r="D4" s="7">
        <f>COUNTIFS(MASTER!$C$2:$C$2000,"BILLING",MASTER!$G$2:$G$2000,"IN_PROGRESS")+COUNTIFS(MASTER!$C$2:$C$2000,"BILLING",MASTER!$G$2:$G$2000,"IMPLEMENTED")+COUNTIFS(MASTER!$C$2:$C$2000,"BILLING",MASTER!$G$2:$G$2000,"TESTING")</f>
        <v>0</v>
      </c>
      <c r="E4" s="7">
        <f>COUNTIFS(MASTER!$C$2:$C$2000,"BILLING",MASTER!$G$2:$G$2000,"BLOCKED")</f>
        <v>0</v>
      </c>
      <c r="F4" s="7">
        <f>COUNTIFS(MASTER!$C$2:$C$2000,"BILLING",MASTER!$G$2:$G$2000,"FAILED")</f>
        <v>0</v>
      </c>
      <c r="G4" s="9">
        <f>IF(A4=0,0,B4/A4)</f>
        <v>0</v>
      </c>
      <c r="H4" s="9">
        <f>IF(A4=0,0,C4/A4)</f>
        <v>0</v>
      </c>
    </row>
    <row r="6" spans="1:8" ht="15.75" x14ac:dyDescent="0.25">
      <c r="A6" s="5" t="s">
        <v>1116</v>
      </c>
    </row>
    <row r="7" spans="1:8" x14ac:dyDescent="0.25">
      <c r="A7" s="10" t="s">
        <v>1117</v>
      </c>
      <c r="B7" s="10" t="s">
        <v>1118</v>
      </c>
      <c r="C7" s="10" t="s">
        <v>1119</v>
      </c>
      <c r="D7" s="10" t="s">
        <v>1120</v>
      </c>
      <c r="E7" s="10" t="s">
        <v>174</v>
      </c>
    </row>
    <row r="8" spans="1:8" x14ac:dyDescent="0.25">
      <c r="A8" s="15" t="s">
        <v>1121</v>
      </c>
      <c r="B8" s="20">
        <v>5</v>
      </c>
      <c r="C8" s="20">
        <v>100</v>
      </c>
      <c r="D8" s="20">
        <v>1000</v>
      </c>
      <c r="E8" s="18" t="s">
        <v>1122</v>
      </c>
    </row>
    <row r="9" spans="1:8" x14ac:dyDescent="0.25">
      <c r="A9" s="15" t="s">
        <v>1123</v>
      </c>
      <c r="B9" s="20">
        <v>20</v>
      </c>
      <c r="C9" s="20">
        <v>500</v>
      </c>
      <c r="D9" s="20">
        <v>5000</v>
      </c>
      <c r="E9" s="18"/>
    </row>
    <row r="10" spans="1:8" x14ac:dyDescent="0.25">
      <c r="A10" s="15" t="s">
        <v>1124</v>
      </c>
      <c r="B10" s="20">
        <v>5</v>
      </c>
      <c r="C10" s="20">
        <v>100</v>
      </c>
      <c r="D10" s="20">
        <v>1000</v>
      </c>
      <c r="E10" s="18"/>
    </row>
    <row r="11" spans="1:8" x14ac:dyDescent="0.25">
      <c r="A11" s="15" t="s">
        <v>1125</v>
      </c>
      <c r="B11" s="20">
        <v>10000</v>
      </c>
      <c r="C11" s="20">
        <v>500000</v>
      </c>
      <c r="D11" s="20">
        <v>5000000</v>
      </c>
      <c r="E11" s="18"/>
    </row>
    <row r="12" spans="1:8" x14ac:dyDescent="0.25">
      <c r="A12" s="15" t="s">
        <v>1126</v>
      </c>
      <c r="B12" s="20">
        <v>10</v>
      </c>
      <c r="C12" s="20">
        <v>300</v>
      </c>
      <c r="D12" s="20">
        <v>2000</v>
      </c>
      <c r="E12" s="18"/>
    </row>
    <row r="13" spans="1:8" ht="25.5" x14ac:dyDescent="0.25">
      <c r="A13" s="15" t="s">
        <v>1127</v>
      </c>
      <c r="B13" s="20">
        <v>25</v>
      </c>
      <c r="C13" s="20">
        <v>500</v>
      </c>
      <c r="D13" s="21" t="s">
        <v>1128</v>
      </c>
      <c r="E13" s="18" t="s">
        <v>1129</v>
      </c>
    </row>
    <row r="14" spans="1:8" x14ac:dyDescent="0.25">
      <c r="A14" s="15" t="s">
        <v>1130</v>
      </c>
      <c r="B14" s="21" t="s">
        <v>1131</v>
      </c>
      <c r="C14" s="21" t="s">
        <v>1132</v>
      </c>
      <c r="D14" s="21" t="s">
        <v>1133</v>
      </c>
      <c r="E14" s="18"/>
    </row>
    <row r="15" spans="1:8" x14ac:dyDescent="0.25">
      <c r="A15" s="15" t="s">
        <v>1134</v>
      </c>
      <c r="B15" s="21" t="s">
        <v>1131</v>
      </c>
      <c r="C15" s="21" t="s">
        <v>1135</v>
      </c>
      <c r="D15" s="21" t="s">
        <v>1136</v>
      </c>
      <c r="E15" s="18"/>
    </row>
    <row r="16" spans="1:8" x14ac:dyDescent="0.25">
      <c r="A16" s="15" t="s">
        <v>1137</v>
      </c>
      <c r="B16" s="21" t="s">
        <v>1136</v>
      </c>
      <c r="C16" s="21" t="s">
        <v>1138</v>
      </c>
      <c r="D16" s="21" t="s">
        <v>1136</v>
      </c>
      <c r="E16" s="18"/>
    </row>
    <row r="17" spans="1:12" x14ac:dyDescent="0.25">
      <c r="A17" s="15" t="s">
        <v>1139</v>
      </c>
      <c r="B17" s="21" t="s">
        <v>1136</v>
      </c>
      <c r="C17" s="21" t="s">
        <v>1138</v>
      </c>
      <c r="D17" s="21" t="s">
        <v>1136</v>
      </c>
      <c r="E17" s="18"/>
    </row>
    <row r="18" spans="1:12" x14ac:dyDescent="0.25">
      <c r="A18" s="15" t="s">
        <v>90</v>
      </c>
      <c r="B18" s="21" t="s">
        <v>1140</v>
      </c>
      <c r="C18" s="21" t="s">
        <v>1141</v>
      </c>
      <c r="D18" s="21" t="s">
        <v>1138</v>
      </c>
      <c r="E18" s="18"/>
    </row>
    <row r="19" spans="1:12" x14ac:dyDescent="0.25">
      <c r="A19" s="15" t="s">
        <v>1142</v>
      </c>
      <c r="B19" s="21" t="s">
        <v>1140</v>
      </c>
      <c r="C19" s="21" t="s">
        <v>1136</v>
      </c>
      <c r="D19" s="21" t="s">
        <v>1138</v>
      </c>
      <c r="E19" s="18"/>
    </row>
    <row r="20" spans="1:12" x14ac:dyDescent="0.25">
      <c r="A20" s="15" t="s">
        <v>1143</v>
      </c>
      <c r="B20" s="21" t="s">
        <v>1136</v>
      </c>
      <c r="C20" s="21" t="s">
        <v>1136</v>
      </c>
      <c r="D20" s="21" t="s">
        <v>1138</v>
      </c>
      <c r="E20" s="18"/>
    </row>
    <row r="21" spans="1:12" x14ac:dyDescent="0.25">
      <c r="A21" s="15" t="s">
        <v>1144</v>
      </c>
      <c r="B21" s="21" t="s">
        <v>1136</v>
      </c>
      <c r="C21" s="21" t="s">
        <v>1136</v>
      </c>
      <c r="D21" s="21" t="s">
        <v>1138</v>
      </c>
      <c r="E21" s="18"/>
    </row>
    <row r="24" spans="1:12" ht="15.75" x14ac:dyDescent="0.25">
      <c r="A24" s="5" t="s">
        <v>1145</v>
      </c>
    </row>
    <row r="25" spans="1:12" x14ac:dyDescent="0.25">
      <c r="A25" s="10" t="s">
        <v>162</v>
      </c>
      <c r="B25" s="10" t="s">
        <v>99</v>
      </c>
      <c r="C25" s="10" t="s">
        <v>43</v>
      </c>
      <c r="D25" s="10" t="s">
        <v>163</v>
      </c>
      <c r="E25" s="10" t="s">
        <v>165</v>
      </c>
      <c r="F25" s="10" t="s">
        <v>57</v>
      </c>
      <c r="G25" s="10" t="s">
        <v>166</v>
      </c>
      <c r="H25" s="10" t="s">
        <v>167</v>
      </c>
      <c r="I25" s="10" t="s">
        <v>15</v>
      </c>
      <c r="J25" s="10" t="s">
        <v>173</v>
      </c>
      <c r="K25" s="10" t="s">
        <v>174</v>
      </c>
      <c r="L25" s="10" t="s">
        <v>175</v>
      </c>
    </row>
    <row r="26" spans="1:12" x14ac:dyDescent="0.25">
      <c r="A26" s="15" t="s">
        <v>605</v>
      </c>
      <c r="B26" s="12" t="str">
        <f>IFERROR(INDEX(MASTER!$C$2:$C$2000,MATCH($A26,MASTER!$A$2:$A$2000,0))&amp;"","")</f>
        <v>BILLING</v>
      </c>
      <c r="C26" s="16">
        <f>IFERROR(INDEX(MASTER!$B$2:$B$2000,MATCH($A26,MASTER!$A$2:$A$2000,0)),"")</f>
        <v>6</v>
      </c>
      <c r="D26" s="12" t="str">
        <f>IFERROR(INDEX(MASTER!$D$2:$D$2000,MATCH($A26,MASTER!$A$2:$A$2000,0))&amp;"","")</f>
        <v>Usage units</v>
      </c>
      <c r="E26" s="12" t="str">
        <f>IFERROR(INDEX(MASTER!$F$2:$F$2000,MATCH($A26,MASTER!$A$2:$A$2000,0))&amp;"","")</f>
        <v>P0</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
      </c>
      <c r="L26" s="12" t="str">
        <f>IFERROR(INDEX(MASTER!$R$2:$R$2000,MATCH($A26,MASTER!$A$2:$A$2000,0))&amp;"","")</f>
        <v/>
      </c>
    </row>
    <row r="27" spans="1:12" x14ac:dyDescent="0.25">
      <c r="A27" s="15" t="s">
        <v>610</v>
      </c>
      <c r="B27" s="12" t="str">
        <f>IFERROR(INDEX(MASTER!$C$2:$C$2000,MATCH($A27,MASTER!$A$2:$A$2000,0))&amp;"","")</f>
        <v>BILLING</v>
      </c>
      <c r="C27" s="16">
        <f>IFERROR(INDEX(MASTER!$B$2:$B$2000,MATCH($A27,MASTER!$A$2:$A$2000,0)),"")</f>
        <v>6</v>
      </c>
      <c r="D27" s="12" t="str">
        <f>IFERROR(INDEX(MASTER!$D$2:$D$2000,MATCH($A27,MASTER!$A$2:$A$2000,0))&amp;"","")</f>
        <v>Configurable plan defaults</v>
      </c>
      <c r="E27" s="12" t="str">
        <f>IFERROR(INDEX(MASTER!$F$2:$F$2000,MATCH($A27,MASTER!$A$2:$A$2000,0))&amp;"","")</f>
        <v>P1</v>
      </c>
      <c r="F27" s="12" t="str">
        <f>IFERROR(INDEX(MASTER!$G$2:$G$2000,MATCH($A27,MASTER!$A$2:$A$2000,0))&amp;"","NOT IN MASTER")</f>
        <v>NOT_STARTED</v>
      </c>
      <c r="G27" s="12" t="str">
        <f>IFERROR(INDEX(MASTER!$H$2:$H$2000,MATCH($A27,MASTER!$A$2:$A$2000,0))&amp;"","")</f>
        <v/>
      </c>
      <c r="H27" s="12" t="str">
        <f>IFERROR(INDEX(MASTER!$I$2:$I$2000,MATCH($A27,MASTER!$A$2:$A$2000,0))&amp;"","")</f>
        <v/>
      </c>
      <c r="I27" s="19" t="str">
        <f>IFERROR(IF(INDEX(MASTER!$O$2:$O$2000,MATCH($A27,MASTER!$A$2:$A$2000,0))="","",INDEX(MASTER!$O$2:$O$2000,MATCH($A27,MASTER!$A$2:$A$2000,0))),"")</f>
        <v/>
      </c>
      <c r="J27" s="12" t="str">
        <f>IFERROR(INDEX(MASTER!$P$2:$P$2000,MATCH($A27,MASTER!$A$2:$A$2000,0))&amp;"","")</f>
        <v/>
      </c>
      <c r="K27" s="12" t="str">
        <f>IFERROR(INDEX(MASTER!$Q$2:$Q$2000,MATCH($A27,MASTER!$A$2:$A$2000,0))&amp;"","")</f>
        <v/>
      </c>
      <c r="L27" s="12" t="str">
        <f>IFERROR(INDEX(MASTER!$R$2:$R$2000,MATCH($A27,MASTER!$A$2:$A$2000,0))&amp;"","")</f>
        <v/>
      </c>
    </row>
    <row r="28" spans="1:12" x14ac:dyDescent="0.25">
      <c r="A28" s="15" t="s">
        <v>613</v>
      </c>
      <c r="B28" s="12" t="str">
        <f>IFERROR(INDEX(MASTER!$C$2:$C$2000,MATCH($A28,MASTER!$A$2:$A$2000,0))&amp;"","")</f>
        <v>BILLING</v>
      </c>
      <c r="C28" s="16">
        <f>IFERROR(INDEX(MASTER!$B$2:$B$2000,MATCH($A28,MASTER!$A$2:$A$2000,0)),"")</f>
        <v>6</v>
      </c>
      <c r="D28" s="12" t="str">
        <f>IFERROR(INDEX(MASTER!$D$2:$D$2000,MATCH($A28,MASTER!$A$2:$A$2000,0))&amp;"","")</f>
        <v>Atomic entitlement checks</v>
      </c>
      <c r="E28" s="12" t="str">
        <f>IFERROR(INDEX(MASTER!$F$2:$F$2000,MATCH($A28,MASTER!$A$2:$A$2000,0))&amp;"","")</f>
        <v>P0</v>
      </c>
      <c r="F28" s="12" t="str">
        <f>IFERROR(INDEX(MASTER!$G$2:$G$2000,MATCH($A28,MASTER!$A$2:$A$2000,0))&amp;"","NOT IN MASTER")</f>
        <v>NOT_STARTED</v>
      </c>
      <c r="G28" s="12" t="str">
        <f>IFERROR(INDEX(MASTER!$H$2:$H$2000,MATCH($A28,MASTER!$A$2:$A$2000,0))&amp;"","")</f>
        <v/>
      </c>
      <c r="H28" s="12" t="str">
        <f>IFERROR(INDEX(MASTER!$I$2:$I$2000,MATCH($A28,MASTER!$A$2:$A$2000,0))&amp;"","")</f>
        <v/>
      </c>
      <c r="I28" s="19" t="str">
        <f>IFERROR(IF(INDEX(MASTER!$O$2:$O$2000,MATCH($A28,MASTER!$A$2:$A$2000,0))="","",INDEX(MASTER!$O$2:$O$2000,MATCH($A28,MASTER!$A$2:$A$2000,0))),"")</f>
        <v/>
      </c>
      <c r="J28" s="12" t="str">
        <f>IFERROR(INDEX(MASTER!$P$2:$P$2000,MATCH($A28,MASTER!$A$2:$A$2000,0))&amp;"","")</f>
        <v/>
      </c>
      <c r="K28" s="12" t="str">
        <f>IFERROR(INDEX(MASTER!$Q$2:$Q$2000,MATCH($A28,MASTER!$A$2:$A$2000,0))&amp;"","")</f>
        <v/>
      </c>
      <c r="L28" s="12" t="str">
        <f>IFERROR(INDEX(MASTER!$R$2:$R$2000,MATCH($A28,MASTER!$A$2:$A$2000,0))&amp;"","")</f>
        <v/>
      </c>
    </row>
    <row r="29" spans="1:12" x14ac:dyDescent="0.25">
      <c r="A29" s="15" t="s">
        <v>616</v>
      </c>
      <c r="B29" s="12" t="str">
        <f>IFERROR(INDEX(MASTER!$C$2:$C$2000,MATCH($A29,MASTER!$A$2:$A$2000,0))&amp;"","")</f>
        <v>BILLING</v>
      </c>
      <c r="C29" s="16">
        <f>IFERROR(INDEX(MASTER!$B$2:$B$2000,MATCH($A29,MASTER!$A$2:$A$2000,0)),"")</f>
        <v>6</v>
      </c>
      <c r="D29" s="12" t="str">
        <f>IFERROR(INDEX(MASTER!$D$2:$D$2000,MATCH($A29,MASTER!$A$2:$A$2000,0))&amp;"","")</f>
        <v>Stripe flows review</v>
      </c>
      <c r="E29" s="12" t="str">
        <f>IFERROR(INDEX(MASTER!$F$2:$F$2000,MATCH($A29,MASTER!$A$2:$A$2000,0))&amp;"","")</f>
        <v>P1</v>
      </c>
      <c r="F29" s="12" t="str">
        <f>IFERROR(INDEX(MASTER!$G$2:$G$2000,MATCH($A29,MASTER!$A$2:$A$2000,0))&amp;"","NOT IN MASTER")</f>
        <v>NOT_STARTED</v>
      </c>
      <c r="G29" s="12" t="str">
        <f>IFERROR(INDEX(MASTER!$H$2:$H$2000,MATCH($A29,MASTER!$A$2:$A$2000,0))&amp;"","")</f>
        <v/>
      </c>
      <c r="H29" s="12" t="str">
        <f>IFERROR(INDEX(MASTER!$I$2:$I$2000,MATCH($A29,MASTER!$A$2:$A$2000,0))&amp;"","")</f>
        <v/>
      </c>
      <c r="I29" s="19" t="str">
        <f>IFERROR(IF(INDEX(MASTER!$O$2:$O$2000,MATCH($A29,MASTER!$A$2:$A$2000,0))="","",INDEX(MASTER!$O$2:$O$2000,MATCH($A29,MASTER!$A$2:$A$2000,0))),"")</f>
        <v/>
      </c>
      <c r="J29" s="12" t="str">
        <f>IFERROR(INDEX(MASTER!$P$2:$P$2000,MATCH($A29,MASTER!$A$2:$A$2000,0))&amp;"","")</f>
        <v/>
      </c>
      <c r="K29" s="12" t="str">
        <f>IFERROR(INDEX(MASTER!$Q$2:$Q$2000,MATCH($A29,MASTER!$A$2:$A$2000,0))&amp;"","")</f>
        <v/>
      </c>
      <c r="L29" s="12" t="str">
        <f>IFERROR(INDEX(MASTER!$R$2:$R$2000,MATCH($A29,MASTER!$A$2:$A$2000,0))&amp;"","")</f>
        <v/>
      </c>
    </row>
    <row r="30" spans="1:12" x14ac:dyDescent="0.25">
      <c r="A30" s="15" t="s">
        <v>619</v>
      </c>
      <c r="B30" s="12" t="str">
        <f>IFERROR(INDEX(MASTER!$C$2:$C$2000,MATCH($A30,MASTER!$A$2:$A$2000,0))&amp;"","")</f>
        <v>BILLING</v>
      </c>
      <c r="C30" s="16">
        <f>IFERROR(INDEX(MASTER!$B$2:$B$2000,MATCH($A30,MASTER!$A$2:$A$2000,0)),"")</f>
        <v>6</v>
      </c>
      <c r="D30" s="12" t="str">
        <f>IFERROR(INDEX(MASTER!$D$2:$D$2000,MATCH($A30,MASTER!$A$2:$A$2000,0))&amp;"","")</f>
        <v>Storage metering including history</v>
      </c>
      <c r="E30" s="12" t="str">
        <f>IFERROR(INDEX(MASTER!$F$2:$F$2000,MATCH($A30,MASTER!$A$2:$A$2000,0))&amp;"","")</f>
        <v>P1</v>
      </c>
      <c r="F30" s="12" t="str">
        <f>IFERROR(INDEX(MASTER!$G$2:$G$2000,MATCH($A30,MASTER!$A$2:$A$2000,0))&amp;"","NOT IN MASTER")</f>
        <v>NOT_STARTED</v>
      </c>
      <c r="G30" s="12" t="str">
        <f>IFERROR(INDEX(MASTER!$H$2:$H$2000,MATCH($A30,MASTER!$A$2:$A$2000,0))&amp;"","")</f>
        <v/>
      </c>
      <c r="H30" s="12" t="str">
        <f>IFERROR(INDEX(MASTER!$I$2:$I$2000,MATCH($A30,MASTER!$A$2:$A$2000,0))&amp;"","")</f>
        <v/>
      </c>
      <c r="I30" s="19" t="str">
        <f>IFERROR(IF(INDEX(MASTER!$O$2:$O$2000,MATCH($A30,MASTER!$A$2:$A$2000,0))="","",INDEX(MASTER!$O$2:$O$2000,MATCH($A30,MASTER!$A$2:$A$2000,0))),"")</f>
        <v/>
      </c>
      <c r="J30" s="12" t="str">
        <f>IFERROR(INDEX(MASTER!$P$2:$P$2000,MATCH($A30,MASTER!$A$2:$A$2000,0))&amp;"","")</f>
        <v/>
      </c>
      <c r="K30" s="12" t="str">
        <f>IFERROR(INDEX(MASTER!$Q$2:$Q$2000,MATCH($A30,MASTER!$A$2:$A$2000,0))&amp;"","")</f>
        <v/>
      </c>
      <c r="L30" s="12" t="str">
        <f>IFERROR(INDEX(MASTER!$R$2:$R$2000,MATCH($A30,MASTER!$A$2:$A$2000,0))&amp;"","")</f>
        <v/>
      </c>
    </row>
  </sheetData>
  <autoFilter ref="A25:L30" xr:uid="{00000000-0009-0000-0000-00000F000000}"/>
  <conditionalFormatting sqref="E26:E30">
    <cfRule type="cellIs" dxfId="44" priority="19" operator="equal">
      <formula>"P0"</formula>
    </cfRule>
    <cfRule type="cellIs" dxfId="43" priority="20" operator="equal">
      <formula>"P1"</formula>
    </cfRule>
  </conditionalFormatting>
  <conditionalFormatting sqref="F26:F30">
    <cfRule type="cellIs" dxfId="42" priority="1" operator="equal">
      <formula>"DONE"</formula>
    </cfRule>
    <cfRule type="cellIs" dxfId="41" priority="2" operator="equal">
      <formula>"VERIFIED"</formula>
    </cfRule>
    <cfRule type="cellIs" dxfId="40" priority="3" operator="equal">
      <formula>"IN_PROGRESS"</formula>
    </cfRule>
    <cfRule type="cellIs" dxfId="39" priority="4" operator="equal">
      <formula>"IMPLEMENTED"</formula>
    </cfRule>
    <cfRule type="cellIs" dxfId="38" priority="5" operator="equal">
      <formula>"TESTING"</formula>
    </cfRule>
    <cfRule type="cellIs" dxfId="37" priority="6" operator="equal">
      <formula>"BLOCKED"</formula>
    </cfRule>
    <cfRule type="cellIs" dxfId="36" priority="7" operator="equal">
      <formula>"FAILED"</formula>
    </cfRule>
    <cfRule type="cellIs" dxfId="35" priority="8" operator="equal">
      <formula>"DEFERRED"</formula>
    </cfRule>
    <cfRule type="cellIs" dxfId="34" priority="9" operator="equal">
      <formula>"UNKNOWN"</formula>
    </cfRule>
    <cfRule type="cellIs" dxfId="33" priority="10" operator="equal">
      <formula>"PASS"</formula>
    </cfRule>
    <cfRule type="cellIs" dxfId="32" priority="11" operator="equal">
      <formula>"FAIL"</formula>
    </cfRule>
    <cfRule type="cellIs" dxfId="31" priority="12" operator="equal">
      <formula>"PARTIAL"</formula>
    </cfRule>
    <cfRule type="cellIs" dxfId="30" priority="13" operator="equal">
      <formula>"RESOLVED"</formula>
    </cfRule>
    <cfRule type="cellIs" dxfId="29" priority="14" operator="equal">
      <formula>"OPEN"</formula>
    </cfRule>
    <cfRule type="cellIs" dxfId="28" priority="15" operator="equal">
      <formula>"WITHIN"</formula>
    </cfRule>
    <cfRule type="cellIs" dxfId="27" priority="16" operator="equal">
      <formula>"OVER"</formula>
    </cfRule>
    <cfRule type="cellIs" dxfId="26" priority="17" operator="equal">
      <formula>"NOW"</formula>
    </cfRule>
    <cfRule type="cellIs" dxfId="25" priority="18" operator="equal">
      <formula>"NOT IN MASTER"</formula>
    </cfRule>
  </conditionalFormatting>
  <pageMargins left="0.75" right="0.75" top="1" bottom="1" header="0.5" footer="0.5"/>
  <pageSetup fitToHeight="0"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pageSetUpPr fitToPage="1"/>
  </sheetPr>
  <dimension ref="A1:L22"/>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1146</v>
      </c>
    </row>
    <row r="2" spans="1:12" x14ac:dyDescent="0.25">
      <c r="A2" s="4" t="s">
        <v>1147</v>
      </c>
    </row>
    <row r="3" spans="1:12" x14ac:dyDescent="0.25">
      <c r="A3" s="6" t="s">
        <v>45</v>
      </c>
      <c r="B3" s="6" t="s">
        <v>46</v>
      </c>
      <c r="C3" s="6" t="s">
        <v>47</v>
      </c>
      <c r="D3" s="6" t="s">
        <v>13</v>
      </c>
      <c r="E3" s="6" t="s">
        <v>16</v>
      </c>
      <c r="F3" s="6" t="s">
        <v>19</v>
      </c>
      <c r="G3" s="6" t="s">
        <v>48</v>
      </c>
      <c r="H3" s="6" t="s">
        <v>33</v>
      </c>
    </row>
    <row r="4" spans="1:12" x14ac:dyDescent="0.25">
      <c r="A4" s="7">
        <f>COUNTIF(MASTER!$C$2:$C$2000,"INFRA")+COUNTIF(MASTER!$C$2:$C$2000,"JOBS")+COUNTIF(MASTER!$C$2:$C$2000,"STORAGE")+COUNTIF(MASTER!$C$2:$C$2000,"OBSERVABILITY")+COUNTIF(MASTER!$C$2:$C$2000,"DOCS")</f>
        <v>15</v>
      </c>
      <c r="B4" s="7">
        <f>COUNTIFS(MASTER!$C$2:$C$2000,"INFRA",MASTER!$G$2:$G$2000,"DONE")+COUNTIFS(MASTER!$C$2:$C$2000,"JOBS",MASTER!$G$2:$G$2000,"DONE")+COUNTIFS(MASTER!$C$2:$C$2000,"STORAGE",MASTER!$G$2:$G$2000,"DONE")+COUNTIFS(MASTER!$C$2:$C$2000,"OBSERVABILITY",MASTER!$G$2:$G$2000,"DONE")+COUNTIFS(MASTER!$C$2:$C$2000,"DOCS",MASTER!$G$2:$G$2000,"DONE")</f>
        <v>6</v>
      </c>
      <c r="C4" s="7">
        <f>COUNTIFS(MASTER!$C$2:$C$2000,"INFRA",MASTER!$G$2:$G$2000,"VERIFIED")+COUNTIFS(MASTER!$C$2:$C$2000,"JOBS",MASTER!$G$2:$G$2000,"VERIFIED")+COUNTIFS(MASTER!$C$2:$C$2000,"STORAGE",MASTER!$G$2:$G$2000,"VERIFIED")+COUNTIFS(MASTER!$C$2:$C$2000,"OBSERVABILITY",MASTER!$G$2:$G$2000,"VERIFIED")+COUNTIFS(MASTER!$C$2:$C$2000,"DOCS",MASTER!$G$2:$G$2000,"VERIFIED")+B4</f>
        <v>6</v>
      </c>
      <c r="D4" s="7">
        <f>COUNTIFS(MASTER!$C$2:$C$2000,"INFRA",MASTER!$G$2:$G$2000,"IN_PROGRESS")+COUNTIFS(MASTER!$C$2:$C$2000,"INFRA",MASTER!$G$2:$G$2000,"IMPLEMENTED")+COUNTIFS(MASTER!$C$2:$C$2000,"INFRA",MASTER!$G$2:$G$2000,"TESTING")+COUNTIFS(MASTER!$C$2:$C$2000,"JOBS",MASTER!$G$2:$G$2000,"IN_PROGRESS")+COUNTIFS(MASTER!$C$2:$C$2000,"JOBS",MASTER!$G$2:$G$2000,"IMPLEMENTED")+COUNTIFS(MASTER!$C$2:$C$2000,"JOBS",MASTER!$G$2:$G$2000,"TESTING")+COUNTIFS(MASTER!$C$2:$C$2000,"STORAGE",MASTER!$G$2:$G$2000,"IN_PROGRESS")+COUNTIFS(MASTER!$C$2:$C$2000,"STORAGE",MASTER!$G$2:$G$2000,"IMPLEMENTED")+COUNTIFS(MASTER!$C$2:$C$2000,"STORAGE",MASTER!$G$2:$G$2000,"TESTING")+COUNTIFS(MASTER!$C$2:$C$2000,"OBSERVABILITY",MASTER!$G$2:$G$2000,"IN_PROGRESS")+COUNTIFS(MASTER!$C$2:$C$2000,"OBSERVABILITY",MASTER!$G$2:$G$2000,"IMPLEMENTED")+COUNTIFS(MASTER!$C$2:$C$2000,"OBSERVABILITY",MASTER!$G$2:$G$2000,"TESTING")+COUNTIFS(MASTER!$C$2:$C$2000,"DOCS",MASTER!$G$2:$G$2000,"IN_PROGRESS")+COUNTIFS(MASTER!$C$2:$C$2000,"DOCS",MASTER!$G$2:$G$2000,"IMPLEMENTED")+COUNTIFS(MASTER!$C$2:$C$2000,"DOCS",MASTER!$G$2:$G$2000,"TESTING")</f>
        <v>0</v>
      </c>
      <c r="E4" s="7">
        <f>COUNTIFS(MASTER!$C$2:$C$2000,"INFRA",MASTER!$G$2:$G$2000,"BLOCKED")+COUNTIFS(MASTER!$C$2:$C$2000,"JOBS",MASTER!$G$2:$G$2000,"BLOCKED")+COUNTIFS(MASTER!$C$2:$C$2000,"STORAGE",MASTER!$G$2:$G$2000,"BLOCKED")+COUNTIFS(MASTER!$C$2:$C$2000,"OBSERVABILITY",MASTER!$G$2:$G$2000,"BLOCKED")+COUNTIFS(MASTER!$C$2:$C$2000,"DOCS",MASTER!$G$2:$G$2000,"BLOCKED")</f>
        <v>0</v>
      </c>
      <c r="F4" s="7">
        <f>COUNTIFS(MASTER!$C$2:$C$2000,"INFRA",MASTER!$G$2:$G$2000,"FAILED")+COUNTIFS(MASTER!$C$2:$C$2000,"JOBS",MASTER!$G$2:$G$2000,"FAILED")+COUNTIFS(MASTER!$C$2:$C$2000,"STORAGE",MASTER!$G$2:$G$2000,"FAILED")+COUNTIFS(MASTER!$C$2:$C$2000,"OBSERVABILITY",MASTER!$G$2:$G$2000,"FAILED")+COUNTIFS(MASTER!$C$2:$C$2000,"DOCS",MASTER!$G$2:$G$2000,"FAILED")</f>
        <v>0</v>
      </c>
      <c r="G4" s="9">
        <f>IF(A4=0,0,B4/A4)</f>
        <v>0.4</v>
      </c>
      <c r="H4" s="9">
        <f>IF(A4=0,0,C4/A4)</f>
        <v>0.4</v>
      </c>
    </row>
    <row r="6" spans="1:12" ht="15.75" x14ac:dyDescent="0.25">
      <c r="A6" s="5" t="s">
        <v>867</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177</v>
      </c>
      <c r="B8" s="12" t="str">
        <f>IFERROR(INDEX(MASTER!$C$2:$C$2000,MATCH($A8,MASTER!$A$2:$A$2000,0))&amp;"","")</f>
        <v>INFRA</v>
      </c>
      <c r="C8" s="16">
        <f>IFERROR(INDEX(MASTER!$B$2:$B$2000,MATCH($A8,MASTER!$A$2:$A$2000,0)),"")</f>
        <v>0</v>
      </c>
      <c r="D8" s="12" t="str">
        <f>IFERROR(INDEX(MASTER!$D$2:$D$2000,MATCH($A8,MASTER!$A$2:$A$2000,0))&amp;"","")</f>
        <v>Excel control centre</v>
      </c>
      <c r="E8" s="12" t="str">
        <f>IFERROR(INDEX(MASTER!$F$2:$F$2000,MATCH($A8,MASTER!$A$2:$A$2000,0))&amp;"","")</f>
        <v>P0</v>
      </c>
      <c r="F8" s="12" t="str">
        <f>IFERROR(INDEX(MASTER!$G$2:$G$2000,MATCH($A8,MASTER!$A$2:$A$2000,0))&amp;"","NOT IN MASTER")</f>
        <v>DONE</v>
      </c>
      <c r="G8" s="12" t="str">
        <f>IFERROR(INDEX(MASTER!$H$2:$H$2000,MATCH($A8,MASTER!$A$2:$A$2000,0))&amp;"","")</f>
        <v>SmartDoc_Master_Implementation_Tracker.xlsx: 20 sheets (19 required + DASHBOARD), 3,340 formulas, status/priority/risk/category/phase validation, conditional formatting; tools/tracker/tracker.py, seed.py, excel_recalc.py, selftest.py, README.md</v>
      </c>
      <c r="H8" s="12" t="str">
        <f>IFERROR(INDEX(MASTER!$I$2:$I$2000,MATCH($A8,MASTER!$A$2:$A$2000,0))&amp;"","")</f>
        <v>python tools/tracker/selftest.py -&gt; PASS; tools/tracker/excel_recalc.py -&gt; 0 formula errors, 0 value mismatches (also on a scratch copy covering every status)</v>
      </c>
      <c r="I8" s="19">
        <f>IFERROR(IF(INDEX(MASTER!$O$2:$O$2000,MATCH($A8,MASTER!$A$2:$A$2000,0))="","",INDEX(MASTER!$O$2:$O$2000,MATCH($A8,MASTER!$A$2:$A$2000,0))),"")</f>
        <v>46292.171400462961</v>
      </c>
      <c r="J8" s="12" t="str">
        <f>IFERROR(INDEX(MASTER!$P$2:$P$2000,MATCH($A8,MASTER!$A$2:$A$2000,0))&amp;"","")</f>
        <v>4da4ecb</v>
      </c>
      <c r="K8" s="12" t="str">
        <f>IFERROR(INDEX(MASTER!$Q$2:$Q$2000,MATCH($A8,MASTER!$A$2:$A$2000,0))&amp;"","")</f>
        <v/>
      </c>
      <c r="L8" s="12" t="str">
        <f>IFERROR(INDEX(MASTER!$R$2:$R$2000,MATCH($A8,MASTER!$A$2:$A$2000,0))&amp;"","")</f>
        <v/>
      </c>
    </row>
    <row r="9" spans="1:12" x14ac:dyDescent="0.25">
      <c r="A9" s="15" t="s">
        <v>186</v>
      </c>
      <c r="B9" s="12" t="str">
        <f>IFERROR(INDEX(MASTER!$C$2:$C$2000,MATCH($A9,MASTER!$A$2:$A$2000,0))&amp;"","")</f>
        <v>INFRA</v>
      </c>
      <c r="C9" s="16">
        <f>IFERROR(INDEX(MASTER!$B$2:$B$2000,MATCH($A9,MASTER!$A$2:$A$2000,0)),"")</f>
        <v>0</v>
      </c>
      <c r="D9" s="12" t="str">
        <f>IFERROR(INDEX(MASTER!$D$2:$D$2000,MATCH($A9,MASTER!$A$2:$A$2000,0))&amp;"","")</f>
        <v>Continuation system</v>
      </c>
      <c r="E9" s="12" t="str">
        <f>IFERROR(INDEX(MASTER!$F$2:$F$2000,MATCH($A9,MASTER!$A$2:$A$2000,0))&amp;"","")</f>
        <v>P0</v>
      </c>
      <c r="F9" s="12" t="str">
        <f>IFERROR(INDEX(MASTER!$G$2:$G$2000,MATCH($A9,MASTER!$A$2:$A$2000,0))&amp;"","NOT IN MASTER")</f>
        <v>DONE</v>
      </c>
      <c r="G9" s="12" t="str">
        <f>IFERROR(INDEX(MASTER!$H$2:$H$2000,MATCH($A9,MASTER!$A$2:$A$2000,0))&amp;"","")</f>
        <v>docs/AI-CONTINUATION.md (8 required sections), docs/session-state.json (all 19 fields of brief §11), SESSION_STATE sheet (14 fields of brief §110 + Excel Status), docs/implementation-brief.md</v>
      </c>
      <c r="H9" s="12" t="str">
        <f>IFERROR(INDEX(MASTER!$I$2:$I$2000,MATCH($A9,MASTER!$A$2:$A$2000,0))&amp;"","")</f>
        <v>tracker.py state --touch synced JSON -&gt; SESSION_STATE and wrote current_excel_status back; selftest covers the state command</v>
      </c>
      <c r="I9" s="19">
        <f>IFERROR(IF(INDEX(MASTER!$O$2:$O$2000,MATCH($A9,MASTER!$A$2:$A$2000,0))="","",INDEX(MASTER!$O$2:$O$2000,MATCH($A9,MASTER!$A$2:$A$2000,0))),"")</f>
        <v>46292.171435185177</v>
      </c>
      <c r="J9" s="12" t="str">
        <f>IFERROR(INDEX(MASTER!$P$2:$P$2000,MATCH($A9,MASTER!$A$2:$A$2000,0))&amp;"","")</f>
        <v>4da4ecb</v>
      </c>
      <c r="K9" s="12" t="str">
        <f>IFERROR(INDEX(MASTER!$Q$2:$Q$2000,MATCH($A9,MASTER!$A$2:$A$2000,0))&amp;"","")</f>
        <v/>
      </c>
      <c r="L9" s="12" t="str">
        <f>IFERROR(INDEX(MASTER!$R$2:$R$2000,MATCH($A9,MASTER!$A$2:$A$2000,0))&amp;"","")</f>
        <v/>
      </c>
    </row>
    <row r="10" spans="1:12" x14ac:dyDescent="0.25">
      <c r="A10" s="15" t="s">
        <v>192</v>
      </c>
      <c r="B10" s="12" t="str">
        <f>IFERROR(INDEX(MASTER!$C$2:$C$2000,MATCH($A10,MASTER!$A$2:$A$2000,0))&amp;"","")</f>
        <v>INFRA</v>
      </c>
      <c r="C10" s="16">
        <f>IFERROR(INDEX(MASTER!$B$2:$B$2000,MATCH($A10,MASTER!$A$2:$A$2000,0)),"")</f>
        <v>0</v>
      </c>
      <c r="D10" s="12" t="str">
        <f>IFERROR(INDEX(MASTER!$D$2:$D$2000,MATCH($A10,MASTER!$A$2:$A$2000,0))&amp;"","")</f>
        <v>Resume reminder</v>
      </c>
      <c r="E10" s="12" t="str">
        <f>IFERROR(INDEX(MASTER!$F$2:$F$2000,MATCH($A10,MASTER!$A$2:$A$2000,0))&amp;"","")</f>
        <v>P1</v>
      </c>
      <c r="F10" s="12" t="str">
        <f>IFERROR(INDEX(MASTER!$G$2:$G$2000,MATCH($A10,MASTER!$A$2:$A$2000,0))&amp;"","NOT IN MASTER")</f>
        <v>DONE</v>
      </c>
      <c r="G10" s="12" t="str">
        <f>IFERROR(INDEX(MASTER!$H$2:$H$2000,MATCH($A10,MASTER!$A$2:$A$2000,0))&amp;"","")</f>
        <v>Session cron job 2a28a683 (hourly at :23, session-only, auto-expires after 7 days) with the resume prompt</v>
      </c>
      <c r="H10" s="12" t="str">
        <f>IFERROR(INDEX(MASTER!$I$2:$I$2000,MATCH($A10,MASTER!$A$2:$A$2000,0))&amp;"","")</f>
        <v>Fired on 2026-09-27 and resumed this session from the continuation prompt</v>
      </c>
      <c r="I10" s="19">
        <f>IFERROR(IF(INDEX(MASTER!$O$2:$O$2000,MATCH($A10,MASTER!$A$2:$A$2000,0))="","",INDEX(MASTER!$O$2:$O$2000,MATCH($A10,MASTER!$A$2:$A$2000,0))),"")</f>
        <v>46292.171469907407</v>
      </c>
      <c r="J10" s="12" t="str">
        <f>IFERROR(INDEX(MASTER!$P$2:$P$2000,MATCH($A10,MASTER!$A$2:$A$2000,0))&amp;"","")</f>
        <v>4da4ecb</v>
      </c>
      <c r="K10" s="12" t="str">
        <f>IFERROR(INDEX(MASTER!$Q$2:$Q$2000,MATCH($A10,MASTER!$A$2:$A$2000,0))&amp;"","")</f>
        <v/>
      </c>
      <c r="L10" s="12" t="str">
        <f>IFERROR(INDEX(MASTER!$R$2:$R$2000,MATCH($A10,MASTER!$A$2:$A$2000,0))&amp;"","")</f>
        <v/>
      </c>
    </row>
    <row r="11" spans="1:12" x14ac:dyDescent="0.25">
      <c r="A11" s="15" t="s">
        <v>229</v>
      </c>
      <c r="B11" s="12" t="str">
        <f>IFERROR(INDEX(MASTER!$C$2:$C$2000,MATCH($A11,MASTER!$A$2:$A$2000,0))&amp;"","")</f>
        <v>INFRA</v>
      </c>
      <c r="C11" s="16">
        <f>IFERROR(INDEX(MASTER!$B$2:$B$2000,MATCH($A11,MASTER!$A$2:$A$2000,0)),"")</f>
        <v>0</v>
      </c>
      <c r="D11" s="12" t="str">
        <f>IFERROR(INDEX(MASTER!$D$2:$D$2000,MATCH($A11,MASTER!$A$2:$A$2000,0))&amp;"","")</f>
        <v>Baseline: Docker, worker, storage</v>
      </c>
      <c r="E11" s="12" t="str">
        <f>IFERROR(INDEX(MASTER!$F$2:$F$2000,MATCH($A11,MASTER!$A$2:$A$2000,0))&amp;"","")</f>
        <v>P1</v>
      </c>
      <c r="F11" s="12" t="str">
        <f>IFERROR(INDEX(MASTER!$G$2:$G$2000,MATCH($A11,MASTER!$A$2:$A$2000,0))&amp;"","NOT IN MASTER")</f>
        <v>DONE</v>
      </c>
      <c r="G11" s="12" t="str">
        <f>IFERROR(INDEX(MASTER!$H$2:$H$2000,MATCH($A11,MASTER!$A$2:$A$2000,0))&amp;"","")</f>
        <v>docs/architecture/current-baseline.md; TESTING RUN-0011</v>
      </c>
      <c r="H11" s="12" t="str">
        <f>IFERROR(INDEX(MASTER!$I$2:$I$2000,MATCH($A11,MASTER!$A$2:$A$2000,0))&amp;"","")</f>
        <v>docker compose config --quiet (valid, 8 services); worker (arq app.worker.WorkerSettings) and storage (local / S3 providers) inspected</v>
      </c>
      <c r="I11" s="19">
        <f>IFERROR(IF(INDEX(MASTER!$O$2:$O$2000,MATCH($A11,MASTER!$A$2:$A$2000,0))="","",INDEX(MASTER!$O$2:$O$2000,MATCH($A11,MASTER!$A$2:$A$2000,0))),"")</f>
        <v>46292.171736111108</v>
      </c>
      <c r="J11" s="12" t="str">
        <f>IFERROR(INDEX(MASTER!$P$2:$P$2000,MATCH($A11,MASTER!$A$2:$A$2000,0))&amp;"","")</f>
        <v>4da4ecb</v>
      </c>
      <c r="K11" s="12" t="str">
        <f>IFERROR(INDEX(MASTER!$Q$2:$Q$2000,MATCH($A11,MASTER!$A$2:$A$2000,0))&amp;"","")</f>
        <v>Images not built: Docker daemon not running here; image build + start is INFRA-010 (phase 17).</v>
      </c>
      <c r="L11" s="12" t="str">
        <f>IFERROR(INDEX(MASTER!$R$2:$R$2000,MATCH($A11,MASTER!$A$2:$A$2000,0))&amp;"","")</f>
        <v/>
      </c>
    </row>
    <row r="12" spans="1:12" x14ac:dyDescent="0.25">
      <c r="A12" s="15" t="s">
        <v>242</v>
      </c>
      <c r="B12" s="12" t="str">
        <f>IFERROR(INDEX(MASTER!$C$2:$C$2000,MATCH($A12,MASTER!$A$2:$A$2000,0))&amp;"","")</f>
        <v>DOCS</v>
      </c>
      <c r="C12" s="16">
        <f>IFERROR(INDEX(MASTER!$B$2:$B$2000,MATCH($A12,MASTER!$A$2:$A$2000,0)),"")</f>
        <v>0</v>
      </c>
      <c r="D12" s="12" t="str">
        <f>IFERROR(INDEX(MASTER!$D$2:$D$2000,MATCH($A12,MASTER!$A$2:$A$2000,0))&amp;"","")</f>
        <v>current-baseline.md</v>
      </c>
      <c r="E12" s="12" t="str">
        <f>IFERROR(INDEX(MASTER!$F$2:$F$2000,MATCH($A12,MASTER!$A$2:$A$2000,0))&amp;"","")</f>
        <v>P0</v>
      </c>
      <c r="F12" s="12" t="str">
        <f>IFERROR(INDEX(MASTER!$G$2:$G$2000,MATCH($A12,MASTER!$A$2:$A$2000,0))&amp;"","NOT IN MASTER")</f>
        <v>DONE</v>
      </c>
      <c r="G12" s="12" t="str">
        <f>IFERROR(INDEX(MASTER!$H$2:$H$2000,MATCH($A12,MASTER!$A$2:$A$2000,0))&amp;"","")</f>
        <v>docs/architecture/current-baseline.md</v>
      </c>
      <c r="H12" s="12" t="str">
        <f>IFERROR(INDEX(MASTER!$I$2:$I$2000,MATCH($A12,MASTER!$A$2:$A$2000,0))&amp;"","")</f>
        <v>Every figure taken from RUN-0001..RUN-0011 logs, Supabase MCP output and the audit's perf logs</v>
      </c>
      <c r="I12" s="19">
        <f>IFERROR(IF(INDEX(MASTER!$O$2:$O$2000,MATCH($A12,MASTER!$A$2:$A$2000,0))="","",INDEX(MASTER!$O$2:$O$2000,MATCH($A12,MASTER!$A$2:$A$2000,0))),"")</f>
        <v>46292.171770833331</v>
      </c>
      <c r="J12" s="12" t="str">
        <f>IFERROR(INDEX(MASTER!$P$2:$P$2000,MATCH($A12,MASTER!$A$2:$A$2000,0))&amp;"","")</f>
        <v>4da4ecb</v>
      </c>
      <c r="K12" s="12" t="str">
        <f>IFERROR(INDEX(MASTER!$Q$2:$Q$2000,MATCH($A12,MASTER!$A$2:$A$2000,0))&amp;"","")</f>
        <v/>
      </c>
      <c r="L12" s="12" t="str">
        <f>IFERROR(INDEX(MASTER!$R$2:$R$2000,MATCH($A12,MASTER!$A$2:$A$2000,0))&amp;"","")</f>
        <v/>
      </c>
    </row>
    <row r="13" spans="1:12" x14ac:dyDescent="0.25">
      <c r="A13" s="15" t="s">
        <v>377</v>
      </c>
      <c r="B13" s="12" t="str">
        <f>IFERROR(INDEX(MASTER!$C$2:$C$2000,MATCH($A13,MASTER!$A$2:$A$2000,0))&amp;"","")</f>
        <v>INFRA</v>
      </c>
      <c r="C13" s="16">
        <f>IFERROR(INDEX(MASTER!$B$2:$B$2000,MATCH($A13,MASTER!$A$2:$A$2000,0)),"")</f>
        <v>1</v>
      </c>
      <c r="D13" s="12" t="str">
        <f>IFERROR(INDEX(MASTER!$D$2:$D$2000,MATCH($A13,MASTER!$A$2:$A$2000,0))&amp;"","")</f>
        <v>Throwaway preview stack for browser checks</v>
      </c>
      <c r="E13" s="12" t="str">
        <f>IFERROR(INDEX(MASTER!$F$2:$F$2000,MATCH($A13,MASTER!$A$2:$A$2000,0))&amp;"","")</f>
        <v>P2</v>
      </c>
      <c r="F13" s="12" t="str">
        <f>IFERROR(INDEX(MASTER!$G$2:$G$2000,MATCH($A13,MASTER!$A$2:$A$2000,0))&amp;"","NOT IN MASTER")</f>
        <v>DONE</v>
      </c>
      <c r="G13" s="12" t="str">
        <f>IFERROR(INDEX(MASTER!$H$2:$H$2000,MATCH($A13,MASTER!$A$2:$A$2000,0))&amp;"","")</f>
        <v>tools/dev/throwaway-*.ps1, .claude/launch.json backend-throwaway/frontend-throwaway, frontend/.gitignore + eslint/vitest ignore .next-preview</v>
      </c>
      <c r="H13" s="12" t="str">
        <f>IFERROR(INDEX(MASTER!$I$2:$I$2000,MATCH($A13,MASTER!$A$2:$A$2000,0))&amp;"","")</f>
        <v>Used for the FID-004 browser check (a03/a05 uploads)</v>
      </c>
      <c r="I13" s="19">
        <f>IFERROR(IF(INDEX(MASTER!$O$2:$O$2000,MATCH($A13,MASTER!$A$2:$A$2000,0))="","",INDEX(MASTER!$O$2:$O$2000,MATCH($A13,MASTER!$A$2:$A$2000,0))),"")</f>
        <v>46292.219386574077</v>
      </c>
      <c r="J13" s="12" t="str">
        <f>IFERROR(INDEX(MASTER!$P$2:$P$2000,MATCH($A13,MASTER!$A$2:$A$2000,0))&amp;"","")</f>
        <v>8a330be</v>
      </c>
      <c r="K13" s="12" t="str">
        <f>IFERROR(INDEX(MASTER!$Q$2:$Q$2000,MATCH($A13,MASTER!$A$2:$A$2000,0))&amp;"","")</f>
        <v/>
      </c>
      <c r="L13" s="12" t="str">
        <f>IFERROR(INDEX(MASTER!$R$2:$R$2000,MATCH($A13,MASTER!$A$2:$A$2000,0))&amp;"","")</f>
        <v/>
      </c>
    </row>
    <row r="14" spans="1:12" x14ac:dyDescent="0.25">
      <c r="A14" s="15" t="s">
        <v>770</v>
      </c>
      <c r="B14" s="12" t="str">
        <f>IFERROR(INDEX(MASTER!$C$2:$C$2000,MATCH($A14,MASTER!$A$2:$A$2000,0))&amp;"","")</f>
        <v>JOBS</v>
      </c>
      <c r="C14" s="16">
        <f>IFERROR(INDEX(MASTER!$B$2:$B$2000,MATCH($A14,MASTER!$A$2:$A$2000,0)),"")</f>
        <v>5</v>
      </c>
      <c r="D14" s="12" t="str">
        <f>IFERROR(INDEX(MASTER!$D$2:$D$2000,MATCH($A14,MASTER!$A$2:$A$2000,0))&amp;"","")</f>
        <v>Job safety</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773</v>
      </c>
      <c r="B15" s="12" t="str">
        <f>IFERROR(INDEX(MASTER!$C$2:$C$2000,MATCH($A15,MASTER!$A$2:$A$2000,0))&amp;"","")</f>
        <v>STORAGE</v>
      </c>
      <c r="C15" s="16">
        <f>IFERROR(INDEX(MASTER!$B$2:$B$2000,MATCH($A15,MASTER!$A$2:$A$2000,0)),"")</f>
        <v>6</v>
      </c>
      <c r="D15" s="12" t="str">
        <f>IFERROR(INDEX(MASTER!$D$2:$D$2000,MATCH($A15,MASTER!$A$2:$A$2000,0))&amp;"","")</f>
        <v>Storage retention and deletion</v>
      </c>
      <c r="E15" s="12" t="str">
        <f>IFERROR(INDEX(MASTER!$F$2:$F$2000,MATCH($A15,MASTER!$A$2:$A$2000,0))&amp;"","")</f>
        <v>P1</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776</v>
      </c>
      <c r="B16" s="12" t="str">
        <f>IFERROR(INDEX(MASTER!$C$2:$C$2000,MATCH($A16,MASTER!$A$2:$A$2000,0))&amp;"","")</f>
        <v>OBSERVABILITY</v>
      </c>
      <c r="C16" s="16">
        <f>IFERROR(INDEX(MASTER!$B$2:$B$2000,MATCH($A16,MASTER!$A$2:$A$2000,0)),"")</f>
        <v>16</v>
      </c>
      <c r="D16" s="12" t="str">
        <f>IFERROR(INDEX(MASTER!$D$2:$D$2000,MATCH($A16,MASTER!$A$2:$A$2000,0))&amp;"","")</f>
        <v>Metrics</v>
      </c>
      <c r="E16" s="12" t="str">
        <f>IFERROR(INDEX(MASTER!$F$2:$F$2000,MATCH($A16,MASTER!$A$2:$A$2000,0))&amp;"","")</f>
        <v>P1</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row r="17" spans="1:12" x14ac:dyDescent="0.25">
      <c r="A17" s="15" t="s">
        <v>780</v>
      </c>
      <c r="B17" s="12" t="str">
        <f>IFERROR(INDEX(MASTER!$C$2:$C$2000,MATCH($A17,MASTER!$A$2:$A$2000,0))&amp;"","")</f>
        <v>OBSERVABILITY</v>
      </c>
      <c r="C17" s="16">
        <f>IFERROR(INDEX(MASTER!$B$2:$B$2000,MATCH($A17,MASTER!$A$2:$A$2000,0)),"")</f>
        <v>16</v>
      </c>
      <c r="D17" s="12" t="str">
        <f>IFERROR(INDEX(MASTER!$D$2:$D$2000,MATCH($A17,MASTER!$A$2:$A$2000,0))&amp;"","")</f>
        <v>Operation and job IDs in logs</v>
      </c>
      <c r="E17" s="12" t="str">
        <f>IFERROR(INDEX(MASTER!$F$2:$F$2000,MATCH($A17,MASTER!$A$2:$A$2000,0))&amp;"","")</f>
        <v>P1</v>
      </c>
      <c r="F17" s="12" t="str">
        <f>IFERROR(INDEX(MASTER!$G$2:$G$2000,MATCH($A17,MASTER!$A$2:$A$2000,0))&amp;"","NOT IN MASTER")</f>
        <v>NOT_STARTED</v>
      </c>
      <c r="G17" s="12" t="str">
        <f>IFERROR(INDEX(MASTER!$H$2:$H$2000,MATCH($A17,MASTER!$A$2:$A$2000,0))&amp;"","")</f>
        <v/>
      </c>
      <c r="H17" s="12" t="str">
        <f>IFERROR(INDEX(MASTER!$I$2:$I$2000,MATCH($A17,MASTER!$A$2:$A$2000,0))&amp;"","")</f>
        <v/>
      </c>
      <c r="I17" s="19" t="str">
        <f>IFERROR(IF(INDEX(MASTER!$O$2:$O$2000,MATCH($A17,MASTER!$A$2:$A$2000,0))="","",INDEX(MASTER!$O$2:$O$2000,MATCH($A17,MASTER!$A$2:$A$2000,0))),"")</f>
        <v/>
      </c>
      <c r="J17" s="12" t="str">
        <f>IFERROR(INDEX(MASTER!$P$2:$P$2000,MATCH($A17,MASTER!$A$2:$A$2000,0))&amp;"","")</f>
        <v/>
      </c>
      <c r="K17" s="12" t="str">
        <f>IFERROR(INDEX(MASTER!$Q$2:$Q$2000,MATCH($A17,MASTER!$A$2:$A$2000,0))&amp;"","")</f>
        <v/>
      </c>
      <c r="L17" s="12" t="str">
        <f>IFERROR(INDEX(MASTER!$R$2:$R$2000,MATCH($A17,MASTER!$A$2:$A$2000,0))&amp;"","")</f>
        <v/>
      </c>
    </row>
    <row r="18" spans="1:12" x14ac:dyDescent="0.25">
      <c r="A18" s="15" t="s">
        <v>783</v>
      </c>
      <c r="B18" s="12" t="str">
        <f>IFERROR(INDEX(MASTER!$C$2:$C$2000,MATCH($A18,MASTER!$A$2:$A$2000,0))&amp;"","")</f>
        <v>OBSERVABILITY</v>
      </c>
      <c r="C18" s="16">
        <f>IFERROR(INDEX(MASTER!$B$2:$B$2000,MATCH($A18,MASTER!$A$2:$A$2000,0)),"")</f>
        <v>16</v>
      </c>
      <c r="D18" s="12" t="str">
        <f>IFERROR(INDEX(MASTER!$D$2:$D$2000,MATCH($A18,MASTER!$A$2:$A$2000,0))&amp;"","")</f>
        <v>Operations data</v>
      </c>
      <c r="E18" s="12" t="str">
        <f>IFERROR(INDEX(MASTER!$F$2:$F$2000,MATCH($A18,MASTER!$A$2:$A$2000,0))&amp;"","")</f>
        <v>P2</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
      </c>
    </row>
    <row r="19" spans="1:12" x14ac:dyDescent="0.25">
      <c r="A19" s="15" t="s">
        <v>786</v>
      </c>
      <c r="B19" s="12" t="str">
        <f>IFERROR(INDEX(MASTER!$C$2:$C$2000,MATCH($A19,MASTER!$A$2:$A$2000,0))&amp;"","")</f>
        <v>INFRA</v>
      </c>
      <c r="C19" s="16">
        <f>IFERROR(INDEX(MASTER!$B$2:$B$2000,MATCH($A19,MASTER!$A$2:$A$2000,0)),"")</f>
        <v>17</v>
      </c>
      <c r="D19" s="12" t="str">
        <f>IFERROR(INDEX(MASTER!$D$2:$D$2000,MATCH($A19,MASTER!$A$2:$A$2000,0))&amp;"","")</f>
        <v>Deployment verified</v>
      </c>
      <c r="E19" s="12" t="str">
        <f>IFERROR(INDEX(MASTER!$F$2:$F$2000,MATCH($A19,MASTER!$A$2:$A$2000,0))&amp;"","")</f>
        <v>P1</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
      </c>
      <c r="L19" s="12" t="str">
        <f>IFERROR(INDEX(MASTER!$R$2:$R$2000,MATCH($A19,MASTER!$A$2:$A$2000,0))&amp;"","")</f>
        <v/>
      </c>
    </row>
    <row r="20" spans="1:12" x14ac:dyDescent="0.25">
      <c r="A20" s="15" t="s">
        <v>790</v>
      </c>
      <c r="B20" s="12" t="str">
        <f>IFERROR(INDEX(MASTER!$C$2:$C$2000,MATCH($A20,MASTER!$A$2:$A$2000,0))&amp;"","")</f>
        <v>INFRA</v>
      </c>
      <c r="C20" s="16">
        <f>IFERROR(INDEX(MASTER!$B$2:$B$2000,MATCH($A20,MASTER!$A$2:$A$2000,0)),"")</f>
        <v>17</v>
      </c>
      <c r="D20" s="12" t="str">
        <f>IFERROR(INDEX(MASTER!$D$2:$D$2000,MATCH($A20,MASTER!$A$2:$A$2000,0))&amp;"","")</f>
        <v>CI gates</v>
      </c>
      <c r="E20" s="12" t="str">
        <f>IFERROR(INDEX(MASTER!$F$2:$F$2000,MATCH($A20,MASTER!$A$2:$A$2000,0))&amp;"","")</f>
        <v>P0</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
      </c>
    </row>
    <row r="21" spans="1:12" x14ac:dyDescent="0.25">
      <c r="A21" s="15" t="s">
        <v>808</v>
      </c>
      <c r="B21" s="12" t="str">
        <f>IFERROR(INDEX(MASTER!$C$2:$C$2000,MATCH($A21,MASTER!$A$2:$A$2000,0))&amp;"","")</f>
        <v>DOCS</v>
      </c>
      <c r="C21" s="16">
        <f>IFERROR(INDEX(MASTER!$B$2:$B$2000,MATCH($A21,MASTER!$A$2:$A$2000,0)),"")</f>
        <v>18</v>
      </c>
      <c r="D21" s="12" t="str">
        <f>IFERROR(INDEX(MASTER!$D$2:$D$2000,MATCH($A21,MASTER!$A$2:$A$2000,0))&amp;"","")</f>
        <v>final-production-readiness.md</v>
      </c>
      <c r="E21" s="12" t="str">
        <f>IFERROR(INDEX(MASTER!$F$2:$F$2000,MATCH($A21,MASTER!$A$2:$A$2000,0))&amp;"","")</f>
        <v>P0</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
      </c>
    </row>
    <row r="22" spans="1:12" x14ac:dyDescent="0.25">
      <c r="A22" s="15" t="s">
        <v>811</v>
      </c>
      <c r="B22" s="12" t="str">
        <f>IFERROR(INDEX(MASTER!$C$2:$C$2000,MATCH($A22,MASTER!$A$2:$A$2000,0))&amp;"","")</f>
        <v>DOCS</v>
      </c>
      <c r="C22" s="16">
        <f>IFERROR(INDEX(MASTER!$B$2:$B$2000,MATCH($A22,MASTER!$A$2:$A$2000,0)),"")</f>
        <v>18</v>
      </c>
      <c r="D22" s="12" t="str">
        <f>IFERROR(INDEX(MASTER!$D$2:$D$2000,MATCH($A22,MASTER!$A$2:$A$2000,0))&amp;"","")</f>
        <v>Documentation tree</v>
      </c>
      <c r="E22" s="12" t="str">
        <f>IFERROR(INDEX(MASTER!$F$2:$F$2000,MATCH($A22,MASTER!$A$2:$A$2000,0))&amp;"","")</f>
        <v>P1</v>
      </c>
      <c r="F22" s="12" t="str">
        <f>IFERROR(INDEX(MASTER!$G$2:$G$2000,MATCH($A22,MASTER!$A$2:$A$2000,0))&amp;"","NOT IN MASTER")</f>
        <v>NOT_STARTED</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
      </c>
      <c r="L22" s="12" t="str">
        <f>IFERROR(INDEX(MASTER!$R$2:$R$2000,MATCH($A22,MASTER!$A$2:$A$2000,0))&amp;"","")</f>
        <v/>
      </c>
    </row>
  </sheetData>
  <autoFilter ref="A7:L22" xr:uid="{00000000-0009-0000-0000-000010000000}"/>
  <conditionalFormatting sqref="E8:E22">
    <cfRule type="cellIs" dxfId="24" priority="19" operator="equal">
      <formula>"P0"</formula>
    </cfRule>
    <cfRule type="cellIs" dxfId="23" priority="20" operator="equal">
      <formula>"P1"</formula>
    </cfRule>
  </conditionalFormatting>
  <conditionalFormatting sqref="F8:F22">
    <cfRule type="cellIs" dxfId="22" priority="1" operator="equal">
      <formula>"DONE"</formula>
    </cfRule>
    <cfRule type="cellIs" dxfId="21" priority="2" operator="equal">
      <formula>"VERIFIED"</formula>
    </cfRule>
    <cfRule type="cellIs" dxfId="20" priority="3" operator="equal">
      <formula>"IN_PROGRESS"</formula>
    </cfRule>
    <cfRule type="cellIs" dxfId="19" priority="4" operator="equal">
      <formula>"IMPLEMENTED"</formula>
    </cfRule>
    <cfRule type="cellIs" dxfId="18" priority="5" operator="equal">
      <formula>"TESTING"</formula>
    </cfRule>
    <cfRule type="cellIs" dxfId="17" priority="6" operator="equal">
      <formula>"BLOCKED"</formula>
    </cfRule>
    <cfRule type="cellIs" dxfId="16" priority="7" operator="equal">
      <formula>"FAILED"</formula>
    </cfRule>
    <cfRule type="cellIs" dxfId="15" priority="8" operator="equal">
      <formula>"DEFERRED"</formula>
    </cfRule>
    <cfRule type="cellIs" dxfId="14" priority="9" operator="equal">
      <formula>"UNKNOWN"</formula>
    </cfRule>
    <cfRule type="cellIs" dxfId="13" priority="10" operator="equal">
      <formula>"PASS"</formula>
    </cfRule>
    <cfRule type="cellIs" dxfId="12" priority="11" operator="equal">
      <formula>"FAIL"</formula>
    </cfRule>
    <cfRule type="cellIs" dxfId="11" priority="12" operator="equal">
      <formula>"PARTIAL"</formula>
    </cfRule>
    <cfRule type="cellIs" dxfId="10" priority="13" operator="equal">
      <formula>"RESOLVED"</formula>
    </cfRule>
    <cfRule type="cellIs" dxfId="9" priority="14" operator="equal">
      <formula>"OPEN"</formula>
    </cfRule>
    <cfRule type="cellIs" dxfId="8" priority="15" operator="equal">
      <formula>"WITHIN"</formula>
    </cfRule>
    <cfRule type="cellIs" dxfId="7" priority="16" operator="equal">
      <formula>"OVER"</formula>
    </cfRule>
    <cfRule type="cellIs" dxfId="6" priority="17" operator="equal">
      <formula>"NOW"</formula>
    </cfRule>
    <cfRule type="cellIs" dxfId="5" priority="18" operator="equal">
      <formula>"NOT IN MASTER"</formula>
    </cfRule>
  </conditionalFormatting>
  <pageMargins left="0.75" right="0.75" top="1" bottom="1" header="0.5" footer="0.5"/>
  <pageSetup fitToHeight="0" orientation="landscape"/>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7F7F7F"/>
    <pageSetUpPr fitToPage="1"/>
  </sheetPr>
  <dimension ref="A1:I29"/>
  <sheetViews>
    <sheetView workbookViewId="0">
      <pane ySplit="1" topLeftCell="A2" activePane="bottomLeft" state="frozen"/>
      <selection pane="bottomLeft"/>
    </sheetView>
  </sheetViews>
  <sheetFormatPr defaultRowHeight="15" x14ac:dyDescent="0.25"/>
  <cols>
    <col min="1" max="1" width="17" customWidth="1"/>
    <col min="2" max="2" width="16" customWidth="1"/>
    <col min="3" max="3" width="7" customWidth="1"/>
    <col min="4" max="4" width="70" customWidth="1"/>
    <col min="5" max="5" width="45" customWidth="1"/>
    <col min="6" max="6" width="40" customWidth="1"/>
    <col min="7" max="7" width="9" customWidth="1"/>
    <col min="8" max="8" width="10" customWidth="1"/>
    <col min="9" max="9" width="40" customWidth="1"/>
  </cols>
  <sheetData>
    <row r="1" spans="1:9" x14ac:dyDescent="0.25">
      <c r="A1" s="10" t="s">
        <v>1148</v>
      </c>
      <c r="B1" s="10" t="s">
        <v>1149</v>
      </c>
      <c r="C1" s="10" t="s">
        <v>43</v>
      </c>
      <c r="D1" s="10" t="s">
        <v>1150</v>
      </c>
      <c r="E1" s="10" t="s">
        <v>1151</v>
      </c>
      <c r="F1" s="10" t="s">
        <v>167</v>
      </c>
      <c r="G1" s="10" t="s">
        <v>94</v>
      </c>
      <c r="H1" s="10" t="s">
        <v>173</v>
      </c>
      <c r="I1" s="10" t="s">
        <v>174</v>
      </c>
    </row>
    <row r="2" spans="1:9" ht="25.5" x14ac:dyDescent="0.25">
      <c r="A2" s="19">
        <v>46292.158703703702</v>
      </c>
      <c r="B2" s="12" t="s">
        <v>177</v>
      </c>
      <c r="C2" s="12">
        <v>0</v>
      </c>
      <c r="D2" s="18" t="s">
        <v>1152</v>
      </c>
      <c r="E2" s="18" t="s">
        <v>1153</v>
      </c>
      <c r="F2" s="18"/>
      <c r="G2" s="12" t="s">
        <v>1154</v>
      </c>
      <c r="H2" s="12"/>
      <c r="I2" s="18"/>
    </row>
    <row r="3" spans="1:9" ht="76.5" x14ac:dyDescent="0.25">
      <c r="A3" s="19">
        <v>46292.160995370366</v>
      </c>
      <c r="B3" s="12" t="s">
        <v>177</v>
      </c>
      <c r="C3" s="12">
        <v>0</v>
      </c>
      <c r="D3" s="18" t="s">
        <v>1155</v>
      </c>
      <c r="E3" s="18" t="s">
        <v>1156</v>
      </c>
      <c r="F3" s="18" t="s">
        <v>182</v>
      </c>
      <c r="G3" s="12" t="s">
        <v>944</v>
      </c>
      <c r="H3" s="12"/>
      <c r="I3" s="18"/>
    </row>
    <row r="4" spans="1:9" ht="38.25" x14ac:dyDescent="0.25">
      <c r="A4" s="19">
        <v>46292.161030092589</v>
      </c>
      <c r="B4" s="12" t="s">
        <v>192</v>
      </c>
      <c r="C4" s="12">
        <v>0</v>
      </c>
      <c r="D4" s="18" t="s">
        <v>1157</v>
      </c>
      <c r="E4" s="18"/>
      <c r="F4" s="18" t="s">
        <v>197</v>
      </c>
      <c r="G4" s="12" t="s">
        <v>944</v>
      </c>
      <c r="H4" s="12"/>
      <c r="I4" s="18"/>
    </row>
    <row r="5" spans="1:9" ht="63.75" x14ac:dyDescent="0.25">
      <c r="A5" s="19">
        <v>46292.161874999998</v>
      </c>
      <c r="B5" s="12" t="s">
        <v>186</v>
      </c>
      <c r="C5" s="12">
        <v>0</v>
      </c>
      <c r="D5" s="18" t="s">
        <v>1158</v>
      </c>
      <c r="E5" s="18" t="s">
        <v>1159</v>
      </c>
      <c r="F5" s="18" t="s">
        <v>190</v>
      </c>
      <c r="G5" s="12" t="s">
        <v>944</v>
      </c>
      <c r="H5" s="12"/>
      <c r="I5" s="18"/>
    </row>
    <row r="6" spans="1:9" ht="25.5" x14ac:dyDescent="0.25">
      <c r="A6" s="19">
        <v>46292.167349537027</v>
      </c>
      <c r="B6" s="12" t="s">
        <v>199</v>
      </c>
      <c r="C6" s="12">
        <v>0</v>
      </c>
      <c r="D6" s="18" t="s">
        <v>1160</v>
      </c>
      <c r="E6" s="18" t="s">
        <v>245</v>
      </c>
      <c r="F6" s="18" t="s">
        <v>203</v>
      </c>
      <c r="G6" s="12" t="s">
        <v>944</v>
      </c>
      <c r="H6" s="12"/>
      <c r="I6" s="18"/>
    </row>
    <row r="7" spans="1:9" ht="25.5" x14ac:dyDescent="0.25">
      <c r="A7" s="19">
        <v>46292.167395833327</v>
      </c>
      <c r="B7" s="12" t="s">
        <v>205</v>
      </c>
      <c r="C7" s="12">
        <v>0</v>
      </c>
      <c r="D7" s="18" t="s">
        <v>1161</v>
      </c>
      <c r="E7" s="18" t="s">
        <v>245</v>
      </c>
      <c r="F7" s="18" t="s">
        <v>209</v>
      </c>
      <c r="G7" s="12" t="s">
        <v>944</v>
      </c>
      <c r="H7" s="12"/>
      <c r="I7" s="18"/>
    </row>
    <row r="8" spans="1:9" ht="38.25" x14ac:dyDescent="0.25">
      <c r="A8" s="19">
        <v>46292.167430555557</v>
      </c>
      <c r="B8" s="12" t="s">
        <v>211</v>
      </c>
      <c r="C8" s="12">
        <v>0</v>
      </c>
      <c r="D8" s="18" t="s">
        <v>1162</v>
      </c>
      <c r="E8" s="18" t="s">
        <v>245</v>
      </c>
      <c r="F8" s="18" t="s">
        <v>215</v>
      </c>
      <c r="G8" s="12" t="s">
        <v>944</v>
      </c>
      <c r="H8" s="12"/>
      <c r="I8" s="18"/>
    </row>
    <row r="9" spans="1:9" ht="38.25" x14ac:dyDescent="0.25">
      <c r="A9" s="19">
        <v>46292.16746527778</v>
      </c>
      <c r="B9" s="12" t="s">
        <v>217</v>
      </c>
      <c r="C9" s="12">
        <v>0</v>
      </c>
      <c r="D9" s="18" t="s">
        <v>1163</v>
      </c>
      <c r="E9" s="18" t="s">
        <v>245</v>
      </c>
      <c r="F9" s="18" t="s">
        <v>221</v>
      </c>
      <c r="G9" s="12" t="s">
        <v>944</v>
      </c>
      <c r="H9" s="12"/>
      <c r="I9" s="18"/>
    </row>
    <row r="10" spans="1:9" ht="38.25" x14ac:dyDescent="0.25">
      <c r="A10" s="19">
        <v>46292.167500000003</v>
      </c>
      <c r="B10" s="12" t="s">
        <v>223</v>
      </c>
      <c r="C10" s="12">
        <v>0</v>
      </c>
      <c r="D10" s="18" t="s">
        <v>1164</v>
      </c>
      <c r="E10" s="18" t="s">
        <v>245</v>
      </c>
      <c r="F10" s="18" t="s">
        <v>227</v>
      </c>
      <c r="G10" s="12" t="s">
        <v>944</v>
      </c>
      <c r="H10" s="12"/>
      <c r="I10" s="18"/>
    </row>
    <row r="11" spans="1:9" ht="51" x14ac:dyDescent="0.25">
      <c r="A11" s="19">
        <v>46292.167534722219</v>
      </c>
      <c r="B11" s="12" t="s">
        <v>229</v>
      </c>
      <c r="C11" s="12">
        <v>0</v>
      </c>
      <c r="D11" s="18" t="s">
        <v>1165</v>
      </c>
      <c r="E11" s="18" t="s">
        <v>245</v>
      </c>
      <c r="F11" s="18" t="s">
        <v>233</v>
      </c>
      <c r="G11" s="12" t="s">
        <v>944</v>
      </c>
      <c r="H11" s="12"/>
      <c r="I11" s="18"/>
    </row>
    <row r="12" spans="1:9" ht="38.25" x14ac:dyDescent="0.25">
      <c r="A12" s="19">
        <v>46292.167569444442</v>
      </c>
      <c r="B12" s="12" t="s">
        <v>236</v>
      </c>
      <c r="C12" s="12">
        <v>0</v>
      </c>
      <c r="D12" s="18" t="s">
        <v>1166</v>
      </c>
      <c r="E12" s="18" t="s">
        <v>245</v>
      </c>
      <c r="F12" s="18" t="s">
        <v>240</v>
      </c>
      <c r="G12" s="12" t="s">
        <v>944</v>
      </c>
      <c r="H12" s="12"/>
      <c r="I12" s="18"/>
    </row>
    <row r="13" spans="1:9" ht="51" x14ac:dyDescent="0.25">
      <c r="A13" s="19">
        <v>46292.16815972222</v>
      </c>
      <c r="B13" s="12" t="s">
        <v>242</v>
      </c>
      <c r="C13" s="12">
        <v>0</v>
      </c>
      <c r="D13" s="18" t="s">
        <v>1167</v>
      </c>
      <c r="E13" s="18" t="s">
        <v>245</v>
      </c>
      <c r="F13" s="18" t="s">
        <v>246</v>
      </c>
      <c r="G13" s="12" t="s">
        <v>944</v>
      </c>
      <c r="H13" s="12"/>
      <c r="I13" s="18"/>
    </row>
    <row r="14" spans="1:9" ht="38.25" x14ac:dyDescent="0.25">
      <c r="A14" s="19">
        <v>46292.171805555547</v>
      </c>
      <c r="B14" s="12" t="s">
        <v>1168</v>
      </c>
      <c r="C14" s="12">
        <v>0</v>
      </c>
      <c r="D14" s="18" t="s">
        <v>1169</v>
      </c>
      <c r="E14" s="18" t="s">
        <v>1170</v>
      </c>
      <c r="F14" s="18"/>
      <c r="G14" s="12" t="s">
        <v>944</v>
      </c>
      <c r="H14" s="12" t="s">
        <v>185</v>
      </c>
      <c r="I14" s="18"/>
    </row>
    <row r="15" spans="1:9" ht="51" x14ac:dyDescent="0.25">
      <c r="A15" s="19">
        <v>46292.189722222232</v>
      </c>
      <c r="B15" s="12" t="s">
        <v>248</v>
      </c>
      <c r="C15" s="12">
        <v>1</v>
      </c>
      <c r="D15" s="18" t="s">
        <v>1171</v>
      </c>
      <c r="E15" s="18" t="s">
        <v>1172</v>
      </c>
      <c r="F15" s="18" t="s">
        <v>252</v>
      </c>
      <c r="G15" s="12" t="s">
        <v>944</v>
      </c>
      <c r="H15" s="12"/>
      <c r="I15" s="18"/>
    </row>
    <row r="16" spans="1:9" ht="25.5" x14ac:dyDescent="0.25">
      <c r="A16" s="19">
        <v>46292.189768518518</v>
      </c>
      <c r="B16" s="12" t="s">
        <v>258</v>
      </c>
      <c r="C16" s="12">
        <v>1</v>
      </c>
      <c r="D16" s="18" t="s">
        <v>1173</v>
      </c>
      <c r="E16" s="18" t="s">
        <v>1174</v>
      </c>
      <c r="F16" s="18" t="s">
        <v>262</v>
      </c>
      <c r="G16" s="12" t="s">
        <v>944</v>
      </c>
      <c r="H16" s="12"/>
      <c r="I16" s="18"/>
    </row>
    <row r="17" spans="1:9" ht="51" x14ac:dyDescent="0.25">
      <c r="A17" s="19">
        <v>46292.189803240741</v>
      </c>
      <c r="B17" s="12" t="s">
        <v>266</v>
      </c>
      <c r="C17" s="12">
        <v>1</v>
      </c>
      <c r="D17" s="18" t="s">
        <v>1175</v>
      </c>
      <c r="E17" s="18" t="s">
        <v>1176</v>
      </c>
      <c r="F17" s="18" t="s">
        <v>270</v>
      </c>
      <c r="G17" s="12" t="s">
        <v>944</v>
      </c>
      <c r="H17" s="12"/>
      <c r="I17" s="18"/>
    </row>
    <row r="18" spans="1:9" ht="63.75" x14ac:dyDescent="0.25">
      <c r="A18" s="19">
        <v>46292.189837962957</v>
      </c>
      <c r="B18" s="12" t="s">
        <v>322</v>
      </c>
      <c r="C18" s="12">
        <v>1</v>
      </c>
      <c r="D18" s="18" t="s">
        <v>1177</v>
      </c>
      <c r="E18" s="18" t="s">
        <v>1178</v>
      </c>
      <c r="F18" s="18" t="s">
        <v>326</v>
      </c>
      <c r="G18" s="12" t="s">
        <v>944</v>
      </c>
      <c r="H18" s="12"/>
      <c r="I18" s="18"/>
    </row>
    <row r="19" spans="1:9" ht="38.25" x14ac:dyDescent="0.25">
      <c r="A19" s="19">
        <v>46292.189872685187</v>
      </c>
      <c r="B19" s="12" t="s">
        <v>328</v>
      </c>
      <c r="C19" s="12">
        <v>1</v>
      </c>
      <c r="D19" s="18" t="s">
        <v>1179</v>
      </c>
      <c r="E19" s="18" t="s">
        <v>1180</v>
      </c>
      <c r="F19" s="18" t="s">
        <v>332</v>
      </c>
      <c r="G19" s="12" t="s">
        <v>944</v>
      </c>
      <c r="H19" s="12"/>
      <c r="I19" s="18"/>
    </row>
    <row r="20" spans="1:9" ht="51" x14ac:dyDescent="0.25">
      <c r="A20" s="19">
        <v>46292.190057870372</v>
      </c>
      <c r="B20" s="12" t="s">
        <v>288</v>
      </c>
      <c r="C20" s="12">
        <v>1</v>
      </c>
      <c r="D20" s="18" t="s">
        <v>1181</v>
      </c>
      <c r="E20" s="18" t="s">
        <v>1182</v>
      </c>
      <c r="F20" s="18" t="s">
        <v>1183</v>
      </c>
      <c r="G20" s="12" t="s">
        <v>1154</v>
      </c>
      <c r="H20" s="12"/>
      <c r="I20" s="18"/>
    </row>
    <row r="21" spans="1:9" ht="38.25" x14ac:dyDescent="0.25">
      <c r="A21" s="19">
        <v>46292.193043981482</v>
      </c>
      <c r="B21" s="12" t="s">
        <v>313</v>
      </c>
      <c r="C21" s="12">
        <v>1</v>
      </c>
      <c r="D21" s="18" t="s">
        <v>1184</v>
      </c>
      <c r="E21" s="18" t="s">
        <v>1185</v>
      </c>
      <c r="F21" s="18" t="s">
        <v>317</v>
      </c>
      <c r="G21" s="12" t="s">
        <v>944</v>
      </c>
      <c r="H21" s="12"/>
      <c r="I21" s="18"/>
    </row>
    <row r="22" spans="1:9" ht="38.25" x14ac:dyDescent="0.25">
      <c r="A22" s="19">
        <v>46292.196898148148</v>
      </c>
      <c r="B22" s="12" t="s">
        <v>1186</v>
      </c>
      <c r="C22" s="12">
        <v>1</v>
      </c>
      <c r="D22" s="18" t="s">
        <v>1187</v>
      </c>
      <c r="E22" s="18"/>
      <c r="F22" s="18"/>
      <c r="G22" s="12" t="s">
        <v>944</v>
      </c>
      <c r="H22" s="12" t="s">
        <v>255</v>
      </c>
      <c r="I22" s="18"/>
    </row>
    <row r="23" spans="1:9" ht="63.75" x14ac:dyDescent="0.25">
      <c r="A23" s="19">
        <v>46292.217905092592</v>
      </c>
      <c r="B23" s="12" t="s">
        <v>333</v>
      </c>
      <c r="C23" s="12">
        <v>1</v>
      </c>
      <c r="D23" s="18" t="s">
        <v>1188</v>
      </c>
      <c r="E23" s="18" t="s">
        <v>1189</v>
      </c>
      <c r="F23" s="18" t="s">
        <v>337</v>
      </c>
      <c r="G23" s="12" t="s">
        <v>944</v>
      </c>
      <c r="H23" s="12"/>
      <c r="I23" s="18"/>
    </row>
    <row r="24" spans="1:9" ht="25.5" x14ac:dyDescent="0.25">
      <c r="A24" s="19">
        <v>46292.217939814807</v>
      </c>
      <c r="B24" s="12" t="s">
        <v>357</v>
      </c>
      <c r="C24" s="12">
        <v>1</v>
      </c>
      <c r="D24" s="18" t="s">
        <v>1190</v>
      </c>
      <c r="E24" s="18"/>
      <c r="F24" s="18" t="s">
        <v>361</v>
      </c>
      <c r="G24" s="12" t="s">
        <v>944</v>
      </c>
      <c r="H24" s="12"/>
      <c r="I24" s="18"/>
    </row>
    <row r="25" spans="1:9" ht="51" x14ac:dyDescent="0.25">
      <c r="A25" s="19">
        <v>46292.217986111107</v>
      </c>
      <c r="B25" s="12" t="s">
        <v>352</v>
      </c>
      <c r="C25" s="12">
        <v>1</v>
      </c>
      <c r="D25" s="18" t="s">
        <v>1191</v>
      </c>
      <c r="E25" s="18" t="s">
        <v>1192</v>
      </c>
      <c r="F25" s="18" t="s">
        <v>356</v>
      </c>
      <c r="G25" s="12" t="s">
        <v>944</v>
      </c>
      <c r="H25" s="12"/>
      <c r="I25" s="18"/>
    </row>
    <row r="26" spans="1:9" ht="38.25" x14ac:dyDescent="0.25">
      <c r="A26" s="19">
        <v>46292.219421296293</v>
      </c>
      <c r="B26" s="12" t="s">
        <v>1193</v>
      </c>
      <c r="C26" s="12">
        <v>1</v>
      </c>
      <c r="D26" s="18" t="s">
        <v>1194</v>
      </c>
      <c r="E26" s="18"/>
      <c r="F26" s="18"/>
      <c r="G26" s="12" t="s">
        <v>944</v>
      </c>
      <c r="H26" s="12" t="s">
        <v>338</v>
      </c>
      <c r="I26" s="18"/>
    </row>
    <row r="27" spans="1:9" ht="89.25" x14ac:dyDescent="0.25">
      <c r="A27" s="19">
        <v>46292.350648148153</v>
      </c>
      <c r="B27" s="12" t="s">
        <v>345</v>
      </c>
      <c r="C27" s="12">
        <v>1</v>
      </c>
      <c r="D27" s="18" t="s">
        <v>1195</v>
      </c>
      <c r="E27" s="18"/>
      <c r="F27" s="18" t="s">
        <v>349</v>
      </c>
      <c r="G27" s="12" t="s">
        <v>944</v>
      </c>
      <c r="H27" s="12"/>
      <c r="I27" s="18"/>
    </row>
    <row r="28" spans="1:9" ht="25.5" x14ac:dyDescent="0.25">
      <c r="A28" s="19">
        <v>46292.351168981477</v>
      </c>
      <c r="B28" s="12" t="s">
        <v>345</v>
      </c>
      <c r="C28" s="12">
        <v>1</v>
      </c>
      <c r="D28" s="18" t="s">
        <v>1196</v>
      </c>
      <c r="E28" s="18"/>
      <c r="F28" s="18"/>
      <c r="G28" s="12" t="s">
        <v>944</v>
      </c>
      <c r="H28" s="12" t="s">
        <v>350</v>
      </c>
      <c r="I28" s="18"/>
    </row>
    <row r="29" spans="1:9" ht="63.75" x14ac:dyDescent="0.25">
      <c r="A29" s="19">
        <v>46292.356574074067</v>
      </c>
      <c r="B29" s="12" t="s">
        <v>362</v>
      </c>
      <c r="C29" s="12">
        <v>1</v>
      </c>
      <c r="D29" s="18" t="s">
        <v>1197</v>
      </c>
      <c r="E29" s="18" t="s">
        <v>1198</v>
      </c>
      <c r="F29" s="18" t="s">
        <v>366</v>
      </c>
      <c r="G29" s="12" t="s">
        <v>944</v>
      </c>
      <c r="H29" s="12"/>
      <c r="I29" s="18"/>
    </row>
  </sheetData>
  <autoFilter ref="A1:I29" xr:uid="{00000000-0009-0000-0000-000011000000}"/>
  <conditionalFormatting sqref="G2:G5000">
    <cfRule type="cellIs" dxfId="4" priority="1" operator="equal">
      <formula>"PASS"</formula>
    </cfRule>
    <cfRule type="cellIs" dxfId="3" priority="2" operator="equal">
      <formula>"FAIL"</formula>
    </cfRule>
    <cfRule type="cellIs" dxfId="2" priority="3" operator="equal">
      <formula>"PARTIAL"</formula>
    </cfRule>
  </conditionalFormatting>
  <dataValidations count="1">
    <dataValidation type="list" allowBlank="1" showErrorMessage="1" errorTitle="Invalid result" error="Pick a result from the list." sqref="G2:G5000" xr:uid="{00000000-0002-0000-1100-000000000000}">
      <formula1>"PASS,FAIL,PARTIAL,N/A"</formula1>
    </dataValidation>
  </dataValidations>
  <pageMargins left="0.75" right="0.75" top="1" bottom="1" header="0.5" footer="0.5"/>
  <pageSetup fitToHeight="0" orientation="landscape"/>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7F7F7F"/>
    <pageSetUpPr fitToPage="1"/>
  </sheetPr>
  <dimension ref="A1:B21"/>
  <sheetViews>
    <sheetView workbookViewId="0">
      <pane ySplit="4" topLeftCell="A5" activePane="bottomLeft" state="frozen"/>
      <selection pane="bottomLeft"/>
    </sheetView>
  </sheetViews>
  <sheetFormatPr defaultRowHeight="15" x14ac:dyDescent="0.25"/>
  <cols>
    <col min="1" max="1" width="26" customWidth="1"/>
    <col min="2" max="2" width="120" customWidth="1"/>
  </cols>
  <sheetData>
    <row r="1" spans="1:2" ht="20.25" x14ac:dyDescent="0.3">
      <c r="A1" s="3" t="s">
        <v>1199</v>
      </c>
    </row>
    <row r="2" spans="1:2" x14ac:dyDescent="0.25">
      <c r="A2" s="4" t="s">
        <v>151</v>
      </c>
    </row>
    <row r="3" spans="1:2" x14ac:dyDescent="0.25">
      <c r="A3" s="2" t="s">
        <v>1200</v>
      </c>
    </row>
    <row r="4" spans="1:2" x14ac:dyDescent="0.25">
      <c r="A4" s="10" t="s">
        <v>1201</v>
      </c>
      <c r="B4" s="10" t="s">
        <v>1202</v>
      </c>
    </row>
    <row r="5" spans="1:2" x14ac:dyDescent="0.25">
      <c r="A5" s="6" t="s">
        <v>6</v>
      </c>
      <c r="B5" s="18" t="s">
        <v>1203</v>
      </c>
    </row>
    <row r="6" spans="1:2" ht="38.25" x14ac:dyDescent="0.25">
      <c r="A6" s="6" t="s">
        <v>9</v>
      </c>
      <c r="B6" s="18" t="s">
        <v>1204</v>
      </c>
    </row>
    <row r="7" spans="1:2" x14ac:dyDescent="0.25">
      <c r="A7" s="6" t="s">
        <v>12</v>
      </c>
      <c r="B7" s="18" t="s">
        <v>1205</v>
      </c>
    </row>
    <row r="8" spans="1:2" x14ac:dyDescent="0.25">
      <c r="A8" s="6" t="s">
        <v>15</v>
      </c>
      <c r="B8" s="18" t="s">
        <v>1206</v>
      </c>
    </row>
    <row r="9" spans="1:2" x14ac:dyDescent="0.25">
      <c r="A9" s="6" t="s">
        <v>1207</v>
      </c>
      <c r="B9" s="18" t="s">
        <v>1208</v>
      </c>
    </row>
    <row r="10" spans="1:2" x14ac:dyDescent="0.25">
      <c r="A10" s="6" t="s">
        <v>1209</v>
      </c>
      <c r="B10" s="18" t="s">
        <v>1210</v>
      </c>
    </row>
    <row r="11" spans="1:2" x14ac:dyDescent="0.25">
      <c r="A11" s="6" t="s">
        <v>26</v>
      </c>
      <c r="B11" s="18" t="s">
        <v>1211</v>
      </c>
    </row>
    <row r="12" spans="1:2" x14ac:dyDescent="0.25">
      <c r="A12" s="6" t="s">
        <v>29</v>
      </c>
      <c r="B12" s="18" t="s">
        <v>1212</v>
      </c>
    </row>
    <row r="13" spans="1:2" ht="25.5" x14ac:dyDescent="0.25">
      <c r="A13" s="6" t="s">
        <v>32</v>
      </c>
      <c r="B13" s="18" t="s">
        <v>1213</v>
      </c>
    </row>
    <row r="14" spans="1:2" ht="25.5" x14ac:dyDescent="0.25">
      <c r="A14" s="6" t="s">
        <v>18</v>
      </c>
      <c r="B14" s="18" t="s">
        <v>1214</v>
      </c>
    </row>
    <row r="15" spans="1:2" x14ac:dyDescent="0.25">
      <c r="A15" s="6" t="s">
        <v>21</v>
      </c>
      <c r="B15" s="18" t="s">
        <v>1215</v>
      </c>
    </row>
    <row r="16" spans="1:2" x14ac:dyDescent="0.25">
      <c r="A16" s="6" t="s">
        <v>24</v>
      </c>
      <c r="B16" s="18" t="s">
        <v>1216</v>
      </c>
    </row>
    <row r="17" spans="1:2" x14ac:dyDescent="0.25">
      <c r="A17" s="6" t="s">
        <v>35</v>
      </c>
      <c r="B17" s="18" t="s">
        <v>1217</v>
      </c>
    </row>
    <row r="18" spans="1:2" x14ac:dyDescent="0.25">
      <c r="A18" s="6" t="s">
        <v>1218</v>
      </c>
      <c r="B18" s="18" t="s">
        <v>1219</v>
      </c>
    </row>
    <row r="19" spans="1:2" x14ac:dyDescent="0.25">
      <c r="A19" s="6" t="s">
        <v>1220</v>
      </c>
      <c r="B19" s="18" t="str">
        <f>"Tasks "&amp;DASHBOARD!B5&amp;" · done "&amp;DASHBOARD!B6&amp;" · verified "&amp;DASHBOARD!B7&amp;" · in progress "&amp;DASHBOARD!B8&amp;" · blocked "&amp;DASHBOARD!B9&amp;" · failed "&amp;DASHBOARD!B10&amp;" · P0 open "&amp;DASHBOARD!B16&amp;" · P1 open "&amp;DASHBOARD!B17</f>
        <v>Tasks 160 · done 27 · verified 28 · in progress 4 · blocked 1 · failed 0 · P0 open 61 · P1 open 51</v>
      </c>
    </row>
    <row r="20" spans="1:2" x14ac:dyDescent="0.25">
      <c r="A20" s="6" t="s">
        <v>1221</v>
      </c>
      <c r="B20" s="18" t="s">
        <v>1138</v>
      </c>
    </row>
    <row r="21" spans="1:2" x14ac:dyDescent="0.25">
      <c r="A21" s="6" t="s">
        <v>1222</v>
      </c>
      <c r="B21" s="18" t="s">
        <v>1140</v>
      </c>
    </row>
  </sheetData>
  <pageMargins left="0.75" right="0.75" top="1" bottom="1" header="0.5" footer="0.5"/>
  <pageSetup fitToHeight="0" orientation="landscape"/>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548235"/>
    <pageSetUpPr fitToPage="1"/>
  </sheetPr>
  <dimension ref="A1:I21"/>
  <sheetViews>
    <sheetView workbookViewId="0">
      <pane ySplit="4" topLeftCell="A5" activePane="bottomLeft" state="frozen"/>
      <selection pane="bottomLeft"/>
    </sheetView>
  </sheetViews>
  <sheetFormatPr defaultRowHeight="15" x14ac:dyDescent="0.25"/>
  <cols>
    <col min="1" max="1" width="11" customWidth="1"/>
    <col min="2" max="2" width="40" customWidth="1"/>
    <col min="3" max="3" width="15" customWidth="1"/>
    <col min="4" max="4" width="34" customWidth="1"/>
    <col min="5" max="6" width="12" customWidth="1"/>
    <col min="7" max="7" width="60" customWidth="1"/>
    <col min="8" max="8" width="17" customWidth="1"/>
    <col min="9" max="9" width="40" customWidth="1"/>
  </cols>
  <sheetData>
    <row r="1" spans="1:9" ht="20.25" x14ac:dyDescent="0.3">
      <c r="A1" s="3" t="s">
        <v>1223</v>
      </c>
    </row>
    <row r="2" spans="1:9" x14ac:dyDescent="0.25">
      <c r="A2" s="4" t="s">
        <v>154</v>
      </c>
    </row>
    <row r="3" spans="1:9" x14ac:dyDescent="0.25">
      <c r="A3" s="6" t="s">
        <v>1224</v>
      </c>
      <c r="B3" s="6" t="s">
        <v>944</v>
      </c>
      <c r="C3" s="6" t="s">
        <v>1225</v>
      </c>
      <c r="D3" s="6" t="s">
        <v>1226</v>
      </c>
    </row>
    <row r="4" spans="1:9" x14ac:dyDescent="0.25">
      <c r="A4" s="7">
        <f>COUNTA(A7:A21)</f>
        <v>15</v>
      </c>
      <c r="B4" s="7">
        <f>COUNTIF(C7:C21,"PASS")</f>
        <v>0</v>
      </c>
      <c r="C4" s="7">
        <f>COUNTIF(C7:C21,"FAIL")</f>
        <v>0</v>
      </c>
      <c r="D4" s="7">
        <f>COUNTIF(C7:C21,"NOT_EVALUATED")</f>
        <v>15</v>
      </c>
    </row>
    <row r="6" spans="1:9" ht="25.5" x14ac:dyDescent="0.25">
      <c r="A6" s="10" t="s">
        <v>1227</v>
      </c>
      <c r="B6" s="10" t="s">
        <v>1228</v>
      </c>
      <c r="C6" s="10" t="s">
        <v>57</v>
      </c>
      <c r="D6" s="10" t="s">
        <v>1016</v>
      </c>
      <c r="E6" s="10" t="s">
        <v>1017</v>
      </c>
      <c r="F6" s="10" t="s">
        <v>1018</v>
      </c>
      <c r="G6" s="10" t="s">
        <v>166</v>
      </c>
      <c r="H6" s="10" t="s">
        <v>15</v>
      </c>
      <c r="I6" s="10" t="s">
        <v>174</v>
      </c>
    </row>
    <row r="7" spans="1:9" x14ac:dyDescent="0.25">
      <c r="A7" s="15" t="s">
        <v>1229</v>
      </c>
      <c r="B7" s="18" t="s">
        <v>1230</v>
      </c>
      <c r="C7" s="12" t="s">
        <v>1226</v>
      </c>
      <c r="D7" s="18" t="s">
        <v>1231</v>
      </c>
      <c r="E7" s="16">
        <f>SUMPRODUCT(ISNUMBER(SEARCH(","&amp;MASTER!$A$2:$A$2000&amp;",",","&amp;SUBSTITUTE($D7," ","")&amp;","))*((MASTER!$G$2:$G$2000="DONE")))</f>
        <v>1</v>
      </c>
      <c r="F7" s="16">
        <f t="shared" ref="F7:F21" si="0">IF(LEN(SUBSTITUTE($D7," ",""))=0,0,LEN(SUBSTITUTE($D7," ",""))-LEN(SUBSTITUTE(SUBSTITUTE($D7," ",""),",",""))+1)</f>
        <v>3</v>
      </c>
      <c r="G7" s="18"/>
      <c r="H7" s="19"/>
      <c r="I7" s="18"/>
    </row>
    <row r="8" spans="1:9" x14ac:dyDescent="0.25">
      <c r="A8" s="15" t="s">
        <v>1232</v>
      </c>
      <c r="B8" s="18" t="s">
        <v>1233</v>
      </c>
      <c r="C8" s="12" t="s">
        <v>1226</v>
      </c>
      <c r="D8" s="18" t="s">
        <v>545</v>
      </c>
      <c r="E8" s="16">
        <f>SUMPRODUCT(ISNUMBER(SEARCH(","&amp;MASTER!$A$2:$A$2000&amp;",",","&amp;SUBSTITUTE($D8," ","")&amp;","))*((MASTER!$G$2:$G$2000="DONE")))</f>
        <v>0</v>
      </c>
      <c r="F8" s="16">
        <f t="shared" si="0"/>
        <v>1</v>
      </c>
      <c r="G8" s="18"/>
      <c r="H8" s="19"/>
      <c r="I8" s="18"/>
    </row>
    <row r="9" spans="1:9" x14ac:dyDescent="0.25">
      <c r="A9" s="15" t="s">
        <v>1234</v>
      </c>
      <c r="B9" s="18" t="s">
        <v>1235</v>
      </c>
      <c r="C9" s="12" t="s">
        <v>1226</v>
      </c>
      <c r="D9" s="18" t="s">
        <v>1236</v>
      </c>
      <c r="E9" s="16">
        <f>SUMPRODUCT(ISNUMBER(SEARCH(","&amp;MASTER!$A$2:$A$2000&amp;",",","&amp;SUBSTITUTE($D9," ","")&amp;","))*((MASTER!$G$2:$G$2000="DONE")))</f>
        <v>0</v>
      </c>
      <c r="F9" s="16">
        <f t="shared" si="0"/>
        <v>2</v>
      </c>
      <c r="G9" s="18"/>
      <c r="H9" s="19"/>
      <c r="I9" s="18"/>
    </row>
    <row r="10" spans="1:9" x14ac:dyDescent="0.25">
      <c r="A10" s="15" t="s">
        <v>1237</v>
      </c>
      <c r="B10" s="18" t="s">
        <v>1238</v>
      </c>
      <c r="C10" s="12" t="s">
        <v>1226</v>
      </c>
      <c r="D10" s="18" t="s">
        <v>613</v>
      </c>
      <c r="E10" s="16">
        <f>SUMPRODUCT(ISNUMBER(SEARCH(","&amp;MASTER!$A$2:$A$2000&amp;",",","&amp;SUBSTITUTE($D10," ","")&amp;","))*((MASTER!$G$2:$G$2000="DONE")))</f>
        <v>0</v>
      </c>
      <c r="F10" s="16">
        <f t="shared" si="0"/>
        <v>1</v>
      </c>
      <c r="G10" s="18"/>
      <c r="H10" s="19"/>
      <c r="I10" s="18"/>
    </row>
    <row r="11" spans="1:9" x14ac:dyDescent="0.25">
      <c r="A11" s="15" t="s">
        <v>1239</v>
      </c>
      <c r="B11" s="18" t="s">
        <v>1240</v>
      </c>
      <c r="C11" s="12" t="s">
        <v>1226</v>
      </c>
      <c r="D11" s="18" t="s">
        <v>1241</v>
      </c>
      <c r="E11" s="16">
        <f>SUMPRODUCT(ISNUMBER(SEARCH(","&amp;MASTER!$A$2:$A$2000&amp;",",","&amp;SUBSTITUTE($D11," ","")&amp;","))*((MASTER!$G$2:$G$2000="DONE")))</f>
        <v>0</v>
      </c>
      <c r="F11" s="16">
        <f t="shared" si="0"/>
        <v>3</v>
      </c>
      <c r="G11" s="18"/>
      <c r="H11" s="19"/>
      <c r="I11" s="18"/>
    </row>
    <row r="12" spans="1:9" x14ac:dyDescent="0.25">
      <c r="A12" s="15" t="s">
        <v>1242</v>
      </c>
      <c r="B12" s="18" t="s">
        <v>1243</v>
      </c>
      <c r="C12" s="12" t="s">
        <v>1226</v>
      </c>
      <c r="D12" s="18" t="s">
        <v>499</v>
      </c>
      <c r="E12" s="16">
        <f>SUMPRODUCT(ISNUMBER(SEARCH(","&amp;MASTER!$A$2:$A$2000&amp;",",","&amp;SUBSTITUTE($D12," ","")&amp;","))*((MASTER!$G$2:$G$2000="DONE")))</f>
        <v>0</v>
      </c>
      <c r="F12" s="16">
        <f t="shared" si="0"/>
        <v>1</v>
      </c>
      <c r="G12" s="18"/>
      <c r="H12" s="19"/>
      <c r="I12" s="18"/>
    </row>
    <row r="13" spans="1:9" x14ac:dyDescent="0.25">
      <c r="A13" s="15" t="s">
        <v>1244</v>
      </c>
      <c r="B13" s="18" t="s">
        <v>1245</v>
      </c>
      <c r="C13" s="12" t="s">
        <v>1226</v>
      </c>
      <c r="D13" s="18" t="s">
        <v>499</v>
      </c>
      <c r="E13" s="16">
        <f>SUMPRODUCT(ISNUMBER(SEARCH(","&amp;MASTER!$A$2:$A$2000&amp;",",","&amp;SUBSTITUTE($D13," ","")&amp;","))*((MASTER!$G$2:$G$2000="DONE")))</f>
        <v>0</v>
      </c>
      <c r="F13" s="16">
        <f t="shared" si="0"/>
        <v>1</v>
      </c>
      <c r="G13" s="18"/>
      <c r="H13" s="19"/>
      <c r="I13" s="18"/>
    </row>
    <row r="14" spans="1:9" x14ac:dyDescent="0.25">
      <c r="A14" s="15" t="s">
        <v>1246</v>
      </c>
      <c r="B14" s="18" t="s">
        <v>1247</v>
      </c>
      <c r="C14" s="12" t="s">
        <v>1226</v>
      </c>
      <c r="D14" s="18" t="s">
        <v>717</v>
      </c>
      <c r="E14" s="16">
        <f>SUMPRODUCT(ISNUMBER(SEARCH(","&amp;MASTER!$A$2:$A$2000&amp;",",","&amp;SUBSTITUTE($D14," ","")&amp;","))*((MASTER!$G$2:$G$2000="DONE")))</f>
        <v>0</v>
      </c>
      <c r="F14" s="16">
        <f t="shared" si="0"/>
        <v>1</v>
      </c>
      <c r="G14" s="18"/>
      <c r="H14" s="19"/>
      <c r="I14" s="18"/>
    </row>
    <row r="15" spans="1:9" x14ac:dyDescent="0.25">
      <c r="A15" s="15" t="s">
        <v>1248</v>
      </c>
      <c r="B15" s="18" t="s">
        <v>1249</v>
      </c>
      <c r="C15" s="12" t="s">
        <v>1226</v>
      </c>
      <c r="D15" s="18" t="s">
        <v>646</v>
      </c>
      <c r="E15" s="16">
        <f>SUMPRODUCT(ISNUMBER(SEARCH(","&amp;MASTER!$A$2:$A$2000&amp;",",","&amp;SUBSTITUTE($D15," ","")&amp;","))*((MASTER!$G$2:$G$2000="DONE")))</f>
        <v>0</v>
      </c>
      <c r="F15" s="16">
        <f t="shared" si="0"/>
        <v>1</v>
      </c>
      <c r="G15" s="18"/>
      <c r="H15" s="19"/>
      <c r="I15" s="18"/>
    </row>
    <row r="16" spans="1:9" x14ac:dyDescent="0.25">
      <c r="A16" s="15" t="s">
        <v>1250</v>
      </c>
      <c r="B16" s="18" t="s">
        <v>1251</v>
      </c>
      <c r="C16" s="12" t="s">
        <v>1226</v>
      </c>
      <c r="D16" s="18" t="s">
        <v>697</v>
      </c>
      <c r="E16" s="16">
        <f>SUMPRODUCT(ISNUMBER(SEARCH(","&amp;MASTER!$A$2:$A$2000&amp;",",","&amp;SUBSTITUTE($D16," ","")&amp;","))*((MASTER!$G$2:$G$2000="DONE")))</f>
        <v>0</v>
      </c>
      <c r="F16" s="16">
        <f t="shared" si="0"/>
        <v>1</v>
      </c>
      <c r="G16" s="18"/>
      <c r="H16" s="19"/>
      <c r="I16" s="18"/>
    </row>
    <row r="17" spans="1:9" x14ac:dyDescent="0.25">
      <c r="A17" s="15" t="s">
        <v>1252</v>
      </c>
      <c r="B17" s="18" t="s">
        <v>1253</v>
      </c>
      <c r="C17" s="12" t="s">
        <v>1226</v>
      </c>
      <c r="D17" s="18" t="s">
        <v>685</v>
      </c>
      <c r="E17" s="16">
        <f>SUMPRODUCT(ISNUMBER(SEARCH(","&amp;MASTER!$A$2:$A$2000&amp;",",","&amp;SUBSTITUTE($D17," ","")&amp;","))*((MASTER!$G$2:$G$2000="DONE")))</f>
        <v>0</v>
      </c>
      <c r="F17" s="16">
        <f t="shared" si="0"/>
        <v>1</v>
      </c>
      <c r="G17" s="18"/>
      <c r="H17" s="19"/>
      <c r="I17" s="18"/>
    </row>
    <row r="18" spans="1:9" x14ac:dyDescent="0.25">
      <c r="A18" s="15" t="s">
        <v>1254</v>
      </c>
      <c r="B18" s="18" t="s">
        <v>1255</v>
      </c>
      <c r="C18" s="12" t="s">
        <v>1226</v>
      </c>
      <c r="D18" s="18" t="s">
        <v>795</v>
      </c>
      <c r="E18" s="16">
        <f>SUMPRODUCT(ISNUMBER(SEARCH(","&amp;MASTER!$A$2:$A$2000&amp;",",","&amp;SUBSTITUTE($D18," ","")&amp;","))*((MASTER!$G$2:$G$2000="DONE")))</f>
        <v>0</v>
      </c>
      <c r="F18" s="16">
        <f t="shared" si="0"/>
        <v>1</v>
      </c>
      <c r="G18" s="18"/>
      <c r="H18" s="19"/>
      <c r="I18" s="18"/>
    </row>
    <row r="19" spans="1:9" x14ac:dyDescent="0.25">
      <c r="A19" s="15" t="s">
        <v>1256</v>
      </c>
      <c r="B19" s="18" t="s">
        <v>1257</v>
      </c>
      <c r="C19" s="12" t="s">
        <v>1226</v>
      </c>
      <c r="D19" s="18" t="s">
        <v>217</v>
      </c>
      <c r="E19" s="16">
        <f>SUMPRODUCT(ISNUMBER(SEARCH(","&amp;MASTER!$A$2:$A$2000&amp;",",","&amp;SUBSTITUTE($D19," ","")&amp;","))*((MASTER!$G$2:$G$2000="DONE")))</f>
        <v>1</v>
      </c>
      <c r="F19" s="16">
        <f t="shared" si="0"/>
        <v>1</v>
      </c>
      <c r="G19" s="18"/>
      <c r="H19" s="19"/>
      <c r="I19" s="18"/>
    </row>
    <row r="20" spans="1:9" x14ac:dyDescent="0.25">
      <c r="A20" s="15" t="s">
        <v>1258</v>
      </c>
      <c r="B20" s="18" t="s">
        <v>1259</v>
      </c>
      <c r="C20" s="12" t="s">
        <v>1226</v>
      </c>
      <c r="D20" s="18" t="s">
        <v>1260</v>
      </c>
      <c r="E20" s="16">
        <f>SUMPRODUCT(ISNUMBER(SEARCH(","&amp;MASTER!$A$2:$A$2000&amp;",",","&amp;SUBSTITUTE($D20," ","")&amp;","))*((MASTER!$G$2:$G$2000="DONE")))</f>
        <v>1</v>
      </c>
      <c r="F20" s="16">
        <f t="shared" si="0"/>
        <v>2</v>
      </c>
      <c r="G20" s="18"/>
      <c r="H20" s="19"/>
      <c r="I20" s="18"/>
    </row>
    <row r="21" spans="1:9" x14ac:dyDescent="0.25">
      <c r="A21" s="15" t="s">
        <v>1261</v>
      </c>
      <c r="B21" s="18" t="s">
        <v>1262</v>
      </c>
      <c r="C21" s="12" t="s">
        <v>1226</v>
      </c>
      <c r="D21" s="18" t="s">
        <v>776</v>
      </c>
      <c r="E21" s="16">
        <f>SUMPRODUCT(ISNUMBER(SEARCH(","&amp;MASTER!$A$2:$A$2000&amp;",",","&amp;SUBSTITUTE($D21," ","")&amp;","))*((MASTER!$G$2:$G$2000="DONE")))</f>
        <v>0</v>
      </c>
      <c r="F21" s="16">
        <f t="shared" si="0"/>
        <v>1</v>
      </c>
      <c r="G21" s="18"/>
      <c r="H21" s="19"/>
      <c r="I21" s="18"/>
    </row>
  </sheetData>
  <conditionalFormatting sqref="C7:C21">
    <cfRule type="cellIs" dxfId="1" priority="1" operator="equal">
      <formula>"PASS"</formula>
    </cfRule>
    <cfRule type="cellIs" dxfId="0" priority="2" operator="equal">
      <formula>"FAIL"</formula>
    </cfRule>
  </conditionalFormatting>
  <dataValidations count="1">
    <dataValidation type="list" allowBlank="1" showErrorMessage="1" errorTitle="Invalid gate status" error="Pick a gate status from the list." sqref="C7:C21" xr:uid="{00000000-0002-0000-1300-000000000000}">
      <formula1>"NOT_EVALUATED,PASS,FAIL"</formula1>
    </dataValidation>
  </dataValidations>
  <pageMargins left="0.75" right="0.75" top="1" bottom="1" header="0.5" footer="0.5"/>
  <pageSetup fitToHeight="0"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20</vt:i4>
      </vt:variant>
    </vt:vector>
  </HeadingPairs>
  <TitlesOfParts>
    <vt:vector size="20" baseType="lpstr">
      <vt:lpstr>DASHBOARD</vt:lpstr>
      <vt:lpstr>MASTER</vt:lpstr>
      <vt:lpstr>CRITICAL_FIXES</vt:lpstr>
      <vt:lpstr>DOCUMENT_FIDELITY</vt:lpstr>
      <vt:lpstr>DOCX_OOXML</vt:lpstr>
      <vt:lpstr>PDF</vt:lpstr>
      <vt:lpstr>EDITOR</vt:lpstr>
      <vt:lpstr>FORMATTING</vt:lpstr>
      <vt:lpstr>AI</vt:lpstr>
      <vt:lpstr>SECURITY</vt:lpstr>
      <vt:lpstr>PERFORMANCE</vt:lpstr>
      <vt:lpstr>TESTING</vt:lpstr>
      <vt:lpstr>PRODUCT_FEATURES</vt:lpstr>
      <vt:lpstr>TRANSLATION</vt:lpstr>
      <vt:lpstr>PDF_TO_EDITABLE</vt:lpstr>
      <vt:lpstr>BILLING_PLANS</vt:lpstr>
      <vt:lpstr>INFRA</vt:lpstr>
      <vt:lpstr>CHANGE_LOG</vt:lpstr>
      <vt:lpstr>SESSION_STATE</vt:lpstr>
      <vt:lpstr>RELEASE_GATES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Борил Димитров</cp:lastModifiedBy>
  <dcterms:created xsi:type="dcterms:W3CDTF">2026-09-27T00:48:32Z</dcterms:created>
  <dcterms:modified xsi:type="dcterms:W3CDTF">2026-09-27T05:33:59Z</dcterms:modified>
</cp:coreProperties>
</file>

<file path=docProps/custom.xml><?xml version="1.0" encoding="utf-8"?>
<Properties xmlns="http://schemas.openxmlformats.org/officeDocument/2006/custom-properties" xmlns:vt="http://schemas.openxmlformats.org/officeDocument/2006/docPropsVTypes"/>
</file>