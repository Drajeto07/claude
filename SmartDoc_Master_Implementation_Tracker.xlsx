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23EF7209-5C9D-4ED6-B2B9-AEEF6581D343}"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CHANGE_LOG!$A$1:$I$43</definedName>
    <definedName name="_xlnm._FilterDatabase" localSheetId="2" hidden="1">CRITICAL_FIXES!$A$31:$L$115</definedName>
    <definedName name="_xlnm._FilterDatabase" localSheetId="3" hidden="1">DOCUMENT_FIDELITY!$A$7:$L$22</definedName>
    <definedName name="_xlnm._FilterDatabase" localSheetId="4" hidden="1">DOCX_OOXML!$A$7:$L$26</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MASTER!$A$1:$S$162</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TESTING!$A$37:$L$52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52" i="12"/>
  <c r="K52" i="12"/>
  <c r="J52" i="12"/>
  <c r="I52" i="12"/>
  <c r="H52" i="12"/>
  <c r="G52" i="12"/>
  <c r="F52" i="12"/>
  <c r="E52" i="12"/>
  <c r="D52" i="12"/>
  <c r="C52" i="12"/>
  <c r="B52" i="12"/>
  <c r="L51" i="12"/>
  <c r="K51" i="12"/>
  <c r="J51" i="12"/>
  <c r="I51" i="12"/>
  <c r="H51" i="12"/>
  <c r="G51" i="12"/>
  <c r="F51" i="12"/>
  <c r="E51" i="12"/>
  <c r="D51" i="12"/>
  <c r="C51" i="12"/>
  <c r="B51" i="12"/>
  <c r="L50" i="12"/>
  <c r="K50" i="12"/>
  <c r="J50" i="12"/>
  <c r="I50" i="12"/>
  <c r="H50" i="12"/>
  <c r="G50" i="12"/>
  <c r="F50" i="12"/>
  <c r="E50" i="12"/>
  <c r="D50" i="12"/>
  <c r="C50" i="12"/>
  <c r="B50" i="12"/>
  <c r="L49" i="12"/>
  <c r="K49" i="12"/>
  <c r="J49" i="12"/>
  <c r="I49" i="12"/>
  <c r="H49" i="12"/>
  <c r="G49" i="12"/>
  <c r="F49" i="12"/>
  <c r="E49" i="12"/>
  <c r="D49" i="12"/>
  <c r="C49" i="12"/>
  <c r="B49" i="12"/>
  <c r="L48" i="12"/>
  <c r="K48" i="12"/>
  <c r="J48" i="12"/>
  <c r="I48" i="12"/>
  <c r="H48" i="12"/>
  <c r="G48" i="12"/>
  <c r="F48" i="12"/>
  <c r="E48" i="12"/>
  <c r="D48" i="12"/>
  <c r="C48" i="12"/>
  <c r="B48" i="12"/>
  <c r="L47" i="12"/>
  <c r="K47" i="12"/>
  <c r="J47" i="12"/>
  <c r="I47" i="12"/>
  <c r="H47" i="12"/>
  <c r="G47" i="12"/>
  <c r="F47" i="12"/>
  <c r="E47" i="12"/>
  <c r="D47" i="12"/>
  <c r="C47" i="12"/>
  <c r="B47" i="12"/>
  <c r="L46" i="12"/>
  <c r="K46" i="12"/>
  <c r="J46" i="12"/>
  <c r="I46" i="12"/>
  <c r="H46" i="12"/>
  <c r="G46" i="12"/>
  <c r="F46" i="12"/>
  <c r="E46" i="12"/>
  <c r="D46" i="12"/>
  <c r="C46" i="12"/>
  <c r="B46" i="12"/>
  <c r="L45" i="12"/>
  <c r="K45" i="12"/>
  <c r="J45" i="12"/>
  <c r="I45" i="12"/>
  <c r="H45" i="12"/>
  <c r="G45" i="12"/>
  <c r="F45" i="12"/>
  <c r="E45" i="12"/>
  <c r="D45" i="12"/>
  <c r="C45" i="12"/>
  <c r="B45" i="12"/>
  <c r="L44" i="12"/>
  <c r="K44" i="12"/>
  <c r="J44" i="12"/>
  <c r="I44" i="12"/>
  <c r="H44" i="12"/>
  <c r="G44" i="12"/>
  <c r="F44" i="12"/>
  <c r="E44" i="12"/>
  <c r="D44" i="12"/>
  <c r="C44" i="12"/>
  <c r="B44" i="12"/>
  <c r="L43" i="12"/>
  <c r="K43" i="12"/>
  <c r="J43" i="12"/>
  <c r="I43" i="12"/>
  <c r="H43" i="12"/>
  <c r="G43" i="12"/>
  <c r="F43" i="12"/>
  <c r="E43" i="12"/>
  <c r="D43" i="12"/>
  <c r="C43" i="12"/>
  <c r="B43" i="12"/>
  <c r="L42" i="12"/>
  <c r="K42" i="12"/>
  <c r="J42" i="12"/>
  <c r="I42" i="12"/>
  <c r="H42" i="12"/>
  <c r="G42" i="12"/>
  <c r="F42" i="12"/>
  <c r="E42" i="12"/>
  <c r="D42" i="12"/>
  <c r="C42" i="12"/>
  <c r="B42" i="12"/>
  <c r="L41" i="12"/>
  <c r="K41" i="12"/>
  <c r="J41" i="12"/>
  <c r="I41" i="12"/>
  <c r="H41" i="12"/>
  <c r="G41" i="12"/>
  <c r="F41" i="12"/>
  <c r="E41" i="12"/>
  <c r="D41" i="12"/>
  <c r="C41" i="12"/>
  <c r="B41" i="12"/>
  <c r="L40" i="12"/>
  <c r="K40" i="12"/>
  <c r="J40" i="12"/>
  <c r="I40" i="12"/>
  <c r="H40" i="12"/>
  <c r="G40" i="12"/>
  <c r="F40" i="12"/>
  <c r="E40" i="12"/>
  <c r="D40" i="12"/>
  <c r="C40" i="12"/>
  <c r="B40" i="12"/>
  <c r="L39" i="12"/>
  <c r="K39" i="12"/>
  <c r="J39" i="12"/>
  <c r="I39" i="12"/>
  <c r="H39" i="12"/>
  <c r="G39" i="12"/>
  <c r="F39" i="12"/>
  <c r="E39" i="12"/>
  <c r="D39" i="12"/>
  <c r="C39" i="12"/>
  <c r="B39" i="12"/>
  <c r="L38" i="12"/>
  <c r="K38" i="12"/>
  <c r="J38" i="12"/>
  <c r="I38" i="12"/>
  <c r="H38" i="12"/>
  <c r="G38" i="12"/>
  <c r="F38" i="12"/>
  <c r="E38" i="12"/>
  <c r="D38" i="12"/>
  <c r="C38" i="12"/>
  <c r="B38"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C26" i="3" s="1"/>
  <c r="I25" i="3"/>
  <c r="H25" i="3"/>
  <c r="F25" i="3"/>
  <c r="E25" i="3"/>
  <c r="B25" i="3" s="1"/>
  <c r="I24" i="3"/>
  <c r="H24" i="3"/>
  <c r="F24" i="3"/>
  <c r="E24" i="3"/>
  <c r="C24" i="3" s="1"/>
  <c r="I23" i="3"/>
  <c r="H23" i="3"/>
  <c r="F23" i="3"/>
  <c r="E23" i="3"/>
  <c r="I22" i="3"/>
  <c r="H22" i="3"/>
  <c r="F22" i="3"/>
  <c r="E22" i="3"/>
  <c r="C22" i="3" s="1"/>
  <c r="I21" i="3"/>
  <c r="H21" i="3"/>
  <c r="F21" i="3"/>
  <c r="E21" i="3"/>
  <c r="I20" i="3"/>
  <c r="H20" i="3"/>
  <c r="F20" i="3"/>
  <c r="E20" i="3"/>
  <c r="C20" i="3" s="1"/>
  <c r="I19" i="3"/>
  <c r="H19" i="3"/>
  <c r="F19" i="3"/>
  <c r="E19" i="3"/>
  <c r="I18" i="3"/>
  <c r="H18" i="3"/>
  <c r="F18" i="3"/>
  <c r="E18" i="3"/>
  <c r="C18" i="3" s="1"/>
  <c r="I17" i="3"/>
  <c r="H17" i="3"/>
  <c r="F17" i="3"/>
  <c r="E17" i="3"/>
  <c r="I16" i="3"/>
  <c r="H16" i="3"/>
  <c r="F16" i="3"/>
  <c r="E16" i="3"/>
  <c r="C16" i="3" s="1"/>
  <c r="I15" i="3"/>
  <c r="H15" i="3"/>
  <c r="F15" i="3"/>
  <c r="E15" i="3"/>
  <c r="I14" i="3"/>
  <c r="H14" i="3"/>
  <c r="F14" i="3"/>
  <c r="E14" i="3"/>
  <c r="C14" i="3" s="1"/>
  <c r="I13" i="3"/>
  <c r="H13" i="3"/>
  <c r="F13" i="3"/>
  <c r="E13" i="3"/>
  <c r="I12" i="3"/>
  <c r="H12" i="3"/>
  <c r="F12" i="3"/>
  <c r="E12" i="3"/>
  <c r="C12" i="3" s="1"/>
  <c r="I11" i="3"/>
  <c r="H11" i="3"/>
  <c r="F11" i="3"/>
  <c r="E11" i="3"/>
  <c r="I10" i="3"/>
  <c r="H10" i="3"/>
  <c r="F10" i="3"/>
  <c r="E10" i="3"/>
  <c r="C10" i="3" s="1"/>
  <c r="I9" i="3"/>
  <c r="H9" i="3"/>
  <c r="F9" i="3"/>
  <c r="E9" i="3"/>
  <c r="I8" i="3"/>
  <c r="H8" i="3"/>
  <c r="F8" i="3"/>
  <c r="E8" i="3"/>
  <c r="C8" i="3" s="1"/>
  <c r="G4" i="3"/>
  <c r="F4" i="3"/>
  <c r="H4" i="3" s="1"/>
  <c r="A4" i="3"/>
  <c r="L63" i="1"/>
  <c r="K63" i="1"/>
  <c r="J63" i="1"/>
  <c r="H63" i="1"/>
  <c r="I63" i="1" s="1"/>
  <c r="G63" i="1"/>
  <c r="M63" i="1" s="1"/>
  <c r="L62" i="1"/>
  <c r="K62" i="1"/>
  <c r="J62" i="1"/>
  <c r="I62" i="1"/>
  <c r="H62" i="1"/>
  <c r="G62" i="1"/>
  <c r="M62" i="1" s="1"/>
  <c r="L61" i="1"/>
  <c r="K61" i="1"/>
  <c r="J61" i="1"/>
  <c r="H61" i="1"/>
  <c r="I61" i="1" s="1"/>
  <c r="G61" i="1"/>
  <c r="L60" i="1"/>
  <c r="K60" i="1"/>
  <c r="J60" i="1"/>
  <c r="H60" i="1"/>
  <c r="I60" i="1" s="1"/>
  <c r="G60" i="1"/>
  <c r="M60" i="1" s="1"/>
  <c r="L59" i="1"/>
  <c r="K59" i="1"/>
  <c r="J59" i="1"/>
  <c r="H59" i="1"/>
  <c r="I59" i="1" s="1"/>
  <c r="G59" i="1"/>
  <c r="M59" i="1" s="1"/>
  <c r="L58" i="1"/>
  <c r="K58" i="1"/>
  <c r="J58" i="1"/>
  <c r="H58" i="1"/>
  <c r="I58" i="1" s="1"/>
  <c r="G58" i="1"/>
  <c r="L57" i="1"/>
  <c r="K57" i="1"/>
  <c r="J57" i="1"/>
  <c r="H57" i="1"/>
  <c r="I57" i="1" s="1"/>
  <c r="G57" i="1"/>
  <c r="M57" i="1" s="1"/>
  <c r="L56" i="1"/>
  <c r="K56" i="1"/>
  <c r="J56" i="1"/>
  <c r="I56" i="1"/>
  <c r="H56" i="1"/>
  <c r="G56" i="1"/>
  <c r="M56" i="1" s="1"/>
  <c r="L55" i="1"/>
  <c r="K55" i="1"/>
  <c r="J55" i="1"/>
  <c r="H55" i="1"/>
  <c r="I55" i="1" s="1"/>
  <c r="G55" i="1"/>
  <c r="L54" i="1"/>
  <c r="K54" i="1"/>
  <c r="J54" i="1"/>
  <c r="H54" i="1"/>
  <c r="I54" i="1" s="1"/>
  <c r="G54" i="1"/>
  <c r="M54" i="1" s="1"/>
  <c r="L53" i="1"/>
  <c r="K53" i="1"/>
  <c r="J53" i="1"/>
  <c r="I53" i="1"/>
  <c r="H53" i="1"/>
  <c r="G53" i="1"/>
  <c r="M53" i="1" s="1"/>
  <c r="L52" i="1"/>
  <c r="K52" i="1"/>
  <c r="J52" i="1"/>
  <c r="H52" i="1"/>
  <c r="I52" i="1" s="1"/>
  <c r="G52" i="1"/>
  <c r="L51" i="1"/>
  <c r="K51" i="1"/>
  <c r="J51" i="1"/>
  <c r="H51" i="1"/>
  <c r="I51" i="1" s="1"/>
  <c r="G51" i="1"/>
  <c r="M51" i="1" s="1"/>
  <c r="L50" i="1"/>
  <c r="K50" i="1"/>
  <c r="J50" i="1"/>
  <c r="H50" i="1"/>
  <c r="I50" i="1" s="1"/>
  <c r="G50" i="1"/>
  <c r="M50" i="1" s="1"/>
  <c r="L49" i="1"/>
  <c r="K49" i="1"/>
  <c r="J49" i="1"/>
  <c r="H49" i="1"/>
  <c r="I49" i="1" s="1"/>
  <c r="G49" i="1"/>
  <c r="L48" i="1"/>
  <c r="K48" i="1"/>
  <c r="J48" i="1"/>
  <c r="H48" i="1"/>
  <c r="I48" i="1" s="1"/>
  <c r="G48" i="1"/>
  <c r="M48" i="1" s="1"/>
  <c r="L47" i="1"/>
  <c r="K47" i="1"/>
  <c r="J47" i="1"/>
  <c r="I47" i="1"/>
  <c r="H47" i="1"/>
  <c r="G47" i="1"/>
  <c r="M47" i="1" s="1"/>
  <c r="L46" i="1"/>
  <c r="K46" i="1"/>
  <c r="J46" i="1"/>
  <c r="H46" i="1"/>
  <c r="I46" i="1" s="1"/>
  <c r="G46" i="1"/>
  <c r="L45" i="1"/>
  <c r="K45" i="1"/>
  <c r="J45" i="1"/>
  <c r="H45" i="1"/>
  <c r="I45" i="1" s="1"/>
  <c r="G45" i="1"/>
  <c r="M45" i="1" s="1"/>
  <c r="L44" i="1"/>
  <c r="K44" i="1"/>
  <c r="J44" i="1"/>
  <c r="I44" i="1"/>
  <c r="H44" i="1"/>
  <c r="G44" i="1"/>
  <c r="M44" i="1" s="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C37" i="1"/>
  <c r="B37" i="1"/>
  <c r="A37" i="1"/>
  <c r="L36" i="1"/>
  <c r="K36" i="1"/>
  <c r="J36" i="1"/>
  <c r="H36" i="1"/>
  <c r="I36" i="1" s="1"/>
  <c r="N36" i="1" s="1"/>
  <c r="G36" i="1"/>
  <c r="L35" i="1"/>
  <c r="K35" i="1"/>
  <c r="J35" i="1"/>
  <c r="H35" i="1"/>
  <c r="I35" i="1" s="1"/>
  <c r="G35" i="1"/>
  <c r="M34" i="1"/>
  <c r="L34" i="1"/>
  <c r="K34" i="1"/>
  <c r="J34" i="1"/>
  <c r="H34" i="1"/>
  <c r="I34" i="1" s="1"/>
  <c r="G34" i="1"/>
  <c r="L33" i="1"/>
  <c r="K33" i="1"/>
  <c r="J33" i="1"/>
  <c r="H33" i="1"/>
  <c r="I33" i="1" s="1"/>
  <c r="G33" i="1"/>
  <c r="B33" i="1"/>
  <c r="L32" i="1"/>
  <c r="K32" i="1"/>
  <c r="J32" i="1"/>
  <c r="H32" i="1"/>
  <c r="I32" i="1" s="1"/>
  <c r="G32" i="1"/>
  <c r="B32" i="1"/>
  <c r="L31" i="1"/>
  <c r="K31" i="1"/>
  <c r="J31" i="1"/>
  <c r="H31" i="1"/>
  <c r="I31" i="1" s="1"/>
  <c r="G31" i="1"/>
  <c r="M31" i="1" s="1"/>
  <c r="B31" i="1"/>
  <c r="M30"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M26" i="1"/>
  <c r="L26" i="1"/>
  <c r="K26" i="1"/>
  <c r="J26" i="1"/>
  <c r="H26" i="1"/>
  <c r="I26" i="1" s="1"/>
  <c r="G26" i="1"/>
  <c r="B26" i="1"/>
  <c r="L25" i="1"/>
  <c r="K25" i="1"/>
  <c r="J25" i="1"/>
  <c r="H25" i="1"/>
  <c r="I25" i="1" s="1"/>
  <c r="N25" i="1" s="1"/>
  <c r="G25" i="1"/>
  <c r="B25" i="1"/>
  <c r="L24" i="1"/>
  <c r="K24" i="1"/>
  <c r="J24" i="1"/>
  <c r="H24" i="1"/>
  <c r="I24" i="1" s="1"/>
  <c r="G24" i="1"/>
  <c r="B24" i="1"/>
  <c r="L23" i="1"/>
  <c r="K23" i="1"/>
  <c r="J23" i="1"/>
  <c r="H23" i="1"/>
  <c r="I23" i="1" s="1"/>
  <c r="N23" i="1" s="1"/>
  <c r="G23" i="1"/>
  <c r="L22" i="1"/>
  <c r="K22" i="1"/>
  <c r="J22" i="1"/>
  <c r="H22" i="1"/>
  <c r="I22" i="1" s="1"/>
  <c r="G22" i="1"/>
  <c r="L21" i="1"/>
  <c r="K21" i="1"/>
  <c r="J21" i="1"/>
  <c r="H21" i="1"/>
  <c r="I21" i="1" s="1"/>
  <c r="G21" i="1"/>
  <c r="N21" i="1" s="1"/>
  <c r="L20" i="1"/>
  <c r="K20" i="1"/>
  <c r="J20" i="1"/>
  <c r="H20" i="1"/>
  <c r="I20" i="1" s="1"/>
  <c r="N20" i="1" s="1"/>
  <c r="G20" i="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H4" i="12" l="1"/>
  <c r="H4" i="15"/>
  <c r="N35" i="1"/>
  <c r="N27" i="1"/>
  <c r="N29" i="1"/>
  <c r="B13" i="1"/>
  <c r="N33" i="1"/>
  <c r="N31" i="1"/>
  <c r="B13" i="3"/>
  <c r="B19" i="3"/>
  <c r="M37" i="1"/>
  <c r="N46" i="1"/>
  <c r="N48" i="1"/>
  <c r="N55" i="1"/>
  <c r="N57" i="1"/>
  <c r="H4" i="6"/>
  <c r="H4" i="10"/>
  <c r="G4" i="17"/>
  <c r="M19" i="1"/>
  <c r="M22" i="1"/>
  <c r="G4" i="5"/>
  <c r="G4" i="7"/>
  <c r="M35" i="1"/>
  <c r="B11" i="3"/>
  <c r="B17" i="3"/>
  <c r="B23" i="3"/>
  <c r="B14" i="1"/>
  <c r="M20" i="1"/>
  <c r="N32" i="1"/>
  <c r="N42" i="1"/>
  <c r="N51" i="1"/>
  <c r="N60" i="1"/>
  <c r="G4" i="9"/>
  <c r="G4" i="6"/>
  <c r="G4" i="10"/>
  <c r="B9" i="3"/>
  <c r="B15" i="3"/>
  <c r="B27" i="3"/>
  <c r="B21" i="3"/>
  <c r="M23" i="1"/>
  <c r="N45" i="1"/>
  <c r="N54" i="1"/>
  <c r="N63" i="1"/>
  <c r="H4" i="8"/>
  <c r="H4" i="14"/>
  <c r="G4" i="16"/>
  <c r="N24" i="1"/>
  <c r="N26" i="1"/>
  <c r="N28" i="1"/>
  <c r="N30" i="1"/>
  <c r="N34" i="1"/>
  <c r="N49" i="1"/>
  <c r="N58" i="1"/>
  <c r="N43" i="1"/>
  <c r="N41" i="1"/>
  <c r="N52" i="1"/>
  <c r="N61" i="1"/>
  <c r="N22" i="1"/>
  <c r="N44" i="1"/>
  <c r="N47" i="1"/>
  <c r="N50" i="1"/>
  <c r="N53" i="1"/>
  <c r="N56" i="1"/>
  <c r="N59" i="1"/>
  <c r="N62" i="1"/>
  <c r="C9" i="3"/>
  <c r="C11" i="3"/>
  <c r="C13" i="3"/>
  <c r="C15" i="3"/>
  <c r="C17" i="3"/>
  <c r="C19" i="3"/>
  <c r="C21" i="3"/>
  <c r="C23" i="3"/>
  <c r="C25" i="3"/>
  <c r="C27" i="3"/>
  <c r="H4" i="4"/>
  <c r="G4" i="15"/>
  <c r="B15" i="1"/>
  <c r="M25" i="1"/>
  <c r="M29" i="1"/>
  <c r="M33" i="1"/>
  <c r="M36" i="1"/>
  <c r="B19" i="19"/>
  <c r="G4" i="11"/>
  <c r="M21" i="1"/>
  <c r="M43" i="1"/>
  <c r="M46" i="1"/>
  <c r="M49" i="1"/>
  <c r="M52" i="1"/>
  <c r="M55" i="1"/>
  <c r="M58" i="1"/>
  <c r="M61" i="1"/>
  <c r="M24" i="1"/>
  <c r="M32" i="1"/>
  <c r="M28" i="1"/>
  <c r="B8" i="3"/>
  <c r="B10" i="3"/>
  <c r="B12" i="3"/>
  <c r="B14" i="3"/>
  <c r="B16" i="3"/>
  <c r="B18" i="3"/>
  <c r="B20" i="3"/>
  <c r="B22" i="3"/>
  <c r="B24" i="3"/>
  <c r="B26" i="3"/>
  <c r="C4" i="16"/>
  <c r="H4" i="16" s="1"/>
  <c r="G4" i="14"/>
  <c r="G4" i="13"/>
  <c r="C4" i="3" l="1"/>
  <c r="E4" i="3"/>
  <c r="B4" i="3"/>
  <c r="B18" i="1" s="1"/>
  <c r="D4" i="3"/>
</calcChain>
</file>

<file path=xl/sharedStrings.xml><?xml version="1.0" encoding="utf-8"?>
<sst xmlns="http://schemas.openxmlformats.org/spreadsheetml/2006/main" count="3313" uniqueCount="1326">
  <si>
    <t>SmartDoc — Master Implementation Tracker</t>
  </si>
  <si>
    <t>Production-hardening brief. MASTER holds the task data; every number here is a formula. Updated with tools/tracker/tracker.py. Last written 2026-09-27 09:33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</si>
  <si>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</si>
  <si>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</si>
  <si>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</si>
  <si>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</si>
  <si>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</si>
  <si>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</si>
  <si>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</si>
  <si>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</si>
  <si>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</si>
  <si>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</si>
  <si>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</si>
  <si>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</si>
  <si>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</si>
  <si>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</si>
  <si>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</si>
  <si>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</si>
  <si>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</si>
  <si>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</si>
  <si>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</si>
  <si>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</si>
  <si>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</si>
  <si>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</si>
  <si>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</si>
  <si>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</si>
  <si>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</si>
  <si>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</si>
  <si>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</si>
  <si>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</si>
  <si>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</si>
  <si>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</si>
  <si>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</si>
  <si>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</si>
  <si>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</si>
  <si>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</si>
  <si>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</si>
  <si>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</si>
  <si>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</si>
  <si>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</si>
  <si>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</si>
  <si>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</si>
  <si>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</si>
  <si>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</si>
  <si>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</si>
  <si>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</si>
  <si>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</si>
  <si>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</si>
  <si>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</si>
  <si>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</si>
  <si>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</si>
  <si>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</si>
  <si>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</si>
  <si>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</si>
  <si>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</si>
  <si>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</si>
  <si>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</si>
  <si>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</si>
  <si>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</si>
  <si>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</si>
  <si>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</si>
  <si>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</si>
  <si>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</si>
  <si>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</si>
  <si>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</si>
  <si>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</si>
  <si>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</si>
  <si>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</si>
  <si>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</si>
  <si>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</si>
  <si>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</si>
  <si>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</si>
  <si>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</si>
  <si>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</si>
  <si>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</si>
  <si>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</si>
  <si>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</si>
  <si>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</si>
  <si>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</si>
  <si>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</si>
  <si>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</si>
  <si>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</si>
  <si>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</si>
  <si>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</si>
  <si>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</si>
  <si>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</si>
  <si>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</si>
  <si>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</si>
  <si>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</si>
  <si>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</si>
  <si>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</si>
  <si>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</si>
  <si>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</si>
  <si>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</si>
  <si>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</si>
  <si>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</si>
  <si>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</si>
  <si>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</si>
  <si>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</si>
  <si>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</si>
  <si>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</si>
  <si>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</si>
  <si>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</si>
  <si>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</si>
  <si>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</si>
  <si>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</si>
  <si>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</si>
  <si>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</si>
  <si>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</si>
  <si>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</si>
  <si>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</si>
  <si>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</si>
  <si>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</si>
  <si>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</si>
  <si>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</si>
  <si>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</si>
  <si>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</si>
  <si>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</si>
  <si>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</si>
  <si>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</si>
  <si>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</si>
  <si>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</si>
  <si>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</si>
  <si>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</si>
  <si>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</si>
  <si>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</si>
  <si>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</si>
  <si>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</si>
  <si>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</si>
  <si>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</si>
  <si>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</si>
  <si>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</si>
  <si>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</si>
  <si>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</si>
  <si>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</si>
  <si>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</si>
  <si>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</si>
  <si>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</si>
  <si>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</si>
  <si>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</si>
  <si>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</si>
  <si>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</si>
  <si>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</si>
  <si>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</si>
  <si>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</si>
  <si>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</si>
  <si>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</si>
  <si>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</si>
  <si>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</si>
  <si>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</si>
  <si>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</si>
  <si>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</si>
  <si>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</si>
  <si>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</si>
  <si>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</si>
  <si>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</si>
  <si>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</si>
  <si>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</si>
  <si>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</si>
  <si>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</si>
  <si>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</si>
  <si>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</si>
  <si>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</si>
  <si>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</si>
  <si>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</si>
  <si>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</si>
  <si>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</si>
  <si>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</si>
  <si>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</si>
  <si>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</si>
  <si>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</si>
  <si>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</si>
  <si>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</si>
  <si>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</si>
  <si>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</si>
  <si>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</si>
  <si>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</si>
  <si>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</si>
  <si>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</si>
  <si>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</si>
  <si>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</si>
  <si>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</si>
  <si>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</si>
  <si>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</si>
  <si>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</si>
  <si>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</si>
  <si>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</si>
  <si>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</si>
  <si>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</si>
  <si>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</si>
  <si>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</si>
  <si>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</si>
  <si>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</si>
  <si>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</si>
  <si>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</si>
  <si>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</si>
  <si>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</si>
  <si>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</si>
  <si>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</si>
  <si>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</si>
  <si>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</si>
  <si>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</si>
  <si>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</si>
  <si>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</si>
  <si>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</si>
  <si>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</si>
  <si>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</si>
  <si>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</si>
  <si>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</si>
  <si>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</si>
  <si>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</si>
  <si>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</si>
  <si>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</si>
  <si>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</si>
  <si>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</si>
  <si>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</si>
  <si>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</si>
  <si>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</si>
  <si>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</si>
  <si>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</si>
  <si>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</si>
  <si>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</si>
  <si>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</si>
  <si>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</si>
  <si>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</si>
  <si>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</si>
  <si>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</si>
  <si>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</si>
  <si>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</si>
  <si>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</si>
  <si>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</si>
  <si>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</si>
  <si>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</si>
  <si>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</si>
  <si>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</si>
  <si>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</si>
  <si>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</si>
  <si>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</si>
  <si>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</si>
  <si>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</si>
  <si>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</si>
  <si>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</si>
  <si>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</si>
  <si>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</si>
  <si>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</si>
  <si>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</si>
  <si>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</si>
  <si>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</si>
  <si>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</si>
  <si>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</si>
  <si>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</si>
  <si>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</si>
  <si>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</si>
  <si>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</si>
  <si>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</si>
  <si>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</si>
  <si>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</si>
  <si>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</si>
  <si>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</si>
  <si>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</si>
  <si>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</si>
  <si>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</si>
  <si>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</si>
  <si>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</si>
  <si>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</si>
  <si>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</si>
  <si>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</si>
  <si>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</si>
  <si>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</si>
  <si>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</si>
  <si>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</si>
  <si>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</si>
  <si>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</si>
  <si>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</si>
  <si>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</si>
  <si>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</si>
  <si>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</si>
  <si>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</si>
  <si>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</si>
  <si>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</si>
  <si>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</si>
  <si>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</si>
  <si>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</si>
  <si>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</si>
  <si>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</si>
  <si>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</si>
  <si>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</si>
  <si>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</si>
  <si>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</si>
  <si>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</si>
  <si>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</si>
  <si>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</si>
  <si>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</si>
  <si>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</si>
  <si>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</si>
  <si>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</si>
  <si>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</si>
  <si>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</si>
  <si>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</si>
  <si>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</si>
  <si>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</si>
  <si>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</si>
  <si>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</si>
  <si>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</si>
  <si>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</si>
  <si>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</si>
  <si>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</si>
  <si>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</si>
  <si>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</si>
  <si>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EDIT-011</t>
  </si>
  <si>
    <t>Cell alignment and column widths kept</t>
  </si>
  <si>
    <t>tableCell align/colwidth attributes, and a cell alignment that differs from its column's, are not stored (TableContent.alignments is per column).</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</si>
  <si>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</si>
  <si>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</si>
  <si>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</si>
  <si>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</si>
  <si>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</si>
  <si>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</si>
  <si>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</si>
  <si>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</si>
  <si>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</si>
  <si>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</si>
  <si>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</si>
  <si>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</si>
  <si>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</si>
  <si>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</si>
  <si>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</si>
  <si>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</si>
  <si>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</si>
  <si>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</si>
  <si>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</si>
  <si>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</si>
  <si>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</si>
  <si>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</si>
  <si>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</si>
  <si>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</si>
  <si>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</si>
  <si>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</si>
  <si>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</si>
  <si>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</si>
  <si>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</si>
  <si>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</si>
  <si>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</si>
  <si>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</si>
  <si>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</si>
  <si>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</si>
  <si>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</si>
  <si>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</si>
  <si>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</si>
  <si>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</si>
  <si>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</si>
  <si>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</si>
  <si>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</si>
  <si>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</si>
  <si>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</si>
  <si>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</si>
  <si>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</si>
  <si>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</si>
  <si>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</si>
  <si>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</si>
  <si>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</si>
  <si>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</si>
  <si>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</si>
  <si>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</si>
  <si>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</si>
  <si>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</si>
  <si>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</si>
  <si>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</si>
  <si>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</si>
  <si>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</si>
  <si>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</si>
  <si>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</si>
  <si>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</si>
  <si>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</si>
  <si>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</si>
  <si>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</si>
  <si>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</si>
  <si>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</si>
  <si>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</si>
  <si>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</si>
  <si>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</si>
  <si>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</si>
  <si>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</si>
  <si>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</si>
  <si>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</si>
  <si>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backend: test_document_nesting.py, test_nested_blocks_api.py, test_health.py; frontend: nestedBlocks.test.ts, useAutoSave.test.tsx; e2e: nested.spec.ts</t>
  </si>
  <si>
    <t>backend 659 passed; Vitest 77 passed; e2e nested 1 passed</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</si>
  <si>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</si>
  <si>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</si>
  <si>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</si>
  <si>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</si>
  <si>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</si>
  <si>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</si>
  <si>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</si>
  <si>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</si>
  <si>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AI-001</t>
  </si>
  <si>
    <t>Content fidelity comparator</t>
  </si>
  <si>
    <t>Order-, count-, token-, numeric-, punctuation- and structure-aware diff of source vs AI output.</t>
  </si>
  <si>
    <t>backend/ai</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</si>
  <si>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</si>
  <si>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</si>
  <si>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</si>
  <si>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</si>
  <si>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</si>
  <si>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</si>
  <si>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</si>
  <si>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</si>
  <si>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</si>
  <si>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</si>
  <si>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</si>
  <si>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</si>
  <si>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</si>
  <si>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</si>
  <si>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</si>
  <si>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</si>
  <si>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</si>
  <si>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</si>
  <si>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</si>
  <si>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</si>
  <si>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</si>
  <si>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</si>
  <si>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</si>
  <si>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</si>
  <si>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</si>
  <si>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</si>
  <si>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</si>
  <si>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</si>
  <si>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</si>
  <si>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</si>
  <si>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</si>
  <si>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</si>
  <si>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</si>
  <si>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</si>
  <si>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</si>
  <si>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</si>
  <si>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</si>
  <si>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</si>
  <si>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</si>
  <si>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</si>
  <si>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</si>
  <si>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</si>
  <si>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</si>
  <si>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</si>
  <si>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</si>
  <si>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</si>
  <si>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tests/test_docx_detect.py::test_the_files_own_properties_go_back_into_word_not_the_templates, tests/test_docx_detect.py::test_metadata_that_is_not_kept_is_reported_without_its_values</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</si>
  <si>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</si>
  <si>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</si>
  <si>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</si>
  <si>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</si>
  <si>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</si>
  <si>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</si>
  <si>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</si>
  <si>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</si>
  <si>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</si>
  <si>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</si>
  <si>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</si>
  <si>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</si>
  <si>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</si>
  <si>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</si>
  <si>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</si>
  <si>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</si>
  <si>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</si>
  <si>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</si>
  <si>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</si>
  <si>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</si>
  <si>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</si>
  <si>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</si>
  <si>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</si>
  <si>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</si>
  <si>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</si>
  <si>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</si>
  <si>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</si>
  <si>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</si>
  <si>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</si>
  <si>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</si>
  <si>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</si>
  <si>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</si>
  <si>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</si>
  <si>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</si>
  <si>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</si>
  <si>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</si>
  <si>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</si>
  <si>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</si>
  <si>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</si>
  <si>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</si>
  <si>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</si>
  <si>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</si>
  <si>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</si>
  <si>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</si>
  <si>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</si>
  <si>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</si>
  <si>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</si>
  <si>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</si>
  <si>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</si>
  <si>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</si>
  <si>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</si>
  <si>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</si>
  <si>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</si>
  <si>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</si>
  <si>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</si>
  <si>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</si>
  <si>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</si>
  <si>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</si>
  <si>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</si>
  <si>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</si>
  <si>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</si>
  <si>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</si>
  <si>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</si>
  <si>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</si>
  <si>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</si>
  <si>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</si>
  <si>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</si>
  <si>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</si>
  <si>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</si>
  <si>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</si>
  <si>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</si>
  <si>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</si>
  <si>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</si>
  <si>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</si>
  <si>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</si>
  <si>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</si>
  <si>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DOCX-027</t>
  </si>
  <si>
    <t>Importer builds nested blocks</t>
  </si>
  <si>
    <t>Use TableCell.blocks / ListItem.blocks on import: pictures, lists (with bullets) and nested tables inside cells, pictures inside list items - instead of dropping or flattening them.</t>
  </si>
  <si>
    <t>AUD-01,AUD-03,AUD-08</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</si>
  <si>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</si>
  <si>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</si>
  <si>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</si>
  <si>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</si>
  <si>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</si>
  <si>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</si>
  <si>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</si>
  <si>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</si>
  <si>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</si>
  <si>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</si>
  <si>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</si>
  <si>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</si>
  <si>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</si>
  <si>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</si>
  <si>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</si>
  <si>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</si>
  <si>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</si>
  <si>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</si>
  <si>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</si>
  <si>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</si>
  <si>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</si>
  <si>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</si>
  <si>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</si>
  <si>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</si>
  <si>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</si>
  <si>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</si>
  <si>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</si>
  <si>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</si>
  <si>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</si>
  <si>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</si>
  <si>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</si>
  <si>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</si>
  <si>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</si>
  <si>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</si>
  <si>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</si>
  <si>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</si>
  <si>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</si>
  <si>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</si>
  <si>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</si>
  <si>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</si>
  <si>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</si>
  <si>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</si>
  <si>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</si>
  <si>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</si>
  <si>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</si>
  <si>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</si>
  <si>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</si>
  <si>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</si>
  <si>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</si>
  <si>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</si>
  <si>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</si>
  <si>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</si>
  <si>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</si>
  <si>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</si>
  <si>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</si>
  <si>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</si>
  <si>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</si>
  <si>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</si>
  <si>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</si>
  <si>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</si>
  <si>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</si>
  <si>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</si>
  <si>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</si>
  <si>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</si>
  <si>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</si>
  <si>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</si>
  <si>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</si>
  <si>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</si>
  <si>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</si>
  <si>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</si>
  <si>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</si>
  <si>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</si>
  <si>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</si>
  <si>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</si>
  <si>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</si>
  <si>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</si>
  <si>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</si>
  <si>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</si>
  <si>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</si>
  <si>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</si>
  <si>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</si>
  <si>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</si>
  <si>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</si>
  <si>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</si>
  <si>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</si>
  <si>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</si>
  <si>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</si>
  <si>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</si>
  <si>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</si>
  <si>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</si>
  <si>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</si>
  <si>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</si>
  <si>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</si>
  <si>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</si>
  <si>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</si>
  <si>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</si>
  <si>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</si>
  <si>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</si>
  <si>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</si>
  <si>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</si>
  <si>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</si>
  <si>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</si>
  <si>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</si>
  <si>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</si>
  <si>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</si>
  <si>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</si>
  <si>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</si>
  <si>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</si>
  <si>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</si>
  <si>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</si>
  <si>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</si>
  <si>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</si>
  <si>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</si>
  <si>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</si>
  <si>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</si>
  <si>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</si>
  <si>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</si>
  <si>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</si>
  <si>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</si>
  <si>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</si>
  <si>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</si>
  <si>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</si>
  <si>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</si>
  <si>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</si>
  <si>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</si>
  <si>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</si>
  <si>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</si>
  <si>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</si>
  <si>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</si>
  <si>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</si>
  <si>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</si>
  <si>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</si>
  <si>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</si>
  <si>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</si>
  <si>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</si>
  <si>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</si>
  <si>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</si>
  <si>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</si>
  <si>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</si>
  <si>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</si>
  <si>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</si>
  <si>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</si>
  <si>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</si>
  <si>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</si>
  <si>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</si>
  <si>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</si>
  <si>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</si>
  <si>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</si>
  <si>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</si>
  <si>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</si>
  <si>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</si>
  <si>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</si>
  <si>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</si>
  <si>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</si>
  <si>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</si>
  <si>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</si>
  <si>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</si>
  <si>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</si>
  <si>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</si>
  <si>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</si>
  <si>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</si>
  <si>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</si>
  <si>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</si>
  <si>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</si>
  <si>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</si>
  <si>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</si>
  <si>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</si>
  <si>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</si>
  <si>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</si>
  <si>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</si>
  <si>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</si>
  <si>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</si>
  <si>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</si>
  <si>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</si>
  <si>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</si>
  <si>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</si>
  <si>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</si>
  <si>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</si>
  <si>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</si>
  <si>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</si>
  <si>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</si>
  <si>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</si>
  <si>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</si>
  <si>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</si>
  <si>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</si>
  <si>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</si>
  <si>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</si>
  <si>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</si>
  <si>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</si>
  <si>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</si>
  <si>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</si>
  <si>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</si>
  <si>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</si>
  <si>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</si>
  <si>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</si>
  <si>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</si>
  <si>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</si>
  <si>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</si>
  <si>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</si>
  <si>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</si>
  <si>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</si>
  <si>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</si>
  <si>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</si>
  <si>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</si>
  <si>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</si>
  <si>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</si>
  <si>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</si>
  <si>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</si>
  <si>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</si>
  <si>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</si>
  <si>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</si>
  <si>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</si>
  <si>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</si>
  <si>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</si>
  <si>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</si>
  <si>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</si>
  <si>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</si>
  <si>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</si>
  <si>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</si>
  <si>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</si>
  <si>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</si>
  <si>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</si>
  <si>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</si>
  <si>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</si>
  <si>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</si>
  <si>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</si>
  <si>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</si>
  <si>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</si>
  <si>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</si>
  <si>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</si>
  <si>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</si>
  <si>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</si>
  <si>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</si>
  <si>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</si>
  <si>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</si>
  <si>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</si>
  <si>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</si>
  <si>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</si>
  <si>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</si>
  <si>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</si>
  <si>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</si>
  <si>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</si>
  <si>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</si>
  <si>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</si>
  <si>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</si>
  <si>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</si>
  <si>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</si>
  <si>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</si>
  <si>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</si>
  <si>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</si>
  <si>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</si>
  <si>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</si>
  <si>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</si>
  <si>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</si>
  <si>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</si>
  <si>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</si>
  <si>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</si>
  <si>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</si>
  <si>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</si>
  <si>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</si>
  <si>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</si>
  <si>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</si>
  <si>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</si>
  <si>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</si>
  <si>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</si>
  <si>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</si>
  <si>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</si>
  <si>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</si>
  <si>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</si>
  <si>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</si>
  <si>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</si>
  <si>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</si>
  <si>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</si>
  <si>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</si>
  <si>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</si>
  <si>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</si>
  <si>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</si>
  <si>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</si>
  <si>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</si>
  <si>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</si>
  <si>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</si>
  <si>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</si>
  <si>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</si>
  <si>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</si>
  <si>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</si>
  <si>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</si>
  <si>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</si>
  <si>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</si>
  <si>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</si>
  <si>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</si>
  <si>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</si>
  <si>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</si>
  <si>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</si>
  <si>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</si>
  <si>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</si>
  <si>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</si>
  <si>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</si>
  <si>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</si>
  <si>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</si>
  <si>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</si>
  <si>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</si>
  <si>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</si>
  <si>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</si>
  <si>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</si>
  <si>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</si>
  <si>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</si>
  <si>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</si>
  <si>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</si>
  <si>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</si>
  <si>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</si>
  <si>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</si>
  <si>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</si>
  <si>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</si>
  <si>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</si>
  <si>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</si>
  <si>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</si>
  <si>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</si>
  <si>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</si>
  <si>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</si>
  <si>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</si>
  <si>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</si>
  <si>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</si>
  <si>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</si>
  <si>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</si>
  <si>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</si>
  <si>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</si>
  <si>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</si>
  <si>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</si>
  <si>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</si>
  <si>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</si>
  <si>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</si>
  <si>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</si>
  <si>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</si>
  <si>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</si>
  <si>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</si>
  <si>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</si>
  <si>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</si>
  <si>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</si>
  <si>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</si>
  <si>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</si>
  <si>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</si>
  <si>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</si>
  <si>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</si>
  <si>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</si>
  <si>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</si>
  <si>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</si>
  <si>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</si>
  <si>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</si>
  <si>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</si>
  <si>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</si>
  <si>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</si>
  <si>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</si>
  <si>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</si>
  <si>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</si>
  <si>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</si>
  <si>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</si>
  <si>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</si>
  <si>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</si>
  <si>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</si>
  <si>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</si>
  <si>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</si>
  <si>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</si>
  <si>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</si>
  <si>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</si>
  <si>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</si>
  <si>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</si>
  <si>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</si>
  <si>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</si>
  <si>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</si>
  <si>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</si>
  <si>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</si>
  <si>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</si>
  <si>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</si>
  <si>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</si>
  <si>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</si>
  <si>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</si>
  <si>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</si>
  <si>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</si>
  <si>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</si>
  <si>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</si>
  <si>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</si>
  <si>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</si>
  <si>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</si>
  <si>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</si>
  <si>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</si>
  <si>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</si>
  <si>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</si>
  <si>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</si>
  <si>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</si>
  <si>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</si>
  <si>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</si>
  <si>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</si>
  <si>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</si>
  <si>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</si>
  <si>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</si>
  <si>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</si>
  <si>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</si>
  <si>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</si>
  <si>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</si>
  <si>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</si>
  <si>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</si>
  <si>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</si>
  <si>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</si>
  <si>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</si>
  <si>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</si>
  <si>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</si>
  <si>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</si>
  <si>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</si>
  <si>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</si>
  <si>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</si>
  <si>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</si>
  <si>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</si>
  <si>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</si>
  <si>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</si>
  <si>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</si>
  <si>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</si>
  <si>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</si>
  <si>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</si>
  <si>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</si>
  <si>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</si>
  <si>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</si>
  <si>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</si>
  <si>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</si>
  <si>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</si>
  <si>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</si>
  <si>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</si>
  <si>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</si>
  <si>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</si>
  <si>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</si>
  <si>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</si>
  <si>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</si>
  <si>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</si>
  <si>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</si>
  <si>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</si>
  <si>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</si>
  <si>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</si>
  <si>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</si>
  <si>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</si>
  <si>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</si>
  <si>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</si>
  <si>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</si>
  <si>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</si>
  <si>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</si>
  <si>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</si>
  <si>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</si>
  <si>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</si>
  <si>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</si>
  <si>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</si>
  <si>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</si>
  <si>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</si>
  <si>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</si>
  <si>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</si>
  <si>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</si>
  <si>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</si>
  <si>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</si>
  <si>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</si>
  <si>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</si>
  <si>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</si>
  <si>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</si>
  <si>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</si>
  <si>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</si>
  <si>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</si>
  <si>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</si>
  <si>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</si>
  <si>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</si>
  <si>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</si>
  <si>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</si>
  <si>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</si>
  <si>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</si>
  <si>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</si>
  <si>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</si>
  <si>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</si>
  <si>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</si>
  <si>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</si>
  <si>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</si>
  <si>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</si>
  <si>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</si>
  <si>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</si>
  <si>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</si>
  <si>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</si>
  <si>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</si>
  <si>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</si>
  <si>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</si>
  <si>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</si>
  <si>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</si>
  <si>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</si>
  <si>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</si>
  <si>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</si>
  <si>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</si>
  <si>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</si>
  <si>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</si>
  <si>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</si>
  <si>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</si>
  <si>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</si>
  <si>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</si>
  <si>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</si>
  <si>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</si>
  <si>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</si>
  <si>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</si>
  <si>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</si>
  <si>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</si>
  <si>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</si>
  <si>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</si>
  <si>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</si>
  <si>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</si>
  <si>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</si>
  <si>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</si>
  <si>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</si>
  <si>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</si>
  <si>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</si>
  <si>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</si>
  <si>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</si>
  <si>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</si>
  <si>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</si>
  <si>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</si>
  <si>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</si>
  <si>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</si>
  <si>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</si>
  <si>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</si>
  <si>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</si>
  <si>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</si>
  <si>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</si>
  <si>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</si>
  <si>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</si>
  <si>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</si>
  <si>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</si>
  <si>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</si>
  <si>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</si>
  <si>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</si>
  <si>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</si>
  <si>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</si>
  <si>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</si>
  <si>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</si>
  <si>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</si>
  <si>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</si>
  <si>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</si>
  <si>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</si>
  <si>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</si>
  <si>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</si>
  <si>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</si>
  <si>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</si>
  <si>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</si>
  <si>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</si>
  <si>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</si>
  <si>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</si>
  <si>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</si>
  <si>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</si>
  <si>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</si>
  <si>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</si>
  <si>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</si>
  <si>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</si>
  <si>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</si>
  <si>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</si>
  <si>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</si>
  <si>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</si>
  <si>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</si>
  <si>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</si>
  <si>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</si>
  <si>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</si>
  <si>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</si>
  <si>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</si>
  <si>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</si>
  <si>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</si>
  <si>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</si>
  <si>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</si>
  <si>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</si>
  <si>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</si>
  <si>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</si>
  <si>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</si>
  <si>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</si>
  <si>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</si>
  <si>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</si>
  <si>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</si>
  <si>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</si>
  <si>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</si>
  <si>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</si>
  <si>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</si>
  <si>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</si>
  <si>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</si>
  <si>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</si>
  <si>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</si>
  <si>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</si>
  <si>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</si>
  <si>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</si>
  <si>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</si>
  <si>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</si>
  <si>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</si>
  <si>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</si>
  <si>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</si>
  <si>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</si>
  <si>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</si>
  <si>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</si>
  <si>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</si>
  <si>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</si>
  <si>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</si>
  <si>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</si>
  <si>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</si>
  <si>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</si>
  <si>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</si>
  <si>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</si>
  <si>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</si>
  <si>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</si>
  <si>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</si>
  <si>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</si>
  <si>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</si>
  <si>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</si>
  <si>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</si>
  <si>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</si>
  <si>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</si>
  <si>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</si>
  <si>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</si>
  <si>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</si>
  <si>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</si>
  <si>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</si>
  <si>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</si>
  <si>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</si>
  <si>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</si>
  <si>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</si>
  <si>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</si>
  <si>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</si>
  <si>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</si>
  <si>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</si>
  <si>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</si>
  <si>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</si>
  <si>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</si>
  <si>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</si>
  <si>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</si>
  <si>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</si>
  <si>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</si>
  <si>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</si>
  <si>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</si>
  <si>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</si>
  <si>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</si>
  <si>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</si>
  <si>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</si>
  <si>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</si>
  <si>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</si>
  <si>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</si>
  <si>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</si>
  <si>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</si>
  <si>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</si>
  <si>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</si>
  <si>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</si>
  <si>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</si>
  <si>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</si>
  <si>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</si>
  <si>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</si>
  <si>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</si>
  <si>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</si>
  <si>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</si>
  <si>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</si>
  <si>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</si>
  <si>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</si>
  <si>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</si>
  <si>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</si>
  <si>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</si>
  <si>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</si>
  <si>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</si>
  <si>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</si>
  <si>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</si>
  <si>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</si>
  <si>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</si>
  <si>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</si>
  <si>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</si>
  <si>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</si>
  <si>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</si>
  <si>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</si>
  <si>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</si>
  <si>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</si>
  <si>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</si>
  <si>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</si>
  <si>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</si>
  <si>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</si>
  <si>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</si>
  <si>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</si>
  <si>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</si>
  <si>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</si>
  <si>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</si>
  <si>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</si>
  <si>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</si>
  <si>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</si>
  <si>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</si>
  <si>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</si>
  <si>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</si>
  <si>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</si>
  <si>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</si>
  <si>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</si>
  <si>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</si>
  <si>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</si>
  <si>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</si>
  <si>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</si>
  <si>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</si>
  <si>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</si>
  <si>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</si>
  <si>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</si>
  <si>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</si>
  <si>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</si>
  <si>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</si>
  <si>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</si>
  <si>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</si>
  <si>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</si>
  <si>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</si>
  <si>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</si>
  <si>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</si>
  <si>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</si>
  <si>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</si>
  <si>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</si>
  <si>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</si>
  <si>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</si>
  <si>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</si>
  <si>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</si>
  <si>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</si>
  <si>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</si>
  <si>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</si>
  <si>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</si>
  <si>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</si>
  <si>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</si>
  <si>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</si>
  <si>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</si>
  <si>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</si>
  <si>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</si>
  <si>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</si>
  <si>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</si>
  <si>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</si>
  <si>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</si>
  <si>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</si>
  <si>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</si>
  <si>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</si>
  <si>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</si>
  <si>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</si>
  <si>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</si>
  <si>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</si>
  <si>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</si>
  <si>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</si>
  <si>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</si>
  <si>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</si>
  <si>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SESSION_STATE — Where the work stands</t>
  </si>
  <si>
    <t>Resume with: Прочети docs/AI-CONTINUATION.md и продължи от next task.</t>
  </si>
  <si>
    <t>Field</t>
  </si>
  <si>
    <t>Value</t>
  </si>
  <si>
    <t>1 — Editor integrity + content preservation — IN_PROGRESS</t>
  </si>
  <si>
    <t>EDIT-010 — Link titles kept (Mark.title), then EDIT-011 decision, EDIT-007, TEST-010, Phase 1 gate.</t>
  </si>
  <si>
    <t>EDIT-008/009/012 + SEC-022 — Editor direct formatting saved as element overrides; paste-into-empty fix; values outside the model named; rule values validated everywhere.</t>
  </si>
  <si>
    <t>EDIT-008 — editor direct formatting, rule values — PASS (749 / 109 / 19) — 2026-09-27 · command: backend pytest; npx vitest run; npx playwright test</t>
  </si>
  <si>
    <t>Current Branch</t>
  </si>
  <si>
    <t>feature/smartdoc-production-hardening</t>
  </si>
  <si>
    <t>Current Commit</t>
  </si>
  <si>
    <t>622d9c1 (+ uncommitted changes)</t>
  </si>
  <si>
    <t>backend 749/749 (+1 skip); vitest 109/109; e2e 19/19; tsc; eslint</t>
  </si>
  <si>
    <t>none</t>
  </si>
  <si>
    <t>SEC-021 (needs Boril, not blocking the work): корекции.docx in the public history carries MSIP sensitivity-label properties with the organisation's tenant ID; leave / scrub HEAD / purge history?</t>
  </si>
  <si>
    <t>EDIT-010 — Mark.title for links: model, generated types, editor mapping, DOCX tooltip import/export; matrix row editor.link_title</t>
  </si>
  <si>
    <t>backend/app/models/document.py Mark + parsers/docx_inline.py + export/docx_export.py; frontend tiptapToDocument/documentToTiptap</t>
  </si>
  <si>
    <t>backend pytest; npx vitest run</t>
  </si>
  <si>
    <t>2026-09-27T09:33:27+03:00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</si>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</sst>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161</v>
      </c>
      <c r="C5" s="8" t="s">
        <v>5</v>
      </c>
      <c r="E5" s="6" t="s">
        <v>6</v>
      </c>
      <c r="F5" s="1" t="str">
        <f>IF(SESSION_STATE!$B$5="","",SESSION_STATE!$B$5)</f>
        <v>1 — Editor integrity + content preservation — IN_PROGRESS</v>
      </c>
    </row>
    <row r="6" spans="1:6" x14ac:dyDescent="0.25">
      <c r="A6" s="6" t="s">
        <v>7</v>
      </c>
      <c r="B6" s="7">
        <f>COUNTIF(MASTER!$G$2:$G$2000,"DONE")</f>
        <v>29</v>
      </c>
      <c r="C6" s="8" t="s">
        <v>8</v>
      </c>
      <c r="E6" s="6" t="s">
        <v>9</v>
      </c>
      <c r="F6" s="1" t="str">
        <f>IF(SESSION_STATE!$B$6="","",SESSION_STATE!$B$6)</f>
        <v>EDIT-010 — Link titles kept (Mark.title), then EDIT-011 decision, EDIT-007, TEST-010, Phase 1 gate.</v>
      </c>
    </row>
    <row r="7" spans="1:6" x14ac:dyDescent="0.25">
      <c r="A7" s="6" t="s">
        <v>10</v>
      </c>
      <c r="B7" s="7">
        <f>COUNTIF(MASTER!$G$2:$G$2000,"VERIFIED")+B6</f>
        <v>34</v>
      </c>
      <c r="C7" s="8" t="s">
        <v>11</v>
      </c>
      <c r="E7" s="6" t="s">
        <v>12</v>
      </c>
      <c r="F7" s="1" t="str">
        <f>IF(SESSION_STATE!$B$7="","",SESSION_STATE!$B$7)</f>
        <v>EDIT-008/009/012 + SEC-022 — Editor direct formatting saved as element overrides; paste-into-empty fix; values outside the model named; rule values validated everywhere.</v>
      </c>
    </row>
    <row r="8" spans="1:6" x14ac:dyDescent="0.25">
      <c r="A8" s="6" t="s">
        <v>13</v>
      </c>
      <c r="B8" s="7">
        <f>COUNTIF(MASTER!$G$2:$G$2000,"IN_PROGRESS")+COUNTIF(MASTER!$G$2:$G$2000,"IMPLEMENTED")+COUNTIF(MASTER!$G$2:$G$2000,"TESTING")</f>
        <v>8</v>
      </c>
      <c r="C8" s="8" t="s">
        <v>14</v>
      </c>
      <c r="E8" s="6" t="s">
        <v>15</v>
      </c>
      <c r="F8" s="1" t="str">
        <f>IF(SESSION_STATE!$B$8="","",SESSION_STATE!$B$8)</f>
        <v>EDIT-008 — editor direct formatting, rule values — PASS (749 / 109 / 19) — 2026-09-27 · command: backend pytest; npx vitest run; npx playwright test</v>
      </c>
    </row>
    <row r="9" spans="1:6" x14ac:dyDescent="0.25">
      <c r="A9" s="6" t="s">
        <v>16</v>
      </c>
      <c r="B9" s="7">
        <f>COUNTIF(MASTER!$G$2:$G$2000,"BLOCKED")</f>
        <v>1</v>
      </c>
      <c r="C9" s="8" t="s">
        <v>17</v>
      </c>
      <c r="E9" s="6" t="s">
        <v>18</v>
      </c>
      <c r="F9" s="1" t="str">
        <f>IF(SESSION_STATE!$B$14="","",SESSION_STATE!$B$14)</f>
        <v>EDIT-010 — Mark.title for links: model, generated types, editor mapping, DOCX tooltip import/export; matrix row editor.link_title</v>
      </c>
    </row>
    <row r="10" spans="1:6" x14ac:dyDescent="0.25">
      <c r="A10" s="6" t="s">
        <v>19</v>
      </c>
      <c r="B10" s="7">
        <f>COUNTIF(MASTER!$G$2:$G$2000,"FAILED")</f>
        <v>0</v>
      </c>
      <c r="C10" s="8" t="s">
        <v>20</v>
      </c>
      <c r="E10" s="6" t="s">
        <v>21</v>
      </c>
      <c r="F10" s="1" t="str">
        <f>IF(SESSION_STATE!$B$15="","",SESSION_STATE!$B$15)</f>
        <v>backend/app/models/document.py Mark + parsers/docx_inline.py + export/docx_export.py; frontend tiptapToDocument/documentToTiptap</v>
      </c>
    </row>
    <row r="11" spans="1:6" x14ac:dyDescent="0.25">
      <c r="A11" s="6" t="s">
        <v>22</v>
      </c>
      <c r="B11" s="7">
        <f>COUNTIF(MASTER!$G$2:$G$2000,"DEFERRED")</f>
        <v>0</v>
      </c>
      <c r="C11" s="8" t="s">
        <v>23</v>
      </c>
      <c r="E11" s="6" t="s">
        <v>24</v>
      </c>
      <c r="F11" s="1" t="str">
        <f>IF(SESSION_STATE!$B$16="","",SESSION_STATE!$B$16)</f>
        <v>backend pytest; npx vitest run</v>
      </c>
    </row>
    <row r="12" spans="1:6" x14ac:dyDescent="0.25">
      <c r="A12" s="6" t="s">
        <v>25</v>
      </c>
      <c r="B12" s="7">
        <f>COUNTIF(MASTER!$G$2:$G$2000,"NOT_STARTED")</f>
        <v>118</v>
      </c>
      <c r="C12" s="8"/>
      <c r="E12" s="6" t="s">
        <v>26</v>
      </c>
      <c r="F12" s="1" t="str">
        <f>IF(SESSION_STATE!$B$11="","",SESSION_STATE!$B$11)</f>
        <v>backend 749/749 (+1 skip); vitest 109/109; e2e 19/19; tsc; eslint</v>
      </c>
    </row>
    <row r="13" spans="1:6" x14ac:dyDescent="0.25">
      <c r="A13" s="6" t="s">
        <v>27</v>
      </c>
      <c r="B13" s="7">
        <f>B5-B6</f>
        <v>132</v>
      </c>
      <c r="C13" s="8" t="s">
        <v>28</v>
      </c>
      <c r="E13" s="6" t="s">
        <v>29</v>
      </c>
      <c r="F13" s="1" t="str">
        <f>IF(SESSION_STATE!$B$12="","",SESSION_STATE!$B$12)</f>
        <v>none</v>
      </c>
    </row>
    <row r="14" spans="1:6" x14ac:dyDescent="0.25">
      <c r="A14" s="6" t="s">
        <v>30</v>
      </c>
      <c r="B14" s="9">
        <f>IF(B5=0,0,B6/B5)</f>
        <v>0.18012422360248448</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0.21118012422360249</v>
      </c>
      <c r="C15" s="8" t="s">
        <v>34</v>
      </c>
      <c r="E15" s="6" t="s">
        <v>35</v>
      </c>
      <c r="F15" s="1" t="str">
        <f>IF(SESSION_STATE!$B$17="","",SESSION_STATE!$B$17)</f>
        <v>2026-09-27T09:33:27+03:00</v>
      </c>
    </row>
    <row r="16" spans="1:6" x14ac:dyDescent="0.25">
      <c r="A16" s="6" t="s">
        <v>36</v>
      </c>
      <c r="B16" s="7">
        <f>COUNTIFS(MASTER!$F$2:$F$2000,"P0",MASTER!$G$2:$G$2000,"&lt;&gt;DONE")</f>
        <v>61</v>
      </c>
      <c r="C16" s="8" t="s">
        <v>37</v>
      </c>
    </row>
    <row r="17" spans="1:14" ht="15.75" x14ac:dyDescent="0.25">
      <c r="A17" s="6" t="s">
        <v>38</v>
      </c>
      <c r="B17" s="7">
        <f>COUNTIFS(MASTER!$F$2:$F$2000,"P1",MASTER!$G$2:$G$2000,"&lt;&gt;DONE")</f>
        <v>50</v>
      </c>
      <c r="C17" s="8" t="s">
        <v>39</v>
      </c>
      <c r="E17" s="5" t="s">
        <v>40</v>
      </c>
    </row>
    <row r="18" spans="1:14" x14ac:dyDescent="0.25">
      <c r="A18" s="6" t="s">
        <v>41</v>
      </c>
      <c r="B18" s="7">
        <f>CRITICAL_FIXES!B4</f>
        <v>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25</v>
      </c>
      <c r="H20" s="13">
        <f>COUNTIFS(MASTER!$B$2:$B$2000,$E20,MASTER!$G$2:$G$2000,"DONE")</f>
        <v>18</v>
      </c>
      <c r="I20" s="13">
        <f>COUNTIFS(MASTER!$B$2:$B$2000,$E20,MASTER!$G$2:$G$2000,"VERIFIED")+H20</f>
        <v>21</v>
      </c>
      <c r="J20" s="13">
        <f>COUNTIFS(MASTER!$B$2:$B$2000,$E20,MASTER!$G$2:$G$2000,"IN_PROGRESS")+COUNTIFS(MASTER!$B$2:$B$2000,$E20,MASTER!$G$2:$G$2000,"IMPLEMENTED")+COUNTIFS(MASTER!$B$2:$B$2000,$E20,MASTER!$G$2:$G$2000,"TESTING")</f>
        <v>2</v>
      </c>
      <c r="K20" s="13">
        <f>COUNTIFS(MASTER!$B$2:$B$2000,$E20,MASTER!$G$2:$G$2000,"BLOCKED")</f>
        <v>0</v>
      </c>
      <c r="L20" s="13">
        <f>COUNTIFS(MASTER!$B$2:$B$2000,$E20,MASTER!$G$2:$G$2000,"FAILED")</f>
        <v>0</v>
      </c>
      <c r="M20" s="14">
        <f t="shared" si="0"/>
        <v>0.72</v>
      </c>
      <c r="N20" s="14">
        <f t="shared" si="1"/>
        <v>0.84</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1</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23</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5</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14</v>
      </c>
      <c r="H23" s="13">
        <f>COUNTIFS(MASTER!$B$2:$B$2000,$E23,MASTER!$G$2:$G$2000,"DONE")</f>
        <v>0</v>
      </c>
      <c r="I23" s="13">
        <f>COUNTIFS(MASTER!$B$2:$B$2000,$E23,MASTER!$G$2:$G$2000,"VERIFIED")+H23</f>
        <v>1</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v>
      </c>
      <c r="N23" s="14">
        <f t="shared" si="1"/>
        <v>7.1428571428571425E-2</v>
      </c>
    </row>
    <row r="24" spans="1:14" x14ac:dyDescent="0.25">
      <c r="A24" s="15" t="s">
        <v>60</v>
      </c>
      <c r="B24" s="13">
        <f>COUNTIF(MASTER!$G$2:$G$2000,A24)</f>
        <v>118</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7</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1</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5</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29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0</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v>
      </c>
      <c r="N31" s="14">
        <f t="shared" si="1"/>
        <v>0.25</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TESTING!B33&amp;" — "&amp;TESTING!A33</f>
        <v>e2e — RUN-0026</v>
      </c>
      <c r="B37" s="16" t="str">
        <f>TESTING!C33&amp;""</f>
        <v>PASS</v>
      </c>
      <c r="C37" s="12" t="str">
        <f>TESTING!E33&amp;" passed · "&amp;TESTING!F33&amp;" failed · "&amp;TESTING!H33&amp;" skipped"</f>
        <v>19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0</v>
      </c>
      <c r="N37" s="14">
        <f t="shared" si="1"/>
        <v>0</v>
      </c>
    </row>
    <row r="38" spans="1:14" x14ac:dyDescent="0.25">
      <c r="A38" s="15" t="str">
        <f>TESTING!B32&amp;" — "&amp;TESTING!A32</f>
        <v>frontend-vitest — RUN-0025</v>
      </c>
      <c r="B38" s="16" t="str">
        <f>TESTING!C32&amp;""</f>
        <v>PASS</v>
      </c>
      <c r="C38" s="12" t="str">
        <f>TESTING!E32&amp;" passed · "&amp;TESTING!F32&amp;" failed · "&amp;TESTING!H32&amp;" skipped"</f>
        <v>109 passed · 0 failed · 0 skipped</v>
      </c>
    </row>
    <row r="39" spans="1:14" ht="15.75" x14ac:dyDescent="0.25">
      <c r="A39" s="15" t="str">
        <f>TESTING!B31&amp;" — "&amp;TESTING!A31</f>
        <v>backend — RUN-0024</v>
      </c>
      <c r="B39" s="16" t="str">
        <f>TESTING!C31&amp;""</f>
        <v>PASS</v>
      </c>
      <c r="C39" s="12" t="str">
        <f>TESTING!E31&amp;" passed · "&amp;TESTING!F31&amp;" failed · "&amp;TESTING!H31&amp;" skipped"</f>
        <v>749 passed · 0 failed · 1 skipped</v>
      </c>
      <c r="E39" s="5" t="s">
        <v>98</v>
      </c>
    </row>
    <row r="40" spans="1:14" x14ac:dyDescent="0.25">
      <c r="A40" s="15" t="str">
        <f>TESTING!B30&amp;" — "&amp;TESTING!A30</f>
        <v>frontend-vitest — RUN-0023</v>
      </c>
      <c r="B40" s="16" t="str">
        <f>TESTING!C30&amp;""</f>
        <v>PASS</v>
      </c>
      <c r="C40" s="12" t="str">
        <f>TESTING!E30&amp;" passed · "&amp;TESTING!F30&amp;" failed · "&amp;TESTING!H30&amp;" skipped"</f>
        <v>84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TESTING!B29&amp;" — "&amp;TESTING!A29</f>
        <v>backend — RUN-0022</v>
      </c>
      <c r="B41" s="16" t="str">
        <f>TESTING!C29&amp;""</f>
        <v>PASS</v>
      </c>
      <c r="C41" s="12" t="str">
        <f>TESTING!E29&amp;" passed · "&amp;TESTING!F29&amp;" failed · "&amp;TESTING!H29&amp;" skipped"</f>
        <v>713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TESTING!B28&amp;" — "&amp;TESTING!A28</f>
        <v>backend-pytest — RUN-0021</v>
      </c>
      <c r="B42" s="16" t="str">
        <f>TESTING!C28&amp;""</f>
        <v>PASS</v>
      </c>
      <c r="C42" s="12" t="str">
        <f>TESTING!E28&amp;" passed · "&amp;TESTING!F28&amp;" failed · "&amp;TESTING!H28&amp;" skipped"</f>
        <v>700 passed · 0 failed · 1 skipped</v>
      </c>
      <c r="E42" s="15" t="s">
        <v>103</v>
      </c>
      <c r="F42" s="17" t="s">
        <v>102</v>
      </c>
      <c r="G42" s="13">
        <f>COUNTIF(MASTER!$C$2:$C$2000,$E42)</f>
        <v>5</v>
      </c>
      <c r="H42" s="13">
        <f>COUNTIFS(MASTER!$C$2:$C$2000,$E42,MASTER!$G$2:$G$2000,"DONE")</f>
        <v>5</v>
      </c>
      <c r="I42" s="13">
        <f>COUNTIFS(MASTER!$C$2:$C$2000,$E42,MASTER!$G$2:$G$2000,"VERIFIED")+H42</f>
        <v>5</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19</v>
      </c>
      <c r="H44" s="13">
        <f>COUNTIFS(MASTER!$C$2:$C$2000,$E44,MASTER!$G$2:$G$2000,"DONE")</f>
        <v>1</v>
      </c>
      <c r="I44" s="13">
        <f>COUNTIFS(MASTER!$C$2:$C$2000,$E44,MASTER!$G$2:$G$2000,"VERIFIED")+H44</f>
        <v>1</v>
      </c>
      <c r="J44" s="13">
        <f>COUNTIFS(MASTER!$C$2:$C$2000,$E44,MASTER!$G$2:$G$2000,"IN_PROGRESS")+COUNTIFS(MASTER!$C$2:$C$2000,$E44,MASTER!$G$2:$G$2000,"IMPLEMENTED")+COUNTIFS(MASTER!$C$2:$C$2000,$E44,MASTER!$G$2:$G$2000,"TESTING")</f>
        <v>5</v>
      </c>
      <c r="K44" s="13">
        <f>COUNTIFS(MASTER!$C$2:$C$2000,$E44,MASTER!$G$2:$G$2000,"BLOCKED")</f>
        <v>0</v>
      </c>
      <c r="L44" s="13">
        <f>COUNTIFS(MASTER!$C$2:$C$2000,$E44,MASTER!$G$2:$G$2000,"FAILED")</f>
        <v>0</v>
      </c>
      <c r="M44" s="14">
        <f t="shared" si="2"/>
        <v>5.2631578947368418E-2</v>
      </c>
      <c r="N44" s="14">
        <f t="shared" si="3"/>
        <v>5.2631578947368418E-2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6</v>
      </c>
      <c r="I46" s="13">
        <f>COUNTIFS(MASTER!$C$2:$C$2000,$E46,MASTER!$G$2:$G$2000,"VERIFIED")+H46</f>
        <v>9</v>
      </c>
      <c r="J46" s="13">
        <f>COUNTIFS(MASTER!$C$2:$C$2000,$E46,MASTER!$G$2:$G$2000,"IN_PROGRESS")+COUNTIFS(MASTER!$C$2:$C$2000,$E46,MASTER!$G$2:$G$2000,"IMPLEMENTED")+COUNTIFS(MASTER!$C$2:$C$2000,$E46,MASTER!$G$2:$G$2000,"TESTING")</f>
        <v>1</v>
      </c>
      <c r="K46" s="13">
        <f>COUNTIFS(MASTER!$C$2:$C$2000,$E46,MASTER!$G$2:$G$2000,"BLOCKED")</f>
        <v>0</v>
      </c>
      <c r="L46" s="13">
        <f>COUNTIFS(MASTER!$C$2:$C$2000,$E46,MASTER!$G$2:$G$2000,"FAILED")</f>
        <v>0</v>
      </c>
      <c r="M46" s="14">
        <f t="shared" si="2"/>
        <v>0.5</v>
      </c>
      <c r="N46" s="14">
        <f t="shared" si="3"/>
        <v>0.75</v>
      </c>
    </row>
    <row r="47" spans="1:14" x14ac:dyDescent="0.25">
      <c r="A47" s="17" t="s">
        <v>114</v>
      </c>
      <c r="B47" s="1" t="s">
        <v>115</v>
      </c>
      <c r="E47" s="15" t="s">
        <v>116</v>
      </c>
      <c r="F47" s="17" t="s">
        <v>116</v>
      </c>
      <c r="G47" s="13">
        <f>COUNTIF(MASTER!$C$2:$C$2000,$E47)</f>
        <v>5</v>
      </c>
      <c r="H47" s="13">
        <f>COUNTIFS(MASTER!$C$2:$C$2000,$E47,MASTER!$G$2:$G$2000,"DONE")</f>
        <v>0</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1</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14</v>
      </c>
      <c r="H50" s="13">
        <f>COUNTIFS(MASTER!$C$2:$C$2000,$E50,MASTER!$G$2:$G$2000,"DONE")</f>
        <v>1</v>
      </c>
      <c r="I50" s="13">
        <f>COUNTIFS(MASTER!$C$2:$C$2000,$E50,MASTER!$G$2:$G$2000,"VERIFIED")+H50</f>
        <v>2</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7.1428571428571425E-2</v>
      </c>
      <c r="N50" s="14">
        <f t="shared" si="3"/>
        <v>0.14285714285714285</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5</v>
      </c>
      <c r="I53" s="13">
        <f>COUNTIFS(MASTER!$C$2:$C$2000,$E53,MASTER!$G$2:$G$2000,"VERIFIED")+H53</f>
        <v>5</v>
      </c>
      <c r="J53" s="13">
        <f>COUNTIFS(MASTER!$C$2:$C$2000,$E53,MASTER!$G$2:$G$2000,"IN_PROGRESS")+COUNTIFS(MASTER!$C$2:$C$2000,$E53,MASTER!$G$2:$G$2000,"IMPLEMENTED")+COUNTIFS(MASTER!$C$2:$C$2000,$E53,MASTER!$G$2:$G$2000,"TESTING")</f>
        <v>1</v>
      </c>
      <c r="K53" s="13">
        <f>COUNTIFS(MASTER!$C$2:$C$2000,$E53,MASTER!$G$2:$G$2000,"BLOCKED")</f>
        <v>0</v>
      </c>
      <c r="L53" s="13">
        <f>COUNTIFS(MASTER!$C$2:$C$2000,$E53,MASTER!$G$2:$G$2000,"FAILED")</f>
        <v>0</v>
      </c>
      <c r="M53" s="14">
        <f t="shared" si="2"/>
        <v>0.33333333333333331</v>
      </c>
      <c r="N53" s="14">
        <f t="shared" si="3"/>
        <v>0.33333333333333331</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2"/>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75</v>
      </c>
      <c r="H21" s="18" t="s">
        <v>296</v>
      </c>
      <c r="I21" s="18" t="s">
        <v>297</v>
      </c>
      <c r="J21" s="18" t="s">
        <v>277</v>
      </c>
      <c r="K21" s="18"/>
      <c r="L21" s="12" t="s">
        <v>264</v>
      </c>
      <c r="M21" s="19">
        <v>46292.397581018522</v>
      </c>
      <c r="N21" s="19"/>
      <c r="O21" s="19">
        <v>46292.397581018522</v>
      </c>
      <c r="P21" s="12"/>
      <c r="Q21" s="18"/>
      <c r="R21" s="12" t="s">
        <v>288</v>
      </c>
      <c r="S21" s="12" t="s">
        <v>298</v>
      </c>
    </row>
    <row r="22" spans="1:19" ht="102" x14ac:dyDescent="0.25">
      <c r="A22" s="15" t="s">
        <v>299</v>
      </c>
      <c r="B22" s="16">
        <v>1</v>
      </c>
      <c r="C22" s="12" t="s">
        <v>113</v>
      </c>
      <c r="D22" s="18" t="s">
        <v>300</v>
      </c>
      <c r="E22" s="18" t="s">
        <v>301</v>
      </c>
      <c r="F22" s="12" t="s">
        <v>195</v>
      </c>
      <c r="G22" s="12" t="s">
        <v>75</v>
      </c>
      <c r="H22" s="18" t="s">
        <v>302</v>
      </c>
      <c r="I22" s="18" t="s">
        <v>303</v>
      </c>
      <c r="J22" s="18" t="s">
        <v>277</v>
      </c>
      <c r="K22" s="18"/>
      <c r="L22" s="12" t="s">
        <v>264</v>
      </c>
      <c r="M22" s="19">
        <v>46292.397627314807</v>
      </c>
      <c r="N22" s="19"/>
      <c r="O22" s="19">
        <v>46292.397627314807</v>
      </c>
      <c r="P22" s="12"/>
      <c r="Q22" s="18"/>
      <c r="R22" s="12" t="s">
        <v>288</v>
      </c>
      <c r="S22" s="12" t="s">
        <v>304</v>
      </c>
    </row>
    <row r="23" spans="1:19" ht="25.5" x14ac:dyDescent="0.25">
      <c r="A23" s="15" t="s">
        <v>305</v>
      </c>
      <c r="B23" s="16">
        <v>1</v>
      </c>
      <c r="C23" s="12" t="s">
        <v>113</v>
      </c>
      <c r="D23" s="18" t="s">
        <v>306</v>
      </c>
      <c r="E23" s="18" t="s">
        <v>307</v>
      </c>
      <c r="F23" s="12" t="s">
        <v>308</v>
      </c>
      <c r="G23" s="12" t="s">
        <v>60</v>
      </c>
      <c r="H23" s="18"/>
      <c r="I23" s="18"/>
      <c r="J23" s="18" t="s">
        <v>277</v>
      </c>
      <c r="K23" s="18"/>
      <c r="L23" s="12" t="s">
        <v>184</v>
      </c>
      <c r="M23" s="19"/>
      <c r="N23" s="19"/>
      <c r="O23" s="19"/>
      <c r="P23" s="12"/>
      <c r="Q23" s="18"/>
      <c r="R23" s="12" t="s">
        <v>288</v>
      </c>
      <c r="S23" s="12" t="s">
        <v>265</v>
      </c>
    </row>
    <row r="24" spans="1:19" ht="102" x14ac:dyDescent="0.25">
      <c r="A24" s="15" t="s">
        <v>309</v>
      </c>
      <c r="B24" s="16">
        <v>1</v>
      </c>
      <c r="C24" s="12" t="s">
        <v>113</v>
      </c>
      <c r="D24" s="18" t="s">
        <v>310</v>
      </c>
      <c r="E24" s="18" t="s">
        <v>311</v>
      </c>
      <c r="F24" s="12" t="s">
        <v>308</v>
      </c>
      <c r="G24" s="12" t="s">
        <v>63</v>
      </c>
      <c r="H24" s="18"/>
      <c r="I24" s="18" t="s">
        <v>312</v>
      </c>
      <c r="J24" s="18" t="s">
        <v>277</v>
      </c>
      <c r="K24" s="18"/>
      <c r="L24" s="12" t="s">
        <v>184</v>
      </c>
      <c r="M24" s="19">
        <v>46292.397696759261</v>
      </c>
      <c r="N24" s="19"/>
      <c r="O24" s="19"/>
      <c r="P24" s="12"/>
      <c r="Q24" s="18" t="s">
        <v>313</v>
      </c>
      <c r="R24" s="12" t="s">
        <v>288</v>
      </c>
      <c r="S24" s="12" t="s">
        <v>314</v>
      </c>
    </row>
    <row r="25" spans="1:19" ht="114.75" x14ac:dyDescent="0.25">
      <c r="A25" s="15" t="s">
        <v>315</v>
      </c>
      <c r="B25" s="16">
        <v>1</v>
      </c>
      <c r="C25" s="12" t="s">
        <v>113</v>
      </c>
      <c r="D25" s="18" t="s">
        <v>316</v>
      </c>
      <c r="E25" s="18" t="s">
        <v>317</v>
      </c>
      <c r="F25" s="12" t="s">
        <v>318</v>
      </c>
      <c r="G25" s="12" t="s">
        <v>75</v>
      </c>
      <c r="H25" s="18" t="s">
        <v>319</v>
      </c>
      <c r="I25" s="18" t="s">
        <v>320</v>
      </c>
      <c r="J25" s="18" t="s">
        <v>277</v>
      </c>
      <c r="K25" s="18"/>
      <c r="L25" s="12" t="s">
        <v>184</v>
      </c>
      <c r="M25" s="19">
        <v>46292.397662037038</v>
      </c>
      <c r="N25" s="19"/>
      <c r="O25" s="19">
        <v>46292.397662037038</v>
      </c>
      <c r="P25" s="12"/>
      <c r="Q25" s="18"/>
      <c r="R25" s="12" t="s">
        <v>288</v>
      </c>
      <c r="S25" s="12" t="s">
        <v>265</v>
      </c>
    </row>
    <row r="26" spans="1:19" ht="25.5" x14ac:dyDescent="0.25">
      <c r="A26" s="15" t="s">
        <v>321</v>
      </c>
      <c r="B26" s="16">
        <v>1</v>
      </c>
      <c r="C26" s="12" t="s">
        <v>113</v>
      </c>
      <c r="D26" s="18" t="s">
        <v>322</v>
      </c>
      <c r="E26" s="18" t="s">
        <v>323</v>
      </c>
      <c r="F26" s="12" t="s">
        <v>180</v>
      </c>
      <c r="G26" s="12" t="s">
        <v>78</v>
      </c>
      <c r="H26" s="18" t="s">
        <v>324</v>
      </c>
      <c r="I26" s="18" t="s">
        <v>325</v>
      </c>
      <c r="J26" s="18" t="s">
        <v>277</v>
      </c>
      <c r="K26" s="18" t="s">
        <v>288</v>
      </c>
      <c r="L26" s="12" t="s">
        <v>254</v>
      </c>
      <c r="M26" s="19">
        <v>46292.193043981482</v>
      </c>
      <c r="N26" s="19">
        <v>46292.196782407409</v>
      </c>
      <c r="O26" s="19">
        <v>46292.196782407409</v>
      </c>
      <c r="P26" s="12" t="s">
        <v>255</v>
      </c>
      <c r="Q26" s="18"/>
      <c r="R26" s="12"/>
      <c r="S26" s="12" t="s">
        <v>265</v>
      </c>
    </row>
    <row r="27" spans="1:19" ht="25.5" x14ac:dyDescent="0.25">
      <c r="A27" s="15" t="s">
        <v>326</v>
      </c>
      <c r="B27" s="16">
        <v>1</v>
      </c>
      <c r="C27" s="12" t="s">
        <v>113</v>
      </c>
      <c r="D27" s="18" t="s">
        <v>327</v>
      </c>
      <c r="E27" s="18" t="s">
        <v>328</v>
      </c>
      <c r="F27" s="12" t="s">
        <v>308</v>
      </c>
      <c r="G27" s="12" t="s">
        <v>60</v>
      </c>
      <c r="H27" s="18"/>
      <c r="I27" s="18"/>
      <c r="J27" s="18" t="s">
        <v>277</v>
      </c>
      <c r="K27" s="18"/>
      <c r="L27" s="12" t="s">
        <v>184</v>
      </c>
      <c r="M27" s="19"/>
      <c r="N27" s="19"/>
      <c r="O27" s="19"/>
      <c r="P27" s="12"/>
      <c r="Q27" s="18"/>
      <c r="R27" s="12"/>
      <c r="S27" s="12" t="s">
        <v>329</v>
      </c>
    </row>
    <row r="28" spans="1:19" ht="89.25" x14ac:dyDescent="0.25">
      <c r="A28" s="15" t="s">
        <v>330</v>
      </c>
      <c r="B28" s="16">
        <v>1</v>
      </c>
      <c r="C28" s="12" t="s">
        <v>106</v>
      </c>
      <c r="D28" s="18" t="s">
        <v>331</v>
      </c>
      <c r="E28" s="18" t="s">
        <v>332</v>
      </c>
      <c r="F28" s="12" t="s">
        <v>180</v>
      </c>
      <c r="G28" s="12" t="s">
        <v>78</v>
      </c>
      <c r="H28" s="18" t="s">
        <v>333</v>
      </c>
      <c r="I28" s="18" t="s">
        <v>334</v>
      </c>
      <c r="J28" s="18" t="s">
        <v>335</v>
      </c>
      <c r="K28" s="18" t="s">
        <v>266</v>
      </c>
      <c r="L28" s="12" t="s">
        <v>254</v>
      </c>
      <c r="M28" s="19">
        <v>46292.189837962957</v>
      </c>
      <c r="N28" s="19">
        <v>46292.196828703702</v>
      </c>
      <c r="O28" s="19">
        <v>46292.196828703702</v>
      </c>
      <c r="P28" s="12" t="s">
        <v>255</v>
      </c>
      <c r="Q28" s="18"/>
      <c r="R28" s="12"/>
      <c r="S28" s="12" t="s">
        <v>265</v>
      </c>
    </row>
    <row r="29" spans="1:19" ht="63.75" x14ac:dyDescent="0.25">
      <c r="A29" s="15" t="s">
        <v>336</v>
      </c>
      <c r="B29" s="16">
        <v>1</v>
      </c>
      <c r="C29" s="12" t="s">
        <v>110</v>
      </c>
      <c r="D29" s="18" t="s">
        <v>337</v>
      </c>
      <c r="E29" s="18" t="s">
        <v>338</v>
      </c>
      <c r="F29" s="12" t="s">
        <v>180</v>
      </c>
      <c r="G29" s="12" t="s">
        <v>78</v>
      </c>
      <c r="H29" s="18" t="s">
        <v>339</v>
      </c>
      <c r="I29" s="18" t="s">
        <v>340</v>
      </c>
      <c r="J29" s="18" t="s">
        <v>335</v>
      </c>
      <c r="K29" s="18" t="s">
        <v>266</v>
      </c>
      <c r="L29" s="12" t="s">
        <v>264</v>
      </c>
      <c r="M29" s="19">
        <v>46292.189872685187</v>
      </c>
      <c r="N29" s="19">
        <v>46292.196863425917</v>
      </c>
      <c r="O29" s="19">
        <v>46292.196863425917</v>
      </c>
      <c r="P29" s="12" t="s">
        <v>255</v>
      </c>
      <c r="Q29" s="18"/>
      <c r="R29" s="12"/>
      <c r="S29" s="12" t="s">
        <v>265</v>
      </c>
    </row>
    <row r="30" spans="1:19" ht="51" x14ac:dyDescent="0.25">
      <c r="A30" s="15" t="s">
        <v>341</v>
      </c>
      <c r="B30" s="16">
        <v>1</v>
      </c>
      <c r="C30" s="12" t="s">
        <v>103</v>
      </c>
      <c r="D30" s="18" t="s">
        <v>342</v>
      </c>
      <c r="E30" s="18" t="s">
        <v>343</v>
      </c>
      <c r="F30" s="12" t="s">
        <v>180</v>
      </c>
      <c r="G30" s="12" t="s">
        <v>78</v>
      </c>
      <c r="H30" s="18" t="s">
        <v>344</v>
      </c>
      <c r="I30" s="18" t="s">
        <v>345</v>
      </c>
      <c r="J30" s="18" t="s">
        <v>253</v>
      </c>
      <c r="K30" s="18"/>
      <c r="L30" s="12" t="s">
        <v>264</v>
      </c>
      <c r="M30" s="19">
        <v>46292.217905092592</v>
      </c>
      <c r="N30" s="19">
        <v>46292.219282407408</v>
      </c>
      <c r="O30" s="19">
        <v>46292.219282407408</v>
      </c>
      <c r="P30" s="12" t="s">
        <v>346</v>
      </c>
      <c r="Q30" s="18"/>
      <c r="R30" s="12"/>
      <c r="S30" s="12" t="s">
        <v>298</v>
      </c>
    </row>
    <row r="31" spans="1:19" ht="204" x14ac:dyDescent="0.25">
      <c r="A31" s="15" t="s">
        <v>347</v>
      </c>
      <c r="B31" s="16">
        <v>1</v>
      </c>
      <c r="C31" s="12" t="s">
        <v>103</v>
      </c>
      <c r="D31" s="18" t="s">
        <v>348</v>
      </c>
      <c r="E31" s="18" t="s">
        <v>349</v>
      </c>
      <c r="F31" s="12" t="s">
        <v>180</v>
      </c>
      <c r="G31" s="12" t="s">
        <v>78</v>
      </c>
      <c r="H31" s="18" t="s">
        <v>350</v>
      </c>
      <c r="I31" s="18" t="s">
        <v>351</v>
      </c>
      <c r="J31" s="18" t="s">
        <v>352</v>
      </c>
      <c r="K31" s="18" t="s">
        <v>341</v>
      </c>
      <c r="L31" s="12" t="s">
        <v>254</v>
      </c>
      <c r="M31" s="19">
        <v>46292.21802083333</v>
      </c>
      <c r="N31" s="19">
        <v>46292.376377314817</v>
      </c>
      <c r="O31" s="19">
        <v>46292.376377314817</v>
      </c>
      <c r="P31" s="12" t="s">
        <v>353</v>
      </c>
      <c r="Q31" s="18" t="s">
        <v>354</v>
      </c>
      <c r="R31" s="12" t="s">
        <v>341</v>
      </c>
      <c r="S31" s="12" t="s">
        <v>355</v>
      </c>
    </row>
    <row r="32" spans="1:19" ht="89.25" x14ac:dyDescent="0.25">
      <c r="A32" s="15" t="s">
        <v>356</v>
      </c>
      <c r="B32" s="16">
        <v>1</v>
      </c>
      <c r="C32" s="12" t="s">
        <v>103</v>
      </c>
      <c r="D32" s="18" t="s">
        <v>357</v>
      </c>
      <c r="E32" s="18" t="s">
        <v>358</v>
      </c>
      <c r="F32" s="12" t="s">
        <v>180</v>
      </c>
      <c r="G32" s="12" t="s">
        <v>78</v>
      </c>
      <c r="H32" s="18" t="s">
        <v>359</v>
      </c>
      <c r="I32" s="18" t="s">
        <v>360</v>
      </c>
      <c r="J32" s="18" t="s">
        <v>335</v>
      </c>
      <c r="K32" s="18" t="s">
        <v>341</v>
      </c>
      <c r="L32" s="12" t="s">
        <v>264</v>
      </c>
      <c r="M32" s="19">
        <v>46292.349918981483</v>
      </c>
      <c r="N32" s="19">
        <v>46292.351134259261</v>
      </c>
      <c r="O32" s="19">
        <v>46292.351134259261</v>
      </c>
      <c r="P32" s="12" t="s">
        <v>361</v>
      </c>
      <c r="Q32" s="18"/>
      <c r="R32" s="12" t="s">
        <v>341</v>
      </c>
      <c r="S32" s="12" t="s">
        <v>362</v>
      </c>
    </row>
    <row r="33" spans="1:19" ht="51" x14ac:dyDescent="0.25">
      <c r="A33" s="15" t="s">
        <v>363</v>
      </c>
      <c r="B33" s="16">
        <v>1</v>
      </c>
      <c r="C33" s="12" t="s">
        <v>103</v>
      </c>
      <c r="D33" s="18" t="s">
        <v>364</v>
      </c>
      <c r="E33" s="18" t="s">
        <v>365</v>
      </c>
      <c r="F33" s="12" t="s">
        <v>180</v>
      </c>
      <c r="G33" s="12" t="s">
        <v>78</v>
      </c>
      <c r="H33" s="18" t="s">
        <v>366</v>
      </c>
      <c r="I33" s="18" t="s">
        <v>367</v>
      </c>
      <c r="J33" s="18" t="s">
        <v>277</v>
      </c>
      <c r="K33" s="18" t="s">
        <v>347</v>
      </c>
      <c r="L33" s="12" t="s">
        <v>264</v>
      </c>
      <c r="M33" s="19">
        <v>46292.217986111107</v>
      </c>
      <c r="N33" s="19">
        <v>46292.219317129631</v>
      </c>
      <c r="O33" s="19">
        <v>46292.219317129631</v>
      </c>
      <c r="P33" s="12" t="s">
        <v>346</v>
      </c>
      <c r="Q33" s="18"/>
      <c r="R33" s="12" t="s">
        <v>341</v>
      </c>
      <c r="S33" s="12" t="s">
        <v>298</v>
      </c>
    </row>
    <row r="34" spans="1:19" ht="51" x14ac:dyDescent="0.25">
      <c r="A34" s="15" t="s">
        <v>368</v>
      </c>
      <c r="B34" s="16">
        <v>1</v>
      </c>
      <c r="C34" s="12" t="s">
        <v>103</v>
      </c>
      <c r="D34" s="18" t="s">
        <v>369</v>
      </c>
      <c r="E34" s="18" t="s">
        <v>370</v>
      </c>
      <c r="F34" s="12" t="s">
        <v>180</v>
      </c>
      <c r="G34" s="12" t="s">
        <v>78</v>
      </c>
      <c r="H34" s="18" t="s">
        <v>371</v>
      </c>
      <c r="I34" s="18" t="s">
        <v>372</v>
      </c>
      <c r="J34" s="18" t="s">
        <v>253</v>
      </c>
      <c r="K34" s="18" t="s">
        <v>341</v>
      </c>
      <c r="L34" s="12" t="s">
        <v>184</v>
      </c>
      <c r="M34" s="19">
        <v>46292.217939814807</v>
      </c>
      <c r="N34" s="19">
        <v>46292.219351851847</v>
      </c>
      <c r="O34" s="19">
        <v>46292.219351851847</v>
      </c>
      <c r="P34" s="12" t="s">
        <v>346</v>
      </c>
      <c r="Q34" s="18"/>
      <c r="R34" s="12" t="s">
        <v>341</v>
      </c>
      <c r="S34" s="12" t="s">
        <v>298</v>
      </c>
    </row>
    <row r="35" spans="1:19" ht="63.75" x14ac:dyDescent="0.25">
      <c r="A35" s="15" t="s">
        <v>373</v>
      </c>
      <c r="B35" s="16">
        <v>1</v>
      </c>
      <c r="C35" s="12" t="s">
        <v>101</v>
      </c>
      <c r="D35" s="18" t="s">
        <v>374</v>
      </c>
      <c r="E35" s="18" t="s">
        <v>375</v>
      </c>
      <c r="F35" s="12" t="s">
        <v>195</v>
      </c>
      <c r="G35" s="12" t="s">
        <v>78</v>
      </c>
      <c r="H35" s="18" t="s">
        <v>376</v>
      </c>
      <c r="I35" s="18" t="s">
        <v>377</v>
      </c>
      <c r="J35" s="18" t="s">
        <v>378</v>
      </c>
      <c r="K35" s="18" t="s">
        <v>368</v>
      </c>
      <c r="L35" s="12" t="s">
        <v>184</v>
      </c>
      <c r="M35" s="19">
        <v>46292.356574074067</v>
      </c>
      <c r="N35" s="19">
        <v>46292.357858796298</v>
      </c>
      <c r="O35" s="19">
        <v>46292.357858796298</v>
      </c>
      <c r="P35" s="12" t="s">
        <v>379</v>
      </c>
      <c r="Q35" s="18" t="s">
        <v>380</v>
      </c>
      <c r="R35" s="12"/>
      <c r="S35" s="12" t="s">
        <v>381</v>
      </c>
    </row>
    <row r="36" spans="1:19" ht="51" x14ac:dyDescent="0.25">
      <c r="A36" s="15" t="s">
        <v>382</v>
      </c>
      <c r="B36" s="16">
        <v>1</v>
      </c>
      <c r="C36" s="12" t="s">
        <v>72</v>
      </c>
      <c r="D36" s="18" t="s">
        <v>383</v>
      </c>
      <c r="E36" s="18" t="s">
        <v>384</v>
      </c>
      <c r="F36" s="12" t="s">
        <v>180</v>
      </c>
      <c r="G36" s="12" t="s">
        <v>69</v>
      </c>
      <c r="H36" s="18" t="s">
        <v>385</v>
      </c>
      <c r="I36" s="18" t="s">
        <v>386</v>
      </c>
      <c r="J36" s="18" t="s">
        <v>387</v>
      </c>
      <c r="K36" s="18" t="s">
        <v>388</v>
      </c>
      <c r="L36" s="12" t="s">
        <v>264</v>
      </c>
      <c r="M36" s="19">
        <v>46292.193078703713</v>
      </c>
      <c r="N36" s="19"/>
      <c r="O36" s="19"/>
      <c r="P36" s="12"/>
      <c r="Q36" s="18"/>
      <c r="R36" s="12"/>
      <c r="S36" s="12" t="s">
        <v>265</v>
      </c>
    </row>
    <row r="37" spans="1:19" ht="51" x14ac:dyDescent="0.25">
      <c r="A37" s="15" t="s">
        <v>389</v>
      </c>
      <c r="B37" s="16">
        <v>1</v>
      </c>
      <c r="C37" s="12" t="s">
        <v>142</v>
      </c>
      <c r="D37" s="18" t="s">
        <v>390</v>
      </c>
      <c r="E37" s="18" t="s">
        <v>391</v>
      </c>
      <c r="F37" s="12" t="s">
        <v>308</v>
      </c>
      <c r="G37" s="12" t="s">
        <v>78</v>
      </c>
      <c r="H37" s="18" t="s">
        <v>392</v>
      </c>
      <c r="I37" s="18" t="s">
        <v>393</v>
      </c>
      <c r="J37" s="18" t="s">
        <v>394</v>
      </c>
      <c r="K37" s="18"/>
      <c r="L37" s="12" t="s">
        <v>184</v>
      </c>
      <c r="M37" s="19">
        <v>46292.218136574083</v>
      </c>
      <c r="N37" s="19">
        <v>46292.219386574077</v>
      </c>
      <c r="O37" s="19">
        <v>46292.219386574077</v>
      </c>
      <c r="P37" s="12" t="s">
        <v>346</v>
      </c>
      <c r="Q37" s="18"/>
      <c r="R37" s="12"/>
      <c r="S37" s="12"/>
    </row>
    <row r="38" spans="1:19" ht="63.75" x14ac:dyDescent="0.25">
      <c r="A38" s="15" t="s">
        <v>395</v>
      </c>
      <c r="B38" s="16">
        <v>2</v>
      </c>
      <c r="C38" s="12" t="s">
        <v>120</v>
      </c>
      <c r="D38" s="18" t="s">
        <v>396</v>
      </c>
      <c r="E38" s="18" t="s">
        <v>397</v>
      </c>
      <c r="F38" s="12" t="s">
        <v>180</v>
      </c>
      <c r="G38" s="12" t="s">
        <v>63</v>
      </c>
      <c r="H38" s="18"/>
      <c r="I38" s="18"/>
      <c r="J38" s="18" t="s">
        <v>398</v>
      </c>
      <c r="K38" s="18"/>
      <c r="L38" s="12" t="s">
        <v>254</v>
      </c>
      <c r="M38" s="19">
        <v>46292.218055555553</v>
      </c>
      <c r="N38" s="19"/>
      <c r="O38" s="19"/>
      <c r="P38" s="12"/>
      <c r="Q38" s="18" t="s">
        <v>399</v>
      </c>
      <c r="R38" s="12"/>
      <c r="S38" s="12" t="s">
        <v>400</v>
      </c>
    </row>
    <row r="39" spans="1:19" ht="25.5" x14ac:dyDescent="0.25">
      <c r="A39" s="15" t="s">
        <v>401</v>
      </c>
      <c r="B39" s="16">
        <v>2</v>
      </c>
      <c r="C39" s="12" t="s">
        <v>120</v>
      </c>
      <c r="D39" s="18" t="s">
        <v>402</v>
      </c>
      <c r="E39" s="18" t="s">
        <v>403</v>
      </c>
      <c r="F39" s="12" t="s">
        <v>180</v>
      </c>
      <c r="G39" s="12" t="s">
        <v>60</v>
      </c>
      <c r="H39" s="18"/>
      <c r="I39" s="18"/>
      <c r="J39" s="18" t="s">
        <v>398</v>
      </c>
      <c r="K39" s="18" t="s">
        <v>395</v>
      </c>
      <c r="L39" s="12" t="s">
        <v>254</v>
      </c>
      <c r="M39" s="19"/>
      <c r="N39" s="19"/>
      <c r="O39" s="19"/>
      <c r="P39" s="12"/>
      <c r="Q39" s="18"/>
      <c r="R39" s="12" t="s">
        <v>395</v>
      </c>
      <c r="S39" s="12" t="s">
        <v>400</v>
      </c>
    </row>
    <row r="40" spans="1:19" x14ac:dyDescent="0.25">
      <c r="A40" s="15" t="s">
        <v>404</v>
      </c>
      <c r="B40" s="16">
        <v>2</v>
      </c>
      <c r="C40" s="12" t="s">
        <v>120</v>
      </c>
      <c r="D40" s="18" t="s">
        <v>405</v>
      </c>
      <c r="E40" s="18" t="s">
        <v>406</v>
      </c>
      <c r="F40" s="12" t="s">
        <v>180</v>
      </c>
      <c r="G40" s="12" t="s">
        <v>60</v>
      </c>
      <c r="H40" s="18"/>
      <c r="I40" s="18"/>
      <c r="J40" s="18" t="s">
        <v>398</v>
      </c>
      <c r="K40" s="18" t="s">
        <v>395</v>
      </c>
      <c r="L40" s="12" t="s">
        <v>264</v>
      </c>
      <c r="M40" s="19"/>
      <c r="N40" s="19"/>
      <c r="O40" s="19"/>
      <c r="P40" s="12"/>
      <c r="Q40" s="18"/>
      <c r="R40" s="12" t="s">
        <v>395</v>
      </c>
      <c r="S40" s="12" t="s">
        <v>400</v>
      </c>
    </row>
    <row r="41" spans="1:19" ht="38.25" x14ac:dyDescent="0.25">
      <c r="A41" s="15" t="s">
        <v>407</v>
      </c>
      <c r="B41" s="16">
        <v>2</v>
      </c>
      <c r="C41" s="12" t="s">
        <v>120</v>
      </c>
      <c r="D41" s="18" t="s">
        <v>408</v>
      </c>
      <c r="E41" s="18" t="s">
        <v>409</v>
      </c>
      <c r="F41" s="12" t="s">
        <v>180</v>
      </c>
      <c r="G41" s="12" t="s">
        <v>60</v>
      </c>
      <c r="H41" s="18"/>
      <c r="I41" s="18"/>
      <c r="J41" s="18" t="s">
        <v>204</v>
      </c>
      <c r="K41" s="18" t="s">
        <v>404</v>
      </c>
      <c r="L41" s="12" t="s">
        <v>184</v>
      </c>
      <c r="M41" s="19"/>
      <c r="N41" s="19"/>
      <c r="O41" s="19"/>
      <c r="P41" s="12"/>
      <c r="Q41" s="18"/>
      <c r="R41" s="12" t="s">
        <v>395</v>
      </c>
      <c r="S41" s="12" t="s">
        <v>400</v>
      </c>
    </row>
    <row r="42" spans="1:19" x14ac:dyDescent="0.25">
      <c r="A42" s="15" t="s">
        <v>410</v>
      </c>
      <c r="B42" s="16">
        <v>2</v>
      </c>
      <c r="C42" s="12" t="s">
        <v>120</v>
      </c>
      <c r="D42" s="18" t="s">
        <v>411</v>
      </c>
      <c r="E42" s="18" t="s">
        <v>412</v>
      </c>
      <c r="F42" s="12" t="s">
        <v>180</v>
      </c>
      <c r="G42" s="12" t="s">
        <v>60</v>
      </c>
      <c r="H42" s="18"/>
      <c r="I42" s="18"/>
      <c r="J42" s="18" t="s">
        <v>398</v>
      </c>
      <c r="K42" s="18"/>
      <c r="L42" s="12" t="s">
        <v>264</v>
      </c>
      <c r="M42" s="19"/>
      <c r="N42" s="19"/>
      <c r="O42" s="19"/>
      <c r="P42" s="12"/>
      <c r="Q42" s="18"/>
      <c r="R42" s="12"/>
      <c r="S42" s="12" t="s">
        <v>413</v>
      </c>
    </row>
    <row r="43" spans="1:19" ht="25.5" x14ac:dyDescent="0.25">
      <c r="A43" s="15" t="s">
        <v>414</v>
      </c>
      <c r="B43" s="16">
        <v>2</v>
      </c>
      <c r="C43" s="12" t="s">
        <v>120</v>
      </c>
      <c r="D43" s="18" t="s">
        <v>415</v>
      </c>
      <c r="E43" s="18" t="s">
        <v>416</v>
      </c>
      <c r="F43" s="12" t="s">
        <v>180</v>
      </c>
      <c r="G43" s="12" t="s">
        <v>60</v>
      </c>
      <c r="H43" s="18"/>
      <c r="I43" s="18"/>
      <c r="J43" s="18" t="s">
        <v>417</v>
      </c>
      <c r="K43" s="18" t="s">
        <v>418</v>
      </c>
      <c r="L43" s="12" t="s">
        <v>254</v>
      </c>
      <c r="M43" s="19"/>
      <c r="N43" s="19"/>
      <c r="O43" s="19"/>
      <c r="P43" s="12"/>
      <c r="Q43" s="18"/>
      <c r="R43" s="12" t="s">
        <v>410</v>
      </c>
      <c r="S43" s="12" t="s">
        <v>413</v>
      </c>
    </row>
    <row r="44" spans="1:19" x14ac:dyDescent="0.25">
      <c r="A44" s="15" t="s">
        <v>419</v>
      </c>
      <c r="B44" s="16">
        <v>2</v>
      </c>
      <c r="C44" s="12" t="s">
        <v>120</v>
      </c>
      <c r="D44" s="18" t="s">
        <v>420</v>
      </c>
      <c r="E44" s="18" t="s">
        <v>421</v>
      </c>
      <c r="F44" s="12" t="s">
        <v>180</v>
      </c>
      <c r="G44" s="12" t="s">
        <v>60</v>
      </c>
      <c r="H44" s="18"/>
      <c r="I44" s="18"/>
      <c r="J44" s="18" t="s">
        <v>277</v>
      </c>
      <c r="K44" s="18" t="s">
        <v>414</v>
      </c>
      <c r="L44" s="12" t="s">
        <v>264</v>
      </c>
      <c r="M44" s="19"/>
      <c r="N44" s="19"/>
      <c r="O44" s="19"/>
      <c r="P44" s="12"/>
      <c r="Q44" s="18"/>
      <c r="R44" s="12" t="s">
        <v>414</v>
      </c>
      <c r="S44" s="12" t="s">
        <v>413</v>
      </c>
    </row>
    <row r="45" spans="1:19" x14ac:dyDescent="0.25">
      <c r="A45" s="15" t="s">
        <v>422</v>
      </c>
      <c r="B45" s="16">
        <v>2</v>
      </c>
      <c r="C45" s="12" t="s">
        <v>120</v>
      </c>
      <c r="D45" s="18" t="s">
        <v>423</v>
      </c>
      <c r="E45" s="18" t="s">
        <v>424</v>
      </c>
      <c r="F45" s="12" t="s">
        <v>195</v>
      </c>
      <c r="G45" s="12" t="s">
        <v>60</v>
      </c>
      <c r="H45" s="18"/>
      <c r="I45" s="18"/>
      <c r="J45" s="18" t="s">
        <v>398</v>
      </c>
      <c r="K45" s="18"/>
      <c r="L45" s="12" t="s">
        <v>264</v>
      </c>
      <c r="M45" s="19"/>
      <c r="N45" s="19"/>
      <c r="O45" s="19"/>
      <c r="P45" s="12"/>
      <c r="Q45" s="18"/>
      <c r="R45" s="12"/>
      <c r="S45" s="12" t="s">
        <v>400</v>
      </c>
    </row>
    <row r="46" spans="1:19" x14ac:dyDescent="0.25">
      <c r="A46" s="15" t="s">
        <v>425</v>
      </c>
      <c r="B46" s="16">
        <v>2</v>
      </c>
      <c r="C46" s="12" t="s">
        <v>120</v>
      </c>
      <c r="D46" s="18" t="s">
        <v>426</v>
      </c>
      <c r="E46" s="18" t="s">
        <v>427</v>
      </c>
      <c r="F46" s="12" t="s">
        <v>195</v>
      </c>
      <c r="G46" s="12" t="s">
        <v>60</v>
      </c>
      <c r="H46" s="18"/>
      <c r="I46" s="18"/>
      <c r="J46" s="18" t="s">
        <v>398</v>
      </c>
      <c r="K46" s="18"/>
      <c r="L46" s="12" t="s">
        <v>264</v>
      </c>
      <c r="M46" s="19"/>
      <c r="N46" s="19"/>
      <c r="O46" s="19"/>
      <c r="P46" s="12"/>
      <c r="Q46" s="18"/>
      <c r="R46" s="12"/>
      <c r="S46" s="12"/>
    </row>
    <row r="47" spans="1:19" ht="51" x14ac:dyDescent="0.25">
      <c r="A47" s="15" t="s">
        <v>428</v>
      </c>
      <c r="B47" s="16">
        <v>2</v>
      </c>
      <c r="C47" s="12" t="s">
        <v>104</v>
      </c>
      <c r="D47" s="18" t="s">
        <v>429</v>
      </c>
      <c r="E47" s="18" t="s">
        <v>430</v>
      </c>
      <c r="F47" s="12" t="s">
        <v>180</v>
      </c>
      <c r="G47" s="12" t="s">
        <v>60</v>
      </c>
      <c r="H47" s="18"/>
      <c r="I47" s="18"/>
      <c r="J47" s="18" t="s">
        <v>253</v>
      </c>
      <c r="K47" s="18"/>
      <c r="L47" s="12" t="s">
        <v>264</v>
      </c>
      <c r="M47" s="19"/>
      <c r="N47" s="19"/>
      <c r="O47" s="19"/>
      <c r="P47" s="12"/>
      <c r="Q47" s="18"/>
      <c r="R47" s="12"/>
      <c r="S47" s="12" t="s">
        <v>413</v>
      </c>
    </row>
    <row r="48" spans="1:19" ht="25.5" x14ac:dyDescent="0.25">
      <c r="A48" s="15" t="s">
        <v>431</v>
      </c>
      <c r="B48" s="16">
        <v>2</v>
      </c>
      <c r="C48" s="12" t="s">
        <v>101</v>
      </c>
      <c r="D48" s="18" t="s">
        <v>432</v>
      </c>
      <c r="E48" s="18" t="s">
        <v>433</v>
      </c>
      <c r="F48" s="12" t="s">
        <v>195</v>
      </c>
      <c r="G48" s="12" t="s">
        <v>60</v>
      </c>
      <c r="H48" s="18"/>
      <c r="I48" s="18"/>
      <c r="J48" s="18" t="s">
        <v>417</v>
      </c>
      <c r="K48" s="18" t="s">
        <v>428</v>
      </c>
      <c r="L48" s="12" t="s">
        <v>264</v>
      </c>
      <c r="M48" s="19"/>
      <c r="N48" s="19"/>
      <c r="O48" s="19"/>
      <c r="P48" s="12"/>
      <c r="Q48" s="18"/>
      <c r="R48" s="12"/>
      <c r="S48" s="12" t="s">
        <v>413</v>
      </c>
    </row>
    <row r="49" spans="1:19" ht="25.5" x14ac:dyDescent="0.25">
      <c r="A49" s="15" t="s">
        <v>434</v>
      </c>
      <c r="B49" s="16">
        <v>3</v>
      </c>
      <c r="C49" s="12" t="s">
        <v>106</v>
      </c>
      <c r="D49" s="18" t="s">
        <v>435</v>
      </c>
      <c r="E49" s="18" t="s">
        <v>436</v>
      </c>
      <c r="F49" s="12" t="s">
        <v>180</v>
      </c>
      <c r="G49" s="12" t="s">
        <v>60</v>
      </c>
      <c r="H49" s="18"/>
      <c r="I49" s="18"/>
      <c r="J49" s="18" t="s">
        <v>437</v>
      </c>
      <c r="K49" s="18"/>
      <c r="L49" s="12" t="s">
        <v>264</v>
      </c>
      <c r="M49" s="19"/>
      <c r="N49" s="19"/>
      <c r="O49" s="19"/>
      <c r="P49" s="12"/>
      <c r="Q49" s="18"/>
      <c r="R49" s="12"/>
      <c r="S49" s="12" t="s">
        <v>438</v>
      </c>
    </row>
    <row r="50" spans="1:19" ht="38.25" x14ac:dyDescent="0.25">
      <c r="A50" s="15" t="s">
        <v>439</v>
      </c>
      <c r="B50" s="16">
        <v>3</v>
      </c>
      <c r="C50" s="12" t="s">
        <v>106</v>
      </c>
      <c r="D50" s="18" t="s">
        <v>440</v>
      </c>
      <c r="E50" s="18" t="s">
        <v>441</v>
      </c>
      <c r="F50" s="12" t="s">
        <v>180</v>
      </c>
      <c r="G50" s="12" t="s">
        <v>60</v>
      </c>
      <c r="H50" s="18"/>
      <c r="I50" s="18"/>
      <c r="J50" s="18" t="s">
        <v>335</v>
      </c>
      <c r="K50" s="18" t="s">
        <v>434</v>
      </c>
      <c r="L50" s="12" t="s">
        <v>254</v>
      </c>
      <c r="M50" s="19"/>
      <c r="N50" s="19"/>
      <c r="O50" s="19"/>
      <c r="P50" s="12"/>
      <c r="Q50" s="18"/>
      <c r="R50" s="12" t="s">
        <v>434</v>
      </c>
      <c r="S50" s="12" t="s">
        <v>438</v>
      </c>
    </row>
    <row r="51" spans="1:19" ht="140.25" x14ac:dyDescent="0.25">
      <c r="A51" s="15" t="s">
        <v>442</v>
      </c>
      <c r="B51" s="16">
        <v>3</v>
      </c>
      <c r="C51" s="12" t="s">
        <v>106</v>
      </c>
      <c r="D51" s="18" t="s">
        <v>443</v>
      </c>
      <c r="E51" s="18" t="s">
        <v>444</v>
      </c>
      <c r="F51" s="12" t="s">
        <v>180</v>
      </c>
      <c r="G51" s="12" t="s">
        <v>63</v>
      </c>
      <c r="H51" s="18"/>
      <c r="I51" s="18" t="s">
        <v>445</v>
      </c>
      <c r="J51" s="18" t="s">
        <v>335</v>
      </c>
      <c r="K51" s="18" t="s">
        <v>434</v>
      </c>
      <c r="L51" s="12" t="s">
        <v>264</v>
      </c>
      <c r="M51" s="19">
        <v>46292.374016203707</v>
      </c>
      <c r="N51" s="19"/>
      <c r="O51" s="19"/>
      <c r="P51" s="12" t="s">
        <v>353</v>
      </c>
      <c r="Q51" s="18" t="s">
        <v>446</v>
      </c>
      <c r="R51" s="12"/>
      <c r="S51" s="12" t="s">
        <v>447</v>
      </c>
    </row>
    <row r="52" spans="1:19" ht="38.25" x14ac:dyDescent="0.25">
      <c r="A52" s="15" t="s">
        <v>448</v>
      </c>
      <c r="B52" s="16">
        <v>3</v>
      </c>
      <c r="C52" s="12" t="s">
        <v>106</v>
      </c>
      <c r="D52" s="18" t="s">
        <v>449</v>
      </c>
      <c r="E52" s="18" t="s">
        <v>450</v>
      </c>
      <c r="F52" s="12" t="s">
        <v>180</v>
      </c>
      <c r="G52" s="12" t="s">
        <v>60</v>
      </c>
      <c r="H52" s="18"/>
      <c r="I52" s="18"/>
      <c r="J52" s="18" t="s">
        <v>451</v>
      </c>
      <c r="K52" s="18" t="s">
        <v>439</v>
      </c>
      <c r="L52" s="12" t="s">
        <v>254</v>
      </c>
      <c r="M52" s="19"/>
      <c r="N52" s="19"/>
      <c r="O52" s="19"/>
      <c r="P52" s="12"/>
      <c r="Q52" s="18"/>
      <c r="R52" s="12"/>
      <c r="S52" s="12" t="s">
        <v>298</v>
      </c>
    </row>
    <row r="53" spans="1:19" ht="38.25" x14ac:dyDescent="0.25">
      <c r="A53" s="15" t="s">
        <v>452</v>
      </c>
      <c r="B53" s="16">
        <v>3</v>
      </c>
      <c r="C53" s="12" t="s">
        <v>106</v>
      </c>
      <c r="D53" s="18" t="s">
        <v>453</v>
      </c>
      <c r="E53" s="18" t="s">
        <v>454</v>
      </c>
      <c r="F53" s="12" t="s">
        <v>195</v>
      </c>
      <c r="G53" s="12" t="s">
        <v>60</v>
      </c>
      <c r="H53" s="18"/>
      <c r="I53" s="18"/>
      <c r="J53" s="18" t="s">
        <v>451</v>
      </c>
      <c r="K53" s="18" t="s">
        <v>439</v>
      </c>
      <c r="L53" s="12" t="s">
        <v>264</v>
      </c>
      <c r="M53" s="19"/>
      <c r="N53" s="19"/>
      <c r="O53" s="19"/>
      <c r="P53" s="12"/>
      <c r="Q53" s="18"/>
      <c r="R53" s="12"/>
      <c r="S53" s="12" t="s">
        <v>298</v>
      </c>
    </row>
    <row r="54" spans="1:19" ht="140.25" x14ac:dyDescent="0.25">
      <c r="A54" s="15" t="s">
        <v>455</v>
      </c>
      <c r="B54" s="16">
        <v>3</v>
      </c>
      <c r="C54" s="12" t="s">
        <v>106</v>
      </c>
      <c r="D54" s="18" t="s">
        <v>456</v>
      </c>
      <c r="E54" s="18" t="s">
        <v>457</v>
      </c>
      <c r="F54" s="12" t="s">
        <v>180</v>
      </c>
      <c r="G54" s="12" t="s">
        <v>63</v>
      </c>
      <c r="H54" s="18"/>
      <c r="I54" s="18" t="s">
        <v>458</v>
      </c>
      <c r="J54" s="18" t="s">
        <v>459</v>
      </c>
      <c r="K54" s="18" t="s">
        <v>439</v>
      </c>
      <c r="L54" s="12" t="s">
        <v>254</v>
      </c>
      <c r="M54" s="19">
        <v>46292.373935185176</v>
      </c>
      <c r="N54" s="19"/>
      <c r="O54" s="19"/>
      <c r="P54" s="12" t="s">
        <v>353</v>
      </c>
      <c r="Q54" s="18" t="s">
        <v>460</v>
      </c>
      <c r="R54" s="12"/>
      <c r="S54" s="12" t="s">
        <v>298</v>
      </c>
    </row>
    <row r="55" spans="1:19" ht="140.25" x14ac:dyDescent="0.25">
      <c r="A55" s="15" t="s">
        <v>461</v>
      </c>
      <c r="B55" s="16">
        <v>3</v>
      </c>
      <c r="C55" s="12" t="s">
        <v>106</v>
      </c>
      <c r="D55" s="18" t="s">
        <v>462</v>
      </c>
      <c r="E55" s="18" t="s">
        <v>463</v>
      </c>
      <c r="F55" s="12" t="s">
        <v>180</v>
      </c>
      <c r="G55" s="12" t="s">
        <v>63</v>
      </c>
      <c r="H55" s="18"/>
      <c r="I55" s="18" t="s">
        <v>464</v>
      </c>
      <c r="J55" s="18" t="s">
        <v>459</v>
      </c>
      <c r="K55" s="18" t="s">
        <v>439</v>
      </c>
      <c r="L55" s="12" t="s">
        <v>254</v>
      </c>
      <c r="M55" s="19">
        <v>46292.373981481483</v>
      </c>
      <c r="N55" s="19"/>
      <c r="O55" s="19"/>
      <c r="P55" s="12" t="s">
        <v>353</v>
      </c>
      <c r="Q55" s="18" t="s">
        <v>465</v>
      </c>
      <c r="R55" s="12"/>
      <c r="S55" s="12" t="s">
        <v>466</v>
      </c>
    </row>
    <row r="56" spans="1:19" ht="25.5" x14ac:dyDescent="0.25">
      <c r="A56" s="15" t="s">
        <v>467</v>
      </c>
      <c r="B56" s="16">
        <v>3</v>
      </c>
      <c r="C56" s="12" t="s">
        <v>106</v>
      </c>
      <c r="D56" s="18" t="s">
        <v>468</v>
      </c>
      <c r="E56" s="18" t="s">
        <v>469</v>
      </c>
      <c r="F56" s="12" t="s">
        <v>180</v>
      </c>
      <c r="G56" s="12" t="s">
        <v>60</v>
      </c>
      <c r="H56" s="18"/>
      <c r="I56" s="18"/>
      <c r="J56" s="18" t="s">
        <v>459</v>
      </c>
      <c r="K56" s="18" t="s">
        <v>439</v>
      </c>
      <c r="L56" s="12" t="s">
        <v>254</v>
      </c>
      <c r="M56" s="19"/>
      <c r="N56" s="19"/>
      <c r="O56" s="19"/>
      <c r="P56" s="12"/>
      <c r="Q56" s="18"/>
      <c r="R56" s="12"/>
      <c r="S56" s="12" t="s">
        <v>314</v>
      </c>
    </row>
    <row r="57" spans="1:19" ht="25.5" x14ac:dyDescent="0.25">
      <c r="A57" s="15" t="s">
        <v>470</v>
      </c>
      <c r="B57" s="16">
        <v>3</v>
      </c>
      <c r="C57" s="12" t="s">
        <v>106</v>
      </c>
      <c r="D57" s="18" t="s">
        <v>471</v>
      </c>
      <c r="E57" s="18" t="s">
        <v>472</v>
      </c>
      <c r="F57" s="12" t="s">
        <v>180</v>
      </c>
      <c r="G57" s="12" t="s">
        <v>63</v>
      </c>
      <c r="H57" s="18"/>
      <c r="I57" s="18"/>
      <c r="J57" s="18" t="s">
        <v>459</v>
      </c>
      <c r="K57" s="18" t="s">
        <v>439</v>
      </c>
      <c r="L57" s="12" t="s">
        <v>264</v>
      </c>
      <c r="M57" s="19">
        <v>46292.190092592587</v>
      </c>
      <c r="N57" s="19"/>
      <c r="O57" s="19"/>
      <c r="P57" s="12"/>
      <c r="Q57" s="18" t="s">
        <v>473</v>
      </c>
      <c r="R57" s="12"/>
      <c r="S57" s="12" t="s">
        <v>304</v>
      </c>
    </row>
    <row r="58" spans="1:19" x14ac:dyDescent="0.25">
      <c r="A58" s="15" t="s">
        <v>474</v>
      </c>
      <c r="B58" s="16">
        <v>3</v>
      </c>
      <c r="C58" s="12" t="s">
        <v>106</v>
      </c>
      <c r="D58" s="18" t="s">
        <v>475</v>
      </c>
      <c r="E58" s="18" t="s">
        <v>476</v>
      </c>
      <c r="F58" s="12" t="s">
        <v>195</v>
      </c>
      <c r="G58" s="12" t="s">
        <v>60</v>
      </c>
      <c r="H58" s="18"/>
      <c r="I58" s="18"/>
      <c r="J58" s="18" t="s">
        <v>335</v>
      </c>
      <c r="K58" s="18" t="s">
        <v>439</v>
      </c>
      <c r="L58" s="12" t="s">
        <v>264</v>
      </c>
      <c r="M58" s="19"/>
      <c r="N58" s="19"/>
      <c r="O58" s="19"/>
      <c r="P58" s="12"/>
      <c r="Q58" s="18"/>
      <c r="R58" s="12"/>
      <c r="S58" s="12" t="s">
        <v>298</v>
      </c>
    </row>
    <row r="59" spans="1:19" ht="38.25" x14ac:dyDescent="0.25">
      <c r="A59" s="15" t="s">
        <v>477</v>
      </c>
      <c r="B59" s="16">
        <v>3</v>
      </c>
      <c r="C59" s="12" t="s">
        <v>106</v>
      </c>
      <c r="D59" s="18" t="s">
        <v>478</v>
      </c>
      <c r="E59" s="18" t="s">
        <v>479</v>
      </c>
      <c r="F59" s="12" t="s">
        <v>195</v>
      </c>
      <c r="G59" s="12" t="s">
        <v>60</v>
      </c>
      <c r="H59" s="18"/>
      <c r="I59" s="18"/>
      <c r="J59" s="18" t="s">
        <v>480</v>
      </c>
      <c r="K59" s="18" t="s">
        <v>439</v>
      </c>
      <c r="L59" s="12" t="s">
        <v>264</v>
      </c>
      <c r="M59" s="19"/>
      <c r="N59" s="19"/>
      <c r="O59" s="19"/>
      <c r="P59" s="12"/>
      <c r="Q59" s="18"/>
      <c r="R59" s="12"/>
      <c r="S59" s="12" t="s">
        <v>481</v>
      </c>
    </row>
    <row r="60" spans="1:19" ht="25.5" x14ac:dyDescent="0.25">
      <c r="A60" s="15" t="s">
        <v>482</v>
      </c>
      <c r="B60" s="16">
        <v>3</v>
      </c>
      <c r="C60" s="12" t="s">
        <v>106</v>
      </c>
      <c r="D60" s="18" t="s">
        <v>483</v>
      </c>
      <c r="E60" s="18" t="s">
        <v>484</v>
      </c>
      <c r="F60" s="12" t="s">
        <v>195</v>
      </c>
      <c r="G60" s="12" t="s">
        <v>60</v>
      </c>
      <c r="H60" s="18"/>
      <c r="I60" s="18"/>
      <c r="J60" s="18" t="s">
        <v>335</v>
      </c>
      <c r="K60" s="18" t="s">
        <v>439</v>
      </c>
      <c r="L60" s="12" t="s">
        <v>184</v>
      </c>
      <c r="M60" s="19"/>
      <c r="N60" s="19"/>
      <c r="O60" s="19"/>
      <c r="P60" s="12"/>
      <c r="Q60" s="18"/>
      <c r="R60" s="12"/>
      <c r="S60" s="12" t="s">
        <v>485</v>
      </c>
    </row>
    <row r="61" spans="1:19" x14ac:dyDescent="0.25">
      <c r="A61" s="15" t="s">
        <v>486</v>
      </c>
      <c r="B61" s="16">
        <v>3</v>
      </c>
      <c r="C61" s="12" t="s">
        <v>106</v>
      </c>
      <c r="D61" s="18" t="s">
        <v>487</v>
      </c>
      <c r="E61" s="18" t="s">
        <v>488</v>
      </c>
      <c r="F61" s="12" t="s">
        <v>195</v>
      </c>
      <c r="G61" s="12" t="s">
        <v>60</v>
      </c>
      <c r="H61" s="18"/>
      <c r="I61" s="18"/>
      <c r="J61" s="18" t="s">
        <v>480</v>
      </c>
      <c r="K61" s="18" t="s">
        <v>439</v>
      </c>
      <c r="L61" s="12" t="s">
        <v>264</v>
      </c>
      <c r="M61" s="19"/>
      <c r="N61" s="19"/>
      <c r="O61" s="19"/>
      <c r="P61" s="12"/>
      <c r="Q61" s="18"/>
      <c r="R61" s="12"/>
      <c r="S61" s="12" t="s">
        <v>298</v>
      </c>
    </row>
    <row r="62" spans="1:19" x14ac:dyDescent="0.25">
      <c r="A62" s="15" t="s">
        <v>489</v>
      </c>
      <c r="B62" s="16">
        <v>3</v>
      </c>
      <c r="C62" s="12" t="s">
        <v>106</v>
      </c>
      <c r="D62" s="18" t="s">
        <v>490</v>
      </c>
      <c r="E62" s="18" t="s">
        <v>491</v>
      </c>
      <c r="F62" s="12" t="s">
        <v>195</v>
      </c>
      <c r="G62" s="12" t="s">
        <v>60</v>
      </c>
      <c r="H62" s="18"/>
      <c r="I62" s="18"/>
      <c r="J62" s="18" t="s">
        <v>480</v>
      </c>
      <c r="K62" s="18" t="s">
        <v>439</v>
      </c>
      <c r="L62" s="12" t="s">
        <v>264</v>
      </c>
      <c r="M62" s="19"/>
      <c r="N62" s="19"/>
      <c r="O62" s="19"/>
      <c r="P62" s="12"/>
      <c r="Q62" s="18"/>
      <c r="R62" s="12"/>
      <c r="S62" s="12" t="s">
        <v>485</v>
      </c>
    </row>
    <row r="63" spans="1:19" x14ac:dyDescent="0.25">
      <c r="A63" s="15" t="s">
        <v>492</v>
      </c>
      <c r="B63" s="16">
        <v>3</v>
      </c>
      <c r="C63" s="12" t="s">
        <v>106</v>
      </c>
      <c r="D63" s="18" t="s">
        <v>493</v>
      </c>
      <c r="E63" s="18" t="s">
        <v>494</v>
      </c>
      <c r="F63" s="12" t="s">
        <v>195</v>
      </c>
      <c r="G63" s="12" t="s">
        <v>60</v>
      </c>
      <c r="H63" s="18"/>
      <c r="I63" s="18"/>
      <c r="J63" s="18" t="s">
        <v>335</v>
      </c>
      <c r="K63" s="18" t="s">
        <v>439</v>
      </c>
      <c r="L63" s="12" t="s">
        <v>264</v>
      </c>
      <c r="M63" s="19"/>
      <c r="N63" s="19"/>
      <c r="O63" s="19"/>
      <c r="P63" s="12"/>
      <c r="Q63" s="18"/>
      <c r="R63" s="12"/>
      <c r="S63" s="12" t="s">
        <v>298</v>
      </c>
    </row>
    <row r="64" spans="1:19" x14ac:dyDescent="0.25">
      <c r="A64" s="15" t="s">
        <v>495</v>
      </c>
      <c r="B64" s="16">
        <v>3</v>
      </c>
      <c r="C64" s="12" t="s">
        <v>106</v>
      </c>
      <c r="D64" s="18" t="s">
        <v>496</v>
      </c>
      <c r="E64" s="18" t="s">
        <v>497</v>
      </c>
      <c r="F64" s="12" t="s">
        <v>180</v>
      </c>
      <c r="G64" s="12" t="s">
        <v>60</v>
      </c>
      <c r="H64" s="18"/>
      <c r="I64" s="18"/>
      <c r="J64" s="18" t="s">
        <v>498</v>
      </c>
      <c r="K64" s="18" t="s">
        <v>448</v>
      </c>
      <c r="L64" s="12" t="s">
        <v>264</v>
      </c>
      <c r="M64" s="19"/>
      <c r="N64" s="19"/>
      <c r="O64" s="19"/>
      <c r="P64" s="12"/>
      <c r="Q64" s="18"/>
      <c r="R64" s="12"/>
      <c r="S64" s="12" t="s">
        <v>298</v>
      </c>
    </row>
    <row r="65" spans="1:19" ht="63.75" x14ac:dyDescent="0.25">
      <c r="A65" s="15" t="s">
        <v>499</v>
      </c>
      <c r="B65" s="16">
        <v>3</v>
      </c>
      <c r="C65" s="12" t="s">
        <v>106</v>
      </c>
      <c r="D65" s="18" t="s">
        <v>500</v>
      </c>
      <c r="E65" s="18" t="s">
        <v>501</v>
      </c>
      <c r="F65" s="12" t="s">
        <v>180</v>
      </c>
      <c r="G65" s="12" t="s">
        <v>63</v>
      </c>
      <c r="H65" s="18"/>
      <c r="I65" s="18" t="s">
        <v>502</v>
      </c>
      <c r="J65" s="18" t="s">
        <v>352</v>
      </c>
      <c r="K65" s="18"/>
      <c r="L65" s="12" t="s">
        <v>184</v>
      </c>
      <c r="M65" s="19">
        <v>46292.374050925922</v>
      </c>
      <c r="N65" s="19"/>
      <c r="O65" s="19"/>
      <c r="P65" s="12" t="s">
        <v>353</v>
      </c>
      <c r="Q65" s="18" t="s">
        <v>503</v>
      </c>
      <c r="R65" s="12"/>
      <c r="S65" s="12" t="s">
        <v>504</v>
      </c>
    </row>
    <row r="66" spans="1:19" ht="25.5" x14ac:dyDescent="0.25">
      <c r="A66" s="15" t="s">
        <v>505</v>
      </c>
      <c r="B66" s="16">
        <v>3</v>
      </c>
      <c r="C66" s="12" t="s">
        <v>116</v>
      </c>
      <c r="D66" s="18" t="s">
        <v>506</v>
      </c>
      <c r="E66" s="18" t="s">
        <v>507</v>
      </c>
      <c r="F66" s="12" t="s">
        <v>180</v>
      </c>
      <c r="G66" s="12" t="s">
        <v>60</v>
      </c>
      <c r="H66" s="18"/>
      <c r="I66" s="18"/>
      <c r="J66" s="18" t="s">
        <v>508</v>
      </c>
      <c r="K66" s="18"/>
      <c r="L66" s="12" t="s">
        <v>264</v>
      </c>
      <c r="M66" s="19"/>
      <c r="N66" s="19"/>
      <c r="O66" s="19"/>
      <c r="P66" s="12"/>
      <c r="Q66" s="18"/>
      <c r="R66" s="12"/>
      <c r="S66" s="12" t="s">
        <v>298</v>
      </c>
    </row>
    <row r="67" spans="1:19" ht="25.5" x14ac:dyDescent="0.25">
      <c r="A67" s="15" t="s">
        <v>509</v>
      </c>
      <c r="B67" s="16">
        <v>3</v>
      </c>
      <c r="C67" s="12" t="s">
        <v>72</v>
      </c>
      <c r="D67" s="18" t="s">
        <v>510</v>
      </c>
      <c r="E67" s="18" t="s">
        <v>511</v>
      </c>
      <c r="F67" s="12" t="s">
        <v>180</v>
      </c>
      <c r="G67" s="12" t="s">
        <v>60</v>
      </c>
      <c r="H67" s="18"/>
      <c r="I67" s="18"/>
      <c r="J67" s="18" t="s">
        <v>512</v>
      </c>
      <c r="K67" s="18"/>
      <c r="L67" s="12" t="s">
        <v>184</v>
      </c>
      <c r="M67" s="19"/>
      <c r="N67" s="19"/>
      <c r="O67" s="19"/>
      <c r="P67" s="12"/>
      <c r="Q67" s="18"/>
      <c r="R67" s="12"/>
      <c r="S67" s="12" t="s">
        <v>381</v>
      </c>
    </row>
    <row r="68" spans="1:19" x14ac:dyDescent="0.25">
      <c r="A68" s="15" t="s">
        <v>513</v>
      </c>
      <c r="B68" s="16">
        <v>3</v>
      </c>
      <c r="C68" s="12" t="s">
        <v>72</v>
      </c>
      <c r="D68" s="18" t="s">
        <v>514</v>
      </c>
      <c r="E68" s="18" t="s">
        <v>515</v>
      </c>
      <c r="F68" s="12" t="s">
        <v>180</v>
      </c>
      <c r="G68" s="12" t="s">
        <v>60</v>
      </c>
      <c r="H68" s="18"/>
      <c r="I68" s="18"/>
      <c r="J68" s="18" t="s">
        <v>204</v>
      </c>
      <c r="K68" s="18" t="s">
        <v>509</v>
      </c>
      <c r="L68" s="12" t="s">
        <v>184</v>
      </c>
      <c r="M68" s="19"/>
      <c r="N68" s="19"/>
      <c r="O68" s="19"/>
      <c r="P68" s="12"/>
      <c r="Q68" s="18"/>
      <c r="R68" s="12" t="s">
        <v>509</v>
      </c>
      <c r="S68" s="12" t="s">
        <v>381</v>
      </c>
    </row>
    <row r="69" spans="1:19" ht="38.25" x14ac:dyDescent="0.25">
      <c r="A69" s="15" t="s">
        <v>516</v>
      </c>
      <c r="B69" s="16">
        <v>3</v>
      </c>
      <c r="C69" s="12" t="s">
        <v>72</v>
      </c>
      <c r="D69" s="18" t="s">
        <v>517</v>
      </c>
      <c r="E69" s="18" t="s">
        <v>518</v>
      </c>
      <c r="F69" s="12" t="s">
        <v>180</v>
      </c>
      <c r="G69" s="12" t="s">
        <v>60</v>
      </c>
      <c r="H69" s="18"/>
      <c r="I69" s="18"/>
      <c r="J69" s="18" t="s">
        <v>204</v>
      </c>
      <c r="K69" s="18" t="s">
        <v>513</v>
      </c>
      <c r="L69" s="12" t="s">
        <v>264</v>
      </c>
      <c r="M69" s="19"/>
      <c r="N69" s="19"/>
      <c r="O69" s="19"/>
      <c r="P69" s="12"/>
      <c r="Q69" s="18"/>
      <c r="R69" s="12" t="s">
        <v>509</v>
      </c>
      <c r="S69" s="12" t="s">
        <v>381</v>
      </c>
    </row>
    <row r="70" spans="1:19" ht="25.5" x14ac:dyDescent="0.25">
      <c r="A70" s="15" t="s">
        <v>519</v>
      </c>
      <c r="B70" s="16">
        <v>3</v>
      </c>
      <c r="C70" s="12" t="s">
        <v>72</v>
      </c>
      <c r="D70" s="18" t="s">
        <v>520</v>
      </c>
      <c r="E70" s="18" t="s">
        <v>521</v>
      </c>
      <c r="F70" s="12" t="s">
        <v>195</v>
      </c>
      <c r="G70" s="12" t="s">
        <v>60</v>
      </c>
      <c r="H70" s="18"/>
      <c r="I70" s="18"/>
      <c r="J70" s="18" t="s">
        <v>204</v>
      </c>
      <c r="K70" s="18" t="s">
        <v>516</v>
      </c>
      <c r="L70" s="12" t="s">
        <v>184</v>
      </c>
      <c r="M70" s="19"/>
      <c r="N70" s="19"/>
      <c r="O70" s="19"/>
      <c r="P70" s="12"/>
      <c r="Q70" s="18"/>
      <c r="R70" s="12"/>
      <c r="S70" s="12" t="s">
        <v>381</v>
      </c>
    </row>
    <row r="71" spans="1:19" ht="38.25" x14ac:dyDescent="0.25">
      <c r="A71" s="15" t="s">
        <v>522</v>
      </c>
      <c r="B71" s="16">
        <v>3</v>
      </c>
      <c r="C71" s="12" t="s">
        <v>106</v>
      </c>
      <c r="D71" s="18" t="s">
        <v>523</v>
      </c>
      <c r="E71" s="18" t="s">
        <v>524</v>
      </c>
      <c r="F71" s="12" t="s">
        <v>180</v>
      </c>
      <c r="G71" s="12" t="s">
        <v>60</v>
      </c>
      <c r="H71" s="18"/>
      <c r="I71" s="18"/>
      <c r="J71" s="18" t="s">
        <v>352</v>
      </c>
      <c r="K71" s="18" t="s">
        <v>248</v>
      </c>
      <c r="L71" s="12" t="s">
        <v>254</v>
      </c>
      <c r="M71" s="19"/>
      <c r="N71" s="19"/>
      <c r="O71" s="19"/>
      <c r="P71" s="12"/>
      <c r="Q71" s="18"/>
      <c r="R71" s="12"/>
      <c r="S71" s="12" t="s">
        <v>525</v>
      </c>
    </row>
    <row r="72" spans="1:19" ht="25.5" x14ac:dyDescent="0.25">
      <c r="A72" s="15" t="s">
        <v>526</v>
      </c>
      <c r="B72" s="16">
        <v>4</v>
      </c>
      <c r="C72" s="12" t="s">
        <v>122</v>
      </c>
      <c r="D72" s="18" t="s">
        <v>527</v>
      </c>
      <c r="E72" s="18" t="s">
        <v>528</v>
      </c>
      <c r="F72" s="12" t="s">
        <v>180</v>
      </c>
      <c r="G72" s="12" t="s">
        <v>60</v>
      </c>
      <c r="H72" s="18"/>
      <c r="I72" s="18"/>
      <c r="J72" s="18" t="s">
        <v>352</v>
      </c>
      <c r="K72" s="18"/>
      <c r="L72" s="12" t="s">
        <v>264</v>
      </c>
      <c r="M72" s="19"/>
      <c r="N72" s="19"/>
      <c r="O72" s="19"/>
      <c r="P72" s="12"/>
      <c r="Q72" s="18"/>
      <c r="R72" s="12"/>
      <c r="S72" s="12" t="s">
        <v>529</v>
      </c>
    </row>
    <row r="73" spans="1:19" x14ac:dyDescent="0.25">
      <c r="A73" s="15" t="s">
        <v>530</v>
      </c>
      <c r="B73" s="16">
        <v>4</v>
      </c>
      <c r="C73" s="12" t="s">
        <v>122</v>
      </c>
      <c r="D73" s="18" t="s">
        <v>531</v>
      </c>
      <c r="E73" s="18" t="s">
        <v>532</v>
      </c>
      <c r="F73" s="12" t="s">
        <v>180</v>
      </c>
      <c r="G73" s="12" t="s">
        <v>60</v>
      </c>
      <c r="H73" s="18"/>
      <c r="I73" s="18"/>
      <c r="J73" s="18" t="s">
        <v>352</v>
      </c>
      <c r="K73" s="18"/>
      <c r="L73" s="12" t="s">
        <v>184</v>
      </c>
      <c r="M73" s="19"/>
      <c r="N73" s="19"/>
      <c r="O73" s="19"/>
      <c r="P73" s="12"/>
      <c r="Q73" s="18"/>
      <c r="R73" s="12"/>
      <c r="S73" s="12" t="s">
        <v>529</v>
      </c>
    </row>
    <row r="74" spans="1:19" ht="38.25" x14ac:dyDescent="0.25">
      <c r="A74" s="15" t="s">
        <v>533</v>
      </c>
      <c r="B74" s="16">
        <v>4</v>
      </c>
      <c r="C74" s="12" t="s">
        <v>122</v>
      </c>
      <c r="D74" s="18" t="s">
        <v>534</v>
      </c>
      <c r="E74" s="18" t="s">
        <v>535</v>
      </c>
      <c r="F74" s="12" t="s">
        <v>180</v>
      </c>
      <c r="G74" s="12" t="s">
        <v>60</v>
      </c>
      <c r="H74" s="18"/>
      <c r="I74" s="18"/>
      <c r="J74" s="18" t="s">
        <v>536</v>
      </c>
      <c r="K74" s="18"/>
      <c r="L74" s="12" t="s">
        <v>254</v>
      </c>
      <c r="M74" s="19"/>
      <c r="N74" s="19"/>
      <c r="O74" s="19"/>
      <c r="P74" s="12"/>
      <c r="Q74" s="18"/>
      <c r="R74" s="12"/>
      <c r="S74" s="12" t="s">
        <v>537</v>
      </c>
    </row>
    <row r="75" spans="1:19" x14ac:dyDescent="0.25">
      <c r="A75" s="15" t="s">
        <v>538</v>
      </c>
      <c r="B75" s="16">
        <v>4</v>
      </c>
      <c r="C75" s="12" t="s">
        <v>122</v>
      </c>
      <c r="D75" s="18" t="s">
        <v>539</v>
      </c>
      <c r="E75" s="18" t="s">
        <v>540</v>
      </c>
      <c r="F75" s="12" t="s">
        <v>195</v>
      </c>
      <c r="G75" s="12" t="s">
        <v>60</v>
      </c>
      <c r="H75" s="18"/>
      <c r="I75" s="18"/>
      <c r="J75" s="18" t="s">
        <v>536</v>
      </c>
      <c r="K75" s="18"/>
      <c r="L75" s="12" t="s">
        <v>264</v>
      </c>
      <c r="M75" s="19"/>
      <c r="N75" s="19"/>
      <c r="O75" s="19"/>
      <c r="P75" s="12"/>
      <c r="Q75" s="18"/>
      <c r="R75" s="12"/>
      <c r="S75" s="12" t="s">
        <v>537</v>
      </c>
    </row>
    <row r="76" spans="1:19" ht="25.5" x14ac:dyDescent="0.25">
      <c r="A76" s="15" t="s">
        <v>541</v>
      </c>
      <c r="B76" s="16">
        <v>4</v>
      </c>
      <c r="C76" s="12" t="s">
        <v>122</v>
      </c>
      <c r="D76" s="18" t="s">
        <v>542</v>
      </c>
      <c r="E76" s="18" t="s">
        <v>543</v>
      </c>
      <c r="F76" s="12" t="s">
        <v>180</v>
      </c>
      <c r="G76" s="12" t="s">
        <v>60</v>
      </c>
      <c r="H76" s="18"/>
      <c r="I76" s="18"/>
      <c r="J76" s="18" t="s">
        <v>544</v>
      </c>
      <c r="K76" s="18"/>
      <c r="L76" s="12" t="s">
        <v>264</v>
      </c>
      <c r="M76" s="19"/>
      <c r="N76" s="19"/>
      <c r="O76" s="19"/>
      <c r="P76" s="12"/>
      <c r="Q76" s="18"/>
      <c r="R76" s="12"/>
      <c r="S76" s="12" t="s">
        <v>545</v>
      </c>
    </row>
    <row r="77" spans="1:19" ht="25.5" x14ac:dyDescent="0.25">
      <c r="A77" s="15" t="s">
        <v>546</v>
      </c>
      <c r="B77" s="16">
        <v>4</v>
      </c>
      <c r="C77" s="12" t="s">
        <v>122</v>
      </c>
      <c r="D77" s="18" t="s">
        <v>547</v>
      </c>
      <c r="E77" s="18" t="s">
        <v>548</v>
      </c>
      <c r="F77" s="12" t="s">
        <v>180</v>
      </c>
      <c r="G77" s="12" t="s">
        <v>60</v>
      </c>
      <c r="H77" s="18"/>
      <c r="I77" s="18"/>
      <c r="J77" s="18" t="s">
        <v>335</v>
      </c>
      <c r="K77" s="18"/>
      <c r="L77" s="12" t="s">
        <v>264</v>
      </c>
      <c r="M77" s="19"/>
      <c r="N77" s="19"/>
      <c r="O77" s="19"/>
      <c r="P77" s="12"/>
      <c r="Q77" s="18"/>
      <c r="R77" s="12"/>
      <c r="S77" s="12" t="s">
        <v>545</v>
      </c>
    </row>
    <row r="78" spans="1:19" x14ac:dyDescent="0.25">
      <c r="A78" s="15" t="s">
        <v>549</v>
      </c>
      <c r="B78" s="16">
        <v>4</v>
      </c>
      <c r="C78" s="12" t="s">
        <v>122</v>
      </c>
      <c r="D78" s="18" t="s">
        <v>550</v>
      </c>
      <c r="E78" s="18" t="s">
        <v>551</v>
      </c>
      <c r="F78" s="12" t="s">
        <v>195</v>
      </c>
      <c r="G78" s="12" t="s">
        <v>60</v>
      </c>
      <c r="H78" s="18"/>
      <c r="I78" s="18"/>
      <c r="J78" s="18" t="s">
        <v>335</v>
      </c>
      <c r="K78" s="18" t="s">
        <v>541</v>
      </c>
      <c r="L78" s="12" t="s">
        <v>184</v>
      </c>
      <c r="M78" s="19"/>
      <c r="N78" s="19"/>
      <c r="O78" s="19"/>
      <c r="P78" s="12"/>
      <c r="Q78" s="18"/>
      <c r="R78" s="12"/>
      <c r="S78" s="12" t="s">
        <v>545</v>
      </c>
    </row>
    <row r="79" spans="1:19" x14ac:dyDescent="0.25">
      <c r="A79" s="15" t="s">
        <v>552</v>
      </c>
      <c r="B79" s="16">
        <v>4</v>
      </c>
      <c r="C79" s="12" t="s">
        <v>122</v>
      </c>
      <c r="D79" s="18" t="s">
        <v>553</v>
      </c>
      <c r="E79" s="18" t="s">
        <v>554</v>
      </c>
      <c r="F79" s="12" t="s">
        <v>195</v>
      </c>
      <c r="G79" s="12" t="s">
        <v>60</v>
      </c>
      <c r="H79" s="18"/>
      <c r="I79" s="18"/>
      <c r="J79" s="18" t="s">
        <v>536</v>
      </c>
      <c r="K79" s="18"/>
      <c r="L79" s="12" t="s">
        <v>184</v>
      </c>
      <c r="M79" s="19"/>
      <c r="N79" s="19"/>
      <c r="O79" s="19"/>
      <c r="P79" s="12"/>
      <c r="Q79" s="18"/>
      <c r="R79" s="12"/>
      <c r="S79" s="12"/>
    </row>
    <row r="80" spans="1:19" x14ac:dyDescent="0.25">
      <c r="A80" s="15" t="s">
        <v>555</v>
      </c>
      <c r="B80" s="16">
        <v>4</v>
      </c>
      <c r="C80" s="12" t="s">
        <v>122</v>
      </c>
      <c r="D80" s="18" t="s">
        <v>556</v>
      </c>
      <c r="E80" s="18" t="s">
        <v>557</v>
      </c>
      <c r="F80" s="12" t="s">
        <v>195</v>
      </c>
      <c r="G80" s="12" t="s">
        <v>60</v>
      </c>
      <c r="H80" s="18"/>
      <c r="I80" s="18"/>
      <c r="J80" s="18" t="s">
        <v>398</v>
      </c>
      <c r="K80" s="18" t="s">
        <v>425</v>
      </c>
      <c r="L80" s="12" t="s">
        <v>264</v>
      </c>
      <c r="M80" s="19"/>
      <c r="N80" s="19"/>
      <c r="O80" s="19"/>
      <c r="P80" s="12"/>
      <c r="Q80" s="18"/>
      <c r="R80" s="12"/>
      <c r="S80" s="12"/>
    </row>
    <row r="81" spans="1:19" ht="25.5" x14ac:dyDescent="0.25">
      <c r="A81" s="15" t="s">
        <v>558</v>
      </c>
      <c r="B81" s="16">
        <v>4</v>
      </c>
      <c r="C81" s="12" t="s">
        <v>122</v>
      </c>
      <c r="D81" s="18" t="s">
        <v>559</v>
      </c>
      <c r="E81" s="18" t="s">
        <v>560</v>
      </c>
      <c r="F81" s="12" t="s">
        <v>195</v>
      </c>
      <c r="G81" s="12" t="s">
        <v>60</v>
      </c>
      <c r="H81" s="18"/>
      <c r="I81" s="18"/>
      <c r="J81" s="18" t="s">
        <v>561</v>
      </c>
      <c r="K81" s="18"/>
      <c r="L81" s="12" t="s">
        <v>184</v>
      </c>
      <c r="M81" s="19"/>
      <c r="N81" s="19"/>
      <c r="O81" s="19"/>
      <c r="P81" s="12"/>
      <c r="Q81" s="18"/>
      <c r="R81" s="12"/>
      <c r="S81" s="12" t="s">
        <v>529</v>
      </c>
    </row>
    <row r="82" spans="1:19" x14ac:dyDescent="0.25">
      <c r="A82" s="15" t="s">
        <v>562</v>
      </c>
      <c r="B82" s="16">
        <v>4</v>
      </c>
      <c r="C82" s="12" t="s">
        <v>122</v>
      </c>
      <c r="D82" s="18" t="s">
        <v>563</v>
      </c>
      <c r="E82" s="18" t="s">
        <v>564</v>
      </c>
      <c r="F82" s="12" t="s">
        <v>308</v>
      </c>
      <c r="G82" s="12" t="s">
        <v>60</v>
      </c>
      <c r="H82" s="18"/>
      <c r="I82" s="18"/>
      <c r="J82" s="18" t="s">
        <v>210</v>
      </c>
      <c r="K82" s="18"/>
      <c r="L82" s="12" t="s">
        <v>264</v>
      </c>
      <c r="M82" s="19"/>
      <c r="N82" s="19"/>
      <c r="O82" s="19"/>
      <c r="P82" s="12"/>
      <c r="Q82" s="18"/>
      <c r="R82" s="12"/>
      <c r="S82" s="12"/>
    </row>
    <row r="83" spans="1:19" ht="25.5" x14ac:dyDescent="0.25">
      <c r="A83" s="15" t="s">
        <v>565</v>
      </c>
      <c r="B83" s="16">
        <v>4</v>
      </c>
      <c r="C83" s="12" t="s">
        <v>72</v>
      </c>
      <c r="D83" s="18" t="s">
        <v>566</v>
      </c>
      <c r="E83" s="18" t="s">
        <v>567</v>
      </c>
      <c r="F83" s="12" t="s">
        <v>180</v>
      </c>
      <c r="G83" s="12" t="s">
        <v>60</v>
      </c>
      <c r="H83" s="18"/>
      <c r="I83" s="18"/>
      <c r="J83" s="18" t="s">
        <v>204</v>
      </c>
      <c r="K83" s="18" t="s">
        <v>568</v>
      </c>
      <c r="L83" s="12" t="s">
        <v>184</v>
      </c>
      <c r="M83" s="19"/>
      <c r="N83" s="19"/>
      <c r="O83" s="19"/>
      <c r="P83" s="12"/>
      <c r="Q83" s="18"/>
      <c r="R83" s="12"/>
      <c r="S83" s="12" t="s">
        <v>569</v>
      </c>
    </row>
    <row r="84" spans="1:19" ht="63.75" x14ac:dyDescent="0.25">
      <c r="A84" s="15" t="s">
        <v>570</v>
      </c>
      <c r="B84" s="16">
        <v>4</v>
      </c>
      <c r="C84" s="12" t="s">
        <v>122</v>
      </c>
      <c r="D84" s="18" t="s">
        <v>571</v>
      </c>
      <c r="E84" s="18" t="s">
        <v>572</v>
      </c>
      <c r="F84" s="12" t="s">
        <v>308</v>
      </c>
      <c r="G84" s="12" t="s">
        <v>66</v>
      </c>
      <c r="H84" s="18"/>
      <c r="I84" s="18"/>
      <c r="J84" s="18" t="s">
        <v>573</v>
      </c>
      <c r="K84" s="18"/>
      <c r="L84" s="12" t="s">
        <v>184</v>
      </c>
      <c r="M84" s="19">
        <v>46292.170868055553</v>
      </c>
      <c r="N84" s="19"/>
      <c r="O84" s="19"/>
      <c r="P84" s="12"/>
      <c r="Q84" s="18" t="s">
        <v>574</v>
      </c>
      <c r="R84" s="12"/>
      <c r="S84" s="12"/>
    </row>
    <row r="85" spans="1:19" ht="153" x14ac:dyDescent="0.25">
      <c r="A85" s="15" t="s">
        <v>575</v>
      </c>
      <c r="B85" s="16">
        <v>4</v>
      </c>
      <c r="C85" s="12" t="s">
        <v>122</v>
      </c>
      <c r="D85" s="18" t="s">
        <v>576</v>
      </c>
      <c r="E85" s="18" t="s">
        <v>577</v>
      </c>
      <c r="F85" s="12" t="s">
        <v>180</v>
      </c>
      <c r="G85" s="12" t="s">
        <v>75</v>
      </c>
      <c r="H85" s="18" t="s">
        <v>578</v>
      </c>
      <c r="I85" s="18" t="s">
        <v>579</v>
      </c>
      <c r="J85" s="18" t="s">
        <v>508</v>
      </c>
      <c r="K85" s="18"/>
      <c r="L85" s="12" t="s">
        <v>254</v>
      </c>
      <c r="M85" s="19">
        <v>46292.397314814807</v>
      </c>
      <c r="N85" s="19"/>
      <c r="O85" s="19">
        <v>46292.397314814807</v>
      </c>
      <c r="P85" s="12"/>
      <c r="Q85" s="18" t="s">
        <v>580</v>
      </c>
      <c r="R85" s="12"/>
      <c r="S85" s="12"/>
    </row>
    <row r="86" spans="1:19" x14ac:dyDescent="0.25">
      <c r="A86" s="15" t="s">
        <v>581</v>
      </c>
      <c r="B86" s="16">
        <v>5</v>
      </c>
      <c r="C86" s="12" t="s">
        <v>126</v>
      </c>
      <c r="D86" s="18" t="s">
        <v>582</v>
      </c>
      <c r="E86" s="18" t="s">
        <v>583</v>
      </c>
      <c r="F86" s="12" t="s">
        <v>180</v>
      </c>
      <c r="G86" s="12" t="s">
        <v>60</v>
      </c>
      <c r="H86" s="18"/>
      <c r="I86" s="18"/>
      <c r="J86" s="18" t="s">
        <v>335</v>
      </c>
      <c r="K86" s="18"/>
      <c r="L86" s="12" t="s">
        <v>254</v>
      </c>
      <c r="M86" s="19"/>
      <c r="N86" s="19"/>
      <c r="O86" s="19"/>
      <c r="P86" s="12"/>
      <c r="Q86" s="18"/>
      <c r="R86" s="12"/>
      <c r="S86" s="12" t="s">
        <v>584</v>
      </c>
    </row>
    <row r="87" spans="1:19" x14ac:dyDescent="0.25">
      <c r="A87" s="15" t="s">
        <v>585</v>
      </c>
      <c r="B87" s="16">
        <v>5</v>
      </c>
      <c r="C87" s="12" t="s">
        <v>126</v>
      </c>
      <c r="D87" s="18" t="s">
        <v>586</v>
      </c>
      <c r="E87" s="18" t="s">
        <v>587</v>
      </c>
      <c r="F87" s="12" t="s">
        <v>195</v>
      </c>
      <c r="G87" s="12" t="s">
        <v>60</v>
      </c>
      <c r="H87" s="18"/>
      <c r="I87" s="18"/>
      <c r="J87" s="18" t="s">
        <v>588</v>
      </c>
      <c r="K87" s="18"/>
      <c r="L87" s="12" t="s">
        <v>184</v>
      </c>
      <c r="M87" s="19"/>
      <c r="N87" s="19"/>
      <c r="O87" s="19"/>
      <c r="P87" s="12"/>
      <c r="Q87" s="18"/>
      <c r="R87" s="12"/>
      <c r="S87" s="12" t="s">
        <v>584</v>
      </c>
    </row>
    <row r="88" spans="1:19" ht="25.5" x14ac:dyDescent="0.25">
      <c r="A88" s="15" t="s">
        <v>589</v>
      </c>
      <c r="B88" s="16">
        <v>5</v>
      </c>
      <c r="C88" s="12" t="s">
        <v>126</v>
      </c>
      <c r="D88" s="18" t="s">
        <v>590</v>
      </c>
      <c r="E88" s="18" t="s">
        <v>591</v>
      </c>
      <c r="F88" s="12" t="s">
        <v>195</v>
      </c>
      <c r="G88" s="12" t="s">
        <v>60</v>
      </c>
      <c r="H88" s="18"/>
      <c r="I88" s="18"/>
      <c r="J88" s="18" t="s">
        <v>592</v>
      </c>
      <c r="K88" s="18"/>
      <c r="L88" s="12" t="s">
        <v>254</v>
      </c>
      <c r="M88" s="19"/>
      <c r="N88" s="19"/>
      <c r="O88" s="19"/>
      <c r="P88" s="12"/>
      <c r="Q88" s="18"/>
      <c r="R88" s="12"/>
      <c r="S88" s="12" t="s">
        <v>329</v>
      </c>
    </row>
    <row r="89" spans="1:19" ht="25.5" x14ac:dyDescent="0.25">
      <c r="A89" s="15" t="s">
        <v>593</v>
      </c>
      <c r="B89" s="16">
        <v>5</v>
      </c>
      <c r="C89" s="12" t="s">
        <v>126</v>
      </c>
      <c r="D89" s="18" t="s">
        <v>594</v>
      </c>
      <c r="E89" s="18" t="s">
        <v>595</v>
      </c>
      <c r="F89" s="12" t="s">
        <v>195</v>
      </c>
      <c r="G89" s="12" t="s">
        <v>60</v>
      </c>
      <c r="H89" s="18"/>
      <c r="I89" s="18"/>
      <c r="J89" s="18" t="s">
        <v>417</v>
      </c>
      <c r="K89" s="18"/>
      <c r="L89" s="12" t="s">
        <v>254</v>
      </c>
      <c r="M89" s="19"/>
      <c r="N89" s="19"/>
      <c r="O89" s="19"/>
      <c r="P89" s="12"/>
      <c r="Q89" s="18"/>
      <c r="R89" s="12"/>
      <c r="S89" s="12" t="s">
        <v>329</v>
      </c>
    </row>
    <row r="90" spans="1:19" x14ac:dyDescent="0.25">
      <c r="A90" s="15" t="s">
        <v>596</v>
      </c>
      <c r="B90" s="16">
        <v>5</v>
      </c>
      <c r="C90" s="12" t="s">
        <v>126</v>
      </c>
      <c r="D90" s="18" t="s">
        <v>597</v>
      </c>
      <c r="E90" s="18" t="s">
        <v>598</v>
      </c>
      <c r="F90" s="12" t="s">
        <v>308</v>
      </c>
      <c r="G90" s="12" t="s">
        <v>60</v>
      </c>
      <c r="H90" s="18"/>
      <c r="I90" s="18"/>
      <c r="J90" s="18" t="s">
        <v>277</v>
      </c>
      <c r="K90" s="18"/>
      <c r="L90" s="12" t="s">
        <v>264</v>
      </c>
      <c r="M90" s="19"/>
      <c r="N90" s="19"/>
      <c r="O90" s="19"/>
      <c r="P90" s="12"/>
      <c r="Q90" s="18"/>
      <c r="R90" s="12"/>
      <c r="S90" s="12" t="s">
        <v>329</v>
      </c>
    </row>
    <row r="91" spans="1:19" x14ac:dyDescent="0.25">
      <c r="A91" s="15" t="s">
        <v>599</v>
      </c>
      <c r="B91" s="16">
        <v>5</v>
      </c>
      <c r="C91" s="12" t="s">
        <v>126</v>
      </c>
      <c r="D91" s="18" t="s">
        <v>600</v>
      </c>
      <c r="E91" s="18" t="s">
        <v>601</v>
      </c>
      <c r="F91" s="12" t="s">
        <v>308</v>
      </c>
      <c r="G91" s="12" t="s">
        <v>60</v>
      </c>
      <c r="H91" s="18"/>
      <c r="I91" s="18"/>
      <c r="J91" s="18" t="s">
        <v>602</v>
      </c>
      <c r="K91" s="18"/>
      <c r="L91" s="12" t="s">
        <v>184</v>
      </c>
      <c r="M91" s="19"/>
      <c r="N91" s="19"/>
      <c r="O91" s="19"/>
      <c r="P91" s="12"/>
      <c r="Q91" s="18"/>
      <c r="R91" s="12"/>
      <c r="S91" s="12"/>
    </row>
    <row r="92" spans="1:19" ht="25.5" x14ac:dyDescent="0.25">
      <c r="A92" s="15" t="s">
        <v>603</v>
      </c>
      <c r="B92" s="16">
        <v>5</v>
      </c>
      <c r="C92" s="12" t="s">
        <v>126</v>
      </c>
      <c r="D92" s="18" t="s">
        <v>604</v>
      </c>
      <c r="E92" s="18" t="s">
        <v>605</v>
      </c>
      <c r="F92" s="12" t="s">
        <v>195</v>
      </c>
      <c r="G92" s="12" t="s">
        <v>60</v>
      </c>
      <c r="H92" s="18"/>
      <c r="I92" s="18"/>
      <c r="J92" s="18" t="s">
        <v>606</v>
      </c>
      <c r="K92" s="18"/>
      <c r="L92" s="12" t="s">
        <v>184</v>
      </c>
      <c r="M92" s="19"/>
      <c r="N92" s="19"/>
      <c r="O92" s="19"/>
      <c r="P92" s="12"/>
      <c r="Q92" s="18"/>
      <c r="R92" s="12"/>
      <c r="S92" s="12" t="s">
        <v>607</v>
      </c>
    </row>
    <row r="93" spans="1:19" x14ac:dyDescent="0.25">
      <c r="A93" s="15" t="s">
        <v>608</v>
      </c>
      <c r="B93" s="16">
        <v>6</v>
      </c>
      <c r="C93" s="12" t="s">
        <v>124</v>
      </c>
      <c r="D93" s="18" t="s">
        <v>609</v>
      </c>
      <c r="E93" s="18" t="s">
        <v>610</v>
      </c>
      <c r="F93" s="12" t="s">
        <v>180</v>
      </c>
      <c r="G93" s="12" t="s">
        <v>60</v>
      </c>
      <c r="H93" s="18"/>
      <c r="I93" s="18"/>
      <c r="J93" s="18" t="s">
        <v>417</v>
      </c>
      <c r="K93" s="18"/>
      <c r="L93" s="12" t="s">
        <v>264</v>
      </c>
      <c r="M93" s="19"/>
      <c r="N93" s="19"/>
      <c r="O93" s="19"/>
      <c r="P93" s="12"/>
      <c r="Q93" s="18"/>
      <c r="R93" s="12"/>
      <c r="S93" s="12" t="s">
        <v>611</v>
      </c>
    </row>
    <row r="94" spans="1:19" ht="25.5" x14ac:dyDescent="0.25">
      <c r="A94" s="15" t="s">
        <v>612</v>
      </c>
      <c r="B94" s="16">
        <v>6</v>
      </c>
      <c r="C94" s="12" t="s">
        <v>124</v>
      </c>
      <c r="D94" s="18" t="s">
        <v>613</v>
      </c>
      <c r="E94" s="18" t="s">
        <v>614</v>
      </c>
      <c r="F94" s="12" t="s">
        <v>180</v>
      </c>
      <c r="G94" s="12" t="s">
        <v>60</v>
      </c>
      <c r="H94" s="18"/>
      <c r="I94" s="18"/>
      <c r="J94" s="18" t="s">
        <v>615</v>
      </c>
      <c r="K94" s="18" t="s">
        <v>608</v>
      </c>
      <c r="L94" s="12" t="s">
        <v>254</v>
      </c>
      <c r="M94" s="19"/>
      <c r="N94" s="19"/>
      <c r="O94" s="19"/>
      <c r="P94" s="12"/>
      <c r="Q94" s="18"/>
      <c r="R94" s="12"/>
      <c r="S94" s="12" t="s">
        <v>611</v>
      </c>
    </row>
    <row r="95" spans="1:19" x14ac:dyDescent="0.25">
      <c r="A95" s="15" t="s">
        <v>616</v>
      </c>
      <c r="B95" s="16">
        <v>6</v>
      </c>
      <c r="C95" s="12" t="s">
        <v>124</v>
      </c>
      <c r="D95" s="18" t="s">
        <v>617</v>
      </c>
      <c r="E95" s="18" t="s">
        <v>618</v>
      </c>
      <c r="F95" s="12" t="s">
        <v>180</v>
      </c>
      <c r="G95" s="12" t="s">
        <v>60</v>
      </c>
      <c r="H95" s="18"/>
      <c r="I95" s="18"/>
      <c r="J95" s="18" t="s">
        <v>615</v>
      </c>
      <c r="K95" s="18" t="s">
        <v>608</v>
      </c>
      <c r="L95" s="12" t="s">
        <v>264</v>
      </c>
      <c r="M95" s="19"/>
      <c r="N95" s="19"/>
      <c r="O95" s="19"/>
      <c r="P95" s="12"/>
      <c r="Q95" s="18"/>
      <c r="R95" s="12"/>
      <c r="S95" s="12" t="s">
        <v>611</v>
      </c>
    </row>
    <row r="96" spans="1:19" x14ac:dyDescent="0.25">
      <c r="A96" s="15" t="s">
        <v>619</v>
      </c>
      <c r="B96" s="16">
        <v>6</v>
      </c>
      <c r="C96" s="12" t="s">
        <v>124</v>
      </c>
      <c r="D96" s="18" t="s">
        <v>620</v>
      </c>
      <c r="E96" s="18" t="s">
        <v>621</v>
      </c>
      <c r="F96" s="12" t="s">
        <v>180</v>
      </c>
      <c r="G96" s="12" t="s">
        <v>60</v>
      </c>
      <c r="H96" s="18"/>
      <c r="I96" s="18"/>
      <c r="J96" s="18" t="s">
        <v>615</v>
      </c>
      <c r="K96" s="18"/>
      <c r="L96" s="12" t="s">
        <v>264</v>
      </c>
      <c r="M96" s="19"/>
      <c r="N96" s="19"/>
      <c r="O96" s="19"/>
      <c r="P96" s="12"/>
      <c r="Q96" s="18"/>
      <c r="R96" s="12"/>
      <c r="S96" s="12" t="s">
        <v>611</v>
      </c>
    </row>
    <row r="97" spans="1:19" ht="25.5" x14ac:dyDescent="0.25">
      <c r="A97" s="15" t="s">
        <v>622</v>
      </c>
      <c r="B97" s="16">
        <v>6</v>
      </c>
      <c r="C97" s="12" t="s">
        <v>124</v>
      </c>
      <c r="D97" s="18" t="s">
        <v>623</v>
      </c>
      <c r="E97" s="18" t="s">
        <v>624</v>
      </c>
      <c r="F97" s="12" t="s">
        <v>180</v>
      </c>
      <c r="G97" s="12" t="s">
        <v>60</v>
      </c>
      <c r="H97" s="18"/>
      <c r="I97" s="18"/>
      <c r="J97" s="18" t="s">
        <v>615</v>
      </c>
      <c r="K97" s="18"/>
      <c r="L97" s="12" t="s">
        <v>254</v>
      </c>
      <c r="M97" s="19"/>
      <c r="N97" s="19"/>
      <c r="O97" s="19"/>
      <c r="P97" s="12"/>
      <c r="Q97" s="18"/>
      <c r="R97" s="12"/>
      <c r="S97" s="12" t="s">
        <v>611</v>
      </c>
    </row>
    <row r="98" spans="1:19" x14ac:dyDescent="0.25">
      <c r="A98" s="15" t="s">
        <v>625</v>
      </c>
      <c r="B98" s="16">
        <v>6</v>
      </c>
      <c r="C98" s="12" t="s">
        <v>124</v>
      </c>
      <c r="D98" s="18" t="s">
        <v>626</v>
      </c>
      <c r="E98" s="18" t="s">
        <v>627</v>
      </c>
      <c r="F98" s="12" t="s">
        <v>195</v>
      </c>
      <c r="G98" s="12" t="s">
        <v>60</v>
      </c>
      <c r="H98" s="18"/>
      <c r="I98" s="18"/>
      <c r="J98" s="18" t="s">
        <v>417</v>
      </c>
      <c r="K98" s="18"/>
      <c r="L98" s="12" t="s">
        <v>184</v>
      </c>
      <c r="M98" s="19"/>
      <c r="N98" s="19"/>
      <c r="O98" s="19"/>
      <c r="P98" s="12"/>
      <c r="Q98" s="18"/>
      <c r="R98" s="12"/>
      <c r="S98" s="12" t="s">
        <v>611</v>
      </c>
    </row>
    <row r="99" spans="1:19" x14ac:dyDescent="0.25">
      <c r="A99" s="15" t="s">
        <v>628</v>
      </c>
      <c r="B99" s="16">
        <v>6</v>
      </c>
      <c r="C99" s="12" t="s">
        <v>124</v>
      </c>
      <c r="D99" s="18" t="s">
        <v>629</v>
      </c>
      <c r="E99" s="18" t="s">
        <v>630</v>
      </c>
      <c r="F99" s="12" t="s">
        <v>308</v>
      </c>
      <c r="G99" s="12" t="s">
        <v>60</v>
      </c>
      <c r="H99" s="18"/>
      <c r="I99" s="18"/>
      <c r="J99" s="18" t="s">
        <v>417</v>
      </c>
      <c r="K99" s="18" t="s">
        <v>608</v>
      </c>
      <c r="L99" s="12" t="s">
        <v>184</v>
      </c>
      <c r="M99" s="19"/>
      <c r="N99" s="19"/>
      <c r="O99" s="19"/>
      <c r="P99" s="12"/>
      <c r="Q99" s="18"/>
      <c r="R99" s="12"/>
      <c r="S99" s="12"/>
    </row>
    <row r="100" spans="1:19" ht="25.5" x14ac:dyDescent="0.25">
      <c r="A100" s="15" t="s">
        <v>631</v>
      </c>
      <c r="B100" s="16">
        <v>6</v>
      </c>
      <c r="C100" s="12" t="s">
        <v>139</v>
      </c>
      <c r="D100" s="18" t="s">
        <v>632</v>
      </c>
      <c r="E100" s="18" t="s">
        <v>633</v>
      </c>
      <c r="F100" s="12" t="s">
        <v>180</v>
      </c>
      <c r="G100" s="12" t="s">
        <v>60</v>
      </c>
      <c r="H100" s="18"/>
      <c r="I100" s="18"/>
      <c r="J100" s="18" t="s">
        <v>634</v>
      </c>
      <c r="K100" s="18"/>
      <c r="L100" s="12" t="s">
        <v>264</v>
      </c>
      <c r="M100" s="19"/>
      <c r="N100" s="19"/>
      <c r="O100" s="19"/>
      <c r="P100" s="12"/>
      <c r="Q100" s="18"/>
      <c r="R100" s="12"/>
      <c r="S100" s="12" t="s">
        <v>635</v>
      </c>
    </row>
    <row r="101" spans="1:19" ht="25.5" x14ac:dyDescent="0.25">
      <c r="A101" s="15" t="s">
        <v>636</v>
      </c>
      <c r="B101" s="16">
        <v>6</v>
      </c>
      <c r="C101" s="12" t="s">
        <v>139</v>
      </c>
      <c r="D101" s="18" t="s">
        <v>637</v>
      </c>
      <c r="E101" s="18" t="s">
        <v>638</v>
      </c>
      <c r="F101" s="12" t="s">
        <v>195</v>
      </c>
      <c r="G101" s="12" t="s">
        <v>60</v>
      </c>
      <c r="H101" s="18"/>
      <c r="I101" s="18"/>
      <c r="J101" s="18" t="s">
        <v>634</v>
      </c>
      <c r="K101" s="18" t="s">
        <v>631</v>
      </c>
      <c r="L101" s="12" t="s">
        <v>184</v>
      </c>
      <c r="M101" s="19"/>
      <c r="N101" s="19"/>
      <c r="O101" s="19"/>
      <c r="P101" s="12"/>
      <c r="Q101" s="18"/>
      <c r="R101" s="12"/>
      <c r="S101" s="12"/>
    </row>
    <row r="102" spans="1:19" x14ac:dyDescent="0.25">
      <c r="A102" s="15" t="s">
        <v>639</v>
      </c>
      <c r="B102" s="16">
        <v>6</v>
      </c>
      <c r="C102" s="12" t="s">
        <v>139</v>
      </c>
      <c r="D102" s="18" t="s">
        <v>640</v>
      </c>
      <c r="E102" s="18" t="s">
        <v>641</v>
      </c>
      <c r="F102" s="12" t="s">
        <v>180</v>
      </c>
      <c r="G102" s="12" t="s">
        <v>60</v>
      </c>
      <c r="H102" s="18"/>
      <c r="I102" s="18"/>
      <c r="J102" s="18" t="s">
        <v>417</v>
      </c>
      <c r="K102" s="18" t="s">
        <v>631</v>
      </c>
      <c r="L102" s="12" t="s">
        <v>254</v>
      </c>
      <c r="M102" s="19"/>
      <c r="N102" s="19"/>
      <c r="O102" s="19"/>
      <c r="P102" s="12"/>
      <c r="Q102" s="18"/>
      <c r="R102" s="12"/>
      <c r="S102" s="12" t="s">
        <v>635</v>
      </c>
    </row>
    <row r="103" spans="1:19" ht="25.5" x14ac:dyDescent="0.25">
      <c r="A103" s="15" t="s">
        <v>642</v>
      </c>
      <c r="B103" s="16">
        <v>6</v>
      </c>
      <c r="C103" s="12" t="s">
        <v>139</v>
      </c>
      <c r="D103" s="18" t="s">
        <v>643</v>
      </c>
      <c r="E103" s="18" t="s">
        <v>644</v>
      </c>
      <c r="F103" s="12" t="s">
        <v>195</v>
      </c>
      <c r="G103" s="12" t="s">
        <v>60</v>
      </c>
      <c r="H103" s="18"/>
      <c r="I103" s="18"/>
      <c r="J103" s="18" t="s">
        <v>634</v>
      </c>
      <c r="K103" s="18"/>
      <c r="L103" s="12" t="s">
        <v>264</v>
      </c>
      <c r="M103" s="19"/>
      <c r="N103" s="19"/>
      <c r="O103" s="19"/>
      <c r="P103" s="12"/>
      <c r="Q103" s="18"/>
      <c r="R103" s="12"/>
      <c r="S103" s="12"/>
    </row>
    <row r="104" spans="1:19" x14ac:dyDescent="0.25">
      <c r="A104" s="15" t="s">
        <v>645</v>
      </c>
      <c r="B104" s="16">
        <v>6</v>
      </c>
      <c r="C104" s="12" t="s">
        <v>139</v>
      </c>
      <c r="D104" s="18" t="s">
        <v>646</v>
      </c>
      <c r="E104" s="18" t="s">
        <v>647</v>
      </c>
      <c r="F104" s="12" t="s">
        <v>195</v>
      </c>
      <c r="G104" s="12" t="s">
        <v>60</v>
      </c>
      <c r="H104" s="18"/>
      <c r="I104" s="18"/>
      <c r="J104" s="18" t="s">
        <v>417</v>
      </c>
      <c r="K104" s="18" t="s">
        <v>631</v>
      </c>
      <c r="L104" s="12" t="s">
        <v>264</v>
      </c>
      <c r="M104" s="19"/>
      <c r="N104" s="19"/>
      <c r="O104" s="19"/>
      <c r="P104" s="12"/>
      <c r="Q104" s="18"/>
      <c r="R104" s="12"/>
      <c r="S104" s="12" t="s">
        <v>648</v>
      </c>
    </row>
    <row r="105" spans="1:19" ht="25.5" x14ac:dyDescent="0.25">
      <c r="A105" s="15" t="s">
        <v>649</v>
      </c>
      <c r="B105" s="16">
        <v>7</v>
      </c>
      <c r="C105" s="12" t="s">
        <v>110</v>
      </c>
      <c r="D105" s="18" t="s">
        <v>650</v>
      </c>
      <c r="E105" s="18" t="s">
        <v>651</v>
      </c>
      <c r="F105" s="12" t="s">
        <v>180</v>
      </c>
      <c r="G105" s="12" t="s">
        <v>60</v>
      </c>
      <c r="H105" s="18"/>
      <c r="I105" s="18"/>
      <c r="J105" s="18" t="s">
        <v>652</v>
      </c>
      <c r="K105" s="18"/>
      <c r="L105" s="12" t="s">
        <v>254</v>
      </c>
      <c r="M105" s="19"/>
      <c r="N105" s="19"/>
      <c r="O105" s="19"/>
      <c r="P105" s="12"/>
      <c r="Q105" s="18"/>
      <c r="R105" s="12"/>
      <c r="S105" s="12"/>
    </row>
    <row r="106" spans="1:19" x14ac:dyDescent="0.25">
      <c r="A106" s="15" t="s">
        <v>653</v>
      </c>
      <c r="B106" s="16">
        <v>7</v>
      </c>
      <c r="C106" s="12" t="s">
        <v>110</v>
      </c>
      <c r="D106" s="18" t="s">
        <v>654</v>
      </c>
      <c r="E106" s="18" t="s">
        <v>655</v>
      </c>
      <c r="F106" s="12" t="s">
        <v>180</v>
      </c>
      <c r="G106" s="12" t="s">
        <v>60</v>
      </c>
      <c r="H106" s="18"/>
      <c r="I106" s="18"/>
      <c r="J106" s="18" t="s">
        <v>652</v>
      </c>
      <c r="K106" s="18" t="s">
        <v>649</v>
      </c>
      <c r="L106" s="12" t="s">
        <v>264</v>
      </c>
      <c r="M106" s="19"/>
      <c r="N106" s="19"/>
      <c r="O106" s="19"/>
      <c r="P106" s="12"/>
      <c r="Q106" s="18"/>
      <c r="R106" s="12"/>
      <c r="S106" s="12"/>
    </row>
    <row r="107" spans="1:19" x14ac:dyDescent="0.25">
      <c r="A107" s="15" t="s">
        <v>656</v>
      </c>
      <c r="B107" s="16">
        <v>7</v>
      </c>
      <c r="C107" s="12" t="s">
        <v>110</v>
      </c>
      <c r="D107" s="18" t="s">
        <v>657</v>
      </c>
      <c r="E107" s="18" t="s">
        <v>658</v>
      </c>
      <c r="F107" s="12" t="s">
        <v>195</v>
      </c>
      <c r="G107" s="12" t="s">
        <v>60</v>
      </c>
      <c r="H107" s="18"/>
      <c r="I107" s="18"/>
      <c r="J107" s="18" t="s">
        <v>652</v>
      </c>
      <c r="K107" s="18" t="s">
        <v>649</v>
      </c>
      <c r="L107" s="12" t="s">
        <v>184</v>
      </c>
      <c r="M107" s="19"/>
      <c r="N107" s="19"/>
      <c r="O107" s="19"/>
      <c r="P107" s="12"/>
      <c r="Q107" s="18"/>
      <c r="R107" s="12"/>
      <c r="S107" s="12"/>
    </row>
    <row r="108" spans="1:19" x14ac:dyDescent="0.25">
      <c r="A108" s="15" t="s">
        <v>659</v>
      </c>
      <c r="B108" s="16">
        <v>8</v>
      </c>
      <c r="C108" s="12" t="s">
        <v>136</v>
      </c>
      <c r="D108" s="18" t="s">
        <v>660</v>
      </c>
      <c r="E108" s="18" t="s">
        <v>661</v>
      </c>
      <c r="F108" s="12" t="s">
        <v>180</v>
      </c>
      <c r="G108" s="12" t="s">
        <v>60</v>
      </c>
      <c r="H108" s="18"/>
      <c r="I108" s="18"/>
      <c r="J108" s="18" t="s">
        <v>253</v>
      </c>
      <c r="K108" s="18" t="s">
        <v>649</v>
      </c>
      <c r="L108" s="12" t="s">
        <v>264</v>
      </c>
      <c r="M108" s="19"/>
      <c r="N108" s="19"/>
      <c r="O108" s="19"/>
      <c r="P108" s="12"/>
      <c r="Q108" s="18"/>
      <c r="R108" s="12"/>
      <c r="S108" s="12"/>
    </row>
    <row r="109" spans="1:19" ht="25.5" x14ac:dyDescent="0.25">
      <c r="A109" s="15" t="s">
        <v>662</v>
      </c>
      <c r="B109" s="16">
        <v>8</v>
      </c>
      <c r="C109" s="12" t="s">
        <v>136</v>
      </c>
      <c r="D109" s="18" t="s">
        <v>663</v>
      </c>
      <c r="E109" s="18" t="s">
        <v>664</v>
      </c>
      <c r="F109" s="12" t="s">
        <v>180</v>
      </c>
      <c r="G109" s="12" t="s">
        <v>60</v>
      </c>
      <c r="H109" s="18"/>
      <c r="I109" s="18"/>
      <c r="J109" s="18" t="s">
        <v>665</v>
      </c>
      <c r="K109" s="18" t="s">
        <v>659</v>
      </c>
      <c r="L109" s="12" t="s">
        <v>254</v>
      </c>
      <c r="M109" s="19"/>
      <c r="N109" s="19"/>
      <c r="O109" s="19"/>
      <c r="P109" s="12"/>
      <c r="Q109" s="18"/>
      <c r="R109" s="12"/>
      <c r="S109" s="12"/>
    </row>
    <row r="110" spans="1:19" x14ac:dyDescent="0.25">
      <c r="A110" s="15" t="s">
        <v>666</v>
      </c>
      <c r="B110" s="16">
        <v>8</v>
      </c>
      <c r="C110" s="12" t="s">
        <v>136</v>
      </c>
      <c r="D110" s="18" t="s">
        <v>667</v>
      </c>
      <c r="E110" s="18" t="s">
        <v>668</v>
      </c>
      <c r="F110" s="12" t="s">
        <v>195</v>
      </c>
      <c r="G110" s="12" t="s">
        <v>60</v>
      </c>
      <c r="H110" s="18"/>
      <c r="I110" s="18"/>
      <c r="J110" s="18" t="s">
        <v>665</v>
      </c>
      <c r="K110" s="18" t="s">
        <v>659</v>
      </c>
      <c r="L110" s="12" t="s">
        <v>264</v>
      </c>
      <c r="M110" s="19"/>
      <c r="N110" s="19"/>
      <c r="O110" s="19"/>
      <c r="P110" s="12"/>
      <c r="Q110" s="18"/>
      <c r="R110" s="12"/>
      <c r="S110" s="12"/>
    </row>
    <row r="111" spans="1:19" x14ac:dyDescent="0.25">
      <c r="A111" s="15" t="s">
        <v>669</v>
      </c>
      <c r="B111" s="16">
        <v>8</v>
      </c>
      <c r="C111" s="12" t="s">
        <v>136</v>
      </c>
      <c r="D111" s="18" t="s">
        <v>670</v>
      </c>
      <c r="E111" s="18" t="s">
        <v>671</v>
      </c>
      <c r="F111" s="12" t="s">
        <v>195</v>
      </c>
      <c r="G111" s="12" t="s">
        <v>60</v>
      </c>
      <c r="H111" s="18"/>
      <c r="I111" s="18"/>
      <c r="J111" s="18" t="s">
        <v>665</v>
      </c>
      <c r="K111" s="18" t="s">
        <v>662</v>
      </c>
      <c r="L111" s="12" t="s">
        <v>254</v>
      </c>
      <c r="M111" s="19"/>
      <c r="N111" s="19"/>
      <c r="O111" s="19"/>
      <c r="P111" s="12"/>
      <c r="Q111" s="18"/>
      <c r="R111" s="12"/>
      <c r="S111" s="12"/>
    </row>
    <row r="112" spans="1:19" x14ac:dyDescent="0.25">
      <c r="A112" s="15" t="s">
        <v>672</v>
      </c>
      <c r="B112" s="16">
        <v>8</v>
      </c>
      <c r="C112" s="12" t="s">
        <v>136</v>
      </c>
      <c r="D112" s="18" t="s">
        <v>673</v>
      </c>
      <c r="E112" s="18" t="s">
        <v>674</v>
      </c>
      <c r="F112" s="12" t="s">
        <v>180</v>
      </c>
      <c r="G112" s="12" t="s">
        <v>60</v>
      </c>
      <c r="H112" s="18"/>
      <c r="I112" s="18"/>
      <c r="J112" s="18" t="s">
        <v>665</v>
      </c>
      <c r="K112" s="18" t="s">
        <v>662</v>
      </c>
      <c r="L112" s="12" t="s">
        <v>264</v>
      </c>
      <c r="M112" s="19"/>
      <c r="N112" s="19"/>
      <c r="O112" s="19"/>
      <c r="P112" s="12"/>
      <c r="Q112" s="18"/>
      <c r="R112" s="12"/>
      <c r="S112" s="12"/>
    </row>
    <row r="113" spans="1:19" ht="25.5" x14ac:dyDescent="0.25">
      <c r="A113" s="15" t="s">
        <v>675</v>
      </c>
      <c r="B113" s="16">
        <v>8</v>
      </c>
      <c r="C113" s="12" t="s">
        <v>136</v>
      </c>
      <c r="D113" s="18" t="s">
        <v>676</v>
      </c>
      <c r="E113" s="18" t="s">
        <v>677</v>
      </c>
      <c r="F113" s="12" t="s">
        <v>195</v>
      </c>
      <c r="G113" s="12" t="s">
        <v>60</v>
      </c>
      <c r="H113" s="18"/>
      <c r="I113" s="18"/>
      <c r="J113" s="18" t="s">
        <v>678</v>
      </c>
      <c r="K113" s="18"/>
      <c r="L113" s="12" t="s">
        <v>264</v>
      </c>
      <c r="M113" s="19"/>
      <c r="N113" s="19"/>
      <c r="O113" s="19"/>
      <c r="P113" s="12"/>
      <c r="Q113" s="18"/>
      <c r="R113" s="12"/>
      <c r="S113" s="12"/>
    </row>
    <row r="114" spans="1:19" x14ac:dyDescent="0.25">
      <c r="A114" s="15" t="s">
        <v>679</v>
      </c>
      <c r="B114" s="16">
        <v>8</v>
      </c>
      <c r="C114" s="12" t="s">
        <v>136</v>
      </c>
      <c r="D114" s="18" t="s">
        <v>680</v>
      </c>
      <c r="E114" s="18" t="s">
        <v>681</v>
      </c>
      <c r="F114" s="12" t="s">
        <v>195</v>
      </c>
      <c r="G114" s="12" t="s">
        <v>60</v>
      </c>
      <c r="H114" s="18"/>
      <c r="I114" s="18"/>
      <c r="J114" s="18" t="s">
        <v>682</v>
      </c>
      <c r="K114" s="18" t="s">
        <v>672</v>
      </c>
      <c r="L114" s="12" t="s">
        <v>264</v>
      </c>
      <c r="M114" s="19"/>
      <c r="N114" s="19"/>
      <c r="O114" s="19"/>
      <c r="P114" s="12"/>
      <c r="Q114" s="18"/>
      <c r="R114" s="12"/>
      <c r="S114" s="12"/>
    </row>
    <row r="115" spans="1:19" x14ac:dyDescent="0.25">
      <c r="A115" s="15" t="s">
        <v>683</v>
      </c>
      <c r="B115" s="16">
        <v>8</v>
      </c>
      <c r="C115" s="12" t="s">
        <v>136</v>
      </c>
      <c r="D115" s="18" t="s">
        <v>684</v>
      </c>
      <c r="E115" s="18" t="s">
        <v>685</v>
      </c>
      <c r="F115" s="12" t="s">
        <v>180</v>
      </c>
      <c r="G115" s="12" t="s">
        <v>60</v>
      </c>
      <c r="H115" s="18"/>
      <c r="I115" s="18"/>
      <c r="J115" s="18" t="s">
        <v>204</v>
      </c>
      <c r="K115" s="18" t="s">
        <v>662</v>
      </c>
      <c r="L115" s="12" t="s">
        <v>184</v>
      </c>
      <c r="M115" s="19"/>
      <c r="N115" s="19"/>
      <c r="O115" s="19"/>
      <c r="P115" s="12"/>
      <c r="Q115" s="18"/>
      <c r="R115" s="12"/>
      <c r="S115" s="12"/>
    </row>
    <row r="116" spans="1:19" x14ac:dyDescent="0.25">
      <c r="A116" s="15" t="s">
        <v>686</v>
      </c>
      <c r="B116" s="16">
        <v>9</v>
      </c>
      <c r="C116" s="12" t="s">
        <v>136</v>
      </c>
      <c r="D116" s="18" t="s">
        <v>687</v>
      </c>
      <c r="E116" s="18" t="s">
        <v>688</v>
      </c>
      <c r="F116" s="12" t="s">
        <v>308</v>
      </c>
      <c r="G116" s="12" t="s">
        <v>60</v>
      </c>
      <c r="H116" s="18"/>
      <c r="I116" s="18"/>
      <c r="J116" s="18" t="s">
        <v>689</v>
      </c>
      <c r="K116" s="18" t="s">
        <v>659</v>
      </c>
      <c r="L116" s="12" t="s">
        <v>264</v>
      </c>
      <c r="M116" s="19"/>
      <c r="N116" s="19"/>
      <c r="O116" s="19"/>
      <c r="P116" s="12"/>
      <c r="Q116" s="18"/>
      <c r="R116" s="12"/>
      <c r="S116" s="12"/>
    </row>
    <row r="117" spans="1:19" ht="25.5" x14ac:dyDescent="0.25">
      <c r="A117" s="15" t="s">
        <v>690</v>
      </c>
      <c r="B117" s="16">
        <v>9</v>
      </c>
      <c r="C117" s="12" t="s">
        <v>110</v>
      </c>
      <c r="D117" s="18" t="s">
        <v>691</v>
      </c>
      <c r="E117" s="18" t="s">
        <v>692</v>
      </c>
      <c r="F117" s="12" t="s">
        <v>308</v>
      </c>
      <c r="G117" s="12" t="s">
        <v>60</v>
      </c>
      <c r="H117" s="18"/>
      <c r="I117" s="18"/>
      <c r="J117" s="18" t="s">
        <v>665</v>
      </c>
      <c r="K117" s="18"/>
      <c r="L117" s="12" t="s">
        <v>264</v>
      </c>
      <c r="M117" s="19"/>
      <c r="N117" s="19"/>
      <c r="O117" s="19"/>
      <c r="P117" s="12"/>
      <c r="Q117" s="18"/>
      <c r="R117" s="12"/>
      <c r="S117" s="12"/>
    </row>
    <row r="118" spans="1:19" ht="25.5" x14ac:dyDescent="0.25">
      <c r="A118" s="15" t="s">
        <v>693</v>
      </c>
      <c r="B118" s="16">
        <v>10</v>
      </c>
      <c r="C118" s="12" t="s">
        <v>132</v>
      </c>
      <c r="D118" s="18" t="s">
        <v>694</v>
      </c>
      <c r="E118" s="18" t="s">
        <v>695</v>
      </c>
      <c r="F118" s="12" t="s">
        <v>180</v>
      </c>
      <c r="G118" s="12" t="s">
        <v>60</v>
      </c>
      <c r="H118" s="18"/>
      <c r="I118" s="18"/>
      <c r="J118" s="18" t="s">
        <v>696</v>
      </c>
      <c r="K118" s="18"/>
      <c r="L118" s="12" t="s">
        <v>254</v>
      </c>
      <c r="M118" s="19"/>
      <c r="N118" s="19"/>
      <c r="O118" s="19"/>
      <c r="P118" s="12"/>
      <c r="Q118" s="18"/>
      <c r="R118" s="12"/>
      <c r="S118" s="12"/>
    </row>
    <row r="119" spans="1:19" x14ac:dyDescent="0.25">
      <c r="A119" s="15" t="s">
        <v>697</v>
      </c>
      <c r="B119" s="16">
        <v>10</v>
      </c>
      <c r="C119" s="12" t="s">
        <v>132</v>
      </c>
      <c r="D119" s="18" t="s">
        <v>698</v>
      </c>
      <c r="E119" s="18" t="s">
        <v>699</v>
      </c>
      <c r="F119" s="12" t="s">
        <v>180</v>
      </c>
      <c r="G119" s="12" t="s">
        <v>60</v>
      </c>
      <c r="H119" s="18"/>
      <c r="I119" s="18"/>
      <c r="J119" s="18" t="s">
        <v>696</v>
      </c>
      <c r="K119" s="18" t="s">
        <v>693</v>
      </c>
      <c r="L119" s="12" t="s">
        <v>264</v>
      </c>
      <c r="M119" s="19"/>
      <c r="N119" s="19"/>
      <c r="O119" s="19"/>
      <c r="P119" s="12"/>
      <c r="Q119" s="18"/>
      <c r="R119" s="12"/>
      <c r="S119" s="12"/>
    </row>
    <row r="120" spans="1:19" ht="25.5" x14ac:dyDescent="0.25">
      <c r="A120" s="15" t="s">
        <v>700</v>
      </c>
      <c r="B120" s="16">
        <v>10</v>
      </c>
      <c r="C120" s="12" t="s">
        <v>132</v>
      </c>
      <c r="D120" s="18" t="s">
        <v>701</v>
      </c>
      <c r="E120" s="18" t="s">
        <v>702</v>
      </c>
      <c r="F120" s="12" t="s">
        <v>180</v>
      </c>
      <c r="G120" s="12" t="s">
        <v>60</v>
      </c>
      <c r="H120" s="18"/>
      <c r="I120" s="18"/>
      <c r="J120" s="18" t="s">
        <v>696</v>
      </c>
      <c r="K120" s="18" t="s">
        <v>693</v>
      </c>
      <c r="L120" s="12" t="s">
        <v>254</v>
      </c>
      <c r="M120" s="19"/>
      <c r="N120" s="19"/>
      <c r="O120" s="19"/>
      <c r="P120" s="12"/>
      <c r="Q120" s="18"/>
      <c r="R120" s="12"/>
      <c r="S120" s="12"/>
    </row>
    <row r="121" spans="1:19" x14ac:dyDescent="0.25">
      <c r="A121" s="15" t="s">
        <v>703</v>
      </c>
      <c r="B121" s="16">
        <v>10</v>
      </c>
      <c r="C121" s="12" t="s">
        <v>132</v>
      </c>
      <c r="D121" s="18" t="s">
        <v>704</v>
      </c>
      <c r="E121" s="18" t="s">
        <v>705</v>
      </c>
      <c r="F121" s="12" t="s">
        <v>195</v>
      </c>
      <c r="G121" s="12" t="s">
        <v>60</v>
      </c>
      <c r="H121" s="18"/>
      <c r="I121" s="18"/>
      <c r="J121" s="18" t="s">
        <v>706</v>
      </c>
      <c r="K121" s="18" t="s">
        <v>693</v>
      </c>
      <c r="L121" s="12" t="s">
        <v>264</v>
      </c>
      <c r="M121" s="19"/>
      <c r="N121" s="19"/>
      <c r="O121" s="19"/>
      <c r="P121" s="12"/>
      <c r="Q121" s="18"/>
      <c r="R121" s="12"/>
      <c r="S121" s="12"/>
    </row>
    <row r="122" spans="1:19" x14ac:dyDescent="0.25">
      <c r="A122" s="15" t="s">
        <v>707</v>
      </c>
      <c r="B122" s="16">
        <v>10</v>
      </c>
      <c r="C122" s="12" t="s">
        <v>132</v>
      </c>
      <c r="D122" s="18" t="s">
        <v>708</v>
      </c>
      <c r="E122" s="18" t="s">
        <v>709</v>
      </c>
      <c r="F122" s="12" t="s">
        <v>180</v>
      </c>
      <c r="G122" s="12" t="s">
        <v>60</v>
      </c>
      <c r="H122" s="18"/>
      <c r="I122" s="18"/>
      <c r="J122" s="18" t="s">
        <v>228</v>
      </c>
      <c r="K122" s="18" t="s">
        <v>710</v>
      </c>
      <c r="L122" s="12" t="s">
        <v>264</v>
      </c>
      <c r="M122" s="19"/>
      <c r="N122" s="19"/>
      <c r="O122" s="19"/>
      <c r="P122" s="12"/>
      <c r="Q122" s="18"/>
      <c r="R122" s="12"/>
      <c r="S122" s="12"/>
    </row>
    <row r="123" spans="1:19" x14ac:dyDescent="0.25">
      <c r="A123" s="15" t="s">
        <v>711</v>
      </c>
      <c r="B123" s="16">
        <v>10</v>
      </c>
      <c r="C123" s="12" t="s">
        <v>132</v>
      </c>
      <c r="D123" s="18" t="s">
        <v>712</v>
      </c>
      <c r="E123" s="18" t="s">
        <v>713</v>
      </c>
      <c r="F123" s="12" t="s">
        <v>180</v>
      </c>
      <c r="G123" s="12" t="s">
        <v>60</v>
      </c>
      <c r="H123" s="18"/>
      <c r="I123" s="18"/>
      <c r="J123" s="18" t="s">
        <v>228</v>
      </c>
      <c r="K123" s="18" t="s">
        <v>700</v>
      </c>
      <c r="L123" s="12" t="s">
        <v>264</v>
      </c>
      <c r="M123" s="19"/>
      <c r="N123" s="19"/>
      <c r="O123" s="19"/>
      <c r="P123" s="12"/>
      <c r="Q123" s="18"/>
      <c r="R123" s="12"/>
      <c r="S123" s="12"/>
    </row>
    <row r="124" spans="1:19" x14ac:dyDescent="0.25">
      <c r="A124" s="15" t="s">
        <v>714</v>
      </c>
      <c r="B124" s="16">
        <v>10</v>
      </c>
      <c r="C124" s="12" t="s">
        <v>132</v>
      </c>
      <c r="D124" s="18" t="s">
        <v>715</v>
      </c>
      <c r="E124" s="18" t="s">
        <v>716</v>
      </c>
      <c r="F124" s="12" t="s">
        <v>195</v>
      </c>
      <c r="G124" s="12" t="s">
        <v>60</v>
      </c>
      <c r="H124" s="18"/>
      <c r="I124" s="18"/>
      <c r="J124" s="18" t="s">
        <v>253</v>
      </c>
      <c r="K124" s="18"/>
      <c r="L124" s="12" t="s">
        <v>184</v>
      </c>
      <c r="M124" s="19"/>
      <c r="N124" s="19"/>
      <c r="O124" s="19"/>
      <c r="P124" s="12"/>
      <c r="Q124" s="18"/>
      <c r="R124" s="12"/>
      <c r="S124" s="12"/>
    </row>
    <row r="125" spans="1:19" ht="25.5" x14ac:dyDescent="0.25">
      <c r="A125" s="15" t="s">
        <v>717</v>
      </c>
      <c r="B125" s="16">
        <v>10</v>
      </c>
      <c r="C125" s="12" t="s">
        <v>132</v>
      </c>
      <c r="D125" s="18" t="s">
        <v>718</v>
      </c>
      <c r="E125" s="18" t="s">
        <v>719</v>
      </c>
      <c r="F125" s="12" t="s">
        <v>180</v>
      </c>
      <c r="G125" s="12" t="s">
        <v>60</v>
      </c>
      <c r="H125" s="18"/>
      <c r="I125" s="18"/>
      <c r="J125" s="18" t="s">
        <v>210</v>
      </c>
      <c r="K125" s="18" t="s">
        <v>707</v>
      </c>
      <c r="L125" s="12" t="s">
        <v>264</v>
      </c>
      <c r="M125" s="19"/>
      <c r="N125" s="19"/>
      <c r="O125" s="19"/>
      <c r="P125" s="12"/>
      <c r="Q125" s="18"/>
      <c r="R125" s="12"/>
      <c r="S125" s="12"/>
    </row>
    <row r="126" spans="1:19" x14ac:dyDescent="0.25">
      <c r="A126" s="15" t="s">
        <v>720</v>
      </c>
      <c r="B126" s="16">
        <v>10</v>
      </c>
      <c r="C126" s="12" t="s">
        <v>132</v>
      </c>
      <c r="D126" s="18" t="s">
        <v>721</v>
      </c>
      <c r="E126" s="18" t="s">
        <v>722</v>
      </c>
      <c r="F126" s="12" t="s">
        <v>195</v>
      </c>
      <c r="G126" s="12" t="s">
        <v>60</v>
      </c>
      <c r="H126" s="18"/>
      <c r="I126" s="18"/>
      <c r="J126" s="18" t="s">
        <v>634</v>
      </c>
      <c r="K126" s="18" t="s">
        <v>631</v>
      </c>
      <c r="L126" s="12" t="s">
        <v>184</v>
      </c>
      <c r="M126" s="19"/>
      <c r="N126" s="19"/>
      <c r="O126" s="19"/>
      <c r="P126" s="12"/>
      <c r="Q126" s="18"/>
      <c r="R126" s="12"/>
      <c r="S126" s="12"/>
    </row>
    <row r="127" spans="1:19" x14ac:dyDescent="0.25">
      <c r="A127" s="15" t="s">
        <v>723</v>
      </c>
      <c r="B127" s="16">
        <v>10</v>
      </c>
      <c r="C127" s="12" t="s">
        <v>132</v>
      </c>
      <c r="D127" s="18" t="s">
        <v>724</v>
      </c>
      <c r="E127" s="18" t="s">
        <v>725</v>
      </c>
      <c r="F127" s="12" t="s">
        <v>180</v>
      </c>
      <c r="G127" s="12" t="s">
        <v>60</v>
      </c>
      <c r="H127" s="18"/>
      <c r="I127" s="18"/>
      <c r="J127" s="18" t="s">
        <v>204</v>
      </c>
      <c r="K127" s="18" t="s">
        <v>711</v>
      </c>
      <c r="L127" s="12" t="s">
        <v>184</v>
      </c>
      <c r="M127" s="19"/>
      <c r="N127" s="19"/>
      <c r="O127" s="19"/>
      <c r="P127" s="12"/>
      <c r="Q127" s="18"/>
      <c r="R127" s="12"/>
      <c r="S127" s="12"/>
    </row>
    <row r="128" spans="1:19" x14ac:dyDescent="0.25">
      <c r="A128" s="15" t="s">
        <v>726</v>
      </c>
      <c r="B128" s="16">
        <v>11</v>
      </c>
      <c r="C128" s="12" t="s">
        <v>134</v>
      </c>
      <c r="D128" s="18" t="s">
        <v>727</v>
      </c>
      <c r="E128" s="18" t="s">
        <v>728</v>
      </c>
      <c r="F128" s="12" t="s">
        <v>180</v>
      </c>
      <c r="G128" s="12" t="s">
        <v>60</v>
      </c>
      <c r="H128" s="18"/>
      <c r="I128" s="18"/>
      <c r="J128" s="18" t="s">
        <v>729</v>
      </c>
      <c r="K128" s="18"/>
      <c r="L128" s="12" t="s">
        <v>264</v>
      </c>
      <c r="M128" s="19"/>
      <c r="N128" s="19"/>
      <c r="O128" s="19"/>
      <c r="P128" s="12"/>
      <c r="Q128" s="18"/>
      <c r="R128" s="12"/>
      <c r="S128" s="12" t="s">
        <v>730</v>
      </c>
    </row>
    <row r="129" spans="1:19" ht="25.5" x14ac:dyDescent="0.25">
      <c r="A129" s="15" t="s">
        <v>731</v>
      </c>
      <c r="B129" s="16">
        <v>11</v>
      </c>
      <c r="C129" s="12" t="s">
        <v>134</v>
      </c>
      <c r="D129" s="18" t="s">
        <v>732</v>
      </c>
      <c r="E129" s="18" t="s">
        <v>733</v>
      </c>
      <c r="F129" s="12" t="s">
        <v>180</v>
      </c>
      <c r="G129" s="12" t="s">
        <v>60</v>
      </c>
      <c r="H129" s="18"/>
      <c r="I129" s="18"/>
      <c r="J129" s="18" t="s">
        <v>729</v>
      </c>
      <c r="K129" s="18" t="s">
        <v>726</v>
      </c>
      <c r="L129" s="12" t="s">
        <v>264</v>
      </c>
      <c r="M129" s="19"/>
      <c r="N129" s="19"/>
      <c r="O129" s="19"/>
      <c r="P129" s="12"/>
      <c r="Q129" s="18"/>
      <c r="R129" s="12" t="s">
        <v>726</v>
      </c>
      <c r="S129" s="12" t="s">
        <v>730</v>
      </c>
    </row>
    <row r="130" spans="1:19" ht="25.5" x14ac:dyDescent="0.25">
      <c r="A130" s="15" t="s">
        <v>734</v>
      </c>
      <c r="B130" s="16">
        <v>11</v>
      </c>
      <c r="C130" s="12" t="s">
        <v>134</v>
      </c>
      <c r="D130" s="18" t="s">
        <v>735</v>
      </c>
      <c r="E130" s="18" t="s">
        <v>736</v>
      </c>
      <c r="F130" s="12" t="s">
        <v>180</v>
      </c>
      <c r="G130" s="12" t="s">
        <v>60</v>
      </c>
      <c r="H130" s="18"/>
      <c r="I130" s="18"/>
      <c r="J130" s="18" t="s">
        <v>335</v>
      </c>
      <c r="K130" s="18" t="s">
        <v>731</v>
      </c>
      <c r="L130" s="12" t="s">
        <v>254</v>
      </c>
      <c r="M130" s="19"/>
      <c r="N130" s="19"/>
      <c r="O130" s="19"/>
      <c r="P130" s="12"/>
      <c r="Q130" s="18"/>
      <c r="R130" s="12" t="s">
        <v>731</v>
      </c>
      <c r="S130" s="12" t="s">
        <v>730</v>
      </c>
    </row>
    <row r="131" spans="1:19" x14ac:dyDescent="0.25">
      <c r="A131" s="15" t="s">
        <v>737</v>
      </c>
      <c r="B131" s="16">
        <v>11</v>
      </c>
      <c r="C131" s="12" t="s">
        <v>134</v>
      </c>
      <c r="D131" s="18" t="s">
        <v>738</v>
      </c>
      <c r="E131" s="18" t="s">
        <v>739</v>
      </c>
      <c r="F131" s="12" t="s">
        <v>195</v>
      </c>
      <c r="G131" s="12" t="s">
        <v>60</v>
      </c>
      <c r="H131" s="18"/>
      <c r="I131" s="18"/>
      <c r="J131" s="18" t="s">
        <v>335</v>
      </c>
      <c r="K131" s="18" t="s">
        <v>731</v>
      </c>
      <c r="L131" s="12" t="s">
        <v>264</v>
      </c>
      <c r="M131" s="19"/>
      <c r="N131" s="19"/>
      <c r="O131" s="19"/>
      <c r="P131" s="12"/>
      <c r="Q131" s="18"/>
      <c r="R131" s="12" t="s">
        <v>731</v>
      </c>
      <c r="S131" s="12" t="s">
        <v>730</v>
      </c>
    </row>
    <row r="132" spans="1:19" x14ac:dyDescent="0.25">
      <c r="A132" s="15" t="s">
        <v>740</v>
      </c>
      <c r="B132" s="16">
        <v>11</v>
      </c>
      <c r="C132" s="12" t="s">
        <v>134</v>
      </c>
      <c r="D132" s="18" t="s">
        <v>741</v>
      </c>
      <c r="E132" s="18" t="s">
        <v>742</v>
      </c>
      <c r="F132" s="12" t="s">
        <v>308</v>
      </c>
      <c r="G132" s="12" t="s">
        <v>60</v>
      </c>
      <c r="H132" s="18"/>
      <c r="I132" s="18"/>
      <c r="J132" s="18" t="s">
        <v>210</v>
      </c>
      <c r="K132" s="18" t="s">
        <v>731</v>
      </c>
      <c r="L132" s="12" t="s">
        <v>184</v>
      </c>
      <c r="M132" s="19"/>
      <c r="N132" s="19"/>
      <c r="O132" s="19"/>
      <c r="P132" s="12"/>
      <c r="Q132" s="18"/>
      <c r="R132" s="12" t="s">
        <v>731</v>
      </c>
      <c r="S132" s="12"/>
    </row>
    <row r="133" spans="1:19" x14ac:dyDescent="0.25">
      <c r="A133" s="15" t="s">
        <v>743</v>
      </c>
      <c r="B133" s="16">
        <v>11</v>
      </c>
      <c r="C133" s="12" t="s">
        <v>134</v>
      </c>
      <c r="D133" s="18" t="s">
        <v>744</v>
      </c>
      <c r="E133" s="18" t="s">
        <v>745</v>
      </c>
      <c r="F133" s="12" t="s">
        <v>180</v>
      </c>
      <c r="G133" s="12" t="s">
        <v>60</v>
      </c>
      <c r="H133" s="18"/>
      <c r="I133" s="18"/>
      <c r="J133" s="18" t="s">
        <v>204</v>
      </c>
      <c r="K133" s="18" t="s">
        <v>734</v>
      </c>
      <c r="L133" s="12" t="s">
        <v>184</v>
      </c>
      <c r="M133" s="19"/>
      <c r="N133" s="19"/>
      <c r="O133" s="19"/>
      <c r="P133" s="12"/>
      <c r="Q133" s="18"/>
      <c r="R133" s="12" t="s">
        <v>734</v>
      </c>
      <c r="S133" s="12" t="s">
        <v>730</v>
      </c>
    </row>
    <row r="134" spans="1:19" ht="25.5" x14ac:dyDescent="0.25">
      <c r="A134" s="15" t="s">
        <v>746</v>
      </c>
      <c r="B134" s="16">
        <v>12</v>
      </c>
      <c r="C134" s="12" t="s">
        <v>116</v>
      </c>
      <c r="D134" s="18" t="s">
        <v>747</v>
      </c>
      <c r="E134" s="18" t="s">
        <v>748</v>
      </c>
      <c r="F134" s="12" t="s">
        <v>195</v>
      </c>
      <c r="G134" s="12" t="s">
        <v>60</v>
      </c>
      <c r="H134" s="18"/>
      <c r="I134" s="18"/>
      <c r="J134" s="18" t="s">
        <v>508</v>
      </c>
      <c r="K134" s="18" t="s">
        <v>461</v>
      </c>
      <c r="L134" s="12" t="s">
        <v>264</v>
      </c>
      <c r="M134" s="19"/>
      <c r="N134" s="19"/>
      <c r="O134" s="19"/>
      <c r="P134" s="12"/>
      <c r="Q134" s="18"/>
      <c r="R134" s="12"/>
      <c r="S134" s="12"/>
    </row>
    <row r="135" spans="1:19" x14ac:dyDescent="0.25">
      <c r="A135" s="15" t="s">
        <v>749</v>
      </c>
      <c r="B135" s="16">
        <v>12</v>
      </c>
      <c r="C135" s="12" t="s">
        <v>116</v>
      </c>
      <c r="D135" s="18" t="s">
        <v>750</v>
      </c>
      <c r="E135" s="18" t="s">
        <v>751</v>
      </c>
      <c r="F135" s="12" t="s">
        <v>195</v>
      </c>
      <c r="G135" s="12" t="s">
        <v>60</v>
      </c>
      <c r="H135" s="18"/>
      <c r="I135" s="18"/>
      <c r="J135" s="18" t="s">
        <v>508</v>
      </c>
      <c r="K135" s="18"/>
      <c r="L135" s="12" t="s">
        <v>264</v>
      </c>
      <c r="M135" s="19"/>
      <c r="N135" s="19"/>
      <c r="O135" s="19"/>
      <c r="P135" s="12"/>
      <c r="Q135" s="18"/>
      <c r="R135" s="12"/>
      <c r="S135" s="12"/>
    </row>
    <row r="136" spans="1:19" x14ac:dyDescent="0.25">
      <c r="A136" s="15" t="s">
        <v>752</v>
      </c>
      <c r="B136" s="16">
        <v>12</v>
      </c>
      <c r="C136" s="12" t="s">
        <v>116</v>
      </c>
      <c r="D136" s="18" t="s">
        <v>753</v>
      </c>
      <c r="E136" s="18" t="s">
        <v>754</v>
      </c>
      <c r="F136" s="12" t="s">
        <v>195</v>
      </c>
      <c r="G136" s="12" t="s">
        <v>60</v>
      </c>
      <c r="H136" s="18"/>
      <c r="I136" s="18"/>
      <c r="J136" s="18" t="s">
        <v>210</v>
      </c>
      <c r="K136" s="18"/>
      <c r="L136" s="12" t="s">
        <v>184</v>
      </c>
      <c r="M136" s="19"/>
      <c r="N136" s="19"/>
      <c r="O136" s="19"/>
      <c r="P136" s="12"/>
      <c r="Q136" s="18"/>
      <c r="R136" s="12"/>
      <c r="S136" s="12"/>
    </row>
    <row r="137" spans="1:19" ht="38.25" x14ac:dyDescent="0.25">
      <c r="A137" s="15" t="s">
        <v>755</v>
      </c>
      <c r="B137" s="16">
        <v>12</v>
      </c>
      <c r="C137" s="12" t="s">
        <v>116</v>
      </c>
      <c r="D137" s="18" t="s">
        <v>756</v>
      </c>
      <c r="E137" s="18" t="s">
        <v>757</v>
      </c>
      <c r="F137" s="12" t="s">
        <v>195</v>
      </c>
      <c r="G137" s="12" t="s">
        <v>75</v>
      </c>
      <c r="H137" s="18" t="s">
        <v>758</v>
      </c>
      <c r="I137" s="18" t="s">
        <v>759</v>
      </c>
      <c r="J137" s="18" t="s">
        <v>398</v>
      </c>
      <c r="K137" s="18"/>
      <c r="L137" s="12" t="s">
        <v>184</v>
      </c>
      <c r="M137" s="19">
        <v>46292.397361111107</v>
      </c>
      <c r="N137" s="19"/>
      <c r="O137" s="19">
        <v>46292.397361111107</v>
      </c>
      <c r="P137" s="12"/>
      <c r="Q137" s="18"/>
      <c r="R137" s="12"/>
      <c r="S137" s="12"/>
    </row>
    <row r="138" spans="1:19" ht="38.25" x14ac:dyDescent="0.25">
      <c r="A138" s="15" t="s">
        <v>760</v>
      </c>
      <c r="B138" s="16">
        <v>13</v>
      </c>
      <c r="C138" s="12" t="s">
        <v>118</v>
      </c>
      <c r="D138" s="18" t="s">
        <v>761</v>
      </c>
      <c r="E138" s="18" t="s">
        <v>762</v>
      </c>
      <c r="F138" s="12" t="s">
        <v>195</v>
      </c>
      <c r="G138" s="12" t="s">
        <v>60</v>
      </c>
      <c r="H138" s="18"/>
      <c r="I138" s="18"/>
      <c r="J138" s="18" t="s">
        <v>508</v>
      </c>
      <c r="K138" s="18" t="s">
        <v>347</v>
      </c>
      <c r="L138" s="12" t="s">
        <v>264</v>
      </c>
      <c r="M138" s="19"/>
      <c r="N138" s="19"/>
      <c r="O138" s="19"/>
      <c r="P138" s="12"/>
      <c r="Q138" s="18"/>
      <c r="R138" s="12"/>
      <c r="S138" s="12"/>
    </row>
    <row r="139" spans="1:19" x14ac:dyDescent="0.25">
      <c r="A139" s="15" t="s">
        <v>763</v>
      </c>
      <c r="B139" s="16">
        <v>13</v>
      </c>
      <c r="C139" s="12" t="s">
        <v>118</v>
      </c>
      <c r="D139" s="18" t="s">
        <v>764</v>
      </c>
      <c r="E139" s="18" t="s">
        <v>765</v>
      </c>
      <c r="F139" s="12" t="s">
        <v>195</v>
      </c>
      <c r="G139" s="12" t="s">
        <v>60</v>
      </c>
      <c r="H139" s="18"/>
      <c r="I139" s="18"/>
      <c r="J139" s="18" t="s">
        <v>228</v>
      </c>
      <c r="K139" s="18" t="s">
        <v>428</v>
      </c>
      <c r="L139" s="12" t="s">
        <v>264</v>
      </c>
      <c r="M139" s="19"/>
      <c r="N139" s="19"/>
      <c r="O139" s="19"/>
      <c r="P139" s="12"/>
      <c r="Q139" s="18"/>
      <c r="R139" s="12"/>
      <c r="S139" s="12"/>
    </row>
    <row r="140" spans="1:19" x14ac:dyDescent="0.25">
      <c r="A140" s="15" t="s">
        <v>766</v>
      </c>
      <c r="B140" s="16">
        <v>13</v>
      </c>
      <c r="C140" s="12" t="s">
        <v>118</v>
      </c>
      <c r="D140" s="18" t="s">
        <v>767</v>
      </c>
      <c r="E140" s="18" t="s">
        <v>768</v>
      </c>
      <c r="F140" s="12" t="s">
        <v>308</v>
      </c>
      <c r="G140" s="12" t="s">
        <v>60</v>
      </c>
      <c r="H140" s="18"/>
      <c r="I140" s="18"/>
      <c r="J140" s="18" t="s">
        <v>398</v>
      </c>
      <c r="K140" s="18"/>
      <c r="L140" s="12" t="s">
        <v>184</v>
      </c>
      <c r="M140" s="19"/>
      <c r="N140" s="19"/>
      <c r="O140" s="19"/>
      <c r="P140" s="12"/>
      <c r="Q140" s="18"/>
      <c r="R140" s="12"/>
      <c r="S140" s="12"/>
    </row>
    <row r="141" spans="1:19" ht="38.25" x14ac:dyDescent="0.25">
      <c r="A141" s="15" t="s">
        <v>769</v>
      </c>
      <c r="B141" s="16">
        <v>14</v>
      </c>
      <c r="C141" s="12" t="s">
        <v>104</v>
      </c>
      <c r="D141" s="18" t="s">
        <v>770</v>
      </c>
      <c r="E141" s="18" t="s">
        <v>771</v>
      </c>
      <c r="F141" s="12" t="s">
        <v>180</v>
      </c>
      <c r="G141" s="12" t="s">
        <v>60</v>
      </c>
      <c r="H141" s="18"/>
      <c r="I141" s="18"/>
      <c r="J141" s="18" t="s">
        <v>210</v>
      </c>
      <c r="K141" s="18" t="s">
        <v>428</v>
      </c>
      <c r="L141" s="12" t="s">
        <v>264</v>
      </c>
      <c r="M141" s="19"/>
      <c r="N141" s="19"/>
      <c r="O141" s="19"/>
      <c r="P141" s="12"/>
      <c r="Q141" s="18"/>
      <c r="R141" s="12"/>
      <c r="S141" s="12" t="s">
        <v>413</v>
      </c>
    </row>
    <row r="142" spans="1:19" x14ac:dyDescent="0.25">
      <c r="A142" s="15" t="s">
        <v>772</v>
      </c>
      <c r="B142" s="16">
        <v>14</v>
      </c>
      <c r="C142" s="12" t="s">
        <v>104</v>
      </c>
      <c r="D142" s="18" t="s">
        <v>773</v>
      </c>
      <c r="E142" s="18" t="s">
        <v>774</v>
      </c>
      <c r="F142" s="12" t="s">
        <v>180</v>
      </c>
      <c r="G142" s="12" t="s">
        <v>60</v>
      </c>
      <c r="H142" s="18"/>
      <c r="I142" s="18"/>
      <c r="J142" s="18" t="s">
        <v>775</v>
      </c>
      <c r="K142" s="18" t="s">
        <v>428</v>
      </c>
      <c r="L142" s="12" t="s">
        <v>254</v>
      </c>
      <c r="M142" s="19"/>
      <c r="N142" s="19"/>
      <c r="O142" s="19"/>
      <c r="P142" s="12"/>
      <c r="Q142" s="18"/>
      <c r="R142" s="12" t="s">
        <v>769</v>
      </c>
      <c r="S142" s="12" t="s">
        <v>413</v>
      </c>
    </row>
    <row r="143" spans="1:19" x14ac:dyDescent="0.25">
      <c r="A143" s="15" t="s">
        <v>776</v>
      </c>
      <c r="B143" s="16">
        <v>14</v>
      </c>
      <c r="C143" s="12" t="s">
        <v>104</v>
      </c>
      <c r="D143" s="18" t="s">
        <v>777</v>
      </c>
      <c r="E143" s="18" t="s">
        <v>778</v>
      </c>
      <c r="F143" s="12" t="s">
        <v>308</v>
      </c>
      <c r="G143" s="12" t="s">
        <v>60</v>
      </c>
      <c r="H143" s="18"/>
      <c r="I143" s="18"/>
      <c r="J143" s="18" t="s">
        <v>228</v>
      </c>
      <c r="K143" s="18" t="s">
        <v>428</v>
      </c>
      <c r="L143" s="12" t="s">
        <v>264</v>
      </c>
      <c r="M143" s="19"/>
      <c r="N143" s="19"/>
      <c r="O143" s="19"/>
      <c r="P143" s="12"/>
      <c r="Q143" s="18"/>
      <c r="R143" s="12"/>
      <c r="S143" s="12"/>
    </row>
    <row r="144" spans="1:19" ht="25.5" x14ac:dyDescent="0.25">
      <c r="A144" s="15" t="s">
        <v>779</v>
      </c>
      <c r="B144" s="16">
        <v>14</v>
      </c>
      <c r="C144" s="12" t="s">
        <v>104</v>
      </c>
      <c r="D144" s="18" t="s">
        <v>780</v>
      </c>
      <c r="E144" s="18" t="s">
        <v>781</v>
      </c>
      <c r="F144" s="12" t="s">
        <v>308</v>
      </c>
      <c r="G144" s="12" t="s">
        <v>60</v>
      </c>
      <c r="H144" s="18"/>
      <c r="I144" s="18"/>
      <c r="J144" s="18" t="s">
        <v>228</v>
      </c>
      <c r="K144" s="18" t="s">
        <v>486</v>
      </c>
      <c r="L144" s="12" t="s">
        <v>264</v>
      </c>
      <c r="M144" s="19"/>
      <c r="N144" s="19"/>
      <c r="O144" s="19"/>
      <c r="P144" s="12"/>
      <c r="Q144" s="18"/>
      <c r="R144" s="12"/>
      <c r="S144" s="12"/>
    </row>
    <row r="145" spans="1:19" x14ac:dyDescent="0.25">
      <c r="A145" s="15" t="s">
        <v>782</v>
      </c>
      <c r="B145" s="16">
        <v>15</v>
      </c>
      <c r="C145" s="12" t="s">
        <v>129</v>
      </c>
      <c r="D145" s="18" t="s">
        <v>783</v>
      </c>
      <c r="E145" s="18" t="s">
        <v>784</v>
      </c>
      <c r="F145" s="12" t="s">
        <v>308</v>
      </c>
      <c r="G145" s="12" t="s">
        <v>60</v>
      </c>
      <c r="H145" s="18"/>
      <c r="I145" s="18"/>
      <c r="J145" s="18" t="s">
        <v>785</v>
      </c>
      <c r="K145" s="18"/>
      <c r="L145" s="12" t="s">
        <v>264</v>
      </c>
      <c r="M145" s="19"/>
      <c r="N145" s="19"/>
      <c r="O145" s="19"/>
      <c r="P145" s="12"/>
      <c r="Q145" s="18"/>
      <c r="R145" s="12"/>
      <c r="S145" s="12"/>
    </row>
    <row r="146" spans="1:19" x14ac:dyDescent="0.25">
      <c r="A146" s="15" t="s">
        <v>786</v>
      </c>
      <c r="B146" s="16">
        <v>15</v>
      </c>
      <c r="C146" s="12" t="s">
        <v>129</v>
      </c>
      <c r="D146" s="18" t="s">
        <v>787</v>
      </c>
      <c r="E146" s="18" t="s">
        <v>788</v>
      </c>
      <c r="F146" s="12" t="s">
        <v>308</v>
      </c>
      <c r="G146" s="12" t="s">
        <v>60</v>
      </c>
      <c r="H146" s="18"/>
      <c r="I146" s="18"/>
      <c r="J146" s="18" t="s">
        <v>785</v>
      </c>
      <c r="K146" s="18" t="s">
        <v>581</v>
      </c>
      <c r="L146" s="12" t="s">
        <v>184</v>
      </c>
      <c r="M146" s="19"/>
      <c r="N146" s="19"/>
      <c r="O146" s="19"/>
      <c r="P146" s="12"/>
      <c r="Q146" s="18"/>
      <c r="R146" s="12"/>
      <c r="S146" s="12"/>
    </row>
    <row r="147" spans="1:19" x14ac:dyDescent="0.25">
      <c r="A147" s="15" t="s">
        <v>789</v>
      </c>
      <c r="B147" s="16">
        <v>15</v>
      </c>
      <c r="C147" s="12" t="s">
        <v>129</v>
      </c>
      <c r="D147" s="18" t="s">
        <v>790</v>
      </c>
      <c r="E147" s="18" t="s">
        <v>791</v>
      </c>
      <c r="F147" s="12" t="s">
        <v>318</v>
      </c>
      <c r="G147" s="12" t="s">
        <v>60</v>
      </c>
      <c r="H147" s="18"/>
      <c r="I147" s="18"/>
      <c r="J147" s="18" t="s">
        <v>785</v>
      </c>
      <c r="K147" s="18" t="s">
        <v>711</v>
      </c>
      <c r="L147" s="12" t="s">
        <v>264</v>
      </c>
      <c r="M147" s="19"/>
      <c r="N147" s="19"/>
      <c r="O147" s="19"/>
      <c r="P147" s="12"/>
      <c r="Q147" s="18"/>
      <c r="R147" s="12"/>
      <c r="S147" s="12"/>
    </row>
    <row r="148" spans="1:19" ht="25.5" x14ac:dyDescent="0.25">
      <c r="A148" s="15" t="s">
        <v>792</v>
      </c>
      <c r="B148" s="16">
        <v>16</v>
      </c>
      <c r="C148" s="12" t="s">
        <v>129</v>
      </c>
      <c r="D148" s="18" t="s">
        <v>793</v>
      </c>
      <c r="E148" s="18" t="s">
        <v>794</v>
      </c>
      <c r="F148" s="12" t="s">
        <v>195</v>
      </c>
      <c r="G148" s="12" t="s">
        <v>60</v>
      </c>
      <c r="H148" s="18"/>
      <c r="I148" s="18"/>
      <c r="J148" s="18" t="s">
        <v>508</v>
      </c>
      <c r="K148" s="18" t="s">
        <v>760</v>
      </c>
      <c r="L148" s="12" t="s">
        <v>184</v>
      </c>
      <c r="M148" s="19"/>
      <c r="N148" s="19"/>
      <c r="O148" s="19"/>
      <c r="P148" s="12"/>
      <c r="Q148" s="18"/>
      <c r="R148" s="12"/>
      <c r="S148" s="12"/>
    </row>
    <row r="149" spans="1:19" x14ac:dyDescent="0.25">
      <c r="A149" s="15" t="s">
        <v>795</v>
      </c>
      <c r="B149" s="16">
        <v>16</v>
      </c>
      <c r="C149" s="12" t="s">
        <v>129</v>
      </c>
      <c r="D149" s="18" t="s">
        <v>796</v>
      </c>
      <c r="E149" s="18" t="s">
        <v>797</v>
      </c>
      <c r="F149" s="12" t="s">
        <v>195</v>
      </c>
      <c r="G149" s="12" t="s">
        <v>60</v>
      </c>
      <c r="H149" s="18"/>
      <c r="I149" s="18"/>
      <c r="J149" s="18" t="s">
        <v>210</v>
      </c>
      <c r="K149" s="18"/>
      <c r="L149" s="12" t="s">
        <v>184</v>
      </c>
      <c r="M149" s="19"/>
      <c r="N149" s="19"/>
      <c r="O149" s="19"/>
      <c r="P149" s="12"/>
      <c r="Q149" s="18"/>
      <c r="R149" s="12"/>
      <c r="S149" s="12"/>
    </row>
    <row r="150" spans="1:19" ht="25.5" x14ac:dyDescent="0.25">
      <c r="A150" s="15" t="s">
        <v>798</v>
      </c>
      <c r="B150" s="16">
        <v>5</v>
      </c>
      <c r="C150" s="12" t="s">
        <v>144</v>
      </c>
      <c r="D150" s="18" t="s">
        <v>799</v>
      </c>
      <c r="E150" s="18" t="s">
        <v>800</v>
      </c>
      <c r="F150" s="12" t="s">
        <v>195</v>
      </c>
      <c r="G150" s="12" t="s">
        <v>60</v>
      </c>
      <c r="H150" s="18"/>
      <c r="I150" s="18"/>
      <c r="J150" s="18" t="s">
        <v>785</v>
      </c>
      <c r="K150" s="18"/>
      <c r="L150" s="12" t="s">
        <v>264</v>
      </c>
      <c r="M150" s="19"/>
      <c r="N150" s="19"/>
      <c r="O150" s="19"/>
      <c r="P150" s="12"/>
      <c r="Q150" s="18"/>
      <c r="R150" s="12"/>
      <c r="S150" s="12"/>
    </row>
    <row r="151" spans="1:19" ht="25.5" x14ac:dyDescent="0.25">
      <c r="A151" s="15" t="s">
        <v>801</v>
      </c>
      <c r="B151" s="16">
        <v>6</v>
      </c>
      <c r="C151" s="12" t="s">
        <v>146</v>
      </c>
      <c r="D151" s="18" t="s">
        <v>802</v>
      </c>
      <c r="E151" s="18" t="s">
        <v>803</v>
      </c>
      <c r="F151" s="12" t="s">
        <v>195</v>
      </c>
      <c r="G151" s="12" t="s">
        <v>60</v>
      </c>
      <c r="H151" s="18"/>
      <c r="I151" s="18"/>
      <c r="J151" s="18" t="s">
        <v>437</v>
      </c>
      <c r="K151" s="18" t="s">
        <v>434</v>
      </c>
      <c r="L151" s="12" t="s">
        <v>264</v>
      </c>
      <c r="M151" s="19"/>
      <c r="N151" s="19"/>
      <c r="O151" s="19"/>
      <c r="P151" s="12"/>
      <c r="Q151" s="18"/>
      <c r="R151" s="12"/>
      <c r="S151" s="12"/>
    </row>
    <row r="152" spans="1:19" x14ac:dyDescent="0.25">
      <c r="A152" s="15" t="s">
        <v>804</v>
      </c>
      <c r="B152" s="16">
        <v>16</v>
      </c>
      <c r="C152" s="12" t="s">
        <v>149</v>
      </c>
      <c r="D152" s="18" t="s">
        <v>805</v>
      </c>
      <c r="E152" s="18" t="s">
        <v>806</v>
      </c>
      <c r="F152" s="12" t="s">
        <v>195</v>
      </c>
      <c r="G152" s="12" t="s">
        <v>60</v>
      </c>
      <c r="H152" s="18"/>
      <c r="I152" s="18"/>
      <c r="J152" s="18" t="s">
        <v>775</v>
      </c>
      <c r="K152" s="18"/>
      <c r="L152" s="12" t="s">
        <v>264</v>
      </c>
      <c r="M152" s="19"/>
      <c r="N152" s="19"/>
      <c r="O152" s="19"/>
      <c r="P152" s="12"/>
      <c r="Q152" s="18"/>
      <c r="R152" s="12"/>
      <c r="S152" s="12" t="s">
        <v>807</v>
      </c>
    </row>
    <row r="153" spans="1:19" x14ac:dyDescent="0.25">
      <c r="A153" s="15" t="s">
        <v>808</v>
      </c>
      <c r="B153" s="16">
        <v>16</v>
      </c>
      <c r="C153" s="12" t="s">
        <v>149</v>
      </c>
      <c r="D153" s="18" t="s">
        <v>809</v>
      </c>
      <c r="E153" s="18" t="s">
        <v>810</v>
      </c>
      <c r="F153" s="12" t="s">
        <v>195</v>
      </c>
      <c r="G153" s="12" t="s">
        <v>60</v>
      </c>
      <c r="H153" s="18"/>
      <c r="I153" s="18"/>
      <c r="J153" s="18" t="s">
        <v>775</v>
      </c>
      <c r="K153" s="18"/>
      <c r="L153" s="12" t="s">
        <v>184</v>
      </c>
      <c r="M153" s="19"/>
      <c r="N153" s="19"/>
      <c r="O153" s="19"/>
      <c r="P153" s="12"/>
      <c r="Q153" s="18"/>
      <c r="R153" s="12"/>
      <c r="S153" s="12" t="s">
        <v>807</v>
      </c>
    </row>
    <row r="154" spans="1:19" ht="25.5" x14ac:dyDescent="0.25">
      <c r="A154" s="15" t="s">
        <v>811</v>
      </c>
      <c r="B154" s="16">
        <v>16</v>
      </c>
      <c r="C154" s="12" t="s">
        <v>149</v>
      </c>
      <c r="D154" s="18" t="s">
        <v>812</v>
      </c>
      <c r="E154" s="18" t="s">
        <v>813</v>
      </c>
      <c r="F154" s="12" t="s">
        <v>308</v>
      </c>
      <c r="G154" s="12" t="s">
        <v>60</v>
      </c>
      <c r="H154" s="18"/>
      <c r="I154" s="18"/>
      <c r="J154" s="18" t="s">
        <v>775</v>
      </c>
      <c r="K154" s="18" t="s">
        <v>804</v>
      </c>
      <c r="L154" s="12" t="s">
        <v>184</v>
      </c>
      <c r="M154" s="19"/>
      <c r="N154" s="19"/>
      <c r="O154" s="19"/>
      <c r="P154" s="12"/>
      <c r="Q154" s="18"/>
      <c r="R154" s="12"/>
      <c r="S154" s="12" t="s">
        <v>807</v>
      </c>
    </row>
    <row r="155" spans="1:19" ht="25.5" x14ac:dyDescent="0.25">
      <c r="A155" s="15" t="s">
        <v>814</v>
      </c>
      <c r="B155" s="16">
        <v>17</v>
      </c>
      <c r="C155" s="12" t="s">
        <v>142</v>
      </c>
      <c r="D155" s="18" t="s">
        <v>815</v>
      </c>
      <c r="E155" s="18" t="s">
        <v>816</v>
      </c>
      <c r="F155" s="12" t="s">
        <v>195</v>
      </c>
      <c r="G155" s="12" t="s">
        <v>60</v>
      </c>
      <c r="H155" s="18"/>
      <c r="I155" s="18"/>
      <c r="J155" s="18" t="s">
        <v>817</v>
      </c>
      <c r="K155" s="18"/>
      <c r="L155" s="12" t="s">
        <v>254</v>
      </c>
      <c r="M155" s="19"/>
      <c r="N155" s="19"/>
      <c r="O155" s="19"/>
      <c r="P155" s="12"/>
      <c r="Q155" s="18"/>
      <c r="R155" s="12"/>
      <c r="S155" s="12" t="s">
        <v>807</v>
      </c>
    </row>
    <row r="156" spans="1:19" ht="25.5" x14ac:dyDescent="0.25">
      <c r="A156" s="15" t="s">
        <v>818</v>
      </c>
      <c r="B156" s="16">
        <v>17</v>
      </c>
      <c r="C156" s="12" t="s">
        <v>142</v>
      </c>
      <c r="D156" s="18" t="s">
        <v>819</v>
      </c>
      <c r="E156" s="18" t="s">
        <v>820</v>
      </c>
      <c r="F156" s="12" t="s">
        <v>180</v>
      </c>
      <c r="G156" s="12" t="s">
        <v>60</v>
      </c>
      <c r="H156" s="18"/>
      <c r="I156" s="18"/>
      <c r="J156" s="18" t="s">
        <v>821</v>
      </c>
      <c r="K156" s="18" t="s">
        <v>513</v>
      </c>
      <c r="L156" s="12" t="s">
        <v>264</v>
      </c>
      <c r="M156" s="19"/>
      <c r="N156" s="19"/>
      <c r="O156" s="19"/>
      <c r="P156" s="12"/>
      <c r="Q156" s="18"/>
      <c r="R156" s="12"/>
      <c r="S156" s="12" t="s">
        <v>822</v>
      </c>
    </row>
    <row r="157" spans="1:19" x14ac:dyDescent="0.25">
      <c r="A157" s="15" t="s">
        <v>823</v>
      </c>
      <c r="B157" s="16">
        <v>17</v>
      </c>
      <c r="C157" s="12" t="s">
        <v>72</v>
      </c>
      <c r="D157" s="18" t="s">
        <v>824</v>
      </c>
      <c r="E157" s="18" t="s">
        <v>825</v>
      </c>
      <c r="F157" s="12" t="s">
        <v>180</v>
      </c>
      <c r="G157" s="12" t="s">
        <v>60</v>
      </c>
      <c r="H157" s="18"/>
      <c r="I157" s="18"/>
      <c r="J157" s="18" t="s">
        <v>216</v>
      </c>
      <c r="K157" s="18"/>
      <c r="L157" s="12" t="s">
        <v>264</v>
      </c>
      <c r="M157" s="19"/>
      <c r="N157" s="19"/>
      <c r="O157" s="19"/>
      <c r="P157" s="12"/>
      <c r="Q157" s="18"/>
      <c r="R157" s="12"/>
      <c r="S157" s="12"/>
    </row>
    <row r="158" spans="1:19" x14ac:dyDescent="0.25">
      <c r="A158" s="15" t="s">
        <v>826</v>
      </c>
      <c r="B158" s="16">
        <v>17</v>
      </c>
      <c r="C158" s="12" t="s">
        <v>72</v>
      </c>
      <c r="D158" s="18" t="s">
        <v>827</v>
      </c>
      <c r="E158" s="18" t="s">
        <v>828</v>
      </c>
      <c r="F158" s="12" t="s">
        <v>195</v>
      </c>
      <c r="G158" s="12" t="s">
        <v>60</v>
      </c>
      <c r="H158" s="18"/>
      <c r="I158" s="18"/>
      <c r="J158" s="18" t="s">
        <v>588</v>
      </c>
      <c r="K158" s="18" t="s">
        <v>585</v>
      </c>
      <c r="L158" s="12" t="s">
        <v>184</v>
      </c>
      <c r="M158" s="19"/>
      <c r="N158" s="19"/>
      <c r="O158" s="19"/>
      <c r="P158" s="12"/>
      <c r="Q158" s="18"/>
      <c r="R158" s="12"/>
      <c r="S158" s="12"/>
    </row>
    <row r="159" spans="1:19" x14ac:dyDescent="0.25">
      <c r="A159" s="15" t="s">
        <v>829</v>
      </c>
      <c r="B159" s="16">
        <v>17</v>
      </c>
      <c r="C159" s="12" t="s">
        <v>72</v>
      </c>
      <c r="D159" s="18" t="s">
        <v>830</v>
      </c>
      <c r="E159" s="18" t="s">
        <v>831</v>
      </c>
      <c r="F159" s="12" t="s">
        <v>308</v>
      </c>
      <c r="G159" s="12" t="s">
        <v>60</v>
      </c>
      <c r="H159" s="18"/>
      <c r="I159" s="18"/>
      <c r="J159" s="18" t="s">
        <v>216</v>
      </c>
      <c r="K159" s="18"/>
      <c r="L159" s="12" t="s">
        <v>184</v>
      </c>
      <c r="M159" s="19"/>
      <c r="N159" s="19"/>
      <c r="O159" s="19"/>
      <c r="P159" s="12"/>
      <c r="Q159" s="18"/>
      <c r="R159" s="12"/>
      <c r="S159" s="12"/>
    </row>
    <row r="160" spans="1:19" ht="25.5" x14ac:dyDescent="0.25">
      <c r="A160" s="15" t="s">
        <v>832</v>
      </c>
      <c r="B160" s="16">
        <v>17</v>
      </c>
      <c r="C160" s="12" t="s">
        <v>72</v>
      </c>
      <c r="D160" s="18" t="s">
        <v>833</v>
      </c>
      <c r="E160" s="18" t="s">
        <v>834</v>
      </c>
      <c r="F160" s="12" t="s">
        <v>318</v>
      </c>
      <c r="G160" s="12" t="s">
        <v>60</v>
      </c>
      <c r="H160" s="18"/>
      <c r="I160" s="18"/>
      <c r="J160" s="18" t="s">
        <v>835</v>
      </c>
      <c r="K160" s="18"/>
      <c r="L160" s="12" t="s">
        <v>184</v>
      </c>
      <c r="M160" s="19"/>
      <c r="N160" s="19"/>
      <c r="O160" s="19"/>
      <c r="P160" s="12"/>
      <c r="Q160" s="18"/>
      <c r="R160" s="12"/>
      <c r="S160" s="12"/>
    </row>
    <row r="161" spans="1:19" x14ac:dyDescent="0.25">
      <c r="A161" s="15" t="s">
        <v>836</v>
      </c>
      <c r="B161" s="16">
        <v>18</v>
      </c>
      <c r="C161" s="12" t="s">
        <v>152</v>
      </c>
      <c r="D161" s="18" t="s">
        <v>837</v>
      </c>
      <c r="E161" s="18" t="s">
        <v>838</v>
      </c>
      <c r="F161" s="12" t="s">
        <v>180</v>
      </c>
      <c r="G161" s="12" t="s">
        <v>60</v>
      </c>
      <c r="H161" s="18"/>
      <c r="I161" s="18"/>
      <c r="J161" s="18" t="s">
        <v>191</v>
      </c>
      <c r="K161" s="18"/>
      <c r="L161" s="12" t="s">
        <v>184</v>
      </c>
      <c r="M161" s="19"/>
      <c r="N161" s="19"/>
      <c r="O161" s="19"/>
      <c r="P161" s="12"/>
      <c r="Q161" s="18"/>
      <c r="R161" s="12"/>
      <c r="S161" s="12"/>
    </row>
    <row r="162" spans="1:19" ht="38.25" x14ac:dyDescent="0.25">
      <c r="A162" s="15" t="s">
        <v>839</v>
      </c>
      <c r="B162" s="16">
        <v>18</v>
      </c>
      <c r="C162" s="12" t="s">
        <v>152</v>
      </c>
      <c r="D162" s="18" t="s">
        <v>840</v>
      </c>
      <c r="E162" s="18" t="s">
        <v>841</v>
      </c>
      <c r="F162" s="12" t="s">
        <v>195</v>
      </c>
      <c r="G162" s="12" t="s">
        <v>60</v>
      </c>
      <c r="H162" s="18"/>
      <c r="I162" s="18"/>
      <c r="J162" s="18" t="s">
        <v>191</v>
      </c>
      <c r="K162" s="18"/>
      <c r="L162" s="12" t="s">
        <v>184</v>
      </c>
      <c r="M162" s="19"/>
      <c r="N162" s="19"/>
      <c r="O162" s="19"/>
      <c r="P162" s="12"/>
      <c r="Q162" s="18"/>
      <c r="R162" s="12"/>
      <c r="S162" s="12"/>
    </row>
  </sheetData>
  <autoFilter ref="A1:S162"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842</v>
      </c>
    </row>
    <row r="2" spans="1:10" x14ac:dyDescent="0.25">
      <c r="A2" s="4" t="s">
        <v>843</v>
      </c>
    </row>
    <row r="3" spans="1:10" x14ac:dyDescent="0.25">
      <c r="A3" s="6" t="s">
        <v>844</v>
      </c>
      <c r="B3" s="6" t="s">
        <v>845</v>
      </c>
      <c r="C3" s="6" t="s">
        <v>13</v>
      </c>
      <c r="D3" s="6" t="s">
        <v>16</v>
      </c>
      <c r="E3" s="6" t="s">
        <v>846</v>
      </c>
      <c r="F3" s="6" t="s">
        <v>847</v>
      </c>
      <c r="G3" s="6" t="s">
        <v>848</v>
      </c>
      <c r="H3" s="6" t="s">
        <v>36</v>
      </c>
    </row>
    <row r="4" spans="1:10" x14ac:dyDescent="0.25">
      <c r="A4" s="7">
        <f>COUNTA(A8:A27)</f>
        <v>20</v>
      </c>
      <c r="B4" s="7">
        <f>COUNTIF(B8:B27,"RESOLVED")</f>
        <v>1</v>
      </c>
      <c r="C4" s="7">
        <f>COUNTIF(B8:B27,"IN_PROGRESS")</f>
        <v>7</v>
      </c>
      <c r="D4" s="7">
        <f>COUNTIF(B8:B27,"BLOCKED")</f>
        <v>0</v>
      </c>
      <c r="E4" s="7">
        <f>COUNTIF(B8:B27,"OPEN")</f>
        <v>12</v>
      </c>
      <c r="F4" s="7">
        <f>COUNTIF(MASTER!$F$2:$F$2000,"P0")</f>
        <v>84</v>
      </c>
      <c r="G4" s="7">
        <f>COUNTIFS(MASTER!$F$2:$F$2000,"P0",MASTER!$G$2:$G$2000,"DONE")</f>
        <v>23</v>
      </c>
      <c r="H4" s="7">
        <f>F4-G4</f>
        <v>61</v>
      </c>
    </row>
    <row r="6" spans="1:10" ht="15.75" x14ac:dyDescent="0.25">
      <c r="A6" s="5" t="s">
        <v>849</v>
      </c>
    </row>
    <row r="7" spans="1:10" x14ac:dyDescent="0.25">
      <c r="A7" s="10" t="s">
        <v>850</v>
      </c>
      <c r="B7" s="10" t="s">
        <v>57</v>
      </c>
      <c r="C7" s="10" t="s">
        <v>851</v>
      </c>
      <c r="D7" s="10" t="s">
        <v>852</v>
      </c>
      <c r="E7" s="10" t="s">
        <v>45</v>
      </c>
      <c r="F7" s="10" t="s">
        <v>46</v>
      </c>
      <c r="G7" s="10" t="s">
        <v>853</v>
      </c>
      <c r="H7" s="10" t="s">
        <v>854</v>
      </c>
      <c r="I7" s="10" t="s">
        <v>855</v>
      </c>
      <c r="J7" s="10" t="s">
        <v>174</v>
      </c>
    </row>
    <row r="8" spans="1:10" ht="25.5" x14ac:dyDescent="0.25">
      <c r="A8" s="15" t="s">
        <v>265</v>
      </c>
      <c r="B8" s="12" t="str">
        <f t="shared" ref="B8:B27" si="0">IF(E8=0,"OPEN",IF(F8=E8,"RESOLVED",IF(I8&gt;0,"BLOCKED",IF(H8+F8&gt;0,"IN_PROGRESS","OPEN"))))</f>
        <v>RESOLVED</v>
      </c>
      <c r="C8" s="14">
        <f t="shared" ref="C8:C27" si="1">IF(E8=0,0,F8/E8)</f>
        <v>1</v>
      </c>
      <c r="D8" s="18" t="s">
        <v>856</v>
      </c>
      <c r="E8" s="16">
        <f t="shared" ref="E8:E27" si="2">IF(LEN(SUBSTITUTE($G8," ",""))=0,0,LEN(SUBSTITUTE($G8," ",""))-LEN(SUBSTITUTE(SUBSTITUTE($G8," ",""),",",""))+1)</f>
        <v>5</v>
      </c>
      <c r="F8" s="16">
        <f>SUMPRODUCT(ISNUMBER(SEARCH(","&amp;MASTER!$A$2:$A$2000&amp;",",","&amp;SUBSTITUTE($G8," ","")&amp;","))*((MASTER!$G$2:$G$2000="DONE")))</f>
        <v>5</v>
      </c>
      <c r="G8" s="18" t="s">
        <v>857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25.5" x14ac:dyDescent="0.25">
      <c r="A9" s="15" t="s">
        <v>400</v>
      </c>
      <c r="B9" s="12" t="str">
        <f t="shared" si="0"/>
        <v>IN_PROGRESS</v>
      </c>
      <c r="C9" s="14">
        <f t="shared" si="1"/>
        <v>0</v>
      </c>
      <c r="D9" s="18" t="s">
        <v>858</v>
      </c>
      <c r="E9" s="16">
        <f t="shared" si="2"/>
        <v>4</v>
      </c>
      <c r="F9" s="16">
        <f>SUMPRODUCT(ISNUMBER(SEARCH(","&amp;MASTER!$A$2:$A$2000&amp;",",","&amp;SUBSTITUTE($G9," ","")&amp;","))*((MASTER!$G$2:$G$2000="DONE")))</f>
        <v>0</v>
      </c>
      <c r="G9" s="18" t="s">
        <v>859</v>
      </c>
      <c r="H9" s="16">
        <f>SUMPRODUCT(ISNUMBER(SEARCH(","&amp;MASTER!$A$2:$A$2000&amp;",",","&amp;SUBSTITUTE($G9," ","")&amp;","))*((MASTER!$G$2:$G$2000="IN_PROGRESS")+(MASTER!$G$2:$G$2000="IMPLEMENTED")+(MASTER!$G$2:$G$2000="TESTING")+(MASTER!$G$2:$G$2000="VERIFIED")))</f>
        <v>1</v>
      </c>
      <c r="I9" s="16">
        <f>SUMPRODUCT(ISNUMBER(SEARCH(","&amp;MASTER!$A$2:$A$2000&amp;",",","&amp;SUBSTITUTE($G9," ","")&amp;","))*((MASTER!$G$2:$G$2000="BLOCKED")+(MASTER!$G$2:$G$2000="FAILED")))</f>
        <v>0</v>
      </c>
      <c r="J9" s="18"/>
    </row>
    <row r="10" spans="1:10" ht="25.5" x14ac:dyDescent="0.25">
      <c r="A10" s="15" t="s">
        <v>298</v>
      </c>
      <c r="B10" s="12" t="str">
        <f t="shared" si="0"/>
        <v>IN_PROGRESS</v>
      </c>
      <c r="C10" s="14">
        <f t="shared" si="1"/>
        <v>0.2</v>
      </c>
      <c r="D10" s="18" t="s">
        <v>860</v>
      </c>
      <c r="E10" s="16">
        <f t="shared" si="2"/>
        <v>5</v>
      </c>
      <c r="F10" s="16">
        <f>SUMPRODUCT(ISNUMBER(SEARCH(","&amp;MASTER!$A$2:$A$2000&amp;",",","&amp;SUBSTITUTE($G10," ","")&amp;","))*((MASTER!$G$2:$G$2000="DONE")))</f>
        <v>1</v>
      </c>
      <c r="G10" s="18" t="s">
        <v>861</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466</v>
      </c>
      <c r="B11" s="12" t="str">
        <f t="shared" si="0"/>
        <v>IN_PROGRESS</v>
      </c>
      <c r="C11" s="14">
        <f t="shared" si="1"/>
        <v>0</v>
      </c>
      <c r="D11" s="18" t="s">
        <v>862</v>
      </c>
      <c r="E11" s="16">
        <f t="shared" si="2"/>
        <v>1</v>
      </c>
      <c r="F11" s="16">
        <f>SUMPRODUCT(ISNUMBER(SEARCH(","&amp;MASTER!$A$2:$A$2000&amp;",",","&amp;SUBSTITUTE($G11," ","")&amp;","))*((MASTER!$G$2:$G$2000="DONE")))</f>
        <v>0</v>
      </c>
      <c r="G11" s="18" t="s">
        <v>461</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863</v>
      </c>
    </row>
    <row r="12" spans="1:10" ht="25.5" x14ac:dyDescent="0.25">
      <c r="A12" s="15" t="s">
        <v>413</v>
      </c>
      <c r="B12" s="12" t="str">
        <f t="shared" si="0"/>
        <v>OPEN</v>
      </c>
      <c r="C12" s="14">
        <f t="shared" si="1"/>
        <v>0</v>
      </c>
      <c r="D12" s="18" t="s">
        <v>864</v>
      </c>
      <c r="E12" s="16">
        <f t="shared" si="2"/>
        <v>4</v>
      </c>
      <c r="F12" s="16">
        <f>SUMPRODUCT(ISNUMBER(SEARCH(","&amp;MASTER!$A$2:$A$2000&amp;",",","&amp;SUBSTITUTE($G12," ","")&amp;","))*((MASTER!$G$2:$G$2000="DONE")))</f>
        <v>0</v>
      </c>
      <c r="G12" s="18" t="s">
        <v>865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485</v>
      </c>
      <c r="B13" s="12" t="str">
        <f t="shared" si="0"/>
        <v>IN_PROGRESS</v>
      </c>
      <c r="C13" s="14">
        <f t="shared" si="1"/>
        <v>0</v>
      </c>
      <c r="D13" s="18" t="s">
        <v>866</v>
      </c>
      <c r="E13" s="16">
        <f t="shared" si="2"/>
        <v>3</v>
      </c>
      <c r="F13" s="16">
        <f>SUMPRODUCT(ISNUMBER(SEARCH(","&amp;MASTER!$A$2:$A$2000&amp;",",","&amp;SUBSTITUTE($G13," ","")&amp;","))*((MASTER!$G$2:$G$2000="DONE")))</f>
        <v>0</v>
      </c>
      <c r="G13" s="18" t="s">
        <v>867</v>
      </c>
      <c r="H13" s="16">
        <f>SUMPRODUCT(ISNUMBER(SEARCH(","&amp;MASTER!$A$2:$A$2000&amp;",",","&amp;SUBSTITUTE($G13," ","")&amp;","))*((MASTER!$G$2:$G$2000="IN_PROGRESS")+(MASTER!$G$2:$G$2000="IMPLEMENTED")+(MASTER!$G$2:$G$2000="TESTING")+(MASTER!$G$2:$G$2000="VERIFIED")))</f>
        <v>1</v>
      </c>
      <c r="I13" s="16">
        <f>SUMPRODUCT(ISNUMBER(SEARCH(","&amp;MASTER!$A$2:$A$2000&amp;",",","&amp;SUBSTITUTE($G13," ","")&amp;","))*((MASTER!$G$2:$G$2000="BLOCKED")+(MASTER!$G$2:$G$2000="FAILED")))</f>
        <v>0</v>
      </c>
      <c r="J13" s="18"/>
    </row>
    <row r="14" spans="1:10" x14ac:dyDescent="0.25">
      <c r="A14" s="15" t="s">
        <v>304</v>
      </c>
      <c r="B14" s="12" t="str">
        <f t="shared" si="0"/>
        <v>IN_PROGRESS</v>
      </c>
      <c r="C14" s="14">
        <f t="shared" si="1"/>
        <v>0</v>
      </c>
      <c r="D14" s="18" t="s">
        <v>868</v>
      </c>
      <c r="E14" s="16">
        <f t="shared" si="2"/>
        <v>1</v>
      </c>
      <c r="F14" s="16">
        <f>SUMPRODUCT(ISNUMBER(SEARCH(","&amp;MASTER!$A$2:$A$2000&amp;",",","&amp;SUBSTITUTE($G14," ","")&amp;","))*((MASTER!$G$2:$G$2000="DONE")))</f>
        <v>0</v>
      </c>
      <c r="G14" s="18" t="s">
        <v>470</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314</v>
      </c>
      <c r="B15" s="12" t="str">
        <f t="shared" si="0"/>
        <v>OPEN</v>
      </c>
      <c r="C15" s="14">
        <f t="shared" si="1"/>
        <v>0</v>
      </c>
      <c r="D15" s="18" t="s">
        <v>869</v>
      </c>
      <c r="E15" s="16">
        <f t="shared" si="2"/>
        <v>1</v>
      </c>
      <c r="F15" s="16">
        <f>SUMPRODUCT(ISNUMBER(SEARCH(","&amp;MASTER!$A$2:$A$2000&amp;",",","&amp;SUBSTITUTE($G15," ","")&amp;","))*((MASTER!$G$2:$G$2000="DONE")))</f>
        <v>0</v>
      </c>
      <c r="G15" s="18" t="s">
        <v>467</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537</v>
      </c>
      <c r="B16" s="12" t="str">
        <f t="shared" si="0"/>
        <v>OPEN</v>
      </c>
      <c r="C16" s="14">
        <f t="shared" si="1"/>
        <v>0</v>
      </c>
      <c r="D16" s="18" t="s">
        <v>870</v>
      </c>
      <c r="E16" s="16">
        <f t="shared" si="2"/>
        <v>2</v>
      </c>
      <c r="F16" s="16">
        <f>SUMPRODUCT(ISNUMBER(SEARCH(","&amp;MASTER!$A$2:$A$2000&amp;",",","&amp;SUBSTITUTE($G16," ","")&amp;","))*((MASTER!$G$2:$G$2000="DONE")))</f>
        <v>0</v>
      </c>
      <c r="G16" s="18" t="s">
        <v>871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584</v>
      </c>
      <c r="B17" s="12" t="str">
        <f t="shared" si="0"/>
        <v>OPEN</v>
      </c>
      <c r="C17" s="14">
        <f t="shared" si="1"/>
        <v>0</v>
      </c>
      <c r="D17" s="18" t="s">
        <v>872</v>
      </c>
      <c r="E17" s="16">
        <f t="shared" si="2"/>
        <v>1</v>
      </c>
      <c r="F17" s="16">
        <f>SUMPRODUCT(ISNUMBER(SEARCH(","&amp;MASTER!$A$2:$A$2000&amp;",",","&amp;SUBSTITUTE($G17," ","")&amp;","))*((MASTER!$G$2:$G$2000="DONE")))</f>
        <v>0</v>
      </c>
      <c r="G17" s="18" t="s">
        <v>581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635</v>
      </c>
      <c r="B18" s="12" t="str">
        <f t="shared" si="0"/>
        <v>OPEN</v>
      </c>
      <c r="C18" s="14">
        <f t="shared" si="1"/>
        <v>0</v>
      </c>
      <c r="D18" s="18" t="s">
        <v>873</v>
      </c>
      <c r="E18" s="16">
        <f t="shared" si="2"/>
        <v>1</v>
      </c>
      <c r="F18" s="16">
        <f>SUMPRODUCT(ISNUMBER(SEARCH(","&amp;MASTER!$A$2:$A$2000&amp;",",","&amp;SUBSTITUTE($G18," ","")&amp;","))*((MASTER!$G$2:$G$2000="DONE")))</f>
        <v>0</v>
      </c>
      <c r="G18" s="18" t="s">
        <v>639</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529</v>
      </c>
      <c r="B19" s="12" t="str">
        <f t="shared" si="0"/>
        <v>OPEN</v>
      </c>
      <c r="C19" s="14">
        <f t="shared" si="1"/>
        <v>0</v>
      </c>
      <c r="D19" s="18" t="s">
        <v>874</v>
      </c>
      <c r="E19" s="16">
        <f t="shared" si="2"/>
        <v>2</v>
      </c>
      <c r="F19" s="16">
        <f>SUMPRODUCT(ISNUMBER(SEARCH(","&amp;MASTER!$A$2:$A$2000&amp;",",","&amp;SUBSTITUTE($G19," ","")&amp;","))*((MASTER!$G$2:$G$2000="DONE")))</f>
        <v>0</v>
      </c>
      <c r="G19" s="18" t="s">
        <v>875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545</v>
      </c>
      <c r="B20" s="12" t="str">
        <f t="shared" si="0"/>
        <v>OPEN</v>
      </c>
      <c r="C20" s="14">
        <f t="shared" si="1"/>
        <v>0</v>
      </c>
      <c r="D20" s="18" t="s">
        <v>876</v>
      </c>
      <c r="E20" s="16">
        <f t="shared" si="2"/>
        <v>3</v>
      </c>
      <c r="F20" s="16">
        <f>SUMPRODUCT(ISNUMBER(SEARCH(","&amp;MASTER!$A$2:$A$2000&amp;",",","&amp;SUBSTITUTE($G20," ","")&amp;","))*((MASTER!$G$2:$G$2000="DONE")))</f>
        <v>0</v>
      </c>
      <c r="G20" s="18" t="s">
        <v>877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611</v>
      </c>
      <c r="B21" s="12" t="str">
        <f t="shared" si="0"/>
        <v>OPEN</v>
      </c>
      <c r="C21" s="14">
        <f t="shared" si="1"/>
        <v>0</v>
      </c>
      <c r="D21" s="18" t="s">
        <v>878</v>
      </c>
      <c r="E21" s="16">
        <f t="shared" si="2"/>
        <v>4</v>
      </c>
      <c r="F21" s="16">
        <f>SUMPRODUCT(ISNUMBER(SEARCH(","&amp;MASTER!$A$2:$A$2000&amp;",",","&amp;SUBSTITUTE($G21," ","")&amp;","))*((MASTER!$G$2:$G$2000="DONE")))</f>
        <v>0</v>
      </c>
      <c r="G21" s="18" t="s">
        <v>879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807</v>
      </c>
      <c r="B22" s="12" t="str">
        <f t="shared" si="0"/>
        <v>OPEN</v>
      </c>
      <c r="C22" s="14">
        <f t="shared" si="1"/>
        <v>0</v>
      </c>
      <c r="D22" s="18" t="s">
        <v>880</v>
      </c>
      <c r="E22" s="16">
        <f t="shared" si="2"/>
        <v>3</v>
      </c>
      <c r="F22" s="16">
        <f>SUMPRODUCT(ISNUMBER(SEARCH(","&amp;MASTER!$A$2:$A$2000&amp;",",","&amp;SUBSTITUTE($G22," ","")&amp;","))*((MASTER!$G$2:$G$2000="DONE")))</f>
        <v>0</v>
      </c>
      <c r="G22" s="18" t="s">
        <v>881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329</v>
      </c>
      <c r="B23" s="12" t="str">
        <f t="shared" si="0"/>
        <v>OPEN</v>
      </c>
      <c r="C23" s="14">
        <f t="shared" si="1"/>
        <v>0</v>
      </c>
      <c r="D23" s="18" t="s">
        <v>882</v>
      </c>
      <c r="E23" s="16">
        <f t="shared" si="2"/>
        <v>2</v>
      </c>
      <c r="F23" s="16">
        <f>SUMPRODUCT(ISNUMBER(SEARCH(","&amp;MASTER!$A$2:$A$2000&amp;",",","&amp;SUBSTITUTE($G23," ","")&amp;","))*((MASTER!$G$2:$G$2000="DONE")))</f>
        <v>0</v>
      </c>
      <c r="G23" s="18" t="s">
        <v>883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730</v>
      </c>
      <c r="B24" s="12" t="str">
        <f t="shared" si="0"/>
        <v>OPEN</v>
      </c>
      <c r="C24" s="14">
        <f t="shared" si="1"/>
        <v>0</v>
      </c>
      <c r="D24" s="18" t="s">
        <v>884</v>
      </c>
      <c r="E24" s="16">
        <f t="shared" si="2"/>
        <v>2</v>
      </c>
      <c r="F24" s="16">
        <f>SUMPRODUCT(ISNUMBER(SEARCH(","&amp;MASTER!$A$2:$A$2000&amp;",",","&amp;SUBSTITUTE($G24," ","")&amp;","))*((MASTER!$G$2:$G$2000="DONE")))</f>
        <v>0</v>
      </c>
      <c r="G24" s="18" t="s">
        <v>885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481</v>
      </c>
      <c r="B25" s="12" t="str">
        <f t="shared" si="0"/>
        <v>IN_PROGRESS</v>
      </c>
      <c r="C25" s="14">
        <f t="shared" si="1"/>
        <v>0</v>
      </c>
      <c r="D25" s="18" t="s">
        <v>886</v>
      </c>
      <c r="E25" s="16">
        <f t="shared" si="2"/>
        <v>2</v>
      </c>
      <c r="F25" s="16">
        <f>SUMPRODUCT(ISNUMBER(SEARCH(","&amp;MASTER!$A$2:$A$2000&amp;",",","&amp;SUBSTITUTE($G25," ","")&amp;","))*((MASTER!$G$2:$G$2000="DONE")))</f>
        <v>0</v>
      </c>
      <c r="G25" s="18" t="s">
        <v>887</v>
      </c>
      <c r="H25" s="16">
        <f>SUMPRODUCT(ISNUMBER(SEARCH(","&amp;MASTER!$A$2:$A$2000&amp;",",","&amp;SUBSTITUTE($G25," ","")&amp;","))*((MASTER!$G$2:$G$2000="IN_PROGRESS")+(MASTER!$G$2:$G$2000="IMPLEMENTED")+(MASTER!$G$2:$G$2000="TESTING")+(MASTER!$G$2:$G$2000="VERIFIED")))</f>
        <v>1</v>
      </c>
      <c r="I25" s="16">
        <f>SUMPRODUCT(ISNUMBER(SEARCH(","&amp;MASTER!$A$2:$A$2000&amp;",",","&amp;SUBSTITUTE($G25," ","")&amp;","))*((MASTER!$G$2:$G$2000="BLOCKED")+(MASTER!$G$2:$G$2000="FAILED")))</f>
        <v>0</v>
      </c>
      <c r="J25" s="18" t="s">
        <v>888</v>
      </c>
    </row>
    <row r="26" spans="1:12" ht="25.5" x14ac:dyDescent="0.25">
      <c r="A26" s="15" t="s">
        <v>889</v>
      </c>
      <c r="B26" s="12" t="str">
        <f t="shared" si="0"/>
        <v>IN_PROGRESS</v>
      </c>
      <c r="C26" s="14">
        <f t="shared" si="1"/>
        <v>0.25</v>
      </c>
      <c r="D26" s="18" t="s">
        <v>890</v>
      </c>
      <c r="E26" s="16">
        <f t="shared" si="2"/>
        <v>4</v>
      </c>
      <c r="F26" s="16">
        <f>SUMPRODUCT(ISNUMBER(SEARCH(","&amp;MASTER!$A$2:$A$2000&amp;",",","&amp;SUBSTITUTE($G26," ","")&amp;","))*((MASTER!$G$2:$G$2000="DONE")))</f>
        <v>1</v>
      </c>
      <c r="G26" s="18" t="s">
        <v>891</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381</v>
      </c>
      <c r="B27" s="12" t="str">
        <f t="shared" si="0"/>
        <v>OPEN</v>
      </c>
      <c r="C27" s="14">
        <f t="shared" si="1"/>
        <v>0</v>
      </c>
      <c r="D27" s="18" t="s">
        <v>892</v>
      </c>
      <c r="E27" s="16">
        <f t="shared" si="2"/>
        <v>3</v>
      </c>
      <c r="F27" s="16">
        <f>SUMPRODUCT(ISNUMBER(SEARCH(","&amp;MASTER!$A$2:$A$2000&amp;",",","&amp;SUBSTITUTE($G27," ","")&amp;","))*((MASTER!$G$2:$G$2000="DONE")))</f>
        <v>0</v>
      </c>
      <c r="G27" s="18" t="s">
        <v>893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894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321</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330</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336</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341</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347</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356</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363</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368</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382</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IMPLEMENTED</v>
      </c>
      <c r="G55" s="12" t="str">
        <f>IFERROR(INDEX(MASTER!$H$2:$H$2000,MATCH($A55,MASTER!$A$2:$A$2000,0))&amp;"","")</f>
        <v>backend: test_document_nesting.py, test_nested_blocks_api.py, test_health.py; frontend: nestedBlocks.test.ts, useAutoSave.test.tsx; e2e: nested.spec.ts</v>
      </c>
      <c r="H55" s="12" t="str">
        <f>IFERROR(INDEX(MASTER!$I$2:$I$2000,MATCH($A55,MASTER!$A$2:$A$2000,0))&amp;"","")</f>
        <v>backend 659 passed; Vitest 77 passed; e2e nested 1 passed</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row r="56" spans="1:12" x14ac:dyDescent="0.25">
      <c r="A56" s="15" t="s">
        <v>395</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IN_PROGRESS</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401</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404</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407</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410</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414</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419</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428</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434</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439</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442</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IN_PROGRESS</v>
      </c>
      <c r="G66" s="12" t="str">
        <f>IFERROR(INDEX(MASTER!$H$2:$H$2000,MATCH($A66,MASTER!$A$2:$A$2000,0))&amp;"","")</f>
        <v/>
      </c>
      <c r="H66" s="12" t="str">
        <f>IFERROR(INDEX(MASTER!$I$2:$I$2000,MATCH($A66,MASTER!$A$2:$A$2000,0))&amp;"","")</f>
        <v>tests/test_docx_detect.py::test_the_files_own_properties_go_back_into_word_not_the_templates, tests/test_docx_detect.py::test_metadata_that_is_not_kept_is_reported_without_its_values</v>
      </c>
      <c r="I66" s="19" t="str">
        <f>IFERROR(IF(INDEX(MASTER!$O$2:$O$2000,MATCH($A66,MASTER!$A$2:$A$2000,0))="","",INDEX(MASTER!$O$2:$O$2000,MATCH($A66,MASTER!$A$2:$A$2000,0))),"")</f>
        <v/>
      </c>
      <c r="J66" s="12" t="str">
        <f>IFERROR(INDEX(MASTER!$P$2:$P$2000,MATCH($A66,MASTER!$A$2:$A$2000,0))&amp;"","")</f>
        <v>622d9c1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448</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455</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v>
      </c>
      <c r="L68" s="12" t="str">
        <f>IFERROR(INDEX(MASTER!$R$2:$R$2000,MATCH($A68,MASTER!$A$2:$A$2000,0))&amp;"","")</f>
        <v/>
      </c>
    </row>
    <row r="69" spans="1:12" x14ac:dyDescent="0.25">
      <c r="A69" s="15" t="s">
        <v>461</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467</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470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495</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499</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505</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509</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513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516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526</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530</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533</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541</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546</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565</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575</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VERIFIED</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46292.397314814807</v>
      </c>
      <c r="J85" s="12" t="str">
        <f>IFERROR(INDEX(MASTER!$P$2:$P$2000,MATCH($A85,MASTER!$A$2:$A$2000,0))&amp;"","")</f>
        <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581</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608</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612</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616</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619</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622</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631</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639</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649</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653</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659</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662</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672</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683</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693</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697</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700</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707</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711</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717</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723</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726</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731</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734</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743</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769</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772</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818</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823</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836</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895</v>
      </c>
    </row>
    <row r="2" spans="1:12" x14ac:dyDescent="0.25">
      <c r="A2" s="4" t="s">
        <v>896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15</v>
      </c>
      <c r="B4" s="7">
        <f>COUNTIFS(MASTER!$C$2:$C$2000,"CORE",MASTER!$G$2:$G$2000,"DONE")+COUNTIFS(MASTER!$C$2:$C$2000,"FIDELITY",MASTER!$G$2:$G$2000,"DONE")+COUNTIFS(MASTER!$C$2:$C$2000,"REVIEW",MASTER!$G$2:$G$2000,"DONE")</f>
        <v>9</v>
      </c>
      <c r="C4" s="7">
        <f>COUNTIFS(MASTER!$C$2:$C$2000,"CORE",MASTER!$G$2:$G$2000,"VERIFIED")+COUNTIFS(MASTER!$C$2:$C$2000,"FIDELITY",MASTER!$G$2:$G$2000,"VERIFIED")+COUNTIFS(MASTER!$C$2:$C$2000,"REVIEW",MASTER!$G$2:$G$2000,"VERIFIED")+B4</f>
        <v>9</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v>
      </c>
      <c r="H4" s="9">
        <f>IF(A4=0,0,C4/A4)</f>
        <v>0.6</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341</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347</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356</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363</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368</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373</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428</v>
      </c>
      <c r="B17" s="12" t="str">
        <f>IFERROR(INDEX(MASTER!$C$2:$C$2000,MATCH($A17,MASTER!$A$2:$A$2000,0))&amp;"","")</f>
        <v>REVIEW</v>
      </c>
      <c r="C17" s="16">
        <f>IFERROR(INDEX(MASTER!$B$2:$B$2000,MATCH($A17,MASTER!$A$2:$A$2000,0)),"")</f>
        <v>2</v>
      </c>
      <c r="D17" s="12" t="str">
        <f>IFERROR(INDEX(MASTER!$D$2:$D$2000,MATCH($A17,MASTER!$A$2:$A$2000,0))&amp;"","")</f>
        <v>Change model</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431</v>
      </c>
      <c r="B18" s="12" t="str">
        <f>IFERROR(INDEX(MASTER!$C$2:$C$2000,MATCH($A18,MASTER!$A$2:$A$2000,0))&amp;"","")</f>
        <v>CORE</v>
      </c>
      <c r="C18" s="16">
        <f>IFERROR(INDEX(MASTER!$B$2:$B$2000,MATCH($A18,MASTER!$A$2:$A$2000,0)),"")</f>
        <v>2</v>
      </c>
      <c r="D18" s="12" t="str">
        <f>IFERROR(INDEX(MASTER!$D$2:$D$2000,MATCH($A18,MASTER!$A$2:$A$2000,0))&amp;"","")</f>
        <v>Document command model</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769</v>
      </c>
      <c r="B19" s="12" t="str">
        <f>IFERROR(INDEX(MASTER!$C$2:$C$2000,MATCH($A19,MASTER!$A$2:$A$2000,0))&amp;"","")</f>
        <v>REVIEW</v>
      </c>
      <c r="C19" s="16">
        <f>IFERROR(INDEX(MASTER!$B$2:$B$2000,MATCH($A19,MASTER!$A$2:$A$2000,0)),"")</f>
        <v>14</v>
      </c>
      <c r="D19" s="12" t="str">
        <f>IFERROR(INDEX(MASTER!$D$2:$D$2000,MATCH($A19,MASTER!$A$2:$A$2000,0))&amp;"","")</f>
        <v>Review Changes UI</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772</v>
      </c>
      <c r="B20" s="12" t="str">
        <f>IFERROR(INDEX(MASTER!$C$2:$C$2000,MATCH($A20,MASTER!$A$2:$A$2000,0))&amp;"","")</f>
        <v>REVIEW</v>
      </c>
      <c r="C20" s="16">
        <f>IFERROR(INDEX(MASTER!$B$2:$B$2000,MATCH($A20,MASTER!$A$2:$A$2000,0)),"")</f>
        <v>14</v>
      </c>
      <c r="D20" s="12" t="str">
        <f>IFERROR(INDEX(MASTER!$D$2:$D$2000,MATCH($A20,MASTER!$A$2:$A$2000,0))&amp;"","")</f>
        <v>Content changes need acceptance</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REV-002</v>
      </c>
    </row>
    <row r="21" spans="1:12" x14ac:dyDescent="0.25">
      <c r="A21" s="15" t="s">
        <v>776</v>
      </c>
      <c r="B21" s="12" t="str">
        <f>IFERROR(INDEX(MASTER!$C$2:$C$2000,MATCH($A21,MASTER!$A$2:$A$2000,0))&amp;"","")</f>
        <v>REVIEW</v>
      </c>
      <c r="C21" s="16">
        <f>IFERROR(INDEX(MASTER!$B$2:$B$2000,MATCH($A21,MASTER!$A$2:$A$2000,0)),"")</f>
        <v>14</v>
      </c>
      <c r="D21" s="12" t="str">
        <f>IFERROR(INDEX(MASTER!$D$2:$D$2000,MATCH($A21,MASTER!$A$2:$A$2000,0))&amp;"","")</f>
        <v>Repair</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779</v>
      </c>
      <c r="B22" s="12" t="str">
        <f>IFERROR(INDEX(MASTER!$C$2:$C$2000,MATCH($A22,MASTER!$A$2:$A$2000,0))&amp;"","")</f>
        <v>REVIEW</v>
      </c>
      <c r="C22" s="16">
        <f>IFERROR(INDEX(MASTER!$B$2:$B$2000,MATCH($A22,MASTER!$A$2:$A$2000,0)),"")</f>
        <v>14</v>
      </c>
      <c r="D22" s="12" t="str">
        <f>IFERROR(INDEX(MASTER!$D$2:$D$2000,MATCH($A22,MASTER!$A$2:$A$2000,0))&amp;"","")</f>
        <v>Clean copy</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03000000}"/>
  <conditionalFormatting sqref="E8:E22">
    <cfRule type="cellIs" dxfId="290" priority="19" operator="equal">
      <formula>"P0"</formula>
    </cfRule>
    <cfRule type="cellIs" dxfId="289" priority="20" operator="equal">
      <formula>"P1"</formula>
    </cfRule>
  </conditionalFormatting>
  <conditionalFormatting sqref="F8:F22">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898</v>
      </c>
    </row>
    <row r="2" spans="1:12" x14ac:dyDescent="0.25">
      <c r="A2" s="4" t="s">
        <v>899</v>
      </c>
    </row>
    <row r="3" spans="1:12" x14ac:dyDescent="0.25">
      <c r="A3" s="6" t="s">
        <v>45</v>
      </c>
      <c r="B3" s="6" t="s">
        <v>46</v>
      </c>
      <c r="C3" s="6" t="s">
        <v>47</v>
      </c>
      <c r="D3" s="6" t="s">
        <v>13</v>
      </c>
      <c r="E3" s="6" t="s">
        <v>16</v>
      </c>
      <c r="F3" s="6" t="s">
        <v>19</v>
      </c>
      <c r="G3" s="6" t="s">
        <v>48</v>
      </c>
      <c r="H3" s="6" t="s">
        <v>33</v>
      </c>
    </row>
    <row r="4" spans="1:12" x14ac:dyDescent="0.25">
      <c r="A4" s="7">
        <f>COUNTIF(MASTER!$C$2:$C$2000,"DOCX")</f>
        <v>19</v>
      </c>
      <c r="B4" s="7">
        <f>COUNTIFS(MASTER!$C$2:$C$2000,"DOCX",MASTER!$G$2:$G$2000,"DONE")</f>
        <v>1</v>
      </c>
      <c r="C4" s="7">
        <f>COUNTIFS(MASTER!$C$2:$C$2000,"DOCX",MASTER!$G$2:$G$2000,"VERIFIED")+B4</f>
        <v>1</v>
      </c>
      <c r="D4" s="7">
        <f>COUNTIFS(MASTER!$C$2:$C$2000,"DOCX",MASTER!$G$2:$G$2000,"IN_PROGRESS")+COUNTIFS(MASTER!$C$2:$C$2000,"DOCX",MASTER!$G$2:$G$2000,"IMPLEMENTED")+COUNTIFS(MASTER!$C$2:$C$2000,"DOCX",MASTER!$G$2:$G$2000,"TESTING")</f>
        <v>5</v>
      </c>
      <c r="E4" s="7">
        <f>COUNTIFS(MASTER!$C$2:$C$2000,"DOCX",MASTER!$G$2:$G$2000,"BLOCKED")</f>
        <v>0</v>
      </c>
      <c r="F4" s="7">
        <f>COUNTIFS(MASTER!$C$2:$C$2000,"DOCX",MASTER!$G$2:$G$2000,"FAILED")</f>
        <v>0</v>
      </c>
      <c r="G4" s="9">
        <f>IF(A4=0,0,B4/A4)</f>
        <v>5.2631578947368418E-2</v>
      </c>
      <c r="H4" s="9">
        <f>IF(A4=0,0,C4/A4)</f>
        <v>5.2631578947368418E-2</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330</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434</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439</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442</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IN_PROGRESS</v>
      </c>
      <c r="G11" s="12" t="str">
        <f>IFERROR(INDEX(MASTER!$H$2:$H$2000,MATCH($A11,MASTER!$A$2:$A$2000,0))&amp;"","")</f>
        <v/>
      </c>
      <c r="H11" s="12" t="str">
        <f>IFERROR(INDEX(MASTER!$I$2:$I$2000,MATCH($A11,MASTER!$A$2:$A$2000,0))&amp;"","")</f>
        <v>tests/test_docx_detect.py::test_the_files_own_properties_go_back_into_word_not_the_templates, tests/test_docx_detect.py::test_metadata_that_is_not_kept_is_reported_without_its_values</v>
      </c>
      <c r="I11" s="19" t="str">
        <f>IFERROR(IF(INDEX(MASTER!$O$2:$O$2000,MATCH($A11,MASTER!$A$2:$A$2000,0))="","",INDEX(MASTER!$O$2:$O$2000,MATCH($A11,MASTER!$A$2:$A$2000,0))),"")</f>
        <v/>
      </c>
      <c r="J11" s="12" t="str">
        <f>IFERROR(INDEX(MASTER!$P$2:$P$2000,MATCH($A11,MASTER!$A$2:$A$2000,0))&amp;"","")</f>
        <v>622d9c1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448</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452</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455</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v>
      </c>
      <c r="L14" s="12" t="str">
        <f>IFERROR(INDEX(MASTER!$R$2:$R$2000,MATCH($A14,MASTER!$A$2:$A$2000,0))&amp;"","")</f>
        <v/>
      </c>
    </row>
    <row r="15" spans="1:12" x14ac:dyDescent="0.25">
      <c r="A15" s="15" t="s">
        <v>461</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467</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470</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474</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477</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482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486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489</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492</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495</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499</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522</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sheetData>
  <autoFilter ref="A7:L26" xr:uid="{00000000-0009-0000-0000-000004000000}"/>
  <conditionalFormatting sqref="E8:E26">
    <cfRule type="cellIs" dxfId="270" priority="19" operator="equal">
      <formula>"P0"</formula>
    </cfRule>
    <cfRule type="cellIs" dxfId="269" priority="20" operator="equal">
      <formula>"P1"</formula>
    </cfRule>
  </conditionalFormatting>
  <conditionalFormatting sqref="F8:F26">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900</v>
      </c>
    </row>
    <row r="2" spans="1:12" x14ac:dyDescent="0.25">
      <c r="A2" s="4" t="s">
        <v>901</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336</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649</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653</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656</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690</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902</v>
      </c>
    </row>
    <row r="2" spans="1:12" x14ac:dyDescent="0.25">
      <c r="A2" s="4" t="s">
        <v>903</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6</v>
      </c>
      <c r="C4" s="7">
        <f>COUNTIFS(MASTER!$C$2:$C$2000,"EDITOR",MASTER!$G$2:$G$2000,"VERIFIED")+B4</f>
        <v>9</v>
      </c>
      <c r="D4" s="7">
        <f>COUNTIFS(MASTER!$C$2:$C$2000,"EDITOR",MASTER!$G$2:$G$2000,"IN_PROGRESS")+COUNTIFS(MASTER!$C$2:$C$2000,"EDITOR",MASTER!$G$2:$G$2000,"IMPLEMENTED")+COUNTIFS(MASTER!$C$2:$C$2000,"EDITOR",MASTER!$G$2:$G$2000,"TESTING")</f>
        <v>1</v>
      </c>
      <c r="E4" s="7">
        <f>COUNTIFS(MASTER!$C$2:$C$2000,"EDITOR",MASTER!$G$2:$G$2000,"BLOCKED")</f>
        <v>0</v>
      </c>
      <c r="F4" s="7">
        <f>COUNTIFS(MASTER!$C$2:$C$2000,"EDITOR",MASTER!$G$2:$G$2000,"FAILED")</f>
        <v>0</v>
      </c>
      <c r="G4" s="9">
        <f>IF(A4=0,0,B4/A4)</f>
        <v>0.5</v>
      </c>
      <c r="H4" s="9">
        <f>IF(A4=0,0,C4/A4)</f>
        <v>0.75</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VERIFIED</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46292.397581018522</v>
      </c>
      <c r="J13" s="12" t="str">
        <f>IFERROR(INDEX(MASTER!$P$2:$P$2000,MATCH($A13,MASTER!$A$2:$A$2000,0))&amp;"","")</f>
        <v/>
      </c>
      <c r="K13" s="12" t="str">
        <f>IFERROR(INDEX(MASTER!$Q$2:$Q$2000,MATCH($A13,MASTER!$A$2:$A$2000,0))&amp;"","")</f>
        <v/>
      </c>
      <c r="L13" s="12" t="str">
        <f>IFERROR(INDEX(MASTER!$R$2:$R$2000,MATCH($A13,MASTER!$A$2:$A$2000,0))&amp;"","")</f>
        <v>EDIT-005</v>
      </c>
    </row>
    <row r="14" spans="1:12" x14ac:dyDescent="0.25">
      <c r="A14" s="15" t="s">
        <v>299</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VERIFIED</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46292.397627314807</v>
      </c>
      <c r="J14" s="12" t="str">
        <f>IFERROR(INDEX(MASTER!$P$2:$P$2000,MATCH($A14,MASTER!$A$2:$A$2000,0))&amp;"","")</f>
        <v/>
      </c>
      <c r="K14" s="12" t="str">
        <f>IFERROR(INDEX(MASTER!$Q$2:$Q$2000,MATCH($A14,MASTER!$A$2:$A$2000,0))&amp;"","")</f>
        <v/>
      </c>
      <c r="L14" s="12" t="str">
        <f>IFERROR(INDEX(MASTER!$R$2:$R$2000,MATCH($A14,MASTER!$A$2:$A$2000,0))&amp;"","")</f>
        <v>EDIT-005</v>
      </c>
    </row>
    <row r="15" spans="1:12" x14ac:dyDescent="0.25">
      <c r="A15" s="15" t="s">
        <v>305</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EDIT-005</v>
      </c>
    </row>
    <row r="16" spans="1:12" x14ac:dyDescent="0.25">
      <c r="A16" s="15" t="s">
        <v>309</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IN_PROGRESS</v>
      </c>
      <c r="G16" s="12" t="str">
        <f>IFERROR(INDEX(MASTER!$H$2:$H$2000,MATCH($A16,MASTER!$A$2:$A$2000,0))&amp;"","")</f>
        <v/>
      </c>
      <c r="H16" s="12" t="str">
        <f>IFERROR(INDEX(MASTER!$I$2:$I$2000,MATCH($A16,MASTER!$A$2:$A$2000,0))&amp;"","")</f>
        <v>frontend/editor/directFormatting.test.ts::tables</v>
      </c>
      <c r="I16" s="19" t="str">
        <f>IFERROR(IF(INDEX(MASTER!$O$2:$O$2000,MATCH($A16,MASTER!$A$2:$A$2000,0))="","",INDEX(MASTER!$O$2:$O$2000,MATCH($A16,MASTER!$A$2:$A$2000,0))),"")</f>
        <v/>
      </c>
      <c r="J16" s="12" t="str">
        <f>IFERROR(INDEX(MASTER!$P$2:$P$2000,MATCH($A16,MASTER!$A$2:$A$2000,0))&amp;"","")</f>
        <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315</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VERIFIED</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46292.397662037038</v>
      </c>
      <c r="J17" s="12" t="str">
        <f>IFERROR(INDEX(MASTER!$P$2:$P$2000,MATCH($A17,MASTER!$A$2:$A$2000,0))&amp;"","")</f>
        <v/>
      </c>
      <c r="K17" s="12" t="str">
        <f>IFERROR(INDEX(MASTER!$Q$2:$Q$2000,MATCH($A17,MASTER!$A$2:$A$2000,0))&amp;"","")</f>
        <v/>
      </c>
      <c r="L17" s="12" t="str">
        <f>IFERROR(INDEX(MASTER!$R$2:$R$2000,MATCH($A17,MASTER!$A$2:$A$2000,0))&amp;"","")</f>
        <v>EDIT-005</v>
      </c>
    </row>
    <row r="18" spans="1:12" x14ac:dyDescent="0.25">
      <c r="A18" s="15" t="s">
        <v>321</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326</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904</v>
      </c>
    </row>
    <row r="2" spans="1:12" x14ac:dyDescent="0.25">
      <c r="A2" s="4" t="s">
        <v>905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0</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v>
      </c>
      <c r="H4" s="9">
        <f>IF(A4=0,0,C4/A4)</f>
        <v>0.125</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505</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746</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749</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755</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VERIFIED</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46292.397361111107</v>
      </c>
      <c r="J12" s="12" t="str">
        <f>IFERROR(INDEX(MASTER!$P$2:$P$2000,MATCH($A12,MASTER!$A$2:$A$2000,0))&amp;"","")</f>
        <v/>
      </c>
      <c r="K12" s="12" t="str">
        <f>IFERROR(INDEX(MASTER!$Q$2:$Q$2000,MATCH($A12,MASTER!$A$2:$A$2000,0))&amp;"","")</f>
        <v/>
      </c>
      <c r="L12" s="12" t="str">
        <f>IFERROR(INDEX(MASTER!$R$2:$R$2000,MATCH($A12,MASTER!$A$2:$A$2000,0))&amp;"","")</f>
        <v/>
      </c>
    </row>
    <row r="13" spans="1:12" x14ac:dyDescent="0.25">
      <c r="A13" s="15" t="s">
        <v>760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906</v>
      </c>
    </row>
    <row r="2" spans="1:12" x14ac:dyDescent="0.25">
      <c r="A2" s="4" t="s">
        <v>907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1</v>
      </c>
      <c r="E4" s="7">
        <f>COUNTIFS(MASTER!$C$2:$C$2000,"AI",MASTER!$G$2:$G$2000,"BLOCKED")</f>
        <v>0</v>
      </c>
      <c r="F4" s="7">
        <f>COUNTIFS(MASTER!$C$2:$C$2000,"AI",MASTER!$G$2:$G$2000,"FAILED")</f>
        <v>0</v>
      </c>
      <c r="G4" s="9">
        <f>IF(A4=0,0,B4/A4)</f>
        <v>0</v>
      </c>
      <c r="H4" s="9">
        <f>IF(A4=0,0,C4/A4)</f>
        <v>0</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395</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IN_PROGRESS</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401</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404</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407</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410</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414</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419</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422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425</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908</v>
      </c>
    </row>
    <row r="2" spans="1:12" x14ac:dyDescent="0.25">
      <c r="A2" s="4" t="s">
        <v>909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1</v>
      </c>
      <c r="C4" s="7">
        <f>COUNTIFS(MASTER!$C$2:$C$2000,"SECURITY",MASTER!$G$2:$G$2000,"VERIFIED")+COUNTIFS(MASTER!$C$2:$C$2000,"ACCOUNT",MASTER!$G$2:$G$2000,"VERIFIED")+B4</f>
        <v>2</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4.7619047619047616E-2</v>
      </c>
      <c r="H4" s="9">
        <f>IF(A4=0,0,C4/A4)</f>
        <v>9.5238095238095233E-2</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526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533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538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541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546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549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552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555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558</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562</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570</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575</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VERIFIED</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46292.397314814807</v>
      </c>
      <c r="J21" s="12" t="str">
        <f>IFERROR(INDEX(MASTER!$P$2:$P$2000,MATCH($A21,MASTER!$A$2:$A$2000,0))&amp;"","")</f>
        <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608</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612</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616</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619</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622</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625</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628</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910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911</v>
      </c>
    </row>
    <row r="7" spans="1:11" x14ac:dyDescent="0.25">
      <c r="A7" s="10" t="s">
        <v>912</v>
      </c>
      <c r="B7" s="10" t="s">
        <v>913</v>
      </c>
      <c r="C7" s="10" t="s">
        <v>914</v>
      </c>
      <c r="D7" s="10" t="s">
        <v>915</v>
      </c>
      <c r="E7" s="10" t="s">
        <v>916</v>
      </c>
      <c r="F7" s="10" t="s">
        <v>57</v>
      </c>
      <c r="G7" s="10" t="s">
        <v>917</v>
      </c>
      <c r="H7" s="10" t="s">
        <v>918</v>
      </c>
      <c r="I7" s="10" t="s">
        <v>919</v>
      </c>
      <c r="J7" s="10" t="s">
        <v>920</v>
      </c>
      <c r="K7" s="10" t="s">
        <v>174</v>
      </c>
    </row>
    <row r="8" spans="1:11" ht="25.5" x14ac:dyDescent="0.25">
      <c r="A8" s="15" t="s">
        <v>921</v>
      </c>
      <c r="B8" s="12" t="s">
        <v>922</v>
      </c>
      <c r="C8" s="12" t="s">
        <v>923</v>
      </c>
      <c r="D8" s="18" t="s">
        <v>924</v>
      </c>
      <c r="E8" s="12">
        <v>321</v>
      </c>
      <c r="F8" s="12" t="str">
        <f t="shared" ref="F8:F20" si="0">IF(H8="","NOT_REMEASURED",IF(J8="","NO_THRESHOLD",IF(H8&lt;=J8,"WITHIN","OVER")))</f>
        <v>NOT_REMEASURED</v>
      </c>
      <c r="G8" s="18" t="s">
        <v>925</v>
      </c>
      <c r="H8" s="12"/>
      <c r="I8" s="19"/>
      <c r="J8" s="12"/>
      <c r="K8" s="18"/>
    </row>
    <row r="9" spans="1:11" x14ac:dyDescent="0.25">
      <c r="A9" s="15" t="s">
        <v>926</v>
      </c>
      <c r="B9" s="12" t="s">
        <v>922</v>
      </c>
      <c r="C9" s="12" t="s">
        <v>923</v>
      </c>
      <c r="D9" s="18" t="s">
        <v>927</v>
      </c>
      <c r="E9" s="12">
        <v>1.4</v>
      </c>
      <c r="F9" s="12" t="str">
        <f t="shared" si="0"/>
        <v>NOT_REMEASURED</v>
      </c>
      <c r="G9" s="18" t="s">
        <v>928</v>
      </c>
      <c r="H9" s="12"/>
      <c r="I9" s="19"/>
      <c r="J9" s="12"/>
      <c r="K9" s="18"/>
    </row>
    <row r="10" spans="1:11" x14ac:dyDescent="0.25">
      <c r="A10" s="15" t="s">
        <v>929</v>
      </c>
      <c r="B10" s="12" t="s">
        <v>922</v>
      </c>
      <c r="C10" s="12" t="s">
        <v>923</v>
      </c>
      <c r="D10" s="18" t="s">
        <v>930</v>
      </c>
      <c r="E10" s="12">
        <v>0.32800000000000001</v>
      </c>
      <c r="F10" s="12" t="str">
        <f t="shared" si="0"/>
        <v>NOT_REMEASURED</v>
      </c>
      <c r="G10" s="18" t="s">
        <v>931</v>
      </c>
      <c r="H10" s="12"/>
      <c r="I10" s="19"/>
      <c r="J10" s="12"/>
      <c r="K10" s="18"/>
    </row>
    <row r="11" spans="1:11" x14ac:dyDescent="0.25">
      <c r="A11" s="15" t="s">
        <v>932</v>
      </c>
      <c r="B11" s="12" t="s">
        <v>922</v>
      </c>
      <c r="C11" s="12" t="s">
        <v>923</v>
      </c>
      <c r="D11" s="18" t="s">
        <v>933</v>
      </c>
      <c r="E11" s="12">
        <v>0.66900000000000004</v>
      </c>
      <c r="F11" s="12" t="str">
        <f t="shared" si="0"/>
        <v>NOT_REMEASURED</v>
      </c>
      <c r="G11" s="18" t="s">
        <v>931</v>
      </c>
      <c r="H11" s="12"/>
      <c r="I11" s="19"/>
      <c r="J11" s="12"/>
      <c r="K11" s="18"/>
    </row>
    <row r="12" spans="1:11" x14ac:dyDescent="0.25">
      <c r="A12" s="15" t="s">
        <v>934</v>
      </c>
      <c r="B12" s="12" t="s">
        <v>922</v>
      </c>
      <c r="C12" s="12" t="s">
        <v>923</v>
      </c>
      <c r="D12" s="18" t="s">
        <v>935</v>
      </c>
      <c r="E12" s="12">
        <v>1.8</v>
      </c>
      <c r="F12" s="12" t="str">
        <f t="shared" si="0"/>
        <v>NOT_REMEASURED</v>
      </c>
      <c r="G12" s="18" t="s">
        <v>931</v>
      </c>
      <c r="H12" s="12"/>
      <c r="I12" s="19"/>
      <c r="J12" s="12"/>
      <c r="K12" s="18"/>
    </row>
    <row r="13" spans="1:11" ht="25.5" x14ac:dyDescent="0.25">
      <c r="A13" s="15" t="s">
        <v>936</v>
      </c>
      <c r="B13" s="12" t="s">
        <v>937</v>
      </c>
      <c r="C13" s="12" t="s">
        <v>938</v>
      </c>
      <c r="D13" s="18" t="s">
        <v>939</v>
      </c>
      <c r="E13" s="12">
        <v>1382</v>
      </c>
      <c r="F13" s="12" t="str">
        <f t="shared" si="0"/>
        <v>NOT_REMEASURED</v>
      </c>
      <c r="G13" s="18" t="s">
        <v>940</v>
      </c>
      <c r="H13" s="12"/>
      <c r="I13" s="19"/>
      <c r="J13" s="12"/>
      <c r="K13" s="18"/>
    </row>
    <row r="14" spans="1:11" x14ac:dyDescent="0.25">
      <c r="A14" s="15" t="s">
        <v>941</v>
      </c>
      <c r="B14" s="12" t="s">
        <v>937</v>
      </c>
      <c r="C14" s="12" t="s">
        <v>938</v>
      </c>
      <c r="D14" s="18" t="s">
        <v>942</v>
      </c>
      <c r="E14" s="12">
        <v>180</v>
      </c>
      <c r="F14" s="12" t="str">
        <f t="shared" si="0"/>
        <v>NOT_REMEASURED</v>
      </c>
      <c r="G14" s="18" t="s">
        <v>943</v>
      </c>
      <c r="H14" s="12"/>
      <c r="I14" s="19"/>
      <c r="J14" s="12"/>
      <c r="K14" s="18"/>
    </row>
    <row r="15" spans="1:11" ht="25.5" x14ac:dyDescent="0.25">
      <c r="A15" s="15" t="s">
        <v>944</v>
      </c>
      <c r="B15" s="12" t="s">
        <v>922</v>
      </c>
      <c r="C15" s="12" t="s">
        <v>923</v>
      </c>
      <c r="D15" s="18" t="s">
        <v>945</v>
      </c>
      <c r="E15" s="12">
        <v>9.4</v>
      </c>
      <c r="F15" s="12" t="str">
        <f t="shared" si="0"/>
        <v>NOT_REMEASURED</v>
      </c>
      <c r="G15" s="18" t="s">
        <v>946</v>
      </c>
      <c r="H15" s="12"/>
      <c r="I15" s="19"/>
      <c r="J15" s="12"/>
      <c r="K15" s="18"/>
    </row>
    <row r="16" spans="1:11" x14ac:dyDescent="0.25">
      <c r="A16" s="15" t="s">
        <v>947</v>
      </c>
      <c r="B16" s="12" t="s">
        <v>922</v>
      </c>
      <c r="C16" s="12" t="s">
        <v>923</v>
      </c>
      <c r="D16" s="18" t="s">
        <v>948</v>
      </c>
      <c r="E16" s="12">
        <v>0.62</v>
      </c>
      <c r="F16" s="12" t="str">
        <f t="shared" si="0"/>
        <v>NOT_REMEASURED</v>
      </c>
      <c r="G16" s="18" t="s">
        <v>949</v>
      </c>
      <c r="H16" s="12"/>
      <c r="I16" s="19"/>
      <c r="J16" s="12"/>
      <c r="K16" s="18"/>
    </row>
    <row r="17" spans="1:12" ht="25.5" x14ac:dyDescent="0.25">
      <c r="A17" s="15" t="s">
        <v>950</v>
      </c>
      <c r="B17" s="12" t="s">
        <v>951</v>
      </c>
      <c r="C17" s="12" t="s">
        <v>938</v>
      </c>
      <c r="D17" s="18" t="s">
        <v>952</v>
      </c>
      <c r="E17" s="12">
        <v>2.77</v>
      </c>
      <c r="F17" s="12" t="str">
        <f t="shared" si="0"/>
        <v>NOT_REMEASURED</v>
      </c>
      <c r="G17" s="18" t="s">
        <v>953</v>
      </c>
      <c r="H17" s="12"/>
      <c r="I17" s="19"/>
      <c r="J17" s="12"/>
      <c r="K17" s="18"/>
    </row>
    <row r="18" spans="1:12" x14ac:dyDescent="0.25">
      <c r="A18" s="15" t="s">
        <v>954</v>
      </c>
      <c r="B18" s="12" t="s">
        <v>951</v>
      </c>
      <c r="C18" s="12" t="s">
        <v>938</v>
      </c>
      <c r="D18" s="18" t="s">
        <v>955</v>
      </c>
      <c r="E18" s="12">
        <v>5.99</v>
      </c>
      <c r="F18" s="12" t="str">
        <f t="shared" si="0"/>
        <v>NOT_REMEASURED</v>
      </c>
      <c r="G18" s="18" t="s">
        <v>949</v>
      </c>
      <c r="H18" s="12"/>
      <c r="I18" s="19"/>
      <c r="J18" s="12"/>
      <c r="K18" s="18"/>
    </row>
    <row r="19" spans="1:12" ht="25.5" x14ac:dyDescent="0.25">
      <c r="A19" s="15" t="s">
        <v>956</v>
      </c>
      <c r="B19" s="12" t="s">
        <v>957</v>
      </c>
      <c r="C19" s="12" t="s">
        <v>938</v>
      </c>
      <c r="D19" s="18" t="s">
        <v>958</v>
      </c>
      <c r="E19" s="12">
        <v>140</v>
      </c>
      <c r="F19" s="12" t="str">
        <f t="shared" si="0"/>
        <v>NOT_REMEASURED</v>
      </c>
      <c r="G19" s="18" t="s">
        <v>959</v>
      </c>
      <c r="H19" s="12"/>
      <c r="I19" s="19"/>
      <c r="J19" s="12"/>
      <c r="K19" s="18"/>
    </row>
    <row r="20" spans="1:12" ht="25.5" x14ac:dyDescent="0.25">
      <c r="A20" s="15" t="s">
        <v>960</v>
      </c>
      <c r="B20" s="12" t="s">
        <v>922</v>
      </c>
      <c r="C20" s="12" t="s">
        <v>923</v>
      </c>
      <c r="D20" s="18" t="s">
        <v>961</v>
      </c>
      <c r="E20" s="12">
        <v>0.65</v>
      </c>
      <c r="F20" s="12" t="str">
        <f t="shared" si="0"/>
        <v>NOT_REMEASURED</v>
      </c>
      <c r="G20" s="18" t="s">
        <v>962</v>
      </c>
      <c r="H20" s="12"/>
      <c r="I20" s="19"/>
      <c r="J20" s="12"/>
      <c r="K20" s="18"/>
    </row>
    <row r="23" spans="1:12" ht="15.75" x14ac:dyDescent="0.25">
      <c r="A23" s="5" t="s">
        <v>963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581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585</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593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596</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599</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603</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5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964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5</v>
      </c>
      <c r="C4" s="7">
        <f>COUNTIFS(MASTER!$C$2:$C$2000,"TESTING",MASTER!$G$2:$G$2000,"VERIFIED")+B4</f>
        <v>5</v>
      </c>
      <c r="D4" s="7">
        <f>COUNTIFS(MASTER!$C$2:$C$2000,"TESTING",MASTER!$G$2:$G$2000,"IN_PROGRESS")+COUNTIFS(MASTER!$C$2:$C$2000,"TESTING",MASTER!$G$2:$G$2000,"IMPLEMENTED")+COUNTIFS(MASTER!$C$2:$C$2000,"TESTING",MASTER!$G$2:$G$2000,"TESTING")</f>
        <v>1</v>
      </c>
      <c r="E4" s="7">
        <f>COUNTIFS(MASTER!$C$2:$C$2000,"TESTING",MASTER!$G$2:$G$2000,"BLOCKED")</f>
        <v>0</v>
      </c>
      <c r="F4" s="7">
        <f>COUNTIFS(MASTER!$C$2:$C$2000,"TESTING",MASTER!$G$2:$G$2000,"FAILED")</f>
        <v>0</v>
      </c>
      <c r="G4" s="9">
        <f>IF(A4=0,0,B4/A4)</f>
        <v>0.33333333333333331</v>
      </c>
      <c r="H4" s="9">
        <f>IF(A4=0,0,C4/A4)</f>
        <v>0.33333333333333331</v>
      </c>
    </row>
    <row r="6" spans="1:11" ht="15.75" x14ac:dyDescent="0.25">
      <c r="A6" s="5" t="s">
        <v>965</v>
      </c>
    </row>
    <row r="7" spans="1:11" ht="25.5" x14ac:dyDescent="0.25">
      <c r="A7" s="10" t="s">
        <v>966</v>
      </c>
      <c r="B7" s="10" t="s">
        <v>93</v>
      </c>
      <c r="C7" s="10" t="s">
        <v>94</v>
      </c>
      <c r="D7" s="10" t="s">
        <v>967</v>
      </c>
      <c r="E7" s="10" t="s">
        <v>968</v>
      </c>
      <c r="F7" s="10" t="s">
        <v>19</v>
      </c>
      <c r="G7" s="10" t="s">
        <v>174</v>
      </c>
      <c r="H7" s="10" t="s">
        <v>969</v>
      </c>
      <c r="I7" s="10" t="s">
        <v>970</v>
      </c>
      <c r="J7" s="10" t="s">
        <v>971</v>
      </c>
      <c r="K7" s="10" t="s">
        <v>173</v>
      </c>
    </row>
    <row r="8" spans="1:11" ht="51" x14ac:dyDescent="0.25">
      <c r="A8" s="15" t="s">
        <v>972</v>
      </c>
      <c r="B8" s="12" t="s">
        <v>973</v>
      </c>
      <c r="C8" s="12" t="s">
        <v>974</v>
      </c>
      <c r="D8" s="18" t="s">
        <v>975</v>
      </c>
      <c r="E8" s="12">
        <v>643</v>
      </c>
      <c r="F8" s="12">
        <v>0</v>
      </c>
      <c r="G8" s="18" t="s">
        <v>976</v>
      </c>
      <c r="H8" s="12">
        <v>1</v>
      </c>
      <c r="I8" s="19">
        <v>46292.166724537034</v>
      </c>
      <c r="J8" s="12">
        <v>88</v>
      </c>
      <c r="K8" s="12" t="s">
        <v>977</v>
      </c>
    </row>
    <row r="9" spans="1:11" x14ac:dyDescent="0.25">
      <c r="A9" s="15" t="s">
        <v>978</v>
      </c>
      <c r="B9" s="12" t="s">
        <v>979</v>
      </c>
      <c r="C9" s="12" t="s">
        <v>974</v>
      </c>
      <c r="D9" s="18" t="s">
        <v>980</v>
      </c>
      <c r="E9" s="12">
        <v>0</v>
      </c>
      <c r="F9" s="12">
        <v>0</v>
      </c>
      <c r="G9" s="18" t="s">
        <v>981</v>
      </c>
      <c r="H9" s="12">
        <v>0</v>
      </c>
      <c r="I9" s="19">
        <v>46292.166759259257</v>
      </c>
      <c r="J9" s="12">
        <v>53</v>
      </c>
      <c r="K9" s="12" t="s">
        <v>977</v>
      </c>
    </row>
    <row r="10" spans="1:11" x14ac:dyDescent="0.25">
      <c r="A10" s="15" t="s">
        <v>982</v>
      </c>
      <c r="B10" s="12" t="s">
        <v>983</v>
      </c>
      <c r="C10" s="12" t="s">
        <v>974</v>
      </c>
      <c r="D10" s="18" t="s">
        <v>984</v>
      </c>
      <c r="E10" s="12">
        <v>0</v>
      </c>
      <c r="F10" s="12">
        <v>0</v>
      </c>
      <c r="G10" s="18" t="s">
        <v>985</v>
      </c>
      <c r="H10" s="12">
        <v>0</v>
      </c>
      <c r="I10" s="19">
        <v>46292.16679398148</v>
      </c>
      <c r="J10" s="12">
        <v>7</v>
      </c>
      <c r="K10" s="12" t="s">
        <v>977</v>
      </c>
    </row>
    <row r="11" spans="1:11" x14ac:dyDescent="0.25">
      <c r="A11" s="15" t="s">
        <v>986</v>
      </c>
      <c r="B11" s="12" t="s">
        <v>987</v>
      </c>
      <c r="C11" s="12" t="s">
        <v>974</v>
      </c>
      <c r="D11" s="18" t="s">
        <v>988</v>
      </c>
      <c r="E11" s="12">
        <v>46</v>
      </c>
      <c r="F11" s="12">
        <v>0</v>
      </c>
      <c r="G11" s="18" t="s">
        <v>989</v>
      </c>
      <c r="H11" s="12">
        <v>0</v>
      </c>
      <c r="I11" s="19">
        <v>46292.166828703703</v>
      </c>
      <c r="J11" s="12">
        <v>30</v>
      </c>
      <c r="K11" s="12" t="s">
        <v>977</v>
      </c>
    </row>
    <row r="12" spans="1:11" x14ac:dyDescent="0.25">
      <c r="A12" s="15" t="s">
        <v>990</v>
      </c>
      <c r="B12" s="12" t="s">
        <v>991</v>
      </c>
      <c r="C12" s="12" t="s">
        <v>974</v>
      </c>
      <c r="D12" s="18" t="s">
        <v>992</v>
      </c>
      <c r="E12" s="12">
        <v>0</v>
      </c>
      <c r="F12" s="12">
        <v>0</v>
      </c>
      <c r="G12" s="18" t="s">
        <v>993</v>
      </c>
      <c r="H12" s="12">
        <v>0</v>
      </c>
      <c r="I12" s="19">
        <v>46292.166863425933</v>
      </c>
      <c r="J12" s="12">
        <v>20</v>
      </c>
      <c r="K12" s="12" t="s">
        <v>977</v>
      </c>
    </row>
    <row r="13" spans="1:11" ht="63.75" x14ac:dyDescent="0.25">
      <c r="A13" s="15" t="s">
        <v>994</v>
      </c>
      <c r="B13" s="12" t="s">
        <v>995</v>
      </c>
      <c r="C13" s="12" t="s">
        <v>974</v>
      </c>
      <c r="D13" s="18" t="s">
        <v>996</v>
      </c>
      <c r="E13" s="12">
        <v>16</v>
      </c>
      <c r="F13" s="12">
        <v>0</v>
      </c>
      <c r="G13" s="18" t="s">
        <v>997</v>
      </c>
      <c r="H13" s="12">
        <v>0</v>
      </c>
      <c r="I13" s="19">
        <v>46292.166898148149</v>
      </c>
      <c r="J13" s="12">
        <v>67</v>
      </c>
      <c r="K13" s="12" t="s">
        <v>977</v>
      </c>
    </row>
    <row r="14" spans="1:11" ht="38.25" x14ac:dyDescent="0.25">
      <c r="A14" s="15" t="s">
        <v>998</v>
      </c>
      <c r="B14" s="12" t="s">
        <v>999</v>
      </c>
      <c r="C14" s="12" t="s">
        <v>974</v>
      </c>
      <c r="D14" s="18" t="s">
        <v>1000</v>
      </c>
      <c r="E14" s="12">
        <v>4</v>
      </c>
      <c r="F14" s="12">
        <v>0</v>
      </c>
      <c r="G14" s="18" t="s">
        <v>1001</v>
      </c>
      <c r="H14" s="12">
        <v>0</v>
      </c>
      <c r="I14" s="19">
        <v>46292.166932870372</v>
      </c>
      <c r="J14" s="12"/>
      <c r="K14" s="12" t="s">
        <v>977</v>
      </c>
    </row>
    <row r="15" spans="1:11" ht="63.75" x14ac:dyDescent="0.25">
      <c r="A15" s="15" t="s">
        <v>1002</v>
      </c>
      <c r="B15" s="12" t="s">
        <v>1003</v>
      </c>
      <c r="C15" s="12" t="s">
        <v>974</v>
      </c>
      <c r="D15" s="18" t="s">
        <v>1004</v>
      </c>
      <c r="E15" s="12">
        <v>8</v>
      </c>
      <c r="F15" s="12">
        <v>0</v>
      </c>
      <c r="G15" s="18" t="s">
        <v>1005</v>
      </c>
      <c r="H15" s="12">
        <v>0</v>
      </c>
      <c r="I15" s="19">
        <v>46292.166979166657</v>
      </c>
      <c r="J15" s="12"/>
      <c r="K15" s="12" t="s">
        <v>977</v>
      </c>
    </row>
    <row r="16" spans="1:11" ht="25.5" x14ac:dyDescent="0.25">
      <c r="A16" s="15" t="s">
        <v>1006</v>
      </c>
      <c r="B16" s="12" t="s">
        <v>1007</v>
      </c>
      <c r="C16" s="12" t="s">
        <v>974</v>
      </c>
      <c r="D16" s="18" t="s">
        <v>1008</v>
      </c>
      <c r="E16" s="12">
        <v>2</v>
      </c>
      <c r="F16" s="12">
        <v>0</v>
      </c>
      <c r="G16" s="18" t="s">
        <v>1009</v>
      </c>
      <c r="H16" s="12">
        <v>0</v>
      </c>
      <c r="I16" s="19">
        <v>46292.167013888888</v>
      </c>
      <c r="J16" s="12"/>
      <c r="K16" s="12" t="s">
        <v>977</v>
      </c>
    </row>
    <row r="17" spans="1:11" x14ac:dyDescent="0.25">
      <c r="A17" s="15" t="s">
        <v>1010</v>
      </c>
      <c r="B17" s="12" t="s">
        <v>1011</v>
      </c>
      <c r="C17" s="12" t="s">
        <v>974</v>
      </c>
      <c r="D17" s="18" t="s">
        <v>1012</v>
      </c>
      <c r="E17" s="12">
        <v>1</v>
      </c>
      <c r="F17" s="12">
        <v>0</v>
      </c>
      <c r="G17" s="18" t="s">
        <v>1013</v>
      </c>
      <c r="H17" s="12">
        <v>0</v>
      </c>
      <c r="I17" s="19">
        <v>46292.167048611111</v>
      </c>
      <c r="J17" s="12"/>
      <c r="K17" s="12" t="s">
        <v>977</v>
      </c>
    </row>
    <row r="18" spans="1:11" ht="63.75" x14ac:dyDescent="0.25">
      <c r="A18" s="15" t="s">
        <v>1014</v>
      </c>
      <c r="B18" s="12" t="s">
        <v>1015</v>
      </c>
      <c r="C18" s="12" t="s">
        <v>1016</v>
      </c>
      <c r="D18" s="18" t="s">
        <v>1017</v>
      </c>
      <c r="E18" s="12">
        <v>1</v>
      </c>
      <c r="F18" s="12">
        <v>0</v>
      </c>
      <c r="G18" s="18" t="s">
        <v>1018</v>
      </c>
      <c r="H18" s="12">
        <v>0</v>
      </c>
      <c r="I18" s="19">
        <v>46292.167083333326</v>
      </c>
      <c r="J18" s="12"/>
      <c r="K18" s="12" t="s">
        <v>977</v>
      </c>
    </row>
    <row r="19" spans="1:11" ht="25.5" x14ac:dyDescent="0.25">
      <c r="A19" s="15" t="s">
        <v>1019</v>
      </c>
      <c r="B19" s="12" t="s">
        <v>973</v>
      </c>
      <c r="C19" s="12" t="s">
        <v>974</v>
      </c>
      <c r="D19" s="18" t="s">
        <v>975</v>
      </c>
      <c r="E19" s="12">
        <v>659</v>
      </c>
      <c r="F19" s="12">
        <v>0</v>
      </c>
      <c r="G19" s="18" t="s">
        <v>1020</v>
      </c>
      <c r="H19" s="12">
        <v>1</v>
      </c>
      <c r="I19" s="19">
        <v>46292.194814814808</v>
      </c>
      <c r="J19" s="12">
        <v>85</v>
      </c>
      <c r="K19" s="12" t="s">
        <v>185</v>
      </c>
    </row>
    <row r="20" spans="1:11" ht="25.5" x14ac:dyDescent="0.25">
      <c r="A20" s="15" t="s">
        <v>1021</v>
      </c>
      <c r="B20" s="12" t="s">
        <v>987</v>
      </c>
      <c r="C20" s="12" t="s">
        <v>974</v>
      </c>
      <c r="D20" s="18" t="s">
        <v>1022</v>
      </c>
      <c r="E20" s="12">
        <v>77</v>
      </c>
      <c r="F20" s="12">
        <v>0</v>
      </c>
      <c r="G20" s="18" t="s">
        <v>1023</v>
      </c>
      <c r="H20" s="12">
        <v>0</v>
      </c>
      <c r="I20" s="19">
        <v>46292.194849537038</v>
      </c>
      <c r="J20" s="12">
        <v>4</v>
      </c>
      <c r="K20" s="12" t="s">
        <v>185</v>
      </c>
    </row>
    <row r="21" spans="1:11" ht="25.5" x14ac:dyDescent="0.25">
      <c r="A21" s="15" t="s">
        <v>1024</v>
      </c>
      <c r="B21" s="12" t="s">
        <v>995</v>
      </c>
      <c r="C21" s="12" t="s">
        <v>974</v>
      </c>
      <c r="D21" s="18" t="s">
        <v>1025</v>
      </c>
      <c r="E21" s="12">
        <v>17</v>
      </c>
      <c r="F21" s="12">
        <v>0</v>
      </c>
      <c r="G21" s="18" t="s">
        <v>1026</v>
      </c>
      <c r="H21" s="12">
        <v>0</v>
      </c>
      <c r="I21" s="19">
        <v>46292.194884259261</v>
      </c>
      <c r="J21" s="12">
        <v>71</v>
      </c>
      <c r="K21" s="12" t="s">
        <v>185</v>
      </c>
    </row>
    <row r="22" spans="1:11" ht="25.5" x14ac:dyDescent="0.25">
      <c r="A22" s="15" t="s">
        <v>1027</v>
      </c>
      <c r="B22" s="12" t="s">
        <v>973</v>
      </c>
      <c r="C22" s="12" t="s">
        <v>974</v>
      </c>
      <c r="D22" s="18" t="s">
        <v>975</v>
      </c>
      <c r="E22" s="12">
        <v>688</v>
      </c>
      <c r="F22" s="12">
        <v>0</v>
      </c>
      <c r="G22" s="18" t="s">
        <v>1028</v>
      </c>
      <c r="H22" s="12">
        <v>1</v>
      </c>
      <c r="I22" s="19">
        <v>46292.218171296299</v>
      </c>
      <c r="J22" s="12">
        <v>102</v>
      </c>
      <c r="K22" s="12" t="s">
        <v>255</v>
      </c>
    </row>
    <row r="23" spans="1:11" x14ac:dyDescent="0.25">
      <c r="A23" s="15" t="s">
        <v>1029</v>
      </c>
      <c r="B23" s="12" t="s">
        <v>987</v>
      </c>
      <c r="C23" s="12" t="s">
        <v>974</v>
      </c>
      <c r="D23" s="18" t="s">
        <v>1022</v>
      </c>
      <c r="E23" s="12">
        <v>80</v>
      </c>
      <c r="F23" s="12">
        <v>0</v>
      </c>
      <c r="G23" s="18" t="s">
        <v>1030</v>
      </c>
      <c r="H23" s="12">
        <v>0</v>
      </c>
      <c r="I23" s="19">
        <v>46292.218206018522</v>
      </c>
      <c r="J23" s="12">
        <v>5</v>
      </c>
      <c r="K23" s="12" t="s">
        <v>255</v>
      </c>
    </row>
    <row r="24" spans="1:11" ht="38.25" x14ac:dyDescent="0.25">
      <c r="A24" s="15" t="s">
        <v>1031</v>
      </c>
      <c r="B24" s="12" t="s">
        <v>995</v>
      </c>
      <c r="C24" s="12" t="s">
        <v>974</v>
      </c>
      <c r="D24" s="18" t="s">
        <v>1025</v>
      </c>
      <c r="E24" s="12">
        <v>18</v>
      </c>
      <c r="F24" s="12">
        <v>0</v>
      </c>
      <c r="G24" s="18" t="s">
        <v>1032</v>
      </c>
      <c r="H24" s="12">
        <v>0</v>
      </c>
      <c r="I24" s="19">
        <v>46292.218240740738</v>
      </c>
      <c r="J24" s="12">
        <v>72</v>
      </c>
      <c r="K24" s="12" t="s">
        <v>255</v>
      </c>
    </row>
    <row r="25" spans="1:11" ht="25.5" x14ac:dyDescent="0.25">
      <c r="A25" s="15" t="s">
        <v>1033</v>
      </c>
      <c r="B25" s="12" t="s">
        <v>973</v>
      </c>
      <c r="C25" s="12" t="s">
        <v>974</v>
      </c>
      <c r="D25" s="18" t="s">
        <v>975</v>
      </c>
      <c r="E25" s="12">
        <v>694</v>
      </c>
      <c r="F25" s="12">
        <v>0</v>
      </c>
      <c r="G25" s="18" t="s">
        <v>1034</v>
      </c>
      <c r="H25" s="12">
        <v>1</v>
      </c>
      <c r="I25" s="19">
        <v>46292.350682870368</v>
      </c>
      <c r="J25" s="12">
        <v>107</v>
      </c>
      <c r="K25" s="12" t="s">
        <v>346</v>
      </c>
    </row>
    <row r="26" spans="1:11" x14ac:dyDescent="0.25">
      <c r="A26" s="15" t="s">
        <v>1035</v>
      </c>
      <c r="B26" s="12" t="s">
        <v>987</v>
      </c>
      <c r="C26" s="12" t="s">
        <v>974</v>
      </c>
      <c r="D26" s="18" t="s">
        <v>1022</v>
      </c>
      <c r="E26" s="12">
        <v>84</v>
      </c>
      <c r="F26" s="12">
        <v>0</v>
      </c>
      <c r="G26" s="18" t="s">
        <v>1036</v>
      </c>
      <c r="H26" s="12">
        <v>0</v>
      </c>
      <c r="I26" s="19">
        <v>46292.350717592592</v>
      </c>
      <c r="J26" s="12">
        <v>5</v>
      </c>
      <c r="K26" s="12" t="s">
        <v>346</v>
      </c>
    </row>
    <row r="27" spans="1:11" ht="25.5" x14ac:dyDescent="0.25">
      <c r="A27" s="15" t="s">
        <v>1037</v>
      </c>
      <c r="B27" s="12" t="s">
        <v>995</v>
      </c>
      <c r="C27" s="12" t="s">
        <v>974</v>
      </c>
      <c r="D27" s="18" t="s">
        <v>1025</v>
      </c>
      <c r="E27" s="12">
        <v>18</v>
      </c>
      <c r="F27" s="12">
        <v>0</v>
      </c>
      <c r="G27" s="18" t="s">
        <v>1038</v>
      </c>
      <c r="H27" s="12">
        <v>0</v>
      </c>
      <c r="I27" s="19">
        <v>46292.350763888891</v>
      </c>
      <c r="J27" s="12">
        <v>72</v>
      </c>
      <c r="K27" s="12" t="s">
        <v>346</v>
      </c>
    </row>
    <row r="28" spans="1:11" ht="25.5" x14ac:dyDescent="0.25">
      <c r="A28" s="15" t="s">
        <v>1039</v>
      </c>
      <c r="B28" s="12" t="s">
        <v>973</v>
      </c>
      <c r="C28" s="12" t="s">
        <v>974</v>
      </c>
      <c r="D28" s="18" t="s">
        <v>975</v>
      </c>
      <c r="E28" s="12">
        <v>700</v>
      </c>
      <c r="F28" s="12">
        <v>0</v>
      </c>
      <c r="G28" s="18" t="s">
        <v>1040</v>
      </c>
      <c r="H28" s="12">
        <v>1</v>
      </c>
      <c r="I28" s="19">
        <v>46292.356620370367</v>
      </c>
      <c r="J28" s="12">
        <v>89</v>
      </c>
      <c r="K28" s="12" t="s">
        <v>361</v>
      </c>
    </row>
    <row r="29" spans="1:11" x14ac:dyDescent="0.25">
      <c r="A29" s="15" t="s">
        <v>1041</v>
      </c>
      <c r="B29" s="12" t="s">
        <v>775</v>
      </c>
      <c r="C29" s="12" t="s">
        <v>974</v>
      </c>
      <c r="D29" s="18" t="s">
        <v>1042</v>
      </c>
      <c r="E29" s="12">
        <v>713</v>
      </c>
      <c r="F29" s="12">
        <v>0</v>
      </c>
      <c r="G29" s="18" t="s">
        <v>1043</v>
      </c>
      <c r="H29" s="12">
        <v>1</v>
      </c>
      <c r="I29" s="19">
        <v>46292.374259259261</v>
      </c>
      <c r="J29" s="12">
        <v>92</v>
      </c>
      <c r="K29" s="12" t="s">
        <v>379</v>
      </c>
    </row>
    <row r="30" spans="1:11" x14ac:dyDescent="0.25">
      <c r="A30" s="15" t="s">
        <v>1044</v>
      </c>
      <c r="B30" s="12" t="s">
        <v>987</v>
      </c>
      <c r="C30" s="12" t="s">
        <v>974</v>
      </c>
      <c r="D30" s="18" t="s">
        <v>1045</v>
      </c>
      <c r="E30" s="12">
        <v>84</v>
      </c>
      <c r="F30" s="12">
        <v>0</v>
      </c>
      <c r="G30" s="18" t="s">
        <v>1046</v>
      </c>
      <c r="H30" s="12">
        <v>0</v>
      </c>
      <c r="I30" s="19">
        <v>46292.374305555553</v>
      </c>
      <c r="J30" s="12"/>
      <c r="K30" s="12" t="s">
        <v>379</v>
      </c>
    </row>
    <row r="31" spans="1:11" x14ac:dyDescent="0.25">
      <c r="A31" s="15" t="s">
        <v>1047</v>
      </c>
      <c r="B31" s="12" t="s">
        <v>775</v>
      </c>
      <c r="C31" s="12" t="s">
        <v>974</v>
      </c>
      <c r="D31" s="18" t="s">
        <v>1042</v>
      </c>
      <c r="E31" s="12">
        <v>749</v>
      </c>
      <c r="F31" s="12">
        <v>0</v>
      </c>
      <c r="G31" s="18" t="s">
        <v>1048</v>
      </c>
      <c r="H31" s="12">
        <v>1</v>
      </c>
      <c r="I31" s="19">
        <v>46292.398113425923</v>
      </c>
      <c r="J31" s="12">
        <v>95</v>
      </c>
      <c r="K31" s="12" t="s">
        <v>353</v>
      </c>
    </row>
    <row r="32" spans="1:11" x14ac:dyDescent="0.25">
      <c r="A32" s="15" t="s">
        <v>1049</v>
      </c>
      <c r="B32" s="12" t="s">
        <v>987</v>
      </c>
      <c r="C32" s="12" t="s">
        <v>974</v>
      </c>
      <c r="D32" s="18" t="s">
        <v>1045</v>
      </c>
      <c r="E32" s="12">
        <v>109</v>
      </c>
      <c r="F32" s="12">
        <v>0</v>
      </c>
      <c r="G32" s="18" t="s">
        <v>1050</v>
      </c>
      <c r="H32" s="12">
        <v>0</v>
      </c>
      <c r="I32" s="19">
        <v>46292.398148148153</v>
      </c>
      <c r="J32" s="12"/>
      <c r="K32" s="12" t="s">
        <v>353</v>
      </c>
    </row>
    <row r="33" spans="1:12" x14ac:dyDescent="0.25">
      <c r="A33" s="15" t="s">
        <v>1051</v>
      </c>
      <c r="B33" s="12" t="s">
        <v>1052</v>
      </c>
      <c r="C33" s="12" t="s">
        <v>974</v>
      </c>
      <c r="D33" s="18" t="s">
        <v>1053</v>
      </c>
      <c r="E33" s="12">
        <v>19</v>
      </c>
      <c r="F33" s="12">
        <v>0</v>
      </c>
      <c r="G33" s="18" t="s">
        <v>1054</v>
      </c>
      <c r="H33" s="12">
        <v>0</v>
      </c>
      <c r="I33" s="19">
        <v>46292.398194444453</v>
      </c>
      <c r="J33" s="12">
        <v>72</v>
      </c>
      <c r="K33" s="12" t="s">
        <v>353</v>
      </c>
    </row>
    <row r="36" spans="1:12" ht="15.75" x14ac:dyDescent="0.25">
      <c r="A36" s="5" t="s">
        <v>1055</v>
      </c>
    </row>
    <row r="37" spans="1:12" x14ac:dyDescent="0.25">
      <c r="A37" s="10" t="s">
        <v>162</v>
      </c>
      <c r="B37" s="10" t="s">
        <v>99</v>
      </c>
      <c r="C37" s="10" t="s">
        <v>43</v>
      </c>
      <c r="D37" s="10" t="s">
        <v>163</v>
      </c>
      <c r="E37" s="10" t="s">
        <v>165</v>
      </c>
      <c r="F37" s="10" t="s">
        <v>57</v>
      </c>
      <c r="G37" s="10" t="s">
        <v>166</v>
      </c>
      <c r="H37" s="10" t="s">
        <v>167</v>
      </c>
      <c r="I37" s="10" t="s">
        <v>15</v>
      </c>
      <c r="J37" s="10" t="s">
        <v>173</v>
      </c>
      <c r="K37" s="10" t="s">
        <v>174</v>
      </c>
      <c r="L37" s="10" t="s">
        <v>175</v>
      </c>
    </row>
    <row r="38" spans="1:12" x14ac:dyDescent="0.25">
      <c r="A38" s="15" t="s">
        <v>199</v>
      </c>
      <c r="B38" s="12" t="str">
        <f>IFERROR(INDEX(MASTER!$C$2:$C$2000,MATCH($A38,MASTER!$A$2:$A$2000,0))&amp;"","")</f>
        <v>TESTING</v>
      </c>
      <c r="C38" s="16">
        <f>IFERROR(INDEX(MASTER!$B$2:$B$2000,MATCH($A38,MASTER!$A$2:$A$2000,0)),"")</f>
        <v>0</v>
      </c>
      <c r="D38" s="12" t="str">
        <f>IFERROR(INDEX(MASTER!$D$2:$D$2000,MATCH($A38,MASTER!$A$2:$A$2000,0))&amp;"","")</f>
        <v>Baseline: backend tests</v>
      </c>
      <c r="E38" s="12" t="str">
        <f>IFERROR(INDEX(MASTER!$F$2:$F$2000,MATCH($A38,MASTER!$A$2:$A$2000,0))&amp;"","")</f>
        <v>P0</v>
      </c>
      <c r="F38" s="12" t="str">
        <f>IFERROR(INDEX(MASTER!$G$2:$G$2000,MATCH($A38,MASTER!$A$2:$A$2000,0))&amp;"","NOT IN MASTER")</f>
        <v>DONE</v>
      </c>
      <c r="G38" s="12" t="str">
        <f>IFERROR(INDEX(MASTER!$H$2:$H$2000,MATCH($A38,MASTER!$A$2:$A$2000,0))&amp;"","")</f>
        <v>docs/architecture/current-baseline.md; TESTING RUN-0001</v>
      </c>
      <c r="H38" s="12" t="str">
        <f>IFERROR(INDEX(MASTER!$I$2:$I$2000,MATCH($A38,MASTER!$A$2:$A$2000,0))&amp;"","")</f>
        <v>backend pytest: 643 passed, 1 skipped, 0 failed (88 s)</v>
      </c>
      <c r="I38" s="19">
        <f>IFERROR(IF(INDEX(MASTER!$O$2:$O$2000,MATCH($A38,MASTER!$A$2:$A$2000,0))="","",INDEX(MASTER!$O$2:$O$2000,MATCH($A38,MASTER!$A$2:$A$2000,0))),"")</f>
        <v>46292.17150462963</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205</v>
      </c>
      <c r="B39" s="12" t="str">
        <f>IFERROR(INDEX(MASTER!$C$2:$C$2000,MATCH($A39,MASTER!$A$2:$A$2000,0))&amp;"","")</f>
        <v>TESTING</v>
      </c>
      <c r="C39" s="16">
        <f>IFERROR(INDEX(MASTER!$B$2:$B$2000,MATCH($A39,MASTER!$A$2:$A$2000,0)),"")</f>
        <v>0</v>
      </c>
      <c r="D39" s="12" t="str">
        <f>IFERROR(INDEX(MASTER!$D$2:$D$2000,MATCH($A39,MASTER!$A$2:$A$2000,0))&amp;"","")</f>
        <v>Baseline: frontend tests, typecheck, lint, build</v>
      </c>
      <c r="E39" s="12" t="str">
        <f>IFERROR(INDEX(MASTER!$F$2:$F$2000,MATCH($A39,MASTER!$A$2:$A$2000,0))&amp;"","")</f>
        <v>P0</v>
      </c>
      <c r="F39" s="12" t="str">
        <f>IFERROR(INDEX(MASTER!$G$2:$G$2000,MATCH($A39,MASTER!$A$2:$A$2000,0))&amp;"","NOT IN MASTER")</f>
        <v>DONE</v>
      </c>
      <c r="G39" s="12" t="str">
        <f>IFERROR(INDEX(MASTER!$H$2:$H$2000,MATCH($A39,MASTER!$A$2:$A$2000,0))&amp;"","")</f>
        <v>docs/architecture/current-baseline.md; TESTING RUN-0002..0005</v>
      </c>
      <c r="H39" s="12" t="str">
        <f>IFERROR(INDEX(MASTER!$I$2:$I$2000,MATCH($A39,MASTER!$A$2:$A$2000,0))&amp;"","")</f>
        <v>eslint 0 problems; tsc 0 errors; Vitest 46/46; next build OK (11 routes)</v>
      </c>
      <c r="I39" s="19">
        <f>IFERROR(IF(INDEX(MASTER!$O$2:$O$2000,MATCH($A39,MASTER!$A$2:$A$2000,0))="","",INDEX(MASTER!$O$2:$O$2000,MATCH($A39,MASTER!$A$2:$A$2000,0))),"")</f>
        <v>46292.171550925923</v>
      </c>
      <c r="J39" s="12" t="str">
        <f>IFERROR(INDEX(MASTER!$P$2:$P$2000,MATCH($A39,MASTER!$A$2:$A$2000,0))&amp;"","")</f>
        <v>4da4ecb</v>
      </c>
      <c r="K39" s="12" t="str">
        <f>IFERROR(INDEX(MASTER!$Q$2:$Q$2000,MATCH($A39,MASTER!$A$2:$A$2000,0))&amp;"","")</f>
        <v/>
      </c>
      <c r="L39" s="12" t="str">
        <f>IFERROR(INDEX(MASTER!$R$2:$R$2000,MATCH($A39,MASTER!$A$2:$A$2000,0))&amp;"","")</f>
        <v/>
      </c>
    </row>
    <row r="40" spans="1:12" x14ac:dyDescent="0.25">
      <c r="A40" s="15" t="s">
        <v>211</v>
      </c>
      <c r="B40" s="12" t="str">
        <f>IFERROR(INDEX(MASTER!$C$2:$C$2000,MATCH($A40,MASTER!$A$2:$A$2000,0))&amp;"","")</f>
        <v>TESTING</v>
      </c>
      <c r="C40" s="16">
        <f>IFERROR(INDEX(MASTER!$B$2:$B$2000,MATCH($A40,MASTER!$A$2:$A$2000,0)),"")</f>
        <v>0</v>
      </c>
      <c r="D40" s="12" t="str">
        <f>IFERROR(INDEX(MASTER!$D$2:$D$2000,MATCH($A40,MASTER!$A$2:$A$2000,0))&amp;"","")</f>
        <v>Baseline: Playwright E2E</v>
      </c>
      <c r="E40" s="12" t="str">
        <f>IFERROR(INDEX(MASTER!$F$2:$F$2000,MATCH($A40,MASTER!$A$2:$A$2000,0))&amp;"","")</f>
        <v>P0</v>
      </c>
      <c r="F40" s="12" t="str">
        <f>IFERROR(INDEX(MASTER!$G$2:$G$2000,MATCH($A40,MASTER!$A$2:$A$2000,0))&amp;"","NOT IN MASTER")</f>
        <v>DONE</v>
      </c>
      <c r="G40" s="12" t="str">
        <f>IFERROR(INDEX(MASTER!$H$2:$H$2000,MATCH($A40,MASTER!$A$2:$A$2000,0))&amp;"","")</f>
        <v>docs/architecture/current-baseline.md; TESTING RUN-0006</v>
      </c>
      <c r="H40" s="12" t="str">
        <f>IFERROR(INDEX(MASTER!$I$2:$I$2000,MATCH($A40,MASTER!$A$2:$A$2000,0))&amp;"","")</f>
        <v>Playwright (Edge): 16 passed, 0 failed (67 s)</v>
      </c>
      <c r="I40" s="19">
        <f>IFERROR(IF(INDEX(MASTER!$O$2:$O$2000,MATCH($A40,MASTER!$A$2:$A$2000,0))="","",INDEX(MASTER!$O$2:$O$2000,MATCH($A40,MASTER!$A$2:$A$2000,0))),"")</f>
        <v>46292.171585648153</v>
      </c>
      <c r="J40" s="12" t="str">
        <f>IFERROR(INDEX(MASTER!$P$2:$P$2000,MATCH($A40,MASTER!$A$2:$A$2000,0))&amp;"","")</f>
        <v>4da4ecb</v>
      </c>
      <c r="K40" s="12" t="str">
        <f>IFERROR(INDEX(MASTER!$Q$2:$Q$2000,MATCH($A40,MASTER!$A$2:$A$2000,0))&amp;"","")</f>
        <v/>
      </c>
      <c r="L40" s="12" t="str">
        <f>IFERROR(INDEX(MASTER!$R$2:$R$2000,MATCH($A40,MASTER!$A$2:$A$2000,0))&amp;"","")</f>
        <v/>
      </c>
    </row>
    <row r="41" spans="1:12" x14ac:dyDescent="0.25">
      <c r="A41" s="15" t="s">
        <v>217</v>
      </c>
      <c r="B41" s="12" t="str">
        <f>IFERROR(INDEX(MASTER!$C$2:$C$2000,MATCH($A41,MASTER!$A$2:$A$2000,0))&amp;"","")</f>
        <v>TESTING</v>
      </c>
      <c r="C41" s="16">
        <f>IFERROR(INDEX(MASTER!$B$2:$B$2000,MATCH($A41,MASTER!$A$2:$A$2000,0)),"")</f>
        <v>0</v>
      </c>
      <c r="D41" s="12" t="str">
        <f>IFERROR(INDEX(MASTER!$D$2:$D$2000,MATCH($A41,MASTER!$A$2:$A$2000,0))&amp;"","")</f>
        <v>Baseline: migrations and database</v>
      </c>
      <c r="E41" s="12" t="str">
        <f>IFERROR(INDEX(MASTER!$F$2:$F$2000,MATCH($A41,MASTER!$A$2:$A$2000,0))&amp;"","")</f>
        <v>P0</v>
      </c>
      <c r="F41" s="12" t="str">
        <f>IFERROR(INDEX(MASTER!$G$2:$G$2000,MATCH($A41,MASTER!$A$2:$A$2000,0))&amp;"","NOT IN MASTER")</f>
        <v>DONE</v>
      </c>
      <c r="G41" s="12" t="str">
        <f>IFERROR(INDEX(MASTER!$H$2:$H$2000,MATCH($A41,MASTER!$A$2:$A$2000,0))&amp;"","")</f>
        <v>docs/architecture/current-baseline.md; TESTING RUN-0007, RUN-0008</v>
      </c>
      <c r="H41" s="12" t="str">
        <f>IFERROR(INDEX(MASTER!$I$2:$I$2000,MATCH($A41,MASTER!$A$2:$A$2000,0))&amp;"","")</f>
        <v>alembic upgrade/check/downgrade/upgrade on scratch SQLite; offline PostgreSQL SQL; Supabase list_migrations 8/8 + advisors</v>
      </c>
      <c r="I41" s="19">
        <f>IFERROR(IF(INDEX(MASTER!$O$2:$O$2000,MATCH($A41,MASTER!$A$2:$A$2000,0))="","",INDEX(MASTER!$O$2:$O$2000,MATCH($A41,MASTER!$A$2:$A$2000,0))),"")</f>
        <v>46292.171620370369</v>
      </c>
      <c r="J41" s="12" t="str">
        <f>IFERROR(INDEX(MASTER!$P$2:$P$2000,MATCH($A41,MASTER!$A$2:$A$2000,0))&amp;"","")</f>
        <v>4da4ecb</v>
      </c>
      <c r="K41" s="12" t="str">
        <f>IFERROR(INDEX(MASTER!$Q$2:$Q$2000,MATCH($A41,MASTER!$A$2:$A$2000,0))&amp;"","")</f>
        <v/>
      </c>
      <c r="L41" s="12" t="str">
        <f>IFERROR(INDEX(MASTER!$R$2:$R$2000,MATCH($A41,MASTER!$A$2:$A$2000,0))&amp;"","")</f>
        <v/>
      </c>
    </row>
    <row r="42" spans="1:12" x14ac:dyDescent="0.25">
      <c r="A42" s="15" t="s">
        <v>236</v>
      </c>
      <c r="B42" s="12" t="str">
        <f>IFERROR(INDEX(MASTER!$C$2:$C$2000,MATCH($A42,MASTER!$A$2:$A$2000,0))&amp;"","")</f>
        <v>TESTING</v>
      </c>
      <c r="C42" s="16">
        <f>IFERROR(INDEX(MASTER!$B$2:$B$2000,MATCH($A42,MASTER!$A$2:$A$2000,0)),"")</f>
        <v>0</v>
      </c>
      <c r="D42" s="12" t="str">
        <f>IFERROR(INDEX(MASTER!$D$2:$D$2000,MATCH($A42,MASTER!$A$2:$A$2000,0))&amp;"","")</f>
        <v>Baseline: fixture inventory</v>
      </c>
      <c r="E42" s="12" t="str">
        <f>IFERROR(INDEX(MASTER!$F$2:$F$2000,MATCH($A42,MASTER!$A$2:$A$2000,0))&amp;"","")</f>
        <v>P1</v>
      </c>
      <c r="F42" s="12" t="str">
        <f>IFERROR(INDEX(MASTER!$G$2:$G$2000,MATCH($A42,MASTER!$A$2:$A$2000,0))&amp;"","NOT IN MASTER")</f>
        <v>DONE</v>
      </c>
      <c r="G42" s="12" t="str">
        <f>IFERROR(INDEX(MASTER!$H$2:$H$2000,MATCH($A42,MASTER!$A$2:$A$2000,0))&amp;"","")</f>
        <v>docs/architecture/current-baseline.md (fixture inventory)</v>
      </c>
      <c r="H42" s="12" t="str">
        <f>IFERROR(INDEX(MASTER!$I$2:$I$2000,MATCH($A42,MASTER!$A$2:$A$2000,0))&amp;"","")</f>
        <v>backend/tests/fixtures: 12 generated DOCX + sample.pdf; 17 Word-authored audit fixtures (a01-a12, r01-r05) outside the repo</v>
      </c>
      <c r="I42" s="19">
        <f>IFERROR(IF(INDEX(MASTER!$O$2:$O$2000,MATCH($A42,MASTER!$A$2:$A$2000,0))="","",INDEX(MASTER!$O$2:$O$2000,MATCH($A42,MASTER!$A$2:$A$2000,0))),"")</f>
        <v>46292.171655092592</v>
      </c>
      <c r="J42" s="12" t="str">
        <f>IFERROR(INDEX(MASTER!$P$2:$P$2000,MATCH($A42,MASTER!$A$2:$A$2000,0))&amp;"","")</f>
        <v>4da4ecb</v>
      </c>
      <c r="K42" s="12" t="str">
        <f>IFERROR(INDEX(MASTER!$Q$2:$Q$2000,MATCH($A42,MASTER!$A$2:$A$2000,0))&amp;"","")</f>
        <v/>
      </c>
      <c r="L42" s="12" t="str">
        <f>IFERROR(INDEX(MASTER!$R$2:$R$2000,MATCH($A42,MASTER!$A$2:$A$2000,0))&amp;"","")</f>
        <v/>
      </c>
    </row>
    <row r="43" spans="1:12" x14ac:dyDescent="0.25">
      <c r="A43" s="15" t="s">
        <v>382</v>
      </c>
      <c r="B43" s="12" t="str">
        <f>IFERROR(INDEX(MASTER!$C$2:$C$2000,MATCH($A43,MASTER!$A$2:$A$2000,0))&amp;"","")</f>
        <v>TESTING</v>
      </c>
      <c r="C43" s="16">
        <f>IFERROR(INDEX(MASTER!$B$2:$B$2000,MATCH($A43,MASTER!$A$2:$A$2000,0)),"")</f>
        <v>1</v>
      </c>
      <c r="D43" s="12" t="str">
        <f>IFERROR(INDEX(MASTER!$D$2:$D$2000,MATCH($A43,MASTER!$A$2:$A$2000,0))&amp;"","")</f>
        <v>Regression tests for nested structures</v>
      </c>
      <c r="E43" s="12" t="str">
        <f>IFERROR(INDEX(MASTER!$F$2:$F$2000,MATCH($A43,MASTER!$A$2:$A$2000,0))&amp;"","")</f>
        <v>P0</v>
      </c>
      <c r="F43" s="12" t="str">
        <f>IFERROR(INDEX(MASTER!$G$2:$G$2000,MATCH($A43,MASTER!$A$2:$A$2000,0))&amp;"","NOT IN MASTER")</f>
        <v>IMPLEMENTED</v>
      </c>
      <c r="G43" s="12" t="str">
        <f>IFERROR(INDEX(MASTER!$H$2:$H$2000,MATCH($A43,MASTER!$A$2:$A$2000,0))&amp;"","")</f>
        <v>backend: test_document_nesting.py, test_nested_blocks_api.py, test_health.py; frontend: nestedBlocks.test.ts, useAutoSave.test.tsx; e2e: nested.spec.ts</v>
      </c>
      <c r="H43" s="12" t="str">
        <f>IFERROR(INDEX(MASTER!$I$2:$I$2000,MATCH($A43,MASTER!$A$2:$A$2000,0))&amp;"","")</f>
        <v>backend 659 passed; Vitest 77 passed; e2e nested 1 passed</v>
      </c>
      <c r="I43" s="19" t="str">
        <f>IFERROR(IF(INDEX(MASTER!$O$2:$O$2000,MATCH($A43,MASTER!$A$2:$A$2000,0))="","",INDEX(MASTER!$O$2:$O$2000,MATCH($A43,MASTER!$A$2:$A$2000,0))),"")</f>
        <v/>
      </c>
      <c r="J43" s="12" t="str">
        <f>IFERROR(INDEX(MASTER!$P$2:$P$2000,MATCH($A43,MASTER!$A$2:$A$2000,0))&amp;"","")</f>
        <v/>
      </c>
      <c r="K43" s="12" t="str">
        <f>IFERROR(INDEX(MASTER!$Q$2:$Q$2000,MATCH($A43,MASTER!$A$2:$A$2000,0))&amp;"","")</f>
        <v/>
      </c>
      <c r="L43" s="12" t="str">
        <f>IFERROR(INDEX(MASTER!$R$2:$R$2000,MATCH($A43,MASTER!$A$2:$A$2000,0))&amp;"","")</f>
        <v/>
      </c>
    </row>
    <row r="44" spans="1:12" x14ac:dyDescent="0.25">
      <c r="A44" s="15" t="s">
        <v>509</v>
      </c>
      <c r="B44" s="12" t="str">
        <f>IFERROR(INDEX(MASTER!$C$2:$C$2000,MATCH($A44,MASTER!$A$2:$A$2000,0))&amp;"","")</f>
        <v>TESTING</v>
      </c>
      <c r="C44" s="16">
        <f>IFERROR(INDEX(MASTER!$B$2:$B$2000,MATCH($A44,MASTER!$A$2:$A$2000,0)),"")</f>
        <v>3</v>
      </c>
      <c r="D44" s="12" t="str">
        <f>IFERROR(INDEX(MASTER!$D$2:$D$2000,MATCH($A44,MASTER!$A$2:$A$2000,0))&amp;"","")</f>
        <v>Word-authored fixtures in the repository</v>
      </c>
      <c r="E44" s="12" t="str">
        <f>IFERROR(INDEX(MASTER!$F$2:$F$2000,MATCH($A44,MASTER!$A$2:$A$2000,0))&amp;"","")</f>
        <v>P0</v>
      </c>
      <c r="F44" s="12" t="str">
        <f>IFERROR(INDEX(MASTER!$G$2:$G$2000,MATCH($A44,MASTER!$A$2:$A$2000,0))&amp;"","NOT IN MASTER")</f>
        <v>NOT_STARTED</v>
      </c>
      <c r="G44" s="12" t="str">
        <f>IFERROR(INDEX(MASTER!$H$2:$H$2000,MATCH($A44,MASTER!$A$2:$A$2000,0))&amp;"","")</f>
        <v/>
      </c>
      <c r="H44" s="12" t="str">
        <f>IFERROR(INDEX(MASTER!$I$2:$I$2000,MATCH($A44,MASTER!$A$2:$A$2000,0))&amp;"","")</f>
        <v/>
      </c>
      <c r="I44" s="19" t="str">
        <f>IFERROR(IF(INDEX(MASTER!$O$2:$O$2000,MATCH($A44,MASTER!$A$2:$A$2000,0))="","",INDEX(MASTER!$O$2:$O$2000,MATCH($A44,MASTER!$A$2:$A$2000,0))),"")</f>
        <v/>
      </c>
      <c r="J44" s="12" t="str">
        <f>IFERROR(INDEX(MASTER!$P$2:$P$2000,MATCH($A44,MASTER!$A$2:$A$2000,0))&amp;"","")</f>
        <v/>
      </c>
      <c r="K44" s="12" t="str">
        <f>IFERROR(INDEX(MASTER!$Q$2:$Q$2000,MATCH($A44,MASTER!$A$2:$A$2000,0))&amp;"","")</f>
        <v/>
      </c>
      <c r="L44" s="12" t="str">
        <f>IFERROR(INDEX(MASTER!$R$2:$R$2000,MATCH($A44,MASTER!$A$2:$A$2000,0))&amp;"","")</f>
        <v/>
      </c>
    </row>
    <row r="45" spans="1:12" x14ac:dyDescent="0.25">
      <c r="A45" s="15" t="s">
        <v>513</v>
      </c>
      <c r="B45" s="12" t="str">
        <f>IFERROR(INDEX(MASTER!$C$2:$C$2000,MATCH($A45,MASTER!$A$2:$A$2000,0))&amp;"","")</f>
        <v>TESTING</v>
      </c>
      <c r="C45" s="16">
        <f>IFERROR(INDEX(MASTER!$B$2:$B$2000,MATCH($A45,MASTER!$A$2:$A$2000,0)),"")</f>
        <v>3</v>
      </c>
      <c r="D45" s="12" t="str">
        <f>IFERROR(INDEX(MASTER!$D$2:$D$2000,MATCH($A45,MASTER!$A$2:$A$2000,0))&amp;"","")</f>
        <v>Expected-loss manifests in CI</v>
      </c>
      <c r="E45" s="12" t="str">
        <f>IFERROR(INDEX(MASTER!$F$2:$F$2000,MATCH($A45,MASTER!$A$2:$A$2000,0))&amp;"","")</f>
        <v>P0</v>
      </c>
      <c r="F45" s="12" t="str">
        <f>IFERROR(INDEX(MASTER!$G$2:$G$2000,MATCH($A45,MASTER!$A$2:$A$2000,0))&amp;"","NOT IN MASTER")</f>
        <v>NOT_STARTED</v>
      </c>
      <c r="G45" s="12" t="str">
        <f>IFERROR(INDEX(MASTER!$H$2:$H$2000,MATCH($A45,MASTER!$A$2:$A$2000,0))&amp;"","")</f>
        <v/>
      </c>
      <c r="H45" s="12" t="str">
        <f>IFERROR(INDEX(MASTER!$I$2:$I$2000,MATCH($A45,MASTER!$A$2:$A$2000,0))&amp;"","")</f>
        <v/>
      </c>
      <c r="I45" s="19" t="str">
        <f>IFERROR(IF(INDEX(MASTER!$O$2:$O$2000,MATCH($A45,MASTER!$A$2:$A$2000,0))="","",INDEX(MASTER!$O$2:$O$2000,MATCH($A45,MASTER!$A$2:$A$2000,0))),"")</f>
        <v/>
      </c>
      <c r="J45" s="12" t="str">
        <f>IFERROR(INDEX(MASTER!$P$2:$P$2000,MATCH($A45,MASTER!$A$2:$A$2000,0))&amp;"","")</f>
        <v/>
      </c>
      <c r="K45" s="12" t="str">
        <f>IFERROR(INDEX(MASTER!$Q$2:$Q$2000,MATCH($A45,MASTER!$A$2:$A$2000,0))&amp;"","")</f>
        <v/>
      </c>
      <c r="L45" s="12" t="str">
        <f>IFERROR(INDEX(MASTER!$R$2:$R$2000,MATCH($A45,MASTER!$A$2:$A$2000,0))&amp;"","")</f>
        <v>TEST-020</v>
      </c>
    </row>
    <row r="46" spans="1:12" x14ac:dyDescent="0.25">
      <c r="A46" s="15" t="s">
        <v>516</v>
      </c>
      <c r="B46" s="12" t="str">
        <f>IFERROR(INDEX(MASTER!$C$2:$C$2000,MATCH($A46,MASTER!$A$2:$A$2000,0))&amp;"","")</f>
        <v>TESTING</v>
      </c>
      <c r="C46" s="16">
        <f>IFERROR(INDEX(MASTER!$B$2:$B$2000,MATCH($A46,MASTER!$A$2:$A$2000,0)),"")</f>
        <v>3</v>
      </c>
      <c r="D46" s="12" t="str">
        <f>IFERROR(INDEX(MASTER!$D$2:$D$2000,MATCH($A46,MASTER!$A$2:$A$2000,0))&amp;"","")</f>
        <v>True fidelity test</v>
      </c>
      <c r="E46" s="12" t="str">
        <f>IFERROR(INDEX(MASTER!$F$2:$F$2000,MATCH($A46,MASTER!$A$2:$A$2000,0))&amp;"","")</f>
        <v>P0</v>
      </c>
      <c r="F46" s="12" t="str">
        <f>IFERROR(INDEX(MASTER!$G$2:$G$2000,MATCH($A46,MASTER!$A$2:$A$2000,0))&amp;"","NOT IN MASTER")</f>
        <v>NOT_STARTED</v>
      </c>
      <c r="G46" s="12" t="str">
        <f>IFERROR(INDEX(MASTER!$H$2:$H$2000,MATCH($A46,MASTER!$A$2:$A$2000,0))&amp;"","")</f>
        <v/>
      </c>
      <c r="H46" s="12" t="str">
        <f>IFERROR(INDEX(MASTER!$I$2:$I$2000,MATCH($A46,MASTER!$A$2:$A$2000,0))&amp;"","")</f>
        <v/>
      </c>
      <c r="I46" s="19" t="str">
        <f>IFERROR(IF(INDEX(MASTER!$O$2:$O$2000,MATCH($A46,MASTER!$A$2:$A$2000,0))="","",INDEX(MASTER!$O$2:$O$2000,MATCH($A46,MASTER!$A$2:$A$2000,0))),"")</f>
        <v/>
      </c>
      <c r="J46" s="12" t="str">
        <f>IFERROR(INDEX(MASTER!$P$2:$P$2000,MATCH($A46,MASTER!$A$2:$A$2000,0))&amp;"","")</f>
        <v/>
      </c>
      <c r="K46" s="12" t="str">
        <f>IFERROR(INDEX(MASTER!$Q$2:$Q$2000,MATCH($A46,MASTER!$A$2:$A$2000,0))&amp;"","")</f>
        <v/>
      </c>
      <c r="L46" s="12" t="str">
        <f>IFERROR(INDEX(MASTER!$R$2:$R$2000,MATCH($A46,MASTER!$A$2:$A$2000,0))&amp;"","")</f>
        <v>TEST-020</v>
      </c>
    </row>
    <row r="47" spans="1:12" x14ac:dyDescent="0.25">
      <c r="A47" s="15" t="s">
        <v>519</v>
      </c>
      <c r="B47" s="12" t="str">
        <f>IFERROR(INDEX(MASTER!$C$2:$C$2000,MATCH($A47,MASTER!$A$2:$A$2000,0))&amp;"","")</f>
        <v>TESTING</v>
      </c>
      <c r="C47" s="16">
        <f>IFERROR(INDEX(MASTER!$B$2:$B$2000,MATCH($A47,MASTER!$A$2:$A$2000,0)),"")</f>
        <v>3</v>
      </c>
      <c r="D47" s="12" t="str">
        <f>IFERROR(INDEX(MASTER!$D$2:$D$2000,MATCH($A47,MASTER!$A$2:$A$2000,0))&amp;"","")</f>
        <v>Independent validation</v>
      </c>
      <c r="E47" s="12" t="str">
        <f>IFERROR(INDEX(MASTER!$F$2:$F$2000,MATCH($A47,MASTER!$A$2:$A$2000,0))&amp;"","")</f>
        <v>P1</v>
      </c>
      <c r="F47" s="12" t="str">
        <f>IFERROR(INDEX(MASTER!$G$2:$G$2000,MATCH($A47,MASTER!$A$2:$A$2000,0))&amp;"","NOT IN MASTER")</f>
        <v>NOT_STARTED</v>
      </c>
      <c r="G47" s="12" t="str">
        <f>IFERROR(INDEX(MASTER!$H$2:$H$2000,MATCH($A47,MASTER!$A$2:$A$2000,0))&amp;"","")</f>
        <v/>
      </c>
      <c r="H47" s="12" t="str">
        <f>IFERROR(INDEX(MASTER!$I$2:$I$2000,MATCH($A47,MASTER!$A$2:$A$2000,0))&amp;"","")</f>
        <v/>
      </c>
      <c r="I47" s="19" t="str">
        <f>IFERROR(IF(INDEX(MASTER!$O$2:$O$2000,MATCH($A47,MASTER!$A$2:$A$2000,0))="","",INDEX(MASTER!$O$2:$O$2000,MATCH($A47,MASTER!$A$2:$A$2000,0))),"")</f>
        <v/>
      </c>
      <c r="J47" s="12" t="str">
        <f>IFERROR(INDEX(MASTER!$P$2:$P$2000,MATCH($A47,MASTER!$A$2:$A$2000,0))&amp;"","")</f>
        <v/>
      </c>
      <c r="K47" s="12" t="str">
        <f>IFERROR(INDEX(MASTER!$Q$2:$Q$2000,MATCH($A47,MASTER!$A$2:$A$2000,0))&amp;"","")</f>
        <v/>
      </c>
      <c r="L47" s="12" t="str">
        <f>IFERROR(INDEX(MASTER!$R$2:$R$2000,MATCH($A47,MASTER!$A$2:$A$2000,0))&amp;"","")</f>
        <v/>
      </c>
    </row>
    <row r="48" spans="1:12" x14ac:dyDescent="0.25">
      <c r="A48" s="15" t="s">
        <v>565</v>
      </c>
      <c r="B48" s="12" t="str">
        <f>IFERROR(INDEX(MASTER!$C$2:$C$2000,MATCH($A48,MASTER!$A$2:$A$2000,0))&amp;"","")</f>
        <v>TESTING</v>
      </c>
      <c r="C48" s="16">
        <f>IFERROR(INDEX(MASTER!$B$2:$B$2000,MATCH($A48,MASTER!$A$2:$A$2000,0)),"")</f>
        <v>4</v>
      </c>
      <c r="D48" s="12" t="str">
        <f>IFERROR(INDEX(MASTER!$D$2:$D$2000,MATCH($A48,MASTER!$A$2:$A$2000,0))&amp;"","")</f>
        <v>Security regression suite</v>
      </c>
      <c r="E48" s="12" t="str">
        <f>IFERROR(INDEX(MASTER!$F$2:$F$2000,MATCH($A48,MASTER!$A$2:$A$2000,0))&amp;"","")</f>
        <v>P0</v>
      </c>
      <c r="F48" s="12" t="str">
        <f>IFERROR(INDEX(MASTER!$G$2:$G$2000,MATCH($A48,MASTER!$A$2:$A$2000,0))&amp;"","NOT IN MASTER")</f>
        <v>NOT_STARTED</v>
      </c>
      <c r="G48" s="12" t="str">
        <f>IFERROR(INDEX(MASTER!$H$2:$H$2000,MATCH($A48,MASTER!$A$2:$A$2000,0))&amp;"","")</f>
        <v/>
      </c>
      <c r="H48" s="12" t="str">
        <f>IFERROR(INDEX(MASTER!$I$2:$I$2000,MATCH($A48,MASTER!$A$2:$A$2000,0))&amp;"","")</f>
        <v/>
      </c>
      <c r="I48" s="19" t="str">
        <f>IFERROR(IF(INDEX(MASTER!$O$2:$O$2000,MATCH($A48,MASTER!$A$2:$A$2000,0))="","",INDEX(MASTER!$O$2:$O$2000,MATCH($A48,MASTER!$A$2:$A$2000,0))),"")</f>
        <v/>
      </c>
      <c r="J48" s="12" t="str">
        <f>IFERROR(INDEX(MASTER!$P$2:$P$2000,MATCH($A48,MASTER!$A$2:$A$2000,0))&amp;"","")</f>
        <v/>
      </c>
      <c r="K48" s="12" t="str">
        <f>IFERROR(INDEX(MASTER!$Q$2:$Q$2000,MATCH($A48,MASTER!$A$2:$A$2000,0))&amp;"","")</f>
        <v/>
      </c>
      <c r="L48" s="12" t="str">
        <f>IFERROR(INDEX(MASTER!$R$2:$R$2000,MATCH($A48,MASTER!$A$2:$A$2000,0))&amp;"","")</f>
        <v/>
      </c>
    </row>
    <row r="49" spans="1:12" x14ac:dyDescent="0.25">
      <c r="A49" s="15" t="s">
        <v>823</v>
      </c>
      <c r="B49" s="12" t="str">
        <f>IFERROR(INDEX(MASTER!$C$2:$C$2000,MATCH($A49,MASTER!$A$2:$A$2000,0))&amp;"","")</f>
        <v>TESTING</v>
      </c>
      <c r="C49" s="16">
        <f>IFERROR(INDEX(MASTER!$B$2:$B$2000,MATCH($A49,MASTER!$A$2:$A$2000,0)),"")</f>
        <v>17</v>
      </c>
      <c r="D49" s="12" t="str">
        <f>IFERROR(INDEX(MASTER!$D$2:$D$2000,MATCH($A49,MASTER!$A$2:$A$2000,0))&amp;"","")</f>
        <v>Playwright workflow coverage</v>
      </c>
      <c r="E49" s="12" t="str">
        <f>IFERROR(INDEX(MASTER!$F$2:$F$2000,MATCH($A49,MASTER!$A$2:$A$2000,0))&amp;"","")</f>
        <v>P0</v>
      </c>
      <c r="F49" s="12" t="str">
        <f>IFERROR(INDEX(MASTER!$G$2:$G$2000,MATCH($A49,MASTER!$A$2:$A$2000,0))&amp;"","NOT IN MASTER")</f>
        <v>NOT_STARTED</v>
      </c>
      <c r="G49" s="12" t="str">
        <f>IFERROR(INDEX(MASTER!$H$2:$H$2000,MATCH($A49,MASTER!$A$2:$A$2000,0))&amp;"","")</f>
        <v/>
      </c>
      <c r="H49" s="12" t="str">
        <f>IFERROR(INDEX(MASTER!$I$2:$I$2000,MATCH($A49,MASTER!$A$2:$A$2000,0))&amp;"","")</f>
        <v/>
      </c>
      <c r="I49" s="19" t="str">
        <f>IFERROR(IF(INDEX(MASTER!$O$2:$O$2000,MATCH($A49,MASTER!$A$2:$A$2000,0))="","",INDEX(MASTER!$O$2:$O$2000,MATCH($A49,MASTER!$A$2:$A$2000,0))),"")</f>
        <v/>
      </c>
      <c r="J49" s="12" t="str">
        <f>IFERROR(INDEX(MASTER!$P$2:$P$2000,MATCH($A49,MASTER!$A$2:$A$2000,0))&amp;"","")</f>
        <v/>
      </c>
      <c r="K49" s="12" t="str">
        <f>IFERROR(INDEX(MASTER!$Q$2:$Q$2000,MATCH($A49,MASTER!$A$2:$A$2000,0))&amp;"","")</f>
        <v/>
      </c>
      <c r="L49" s="12" t="str">
        <f>IFERROR(INDEX(MASTER!$R$2:$R$2000,MATCH($A49,MASTER!$A$2:$A$2000,0))&amp;"","")</f>
        <v/>
      </c>
    </row>
    <row r="50" spans="1:12" x14ac:dyDescent="0.25">
      <c r="A50" s="15" t="s">
        <v>826</v>
      </c>
      <c r="B50" s="12" t="str">
        <f>IFERROR(INDEX(MASTER!$C$2:$C$2000,MATCH($A50,MASTER!$A$2:$A$2000,0))&amp;"","")</f>
        <v>TESTING</v>
      </c>
      <c r="C50" s="16">
        <f>IFERROR(INDEX(MASTER!$B$2:$B$2000,MATCH($A50,MASTER!$A$2:$A$2000,0)),"")</f>
        <v>17</v>
      </c>
      <c r="D50" s="12" t="str">
        <f>IFERROR(INDEX(MASTER!$D$2:$D$2000,MATCH($A50,MASTER!$A$2:$A$2000,0))&amp;"","")</f>
        <v>Performance gates</v>
      </c>
      <c r="E50" s="12" t="str">
        <f>IFERROR(INDEX(MASTER!$F$2:$F$2000,MATCH($A50,MASTER!$A$2:$A$2000,0))&amp;"","")</f>
        <v>P1</v>
      </c>
      <c r="F50" s="12" t="str">
        <f>IFERROR(INDEX(MASTER!$G$2:$G$2000,MATCH($A50,MASTER!$A$2:$A$2000,0))&amp;"","NOT IN MASTER")</f>
        <v>NOT_STARTED</v>
      </c>
      <c r="G50" s="12" t="str">
        <f>IFERROR(INDEX(MASTER!$H$2:$H$2000,MATCH($A50,MASTER!$A$2:$A$2000,0))&amp;"","")</f>
        <v/>
      </c>
      <c r="H50" s="12" t="str">
        <f>IFERROR(INDEX(MASTER!$I$2:$I$2000,MATCH($A50,MASTER!$A$2:$A$2000,0))&amp;"","")</f>
        <v/>
      </c>
      <c r="I50" s="19" t="str">
        <f>IFERROR(IF(INDEX(MASTER!$O$2:$O$2000,MATCH($A50,MASTER!$A$2:$A$2000,0))="","",INDEX(MASTER!$O$2:$O$2000,MATCH($A50,MASTER!$A$2:$A$2000,0))),"")</f>
        <v/>
      </c>
      <c r="J50" s="12" t="str">
        <f>IFERROR(INDEX(MASTER!$P$2:$P$2000,MATCH($A50,MASTER!$A$2:$A$2000,0))&amp;"","")</f>
        <v/>
      </c>
      <c r="K50" s="12" t="str">
        <f>IFERROR(INDEX(MASTER!$Q$2:$Q$2000,MATCH($A50,MASTER!$A$2:$A$2000,0))&amp;"","")</f>
        <v/>
      </c>
      <c r="L50" s="12" t="str">
        <f>IFERROR(INDEX(MASTER!$R$2:$R$2000,MATCH($A50,MASTER!$A$2:$A$2000,0))&amp;"","")</f>
        <v/>
      </c>
    </row>
    <row r="51" spans="1:12" x14ac:dyDescent="0.25">
      <c r="A51" s="15" t="s">
        <v>829</v>
      </c>
      <c r="B51" s="12" t="str">
        <f>IFERROR(INDEX(MASTER!$C$2:$C$2000,MATCH($A51,MASTER!$A$2:$A$2000,0))&amp;"","")</f>
        <v>TESTING</v>
      </c>
      <c r="C51" s="16">
        <f>IFERROR(INDEX(MASTER!$B$2:$B$2000,MATCH($A51,MASTER!$A$2:$A$2000,0)),"")</f>
        <v>17</v>
      </c>
      <c r="D51" s="12" t="str">
        <f>IFERROR(INDEX(MASTER!$D$2:$D$2000,MATCH($A51,MASTER!$A$2:$A$2000,0))&amp;"","")</f>
        <v>Browser matrix</v>
      </c>
      <c r="E51" s="12" t="str">
        <f>IFERROR(INDEX(MASTER!$F$2:$F$2000,MATCH($A51,MASTER!$A$2:$A$2000,0))&amp;"","")</f>
        <v>P2</v>
      </c>
      <c r="F51" s="12" t="str">
        <f>IFERROR(INDEX(MASTER!$G$2:$G$2000,MATCH($A51,MASTER!$A$2:$A$2000,0))&amp;"","NOT IN MASTER")</f>
        <v>NOT_STARTED</v>
      </c>
      <c r="G51" s="12" t="str">
        <f>IFERROR(INDEX(MASTER!$H$2:$H$2000,MATCH($A51,MASTER!$A$2:$A$2000,0))&amp;"","")</f>
        <v/>
      </c>
      <c r="H51" s="12" t="str">
        <f>IFERROR(INDEX(MASTER!$I$2:$I$2000,MATCH($A51,MASTER!$A$2:$A$2000,0))&amp;"","")</f>
        <v/>
      </c>
      <c r="I51" s="19" t="str">
        <f>IFERROR(IF(INDEX(MASTER!$O$2:$O$2000,MATCH($A51,MASTER!$A$2:$A$2000,0))="","",INDEX(MASTER!$O$2:$O$2000,MATCH($A51,MASTER!$A$2:$A$2000,0))),"")</f>
        <v/>
      </c>
      <c r="J51" s="12" t="str">
        <f>IFERROR(INDEX(MASTER!$P$2:$P$2000,MATCH($A51,MASTER!$A$2:$A$2000,0))&amp;"","")</f>
        <v/>
      </c>
      <c r="K51" s="12" t="str">
        <f>IFERROR(INDEX(MASTER!$Q$2:$Q$2000,MATCH($A51,MASTER!$A$2:$A$2000,0))&amp;"","")</f>
        <v/>
      </c>
      <c r="L51" s="12" t="str">
        <f>IFERROR(INDEX(MASTER!$R$2:$R$2000,MATCH($A51,MASTER!$A$2:$A$2000,0))&amp;"","")</f>
        <v/>
      </c>
    </row>
    <row r="52" spans="1:12" x14ac:dyDescent="0.25">
      <c r="A52" s="15" t="s">
        <v>832</v>
      </c>
      <c r="B52" s="12" t="str">
        <f>IFERROR(INDEX(MASTER!$C$2:$C$2000,MATCH($A52,MASTER!$A$2:$A$2000,0))&amp;"","")</f>
        <v>TESTING</v>
      </c>
      <c r="C52" s="16">
        <f>IFERROR(INDEX(MASTER!$B$2:$B$2000,MATCH($A52,MASTER!$A$2:$A$2000,0)),"")</f>
        <v>17</v>
      </c>
      <c r="D52" s="12" t="str">
        <f>IFERROR(INDEX(MASTER!$D$2:$D$2000,MATCH($A52,MASTER!$A$2:$A$2000,0))&amp;"","")</f>
        <v>E2E backend removes its temp directory</v>
      </c>
      <c r="E52" s="12" t="str">
        <f>IFERROR(INDEX(MASTER!$F$2:$F$2000,MATCH($A52,MASTER!$A$2:$A$2000,0))&amp;"","")</f>
        <v>P3</v>
      </c>
      <c r="F52" s="12" t="str">
        <f>IFERROR(INDEX(MASTER!$G$2:$G$2000,MATCH($A52,MASTER!$A$2:$A$2000,0))&amp;"","NOT IN MASTER")</f>
        <v>NOT_STARTED</v>
      </c>
      <c r="G52" s="12" t="str">
        <f>IFERROR(INDEX(MASTER!$H$2:$H$2000,MATCH($A52,MASTER!$A$2:$A$2000,0))&amp;"","")</f>
        <v/>
      </c>
      <c r="H52" s="12" t="str">
        <f>IFERROR(INDEX(MASTER!$I$2:$I$2000,MATCH($A52,MASTER!$A$2:$A$2000,0))&amp;"","")</f>
        <v/>
      </c>
      <c r="I52" s="19" t="str">
        <f>IFERROR(IF(INDEX(MASTER!$O$2:$O$2000,MATCH($A52,MASTER!$A$2:$A$2000,0))="","",INDEX(MASTER!$O$2:$O$2000,MATCH($A52,MASTER!$A$2:$A$2000,0))),"")</f>
        <v/>
      </c>
      <c r="J52" s="12" t="str">
        <f>IFERROR(INDEX(MASTER!$P$2:$P$2000,MATCH($A52,MASTER!$A$2:$A$2000,0))&amp;"","")</f>
        <v/>
      </c>
      <c r="K52" s="12" t="str">
        <f>IFERROR(INDEX(MASTER!$Q$2:$Q$2000,MATCH($A52,MASTER!$A$2:$A$2000,0))&amp;"","")</f>
        <v/>
      </c>
      <c r="L52" s="12" t="str">
        <f>IFERROR(INDEX(MASTER!$R$2:$R$2000,MATCH($A52,MASTER!$A$2:$A$2000,0))&amp;"","")</f>
        <v/>
      </c>
    </row>
  </sheetData>
  <autoFilter ref="A37:L52" xr:uid="{00000000-0009-0000-0000-00000B000000}"/>
  <conditionalFormatting sqref="C8:C33">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8:E52">
    <cfRule type="cellIs" dxfId="125" priority="22" operator="equal">
      <formula>"P0"</formula>
    </cfRule>
    <cfRule type="cellIs" dxfId="124" priority="23" operator="equal">
      <formula>"P1"</formula>
    </cfRule>
  </conditionalFormatting>
  <conditionalFormatting sqref="F38:F5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3"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1056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1057</v>
      </c>
    </row>
    <row r="7" spans="1:8" ht="25.5" x14ac:dyDescent="0.25">
      <c r="A7" s="10" t="s">
        <v>1058</v>
      </c>
      <c r="B7" s="10" t="s">
        <v>1059</v>
      </c>
      <c r="C7" s="10" t="s">
        <v>1060</v>
      </c>
      <c r="D7" s="10" t="s">
        <v>1061</v>
      </c>
      <c r="E7" s="10" t="s">
        <v>1062</v>
      </c>
      <c r="F7" s="10" t="s">
        <v>174</v>
      </c>
    </row>
    <row r="8" spans="1:8" x14ac:dyDescent="0.25">
      <c r="A8" s="15" t="s">
        <v>1063</v>
      </c>
      <c r="B8" s="12" t="s">
        <v>1064</v>
      </c>
      <c r="C8" s="18" t="s">
        <v>1065</v>
      </c>
      <c r="D8" s="16">
        <f>SUMPRODUCT(ISNUMBER(SEARCH(","&amp;MASTER!$A$2:$A$2000&amp;",",","&amp;SUBSTITUTE($C8," ","")&amp;","))*((MASTER!$G$2:$G$2000="DONE")))</f>
        <v>3</v>
      </c>
      <c r="E8" s="16">
        <f t="shared" ref="E8:E39" si="0">IF(LEN(SUBSTITUTE($C8," ",""))=0,0,LEN(SUBSTITUTE($C8," ",""))-LEN(SUBSTITUTE(SUBSTITUTE($C8," ",""),",",""))+1)</f>
        <v>3</v>
      </c>
      <c r="F8" s="18" t="s">
        <v>1066</v>
      </c>
    </row>
    <row r="9" spans="1:8" x14ac:dyDescent="0.25">
      <c r="A9" s="15" t="s">
        <v>1067</v>
      </c>
      <c r="B9" s="12" t="s">
        <v>1064</v>
      </c>
      <c r="C9" s="18" t="s">
        <v>1068</v>
      </c>
      <c r="D9" s="16">
        <f>SUMPRODUCT(ISNUMBER(SEARCH(","&amp;MASTER!$A$2:$A$2000&amp;",",","&amp;SUBSTITUTE($C9," ","")&amp;","))*((MASTER!$G$2:$G$2000="DONE")))</f>
        <v>0</v>
      </c>
      <c r="E9" s="16">
        <f t="shared" si="0"/>
        <v>2</v>
      </c>
      <c r="F9" s="18" t="s">
        <v>1069</v>
      </c>
    </row>
    <row r="10" spans="1:8" x14ac:dyDescent="0.25">
      <c r="A10" s="15" t="s">
        <v>1070</v>
      </c>
      <c r="B10" s="12" t="s">
        <v>1064</v>
      </c>
      <c r="C10" s="18" t="s">
        <v>1071</v>
      </c>
      <c r="D10" s="16">
        <f>SUMPRODUCT(ISNUMBER(SEARCH(","&amp;MASTER!$A$2:$A$2000&amp;",",","&amp;SUBSTITUTE($C10," ","")&amp;","))*((MASTER!$G$2:$G$2000="DONE")))</f>
        <v>0</v>
      </c>
      <c r="E10" s="16">
        <f t="shared" si="0"/>
        <v>3</v>
      </c>
      <c r="F10" s="18" t="s">
        <v>1072</v>
      </c>
    </row>
    <row r="11" spans="1:8" x14ac:dyDescent="0.25">
      <c r="A11" s="15" t="s">
        <v>1073</v>
      </c>
      <c r="B11" s="12" t="s">
        <v>1064</v>
      </c>
      <c r="C11" s="18" t="s">
        <v>1074</v>
      </c>
      <c r="D11" s="16">
        <f>SUMPRODUCT(ISNUMBER(SEARCH(","&amp;MASTER!$A$2:$A$2000&amp;",",","&amp;SUBSTITUTE($C11," ","")&amp;","))*((MASTER!$G$2:$G$2000="DONE")))</f>
        <v>0</v>
      </c>
      <c r="E11" s="16">
        <f t="shared" si="0"/>
        <v>3</v>
      </c>
      <c r="F11" s="18" t="s">
        <v>1075</v>
      </c>
    </row>
    <row r="12" spans="1:8" x14ac:dyDescent="0.25">
      <c r="A12" s="15" t="s">
        <v>1076</v>
      </c>
      <c r="B12" s="12" t="s">
        <v>1064</v>
      </c>
      <c r="C12" s="18" t="s">
        <v>1077</v>
      </c>
      <c r="D12" s="16">
        <f>SUMPRODUCT(ISNUMBER(SEARCH(","&amp;MASTER!$A$2:$A$2000&amp;",",","&amp;SUBSTITUTE($C12," ","")&amp;","))*((MASTER!$G$2:$G$2000="DONE")))</f>
        <v>0</v>
      </c>
      <c r="E12" s="16">
        <f t="shared" si="0"/>
        <v>2</v>
      </c>
      <c r="F12" s="18" t="s">
        <v>1078</v>
      </c>
    </row>
    <row r="13" spans="1:8" x14ac:dyDescent="0.25">
      <c r="A13" s="15" t="s">
        <v>77</v>
      </c>
      <c r="B13" s="12" t="s">
        <v>1064</v>
      </c>
      <c r="C13" s="18" t="s">
        <v>1079</v>
      </c>
      <c r="D13" s="16">
        <f>SUMPRODUCT(ISNUMBER(SEARCH(","&amp;MASTER!$A$2:$A$2000&amp;",",","&amp;SUBSTITUTE($C13," ","")&amp;","))*((MASTER!$G$2:$G$2000="DONE")))</f>
        <v>0</v>
      </c>
      <c r="E13" s="16">
        <f t="shared" si="0"/>
        <v>2</v>
      </c>
      <c r="F13" s="18" t="s">
        <v>1080</v>
      </c>
    </row>
    <row r="14" spans="1:8" x14ac:dyDescent="0.25">
      <c r="A14" s="15" t="s">
        <v>732</v>
      </c>
      <c r="B14" s="12" t="s">
        <v>1064</v>
      </c>
      <c r="C14" s="18" t="s">
        <v>1081</v>
      </c>
      <c r="D14" s="16">
        <f>SUMPRODUCT(ISNUMBER(SEARCH(","&amp;MASTER!$A$2:$A$2000&amp;",",","&amp;SUBSTITUTE($C14," ","")&amp;","))*((MASTER!$G$2:$G$2000="DONE")))</f>
        <v>0</v>
      </c>
      <c r="E14" s="16">
        <f t="shared" si="0"/>
        <v>2</v>
      </c>
      <c r="F14" s="18" t="s">
        <v>1082</v>
      </c>
    </row>
    <row r="15" spans="1:8" x14ac:dyDescent="0.25">
      <c r="A15" s="15" t="s">
        <v>1083</v>
      </c>
      <c r="B15" s="12" t="s">
        <v>1064</v>
      </c>
      <c r="C15" s="18" t="s">
        <v>1084</v>
      </c>
      <c r="D15" s="16">
        <f>SUMPRODUCT(ISNUMBER(SEARCH(","&amp;MASTER!$A$2:$A$2000&amp;",",","&amp;SUBSTITUTE($C15," ","")&amp;","))*((MASTER!$G$2:$G$2000="DONE")))</f>
        <v>0</v>
      </c>
      <c r="E15" s="16">
        <f t="shared" si="0"/>
        <v>2</v>
      </c>
      <c r="F15" s="18" t="s">
        <v>1085</v>
      </c>
    </row>
    <row r="16" spans="1:8" x14ac:dyDescent="0.25">
      <c r="A16" s="15" t="s">
        <v>86</v>
      </c>
      <c r="B16" s="12" t="s">
        <v>1064</v>
      </c>
      <c r="C16" s="18" t="s">
        <v>1086</v>
      </c>
      <c r="D16" s="16">
        <f>SUMPRODUCT(ISNUMBER(SEARCH(","&amp;MASTER!$A$2:$A$2000&amp;",",","&amp;SUBSTITUTE($C16," ","")&amp;","))*((MASTER!$G$2:$G$2000="DONE")))</f>
        <v>0</v>
      </c>
      <c r="E16" s="16">
        <f t="shared" si="0"/>
        <v>2</v>
      </c>
      <c r="F16" s="18" t="s">
        <v>1087</v>
      </c>
    </row>
    <row r="17" spans="1:6" x14ac:dyDescent="0.25">
      <c r="A17" s="15" t="s">
        <v>83</v>
      </c>
      <c r="B17" s="12" t="s">
        <v>1064</v>
      </c>
      <c r="C17" s="18" t="s">
        <v>1088</v>
      </c>
      <c r="D17" s="16">
        <f>SUMPRODUCT(ISNUMBER(SEARCH(","&amp;MASTER!$A$2:$A$2000&amp;",",","&amp;SUBSTITUTE($C17," ","")&amp;","))*((MASTER!$G$2:$G$2000="DONE")))</f>
        <v>0</v>
      </c>
      <c r="E17" s="16">
        <f t="shared" si="0"/>
        <v>3</v>
      </c>
      <c r="F17" s="18" t="s">
        <v>1089</v>
      </c>
    </row>
    <row r="18" spans="1:6" x14ac:dyDescent="0.25">
      <c r="A18" s="15" t="s">
        <v>1090</v>
      </c>
      <c r="B18" s="12" t="s">
        <v>1064</v>
      </c>
      <c r="C18" s="18" t="s">
        <v>675</v>
      </c>
      <c r="D18" s="16">
        <f>SUMPRODUCT(ISNUMBER(SEARCH(","&amp;MASTER!$A$2:$A$2000&amp;",",","&amp;SUBSTITUTE($C18," ","")&amp;","))*((MASTER!$G$2:$G$2000="DONE")))</f>
        <v>0</v>
      </c>
      <c r="E18" s="16">
        <f t="shared" si="0"/>
        <v>1</v>
      </c>
      <c r="F18" s="18" t="s">
        <v>1091</v>
      </c>
    </row>
    <row r="19" spans="1:6" x14ac:dyDescent="0.25">
      <c r="A19" s="15" t="s">
        <v>1092</v>
      </c>
      <c r="B19" s="12" t="s">
        <v>1064</v>
      </c>
      <c r="C19" s="18" t="s">
        <v>1093</v>
      </c>
      <c r="D19" s="16">
        <f>SUMPRODUCT(ISNUMBER(SEARCH(","&amp;MASTER!$A$2:$A$2000&amp;",",","&amp;SUBSTITUTE($C19," ","")&amp;","))*((MASTER!$G$2:$G$2000="DONE")))</f>
        <v>0</v>
      </c>
      <c r="E19" s="16">
        <f t="shared" si="0"/>
        <v>2</v>
      </c>
      <c r="F19" s="18" t="s">
        <v>1094</v>
      </c>
    </row>
    <row r="20" spans="1:6" x14ac:dyDescent="0.25">
      <c r="A20" s="15" t="s">
        <v>1095</v>
      </c>
      <c r="B20" s="12" t="s">
        <v>1064</v>
      </c>
      <c r="C20" s="18" t="s">
        <v>1096</v>
      </c>
      <c r="D20" s="16">
        <f>SUMPRODUCT(ISNUMBER(SEARCH(","&amp;MASTER!$A$2:$A$2000&amp;",",","&amp;SUBSTITUTE($C20," ","")&amp;","))*((MASTER!$G$2:$G$2000="DONE")))</f>
        <v>0</v>
      </c>
      <c r="E20" s="16">
        <f t="shared" si="0"/>
        <v>2</v>
      </c>
      <c r="F20" s="18" t="s">
        <v>1097</v>
      </c>
    </row>
    <row r="21" spans="1:6" x14ac:dyDescent="0.25">
      <c r="A21" s="15" t="s">
        <v>1098</v>
      </c>
      <c r="B21" s="12" t="s">
        <v>1064</v>
      </c>
      <c r="C21" s="18" t="s">
        <v>734</v>
      </c>
      <c r="D21" s="16">
        <f>SUMPRODUCT(ISNUMBER(SEARCH(","&amp;MASTER!$A$2:$A$2000&amp;",",","&amp;SUBSTITUTE($C21," ","")&amp;","))*((MASTER!$G$2:$G$2000="DONE")))</f>
        <v>0</v>
      </c>
      <c r="E21" s="16">
        <f t="shared" si="0"/>
        <v>1</v>
      </c>
      <c r="F21" s="18" t="s">
        <v>1097</v>
      </c>
    </row>
    <row r="22" spans="1:6" x14ac:dyDescent="0.25">
      <c r="A22" s="15" t="s">
        <v>1099</v>
      </c>
      <c r="B22" s="12" t="s">
        <v>1064</v>
      </c>
      <c r="C22" s="18" t="s">
        <v>703</v>
      </c>
      <c r="D22" s="16">
        <f>SUMPRODUCT(ISNUMBER(SEARCH(","&amp;MASTER!$A$2:$A$2000&amp;",",","&amp;SUBSTITUTE($C22," ","")&amp;","))*((MASTER!$G$2:$G$2000="DONE")))</f>
        <v>0</v>
      </c>
      <c r="E22" s="16">
        <f t="shared" si="0"/>
        <v>1</v>
      </c>
      <c r="F22" s="18" t="s">
        <v>1100</v>
      </c>
    </row>
    <row r="23" spans="1:6" x14ac:dyDescent="0.25">
      <c r="A23" s="15" t="s">
        <v>1101</v>
      </c>
      <c r="B23" s="12" t="s">
        <v>1064</v>
      </c>
      <c r="C23" s="18" t="s">
        <v>703</v>
      </c>
      <c r="D23" s="16">
        <f>SUMPRODUCT(ISNUMBER(SEARCH(","&amp;MASTER!$A$2:$A$2000&amp;",",","&amp;SUBSTITUTE($C23," ","")&amp;","))*((MASTER!$G$2:$G$2000="DONE")))</f>
        <v>0</v>
      </c>
      <c r="E23" s="16">
        <f t="shared" si="0"/>
        <v>1</v>
      </c>
      <c r="F23" s="18" t="s">
        <v>1100</v>
      </c>
    </row>
    <row r="24" spans="1:6" x14ac:dyDescent="0.25">
      <c r="A24" s="15" t="s">
        <v>1102</v>
      </c>
      <c r="B24" s="12" t="s">
        <v>1064</v>
      </c>
      <c r="C24" s="18" t="s">
        <v>477</v>
      </c>
      <c r="D24" s="16">
        <f>SUMPRODUCT(ISNUMBER(SEARCH(","&amp;MASTER!$A$2:$A$2000&amp;",",","&amp;SUBSTITUTE($C24," ","")&amp;","))*((MASTER!$G$2:$G$2000="DONE")))</f>
        <v>0</v>
      </c>
      <c r="E24" s="16">
        <f t="shared" si="0"/>
        <v>1</v>
      </c>
      <c r="F24" s="18" t="s">
        <v>1103</v>
      </c>
    </row>
    <row r="25" spans="1:6" x14ac:dyDescent="0.25">
      <c r="A25" s="15" t="s">
        <v>1104</v>
      </c>
      <c r="B25" s="12" t="s">
        <v>1064</v>
      </c>
      <c r="C25" s="18" t="s">
        <v>477</v>
      </c>
      <c r="D25" s="16">
        <f>SUMPRODUCT(ISNUMBER(SEARCH(","&amp;MASTER!$A$2:$A$2000&amp;",",","&amp;SUBSTITUTE($C25," ","")&amp;","))*((MASTER!$G$2:$G$2000="DONE")))</f>
        <v>0</v>
      </c>
      <c r="E25" s="16">
        <f t="shared" si="0"/>
        <v>1</v>
      </c>
      <c r="F25" s="18" t="s">
        <v>1105</v>
      </c>
    </row>
    <row r="26" spans="1:6" x14ac:dyDescent="0.25">
      <c r="A26" s="15" t="s">
        <v>1106</v>
      </c>
      <c r="B26" s="12" t="s">
        <v>1064</v>
      </c>
      <c r="C26" s="18" t="s">
        <v>489</v>
      </c>
      <c r="D26" s="16">
        <f>SUMPRODUCT(ISNUMBER(SEARCH(","&amp;MASTER!$A$2:$A$2000&amp;",",","&amp;SUBSTITUTE($C26," ","")&amp;","))*((MASTER!$G$2:$G$2000="DONE")))</f>
        <v>0</v>
      </c>
      <c r="E26" s="16">
        <f t="shared" si="0"/>
        <v>1</v>
      </c>
      <c r="F26" s="18" t="s">
        <v>1107</v>
      </c>
    </row>
    <row r="27" spans="1:6" ht="25.5" x14ac:dyDescent="0.25">
      <c r="A27" s="15" t="s">
        <v>1108</v>
      </c>
      <c r="B27" s="12" t="s">
        <v>1064</v>
      </c>
      <c r="C27" s="18" t="s">
        <v>887</v>
      </c>
      <c r="D27" s="16">
        <f>SUMPRODUCT(ISNUMBER(SEARCH(","&amp;MASTER!$A$2:$A$2000&amp;",",","&amp;SUBSTITUTE($C27," ","")&amp;","))*((MASTER!$G$2:$G$2000="DONE")))</f>
        <v>0</v>
      </c>
      <c r="E27" s="16">
        <f t="shared" si="0"/>
        <v>2</v>
      </c>
      <c r="F27" s="18" t="s">
        <v>1109</v>
      </c>
    </row>
    <row r="28" spans="1:6" x14ac:dyDescent="0.25">
      <c r="A28" s="15" t="s">
        <v>1110</v>
      </c>
      <c r="B28" s="12" t="s">
        <v>1111</v>
      </c>
      <c r="C28" s="18"/>
      <c r="D28" s="16">
        <f>SUMPRODUCT(ISNUMBER(SEARCH(","&amp;MASTER!$A$2:$A$2000&amp;",",","&amp;SUBSTITUTE($C28," ","")&amp;","))*((MASTER!$G$2:$G$2000="DONE")))</f>
        <v>0</v>
      </c>
      <c r="E28" s="16">
        <f t="shared" si="0"/>
        <v>0</v>
      </c>
      <c r="F28" s="18" t="s">
        <v>1112</v>
      </c>
    </row>
    <row r="29" spans="1:6" x14ac:dyDescent="0.25">
      <c r="A29" s="15" t="s">
        <v>1113</v>
      </c>
      <c r="B29" s="12" t="s">
        <v>1111</v>
      </c>
      <c r="C29" s="18"/>
      <c r="D29" s="16">
        <f>SUMPRODUCT(ISNUMBER(SEARCH(","&amp;MASTER!$A$2:$A$2000&amp;",",","&amp;SUBSTITUTE($C29," ","")&amp;","))*((MASTER!$G$2:$G$2000="DONE")))</f>
        <v>0</v>
      </c>
      <c r="E29" s="16">
        <f t="shared" si="0"/>
        <v>0</v>
      </c>
      <c r="F29" s="18"/>
    </row>
    <row r="30" spans="1:6" x14ac:dyDescent="0.25">
      <c r="A30" s="15" t="s">
        <v>783</v>
      </c>
      <c r="B30" s="12" t="s">
        <v>1111</v>
      </c>
      <c r="C30" s="18" t="s">
        <v>782</v>
      </c>
      <c r="D30" s="16">
        <f>SUMPRODUCT(ISNUMBER(SEARCH(","&amp;MASTER!$A$2:$A$2000&amp;",",","&amp;SUBSTITUTE($C30," ","")&amp;","))*((MASTER!$G$2:$G$2000="DONE")))</f>
        <v>0</v>
      </c>
      <c r="E30" s="16">
        <f t="shared" si="0"/>
        <v>1</v>
      </c>
      <c r="F30" s="18" t="s">
        <v>1114</v>
      </c>
    </row>
    <row r="31" spans="1:6" x14ac:dyDescent="0.25">
      <c r="A31" s="15" t="s">
        <v>787</v>
      </c>
      <c r="B31" s="12" t="s">
        <v>1111</v>
      </c>
      <c r="C31" s="18" t="s">
        <v>786</v>
      </c>
      <c r="D31" s="16">
        <f>SUMPRODUCT(ISNUMBER(SEARCH(","&amp;MASTER!$A$2:$A$2000&amp;",",","&amp;SUBSTITUTE($C31," ","")&amp;","))*((MASTER!$G$2:$G$2000="DONE")))</f>
        <v>0</v>
      </c>
      <c r="E31" s="16">
        <f t="shared" si="0"/>
        <v>1</v>
      </c>
      <c r="F31" s="18" t="s">
        <v>1114</v>
      </c>
    </row>
    <row r="32" spans="1:6" x14ac:dyDescent="0.25">
      <c r="A32" s="15" t="s">
        <v>790</v>
      </c>
      <c r="B32" s="12" t="s">
        <v>1111</v>
      </c>
      <c r="C32" s="18" t="s">
        <v>789</v>
      </c>
      <c r="D32" s="16">
        <f>SUMPRODUCT(ISNUMBER(SEARCH(","&amp;MASTER!$A$2:$A$2000&amp;",",","&amp;SUBSTITUTE($C32," ","")&amp;","))*((MASTER!$G$2:$G$2000="DONE")))</f>
        <v>0</v>
      </c>
      <c r="E32" s="16">
        <f t="shared" si="0"/>
        <v>1</v>
      </c>
      <c r="F32" s="18" t="s">
        <v>1115</v>
      </c>
    </row>
    <row r="33" spans="1:6" x14ac:dyDescent="0.25">
      <c r="A33" s="15" t="s">
        <v>777</v>
      </c>
      <c r="B33" s="12" t="s">
        <v>1111</v>
      </c>
      <c r="C33" s="18" t="s">
        <v>776</v>
      </c>
      <c r="D33" s="16">
        <f>SUMPRODUCT(ISNUMBER(SEARCH(","&amp;MASTER!$A$2:$A$2000&amp;",",","&amp;SUBSTITUTE($C33," ","")&amp;","))*((MASTER!$G$2:$G$2000="DONE")))</f>
        <v>0</v>
      </c>
      <c r="E33" s="16">
        <f t="shared" si="0"/>
        <v>1</v>
      </c>
      <c r="F33" s="18" t="s">
        <v>1112</v>
      </c>
    </row>
    <row r="34" spans="1:6" x14ac:dyDescent="0.25">
      <c r="A34" s="15" t="s">
        <v>1116</v>
      </c>
      <c r="B34" s="12" t="s">
        <v>1111</v>
      </c>
      <c r="C34" s="18" t="s">
        <v>776</v>
      </c>
      <c r="D34" s="16">
        <f>SUMPRODUCT(ISNUMBER(SEARCH(","&amp;MASTER!$A$2:$A$2000&amp;",",","&amp;SUBSTITUTE($C34," ","")&amp;","))*((MASTER!$G$2:$G$2000="DONE")))</f>
        <v>0</v>
      </c>
      <c r="E34" s="16">
        <f t="shared" si="0"/>
        <v>1</v>
      </c>
      <c r="F34" s="18"/>
    </row>
    <row r="35" spans="1:6" x14ac:dyDescent="0.25">
      <c r="A35" s="15" t="s">
        <v>1117</v>
      </c>
      <c r="B35" s="12" t="s">
        <v>1111</v>
      </c>
      <c r="C35" s="18" t="s">
        <v>776</v>
      </c>
      <c r="D35" s="16">
        <f>SUMPRODUCT(ISNUMBER(SEARCH(","&amp;MASTER!$A$2:$A$2000&amp;",",","&amp;SUBSTITUTE($C35," ","")&amp;","))*((MASTER!$G$2:$G$2000="DONE")))</f>
        <v>0</v>
      </c>
      <c r="E35" s="16">
        <f t="shared" si="0"/>
        <v>1</v>
      </c>
      <c r="F35" s="18"/>
    </row>
    <row r="36" spans="1:6" x14ac:dyDescent="0.25">
      <c r="A36" s="15" t="s">
        <v>793</v>
      </c>
      <c r="B36" s="12" t="s">
        <v>1111</v>
      </c>
      <c r="C36" s="18" t="s">
        <v>792</v>
      </c>
      <c r="D36" s="16">
        <f>SUMPRODUCT(ISNUMBER(SEARCH(","&amp;MASTER!$A$2:$A$2000&amp;",",","&amp;SUBSTITUTE($C36," ","")&amp;","))*((MASTER!$G$2:$G$2000="DONE")))</f>
        <v>0</v>
      </c>
      <c r="E36" s="16">
        <f t="shared" si="0"/>
        <v>1</v>
      </c>
      <c r="F36" s="18" t="s">
        <v>1118</v>
      </c>
    </row>
    <row r="37" spans="1:6" x14ac:dyDescent="0.25">
      <c r="A37" s="15" t="s">
        <v>1119</v>
      </c>
      <c r="B37" s="12" t="s">
        <v>1111</v>
      </c>
      <c r="C37" s="18" t="s">
        <v>792</v>
      </c>
      <c r="D37" s="16">
        <f>SUMPRODUCT(ISNUMBER(SEARCH(","&amp;MASTER!$A$2:$A$2000&amp;",",","&amp;SUBSTITUTE($C37," ","")&amp;","))*((MASTER!$G$2:$G$2000="DONE")))</f>
        <v>0</v>
      </c>
      <c r="E37" s="16">
        <f t="shared" si="0"/>
        <v>1</v>
      </c>
      <c r="F37" s="18"/>
    </row>
    <row r="38" spans="1:6" x14ac:dyDescent="0.25">
      <c r="A38" s="15" t="s">
        <v>1120</v>
      </c>
      <c r="B38" s="12" t="s">
        <v>1111</v>
      </c>
      <c r="C38" s="18" t="s">
        <v>760</v>
      </c>
      <c r="D38" s="16">
        <f>SUMPRODUCT(ISNUMBER(SEARCH(","&amp;MASTER!$A$2:$A$2000&amp;",",","&amp;SUBSTITUTE($C38," ","")&amp;","))*((MASTER!$G$2:$G$2000="DONE")))</f>
        <v>0</v>
      </c>
      <c r="E38" s="16">
        <f t="shared" si="0"/>
        <v>1</v>
      </c>
      <c r="F38" s="18"/>
    </row>
    <row r="39" spans="1:6" x14ac:dyDescent="0.25">
      <c r="A39" s="15" t="s">
        <v>1121</v>
      </c>
      <c r="B39" s="12" t="s">
        <v>1111</v>
      </c>
      <c r="C39" s="18" t="s">
        <v>1122</v>
      </c>
      <c r="D39" s="16">
        <f>SUMPRODUCT(ISNUMBER(SEARCH(","&amp;MASTER!$A$2:$A$2000&amp;",",","&amp;SUBSTITUTE($C39," ","")&amp;","))*((MASTER!$G$2:$G$2000="DONE")))</f>
        <v>0</v>
      </c>
      <c r="E39" s="16">
        <f t="shared" si="0"/>
        <v>2</v>
      </c>
      <c r="F39" s="18"/>
    </row>
    <row r="40" spans="1:6" x14ac:dyDescent="0.25">
      <c r="A40" s="15" t="s">
        <v>1123</v>
      </c>
      <c r="B40" s="12" t="s">
        <v>1111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1124</v>
      </c>
      <c r="B41" s="12" t="s">
        <v>1111</v>
      </c>
      <c r="C41" s="18"/>
      <c r="D41" s="16">
        <f>SUMPRODUCT(ISNUMBER(SEARCH(","&amp;MASTER!$A$2:$A$2000&amp;",",","&amp;SUBSTITUTE($C41," ","")&amp;","))*((MASTER!$G$2:$G$2000="DONE")))</f>
        <v>0</v>
      </c>
      <c r="E41" s="16">
        <f t="shared" si="1"/>
        <v>0</v>
      </c>
      <c r="F41" s="18"/>
    </row>
    <row r="42" spans="1:6" x14ac:dyDescent="0.25">
      <c r="A42" s="15" t="s">
        <v>1125</v>
      </c>
      <c r="B42" s="12" t="s">
        <v>1111</v>
      </c>
      <c r="C42" s="18"/>
      <c r="D42" s="16">
        <f>SUMPRODUCT(ISNUMBER(SEARCH(","&amp;MASTER!$A$2:$A$2000&amp;",",","&amp;SUBSTITUTE($C42," ","")&amp;","))*((MASTER!$G$2:$G$2000="DONE")))</f>
        <v>0</v>
      </c>
      <c r="E42" s="16">
        <f t="shared" si="1"/>
        <v>0</v>
      </c>
      <c r="F42" s="18"/>
    </row>
    <row r="43" spans="1:6" x14ac:dyDescent="0.25">
      <c r="A43" s="15" t="s">
        <v>780</v>
      </c>
      <c r="B43" s="12" t="s">
        <v>1111</v>
      </c>
      <c r="C43" s="18" t="s">
        <v>779</v>
      </c>
      <c r="D43" s="16">
        <f>SUMPRODUCT(ISNUMBER(SEARCH(","&amp;MASTER!$A$2:$A$2000&amp;",",","&amp;SUBSTITUTE($C43," ","")&amp;","))*((MASTER!$G$2:$G$2000="DONE")))</f>
        <v>0</v>
      </c>
      <c r="E43" s="16">
        <f t="shared" si="1"/>
        <v>1</v>
      </c>
      <c r="F43" s="18"/>
    </row>
    <row r="44" spans="1:6" x14ac:dyDescent="0.25">
      <c r="A44" s="15" t="s">
        <v>1126</v>
      </c>
      <c r="B44" s="12" t="s">
        <v>1111</v>
      </c>
      <c r="C44" s="18" t="s">
        <v>779</v>
      </c>
      <c r="D44" s="16">
        <f>SUMPRODUCT(ISNUMBER(SEARCH(","&amp;MASTER!$A$2:$A$2000&amp;",",","&amp;SUBSTITUTE($C44," ","")&amp;","))*((MASTER!$G$2:$G$2000="DONE")))</f>
        <v>0</v>
      </c>
      <c r="E44" s="16">
        <f t="shared" si="1"/>
        <v>1</v>
      </c>
      <c r="F44" s="18"/>
    </row>
    <row r="45" spans="1:6" x14ac:dyDescent="0.25">
      <c r="A45" s="15" t="s">
        <v>1127</v>
      </c>
      <c r="B45" s="12" t="s">
        <v>1111</v>
      </c>
      <c r="C45" s="18" t="s">
        <v>746</v>
      </c>
      <c r="D45" s="16">
        <f>SUMPRODUCT(ISNUMBER(SEARCH(","&amp;MASTER!$A$2:$A$2000&amp;",",","&amp;SUBSTITUTE($C45," ","")&amp;","))*((MASTER!$G$2:$G$2000="DONE")))</f>
        <v>0</v>
      </c>
      <c r="E45" s="16">
        <f t="shared" si="1"/>
        <v>1</v>
      </c>
      <c r="F45" s="18"/>
    </row>
    <row r="46" spans="1:6" x14ac:dyDescent="0.25">
      <c r="A46" s="15" t="s">
        <v>1128</v>
      </c>
      <c r="B46" s="12" t="s">
        <v>1111</v>
      </c>
      <c r="C46" s="18" t="s">
        <v>746</v>
      </c>
      <c r="D46" s="16">
        <f>SUMPRODUCT(ISNUMBER(SEARCH(","&amp;MASTER!$A$2:$A$2000&amp;",",","&amp;SUBSTITUTE($C46," ","")&amp;","))*((MASTER!$G$2:$G$2000="DONE")))</f>
        <v>0</v>
      </c>
      <c r="E46" s="16">
        <f t="shared" si="1"/>
        <v>1</v>
      </c>
      <c r="F46" s="18"/>
    </row>
    <row r="47" spans="1:6" x14ac:dyDescent="0.25">
      <c r="A47" s="15" t="s">
        <v>1129</v>
      </c>
      <c r="B47" s="12" t="s">
        <v>1111</v>
      </c>
      <c r="C47" s="18"/>
      <c r="D47" s="16">
        <f>SUMPRODUCT(ISNUMBER(SEARCH(","&amp;MASTER!$A$2:$A$2000&amp;",",","&amp;SUBSTITUTE($C47," ","")&amp;","))*((MASTER!$G$2:$G$2000="DONE")))</f>
        <v>0</v>
      </c>
      <c r="E47" s="16">
        <f t="shared" si="1"/>
        <v>0</v>
      </c>
      <c r="F47" s="18"/>
    </row>
    <row r="48" spans="1:6" x14ac:dyDescent="0.25">
      <c r="A48" s="15" t="s">
        <v>1130</v>
      </c>
      <c r="B48" s="12" t="s">
        <v>1111</v>
      </c>
      <c r="C48" s="18"/>
      <c r="D48" s="16">
        <f>SUMPRODUCT(ISNUMBER(SEARCH(","&amp;MASTER!$A$2:$A$2000&amp;",",","&amp;SUBSTITUTE($C48," ","")&amp;","))*((MASTER!$G$2:$G$2000="DONE")))</f>
        <v>0</v>
      </c>
      <c r="E48" s="16">
        <f t="shared" si="1"/>
        <v>0</v>
      </c>
      <c r="F48" s="18" t="s">
        <v>1112</v>
      </c>
    </row>
    <row r="49" spans="1:6" x14ac:dyDescent="0.25">
      <c r="A49" s="15" t="s">
        <v>1131</v>
      </c>
      <c r="B49" s="12" t="s">
        <v>1111</v>
      </c>
      <c r="C49" s="18"/>
      <c r="D49" s="16">
        <f>SUMPRODUCT(ISNUMBER(SEARCH(","&amp;MASTER!$A$2:$A$2000&amp;",",","&amp;SUBSTITUTE($C49," ","")&amp;","))*((MASTER!$G$2:$G$2000="DONE")))</f>
        <v>0</v>
      </c>
      <c r="E49" s="16">
        <f t="shared" si="1"/>
        <v>0</v>
      </c>
      <c r="F49" s="18" t="s">
        <v>1112</v>
      </c>
    </row>
    <row r="50" spans="1:6" x14ac:dyDescent="0.25">
      <c r="A50" s="15" t="s">
        <v>1132</v>
      </c>
      <c r="B50" s="12" t="s">
        <v>1111</v>
      </c>
      <c r="C50" s="18"/>
      <c r="D50" s="16">
        <f>SUMPRODUCT(ISNUMBER(SEARCH(","&amp;MASTER!$A$2:$A$2000&amp;",",","&amp;SUBSTITUTE($C50," ","")&amp;","))*((MASTER!$G$2:$G$2000="DONE")))</f>
        <v>0</v>
      </c>
      <c r="E50" s="16">
        <f t="shared" si="1"/>
        <v>0</v>
      </c>
      <c r="F50" s="18" t="s">
        <v>1112</v>
      </c>
    </row>
    <row r="51" spans="1:6" x14ac:dyDescent="0.25">
      <c r="A51" s="15" t="s">
        <v>1133</v>
      </c>
      <c r="B51" s="12" t="s">
        <v>1111</v>
      </c>
      <c r="C51" s="18" t="s">
        <v>690</v>
      </c>
      <c r="D51" s="16">
        <f>SUMPRODUCT(ISNUMBER(SEARCH(","&amp;MASTER!$A$2:$A$2000&amp;",",","&amp;SUBSTITUTE($C51," ","")&amp;","))*((MASTER!$G$2:$G$2000="DONE")))</f>
        <v>0</v>
      </c>
      <c r="E51" s="16">
        <f t="shared" si="1"/>
        <v>1</v>
      </c>
      <c r="F51" s="18"/>
    </row>
    <row r="52" spans="1:6" x14ac:dyDescent="0.25">
      <c r="A52" s="15" t="s">
        <v>1134</v>
      </c>
      <c r="B52" s="12" t="s">
        <v>1111</v>
      </c>
      <c r="C52" s="18" t="s">
        <v>690</v>
      </c>
      <c r="D52" s="16">
        <f>SUMPRODUCT(ISNUMBER(SEARCH(","&amp;MASTER!$A$2:$A$2000&amp;",",","&amp;SUBSTITUTE($C52," ","")&amp;","))*((MASTER!$G$2:$G$2000="DONE")))</f>
        <v>0</v>
      </c>
      <c r="E52" s="16">
        <f t="shared" si="1"/>
        <v>1</v>
      </c>
      <c r="F52" s="18"/>
    </row>
    <row r="53" spans="1:6" x14ac:dyDescent="0.25">
      <c r="A53" s="15" t="s">
        <v>1135</v>
      </c>
      <c r="B53" s="12" t="s">
        <v>1111</v>
      </c>
      <c r="C53" s="18" t="s">
        <v>690</v>
      </c>
      <c r="D53" s="16">
        <f>SUMPRODUCT(ISNUMBER(SEARCH(","&amp;MASTER!$A$2:$A$2000&amp;",",","&amp;SUBSTITUTE($C53," ","")&amp;","))*((MASTER!$G$2:$G$2000="DONE")))</f>
        <v>0</v>
      </c>
      <c r="E53" s="16">
        <f t="shared" si="1"/>
        <v>1</v>
      </c>
      <c r="F53" s="18"/>
    </row>
    <row r="54" spans="1:6" x14ac:dyDescent="0.25">
      <c r="A54" s="15" t="s">
        <v>1136</v>
      </c>
      <c r="B54" s="12" t="s">
        <v>1111</v>
      </c>
      <c r="C54" s="18" t="s">
        <v>690</v>
      </c>
      <c r="D54" s="16">
        <f>SUMPRODUCT(ISNUMBER(SEARCH(","&amp;MASTER!$A$2:$A$2000&amp;",",","&amp;SUBSTITUTE($C54," ","")&amp;","))*((MASTER!$G$2:$G$2000="DONE")))</f>
        <v>0</v>
      </c>
      <c r="E54" s="16">
        <f t="shared" si="1"/>
        <v>1</v>
      </c>
      <c r="F54" s="18"/>
    </row>
    <row r="55" spans="1:6" x14ac:dyDescent="0.25">
      <c r="A55" s="15" t="s">
        <v>1137</v>
      </c>
      <c r="B55" s="12" t="s">
        <v>1111</v>
      </c>
      <c r="C55" s="18" t="s">
        <v>690</v>
      </c>
      <c r="D55" s="16">
        <f>SUMPRODUCT(ISNUMBER(SEARCH(","&amp;MASTER!$A$2:$A$2000&amp;",",","&amp;SUBSTITUTE($C55," ","")&amp;","))*((MASTER!$G$2:$G$2000="DONE")))</f>
        <v>0</v>
      </c>
      <c r="E55" s="16">
        <f t="shared" si="1"/>
        <v>1</v>
      </c>
      <c r="F55" s="18"/>
    </row>
    <row r="56" spans="1:6" x14ac:dyDescent="0.25">
      <c r="A56" s="15" t="s">
        <v>1138</v>
      </c>
      <c r="B56" s="12" t="s">
        <v>1139</v>
      </c>
      <c r="C56" s="18"/>
      <c r="D56" s="16">
        <f>SUMPRODUCT(ISNUMBER(SEARCH(","&amp;MASTER!$A$2:$A$2000&amp;",",","&amp;SUBSTITUTE($C56," ","")&amp;","))*((MASTER!$G$2:$G$2000="DONE")))</f>
        <v>0</v>
      </c>
      <c r="E56" s="16">
        <f t="shared" si="1"/>
        <v>0</v>
      </c>
      <c r="F56" s="18"/>
    </row>
    <row r="57" spans="1:6" x14ac:dyDescent="0.25">
      <c r="A57" s="15" t="s">
        <v>1140</v>
      </c>
      <c r="B57" s="12" t="s">
        <v>1139</v>
      </c>
      <c r="C57" s="18"/>
      <c r="D57" s="16">
        <f>SUMPRODUCT(ISNUMBER(SEARCH(","&amp;MASTER!$A$2:$A$2000&amp;",",","&amp;SUBSTITUTE($C57," ","")&amp;","))*((MASTER!$G$2:$G$2000="DONE")))</f>
        <v>0</v>
      </c>
      <c r="E57" s="16">
        <f t="shared" si="1"/>
        <v>0</v>
      </c>
      <c r="F57" s="18"/>
    </row>
    <row r="58" spans="1:6" x14ac:dyDescent="0.25">
      <c r="A58" s="15" t="s">
        <v>1141</v>
      </c>
      <c r="B58" s="12" t="s">
        <v>1139</v>
      </c>
      <c r="C58" s="18"/>
      <c r="D58" s="16">
        <f>SUMPRODUCT(ISNUMBER(SEARCH(","&amp;MASTER!$A$2:$A$2000&amp;",",","&amp;SUBSTITUTE($C58," ","")&amp;","))*((MASTER!$G$2:$G$2000="DONE")))</f>
        <v>0</v>
      </c>
      <c r="E58" s="16">
        <f t="shared" si="1"/>
        <v>0</v>
      </c>
      <c r="F58" s="18"/>
    </row>
    <row r="59" spans="1:6" x14ac:dyDescent="0.25">
      <c r="A59" s="15" t="s">
        <v>1142</v>
      </c>
      <c r="B59" s="12" t="s">
        <v>1139</v>
      </c>
      <c r="C59" s="18"/>
      <c r="D59" s="16">
        <f>SUMPRODUCT(ISNUMBER(SEARCH(","&amp;MASTER!$A$2:$A$2000&amp;",",","&amp;SUBSTITUTE($C59," ","")&amp;","))*((MASTER!$G$2:$G$2000="DONE")))</f>
        <v>0</v>
      </c>
      <c r="E59" s="16">
        <f t="shared" si="1"/>
        <v>0</v>
      </c>
      <c r="F59" s="18" t="s">
        <v>1143</v>
      </c>
    </row>
    <row r="60" spans="1:6" x14ac:dyDescent="0.25">
      <c r="A60" s="15" t="s">
        <v>1144</v>
      </c>
      <c r="B60" s="12" t="s">
        <v>1139</v>
      </c>
      <c r="C60" s="18"/>
      <c r="D60" s="16">
        <f>SUMPRODUCT(ISNUMBER(SEARCH(","&amp;MASTER!$A$2:$A$2000&amp;",",","&amp;SUBSTITUTE($C60," ","")&amp;","))*((MASTER!$G$2:$G$2000="DONE")))</f>
        <v>0</v>
      </c>
      <c r="E60" s="16">
        <f t="shared" si="1"/>
        <v>0</v>
      </c>
      <c r="F60" s="18" t="s">
        <v>1145</v>
      </c>
    </row>
    <row r="61" spans="1:6" x14ac:dyDescent="0.25">
      <c r="A61" s="15" t="s">
        <v>1146</v>
      </c>
      <c r="B61" s="12" t="s">
        <v>1139</v>
      </c>
      <c r="C61" s="18"/>
      <c r="D61" s="16">
        <f>SUMPRODUCT(ISNUMBER(SEARCH(","&amp;MASTER!$A$2:$A$2000&amp;",",","&amp;SUBSTITUTE($C61," ","")&amp;","))*((MASTER!$G$2:$G$2000="DONE")))</f>
        <v>0</v>
      </c>
      <c r="E61" s="16">
        <f t="shared" si="1"/>
        <v>0</v>
      </c>
      <c r="F61" s="18" t="s">
        <v>1147</v>
      </c>
    </row>
    <row r="62" spans="1:6" x14ac:dyDescent="0.25">
      <c r="A62" s="15" t="s">
        <v>1148</v>
      </c>
      <c r="B62" s="12" t="s">
        <v>1139</v>
      </c>
      <c r="C62" s="18"/>
      <c r="D62" s="16">
        <f>SUMPRODUCT(ISNUMBER(SEARCH(","&amp;MASTER!$A$2:$A$2000&amp;",",","&amp;SUBSTITUTE($C62," ","")&amp;","))*((MASTER!$G$2:$G$2000="DONE")))</f>
        <v>0</v>
      </c>
      <c r="E62" s="16">
        <f t="shared" si="1"/>
        <v>0</v>
      </c>
      <c r="F62" s="18" t="s">
        <v>1143</v>
      </c>
    </row>
    <row r="63" spans="1:6" x14ac:dyDescent="0.25">
      <c r="A63" s="15" t="s">
        <v>1149</v>
      </c>
      <c r="B63" s="12" t="s">
        <v>1139</v>
      </c>
      <c r="C63" s="18"/>
      <c r="D63" s="16">
        <f>SUMPRODUCT(ISNUMBER(SEARCH(","&amp;MASTER!$A$2:$A$2000&amp;",",","&amp;SUBSTITUTE($C63," ","")&amp;","))*((MASTER!$G$2:$G$2000="DONE")))</f>
        <v>0</v>
      </c>
      <c r="E63" s="16">
        <f t="shared" si="1"/>
        <v>0</v>
      </c>
      <c r="F63" s="18" t="s">
        <v>1143</v>
      </c>
    </row>
    <row r="64" spans="1:6" x14ac:dyDescent="0.25">
      <c r="A64" s="15" t="s">
        <v>1150</v>
      </c>
      <c r="B64" s="12" t="s">
        <v>1139</v>
      </c>
      <c r="C64" s="18"/>
      <c r="D64" s="16">
        <f>SUMPRODUCT(ISNUMBER(SEARCH(","&amp;MASTER!$A$2:$A$2000&amp;",",","&amp;SUBSTITUTE($C64," ","")&amp;","))*((MASTER!$G$2:$G$2000="DONE")))</f>
        <v>0</v>
      </c>
      <c r="E64" s="16">
        <f t="shared" si="1"/>
        <v>0</v>
      </c>
      <c r="F64" s="18" t="s">
        <v>1143</v>
      </c>
    </row>
    <row r="65" spans="1:12" x14ac:dyDescent="0.25">
      <c r="A65" s="15" t="s">
        <v>1151</v>
      </c>
      <c r="B65" s="12" t="s">
        <v>1152</v>
      </c>
      <c r="C65" s="18" t="s">
        <v>686</v>
      </c>
      <c r="D65" s="16">
        <f>SUMPRODUCT(ISNUMBER(SEARCH(","&amp;MASTER!$A$2:$A$2000&amp;",",","&amp;SUBSTITUTE($C65," ","")&amp;","))*((MASTER!$G$2:$G$2000="DONE")))</f>
        <v>0</v>
      </c>
      <c r="E65" s="16">
        <f t="shared" si="1"/>
        <v>1</v>
      </c>
      <c r="F65" s="18" t="s">
        <v>1153</v>
      </c>
    </row>
    <row r="68" spans="1:12" ht="15.75" x14ac:dyDescent="0.25">
      <c r="A68" s="5" t="s">
        <v>1154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782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786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789</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792</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795</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1155</v>
      </c>
    </row>
    <row r="2" spans="1:12" x14ac:dyDescent="0.25">
      <c r="A2" s="4" t="s">
        <v>1156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697</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700</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703</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707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711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714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717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720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723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726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731</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734</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737</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740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743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1157</v>
      </c>
    </row>
    <row r="2" spans="1:12" x14ac:dyDescent="0.25">
      <c r="A2" s="4" t="s">
        <v>1158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659</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662</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666</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669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672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675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679</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683</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686</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1159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1160</v>
      </c>
    </row>
    <row r="7" spans="1:8" x14ac:dyDescent="0.25">
      <c r="A7" s="10" t="s">
        <v>1161</v>
      </c>
      <c r="B7" s="10" t="s">
        <v>1162</v>
      </c>
      <c r="C7" s="10" t="s">
        <v>1163</v>
      </c>
      <c r="D7" s="10" t="s">
        <v>1164</v>
      </c>
      <c r="E7" s="10" t="s">
        <v>174</v>
      </c>
    </row>
    <row r="8" spans="1:8" x14ac:dyDescent="0.25">
      <c r="A8" s="15" t="s">
        <v>1165</v>
      </c>
      <c r="B8" s="20">
        <v>5</v>
      </c>
      <c r="C8" s="20">
        <v>100</v>
      </c>
      <c r="D8" s="20">
        <v>1000</v>
      </c>
      <c r="E8" s="18" t="s">
        <v>1166</v>
      </c>
    </row>
    <row r="9" spans="1:8" x14ac:dyDescent="0.25">
      <c r="A9" s="15" t="s">
        <v>1167</v>
      </c>
      <c r="B9" s="20">
        <v>20</v>
      </c>
      <c r="C9" s="20">
        <v>500</v>
      </c>
      <c r="D9" s="20">
        <v>5000</v>
      </c>
      <c r="E9" s="18"/>
    </row>
    <row r="10" spans="1:8" x14ac:dyDescent="0.25">
      <c r="A10" s="15" t="s">
        <v>1168</v>
      </c>
      <c r="B10" s="20">
        <v>5</v>
      </c>
      <c r="C10" s="20">
        <v>100</v>
      </c>
      <c r="D10" s="20">
        <v>1000</v>
      </c>
      <c r="E10" s="18"/>
    </row>
    <row r="11" spans="1:8" x14ac:dyDescent="0.25">
      <c r="A11" s="15" t="s">
        <v>1169</v>
      </c>
      <c r="B11" s="20">
        <v>10000</v>
      </c>
      <c r="C11" s="20">
        <v>500000</v>
      </c>
      <c r="D11" s="20">
        <v>5000000</v>
      </c>
      <c r="E11" s="18"/>
    </row>
    <row r="12" spans="1:8" x14ac:dyDescent="0.25">
      <c r="A12" s="15" t="s">
        <v>1170</v>
      </c>
      <c r="B12" s="20">
        <v>10</v>
      </c>
      <c r="C12" s="20">
        <v>300</v>
      </c>
      <c r="D12" s="20">
        <v>2000</v>
      </c>
      <c r="E12" s="18"/>
    </row>
    <row r="13" spans="1:8" ht="25.5" x14ac:dyDescent="0.25">
      <c r="A13" s="15" t="s">
        <v>1171</v>
      </c>
      <c r="B13" s="20">
        <v>25</v>
      </c>
      <c r="C13" s="20">
        <v>500</v>
      </c>
      <c r="D13" s="21" t="s">
        <v>1172</v>
      </c>
      <c r="E13" s="18" t="s">
        <v>1173</v>
      </c>
    </row>
    <row r="14" spans="1:8" x14ac:dyDescent="0.25">
      <c r="A14" s="15" t="s">
        <v>1174</v>
      </c>
      <c r="B14" s="21" t="s">
        <v>1175</v>
      </c>
      <c r="C14" s="21" t="s">
        <v>1176</v>
      </c>
      <c r="D14" s="21" t="s">
        <v>1177</v>
      </c>
      <c r="E14" s="18"/>
    </row>
    <row r="15" spans="1:8" x14ac:dyDescent="0.25">
      <c r="A15" s="15" t="s">
        <v>1178</v>
      </c>
      <c r="B15" s="21" t="s">
        <v>1175</v>
      </c>
      <c r="C15" s="21" t="s">
        <v>1179</v>
      </c>
      <c r="D15" s="21" t="s">
        <v>1180</v>
      </c>
      <c r="E15" s="18"/>
    </row>
    <row r="16" spans="1:8" x14ac:dyDescent="0.25">
      <c r="A16" s="15" t="s">
        <v>1181</v>
      </c>
      <c r="B16" s="21" t="s">
        <v>1180</v>
      </c>
      <c r="C16" s="21" t="s">
        <v>1182</v>
      </c>
      <c r="D16" s="21" t="s">
        <v>1180</v>
      </c>
      <c r="E16" s="18"/>
    </row>
    <row r="17" spans="1:12" x14ac:dyDescent="0.25">
      <c r="A17" s="15" t="s">
        <v>1183</v>
      </c>
      <c r="B17" s="21" t="s">
        <v>1180</v>
      </c>
      <c r="C17" s="21" t="s">
        <v>1182</v>
      </c>
      <c r="D17" s="21" t="s">
        <v>1180</v>
      </c>
      <c r="E17" s="18"/>
    </row>
    <row r="18" spans="1:12" x14ac:dyDescent="0.25">
      <c r="A18" s="15" t="s">
        <v>90</v>
      </c>
      <c r="B18" s="21" t="s">
        <v>1184</v>
      </c>
      <c r="C18" s="21" t="s">
        <v>1185</v>
      </c>
      <c r="D18" s="21" t="s">
        <v>1182</v>
      </c>
      <c r="E18" s="18"/>
    </row>
    <row r="19" spans="1:12" x14ac:dyDescent="0.25">
      <c r="A19" s="15" t="s">
        <v>1186</v>
      </c>
      <c r="B19" s="21" t="s">
        <v>1184</v>
      </c>
      <c r="C19" s="21" t="s">
        <v>1180</v>
      </c>
      <c r="D19" s="21" t="s">
        <v>1182</v>
      </c>
      <c r="E19" s="18"/>
    </row>
    <row r="20" spans="1:12" x14ac:dyDescent="0.25">
      <c r="A20" s="15" t="s">
        <v>1187</v>
      </c>
      <c r="B20" s="21" t="s">
        <v>1180</v>
      </c>
      <c r="C20" s="21" t="s">
        <v>1180</v>
      </c>
      <c r="D20" s="21" t="s">
        <v>1182</v>
      </c>
      <c r="E20" s="18"/>
    </row>
    <row r="21" spans="1:12" x14ac:dyDescent="0.25">
      <c r="A21" s="15" t="s">
        <v>1188</v>
      </c>
      <c r="B21" s="21" t="s">
        <v>1180</v>
      </c>
      <c r="C21" s="21" t="s">
        <v>1180</v>
      </c>
      <c r="D21" s="21" t="s">
        <v>1182</v>
      </c>
      <c r="E21" s="18"/>
    </row>
    <row r="24" spans="1:12" ht="15.75" x14ac:dyDescent="0.25">
      <c r="A24" s="5" t="s">
        <v>1189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631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636</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639</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642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645</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1190</v>
      </c>
    </row>
    <row r="2" spans="1:12" x14ac:dyDescent="0.25">
      <c r="A2" s="4" t="s">
        <v>1191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897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389</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798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808</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814</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818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836</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839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4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1192</v>
      </c>
      <c r="B1" s="10" t="s">
        <v>1193</v>
      </c>
      <c r="C1" s="10" t="s">
        <v>43</v>
      </c>
      <c r="D1" s="10" t="s">
        <v>1194</v>
      </c>
      <c r="E1" s="10" t="s">
        <v>1195</v>
      </c>
      <c r="F1" s="10" t="s">
        <v>167</v>
      </c>
      <c r="G1" s="10" t="s">
        <v>94</v>
      </c>
      <c r="H1" s="10" t="s">
        <v>173</v>
      </c>
      <c r="I1" s="10" t="s">
        <v>174</v>
      </c>
    </row>
    <row r="2" spans="1:9" ht="25.5" x14ac:dyDescent="0.25">
      <c r="A2" s="19">
        <v>46292.158703703702</v>
      </c>
      <c r="B2" s="12" t="s">
        <v>177</v>
      </c>
      <c r="C2" s="12">
        <v>0</v>
      </c>
      <c r="D2" s="18" t="s">
        <v>1196</v>
      </c>
      <c r="E2" s="18" t="s">
        <v>1197</v>
      </c>
      <c r="F2" s="18"/>
      <c r="G2" s="12" t="s">
        <v>1198</v>
      </c>
      <c r="H2" s="12"/>
      <c r="I2" s="18"/>
    </row>
    <row r="3" spans="1:9" ht="76.5" x14ac:dyDescent="0.25">
      <c r="A3" s="19">
        <v>46292.160995370366</v>
      </c>
      <c r="B3" s="12" t="s">
        <v>177</v>
      </c>
      <c r="C3" s="12">
        <v>0</v>
      </c>
      <c r="D3" s="18" t="s">
        <v>1199</v>
      </c>
      <c r="E3" s="18" t="s">
        <v>1200</v>
      </c>
      <c r="F3" s="18" t="s">
        <v>182</v>
      </c>
      <c r="G3" s="12" t="s">
        <v>974</v>
      </c>
      <c r="H3" s="12"/>
      <c r="I3" s="18"/>
    </row>
    <row r="4" spans="1:9" ht="38.25" x14ac:dyDescent="0.25">
      <c r="A4" s="19">
        <v>46292.161030092589</v>
      </c>
      <c r="B4" s="12" t="s">
        <v>192</v>
      </c>
      <c r="C4" s="12">
        <v>0</v>
      </c>
      <c r="D4" s="18" t="s">
        <v>1201</v>
      </c>
      <c r="E4" s="18"/>
      <c r="F4" s="18" t="s">
        <v>197</v>
      </c>
      <c r="G4" s="12" t="s">
        <v>974</v>
      </c>
      <c r="H4" s="12"/>
      <c r="I4" s="18"/>
    </row>
    <row r="5" spans="1:9" ht="63.75" x14ac:dyDescent="0.25">
      <c r="A5" s="19">
        <v>46292.161874999998</v>
      </c>
      <c r="B5" s="12" t="s">
        <v>186</v>
      </c>
      <c r="C5" s="12">
        <v>0</v>
      </c>
      <c r="D5" s="18" t="s">
        <v>1202</v>
      </c>
      <c r="E5" s="18" t="s">
        <v>1203</v>
      </c>
      <c r="F5" s="18" t="s">
        <v>190</v>
      </c>
      <c r="G5" s="12" t="s">
        <v>974</v>
      </c>
      <c r="H5" s="12"/>
      <c r="I5" s="18"/>
    </row>
    <row r="6" spans="1:9" ht="25.5" x14ac:dyDescent="0.25">
      <c r="A6" s="19">
        <v>46292.167349537027</v>
      </c>
      <c r="B6" s="12" t="s">
        <v>199</v>
      </c>
      <c r="C6" s="12">
        <v>0</v>
      </c>
      <c r="D6" s="18" t="s">
        <v>1204</v>
      </c>
      <c r="E6" s="18" t="s">
        <v>245</v>
      </c>
      <c r="F6" s="18" t="s">
        <v>203</v>
      </c>
      <c r="G6" s="12" t="s">
        <v>974</v>
      </c>
      <c r="H6" s="12"/>
      <c r="I6" s="18"/>
    </row>
    <row r="7" spans="1:9" ht="25.5" x14ac:dyDescent="0.25">
      <c r="A7" s="19">
        <v>46292.167395833327</v>
      </c>
      <c r="B7" s="12" t="s">
        <v>205</v>
      </c>
      <c r="C7" s="12">
        <v>0</v>
      </c>
      <c r="D7" s="18" t="s">
        <v>1205</v>
      </c>
      <c r="E7" s="18" t="s">
        <v>245</v>
      </c>
      <c r="F7" s="18" t="s">
        <v>209</v>
      </c>
      <c r="G7" s="12" t="s">
        <v>974</v>
      </c>
      <c r="H7" s="12"/>
      <c r="I7" s="18"/>
    </row>
    <row r="8" spans="1:9" ht="38.25" x14ac:dyDescent="0.25">
      <c r="A8" s="19">
        <v>46292.167430555557</v>
      </c>
      <c r="B8" s="12" t="s">
        <v>211</v>
      </c>
      <c r="C8" s="12">
        <v>0</v>
      </c>
      <c r="D8" s="18" t="s">
        <v>1206</v>
      </c>
      <c r="E8" s="18" t="s">
        <v>245</v>
      </c>
      <c r="F8" s="18" t="s">
        <v>215</v>
      </c>
      <c r="G8" s="12" t="s">
        <v>974</v>
      </c>
      <c r="H8" s="12"/>
      <c r="I8" s="18"/>
    </row>
    <row r="9" spans="1:9" ht="38.25" x14ac:dyDescent="0.25">
      <c r="A9" s="19">
        <v>46292.16746527778</v>
      </c>
      <c r="B9" s="12" t="s">
        <v>217</v>
      </c>
      <c r="C9" s="12">
        <v>0</v>
      </c>
      <c r="D9" s="18" t="s">
        <v>1207</v>
      </c>
      <c r="E9" s="18" t="s">
        <v>245</v>
      </c>
      <c r="F9" s="18" t="s">
        <v>221</v>
      </c>
      <c r="G9" s="12" t="s">
        <v>974</v>
      </c>
      <c r="H9" s="12"/>
      <c r="I9" s="18"/>
    </row>
    <row r="10" spans="1:9" ht="38.25" x14ac:dyDescent="0.25">
      <c r="A10" s="19">
        <v>46292.167500000003</v>
      </c>
      <c r="B10" s="12" t="s">
        <v>223</v>
      </c>
      <c r="C10" s="12">
        <v>0</v>
      </c>
      <c r="D10" s="18" t="s">
        <v>1208</v>
      </c>
      <c r="E10" s="18" t="s">
        <v>245</v>
      </c>
      <c r="F10" s="18" t="s">
        <v>227</v>
      </c>
      <c r="G10" s="12" t="s">
        <v>974</v>
      </c>
      <c r="H10" s="12"/>
      <c r="I10" s="18"/>
    </row>
    <row r="11" spans="1:9" ht="51" x14ac:dyDescent="0.25">
      <c r="A11" s="19">
        <v>46292.167534722219</v>
      </c>
      <c r="B11" s="12" t="s">
        <v>229</v>
      </c>
      <c r="C11" s="12">
        <v>0</v>
      </c>
      <c r="D11" s="18" t="s">
        <v>1209</v>
      </c>
      <c r="E11" s="18" t="s">
        <v>245</v>
      </c>
      <c r="F11" s="18" t="s">
        <v>233</v>
      </c>
      <c r="G11" s="12" t="s">
        <v>974</v>
      </c>
      <c r="H11" s="12"/>
      <c r="I11" s="18"/>
    </row>
    <row r="12" spans="1:9" ht="38.25" x14ac:dyDescent="0.25">
      <c r="A12" s="19">
        <v>46292.167569444442</v>
      </c>
      <c r="B12" s="12" t="s">
        <v>236</v>
      </c>
      <c r="C12" s="12">
        <v>0</v>
      </c>
      <c r="D12" s="18" t="s">
        <v>1210</v>
      </c>
      <c r="E12" s="18" t="s">
        <v>245</v>
      </c>
      <c r="F12" s="18" t="s">
        <v>240</v>
      </c>
      <c r="G12" s="12" t="s">
        <v>974</v>
      </c>
      <c r="H12" s="12"/>
      <c r="I12" s="18"/>
    </row>
    <row r="13" spans="1:9" ht="51" x14ac:dyDescent="0.25">
      <c r="A13" s="19">
        <v>46292.16815972222</v>
      </c>
      <c r="B13" s="12" t="s">
        <v>242</v>
      </c>
      <c r="C13" s="12">
        <v>0</v>
      </c>
      <c r="D13" s="18" t="s">
        <v>1211</v>
      </c>
      <c r="E13" s="18" t="s">
        <v>245</v>
      </c>
      <c r="F13" s="18" t="s">
        <v>246</v>
      </c>
      <c r="G13" s="12" t="s">
        <v>974</v>
      </c>
      <c r="H13" s="12"/>
      <c r="I13" s="18"/>
    </row>
    <row r="14" spans="1:9" ht="38.25" x14ac:dyDescent="0.25">
      <c r="A14" s="19">
        <v>46292.171805555547</v>
      </c>
      <c r="B14" s="12" t="s">
        <v>1212</v>
      </c>
      <c r="C14" s="12">
        <v>0</v>
      </c>
      <c r="D14" s="18" t="s">
        <v>1213</v>
      </c>
      <c r="E14" s="18" t="s">
        <v>1214</v>
      </c>
      <c r="F14" s="18"/>
      <c r="G14" s="12" t="s">
        <v>974</v>
      </c>
      <c r="H14" s="12" t="s">
        <v>185</v>
      </c>
      <c r="I14" s="18"/>
    </row>
    <row r="15" spans="1:9" ht="51" x14ac:dyDescent="0.25">
      <c r="A15" s="19">
        <v>46292.189722222232</v>
      </c>
      <c r="B15" s="12" t="s">
        <v>248</v>
      </c>
      <c r="C15" s="12">
        <v>1</v>
      </c>
      <c r="D15" s="18" t="s">
        <v>1215</v>
      </c>
      <c r="E15" s="18" t="s">
        <v>1216</v>
      </c>
      <c r="F15" s="18" t="s">
        <v>252</v>
      </c>
      <c r="G15" s="12" t="s">
        <v>974</v>
      </c>
      <c r="H15" s="12"/>
      <c r="I15" s="18"/>
    </row>
    <row r="16" spans="1:9" ht="25.5" x14ac:dyDescent="0.25">
      <c r="A16" s="19">
        <v>46292.189768518518</v>
      </c>
      <c r="B16" s="12" t="s">
        <v>258</v>
      </c>
      <c r="C16" s="12">
        <v>1</v>
      </c>
      <c r="D16" s="18" t="s">
        <v>1217</v>
      </c>
      <c r="E16" s="18" t="s">
        <v>1218</v>
      </c>
      <c r="F16" s="18" t="s">
        <v>262</v>
      </c>
      <c r="G16" s="12" t="s">
        <v>974</v>
      </c>
      <c r="H16" s="12"/>
      <c r="I16" s="18"/>
    </row>
    <row r="17" spans="1:9" ht="51" x14ac:dyDescent="0.25">
      <c r="A17" s="19">
        <v>46292.189803240741</v>
      </c>
      <c r="B17" s="12" t="s">
        <v>266</v>
      </c>
      <c r="C17" s="12">
        <v>1</v>
      </c>
      <c r="D17" s="18" t="s">
        <v>1219</v>
      </c>
      <c r="E17" s="18" t="s">
        <v>1220</v>
      </c>
      <c r="F17" s="18" t="s">
        <v>270</v>
      </c>
      <c r="G17" s="12" t="s">
        <v>974</v>
      </c>
      <c r="H17" s="12"/>
      <c r="I17" s="18"/>
    </row>
    <row r="18" spans="1:9" ht="63.75" x14ac:dyDescent="0.25">
      <c r="A18" s="19">
        <v>46292.189837962957</v>
      </c>
      <c r="B18" s="12" t="s">
        <v>330</v>
      </c>
      <c r="C18" s="12">
        <v>1</v>
      </c>
      <c r="D18" s="18" t="s">
        <v>1221</v>
      </c>
      <c r="E18" s="18" t="s">
        <v>1222</v>
      </c>
      <c r="F18" s="18" t="s">
        <v>334</v>
      </c>
      <c r="G18" s="12" t="s">
        <v>974</v>
      </c>
      <c r="H18" s="12"/>
      <c r="I18" s="18"/>
    </row>
    <row r="19" spans="1:9" ht="38.25" x14ac:dyDescent="0.25">
      <c r="A19" s="19">
        <v>46292.189872685187</v>
      </c>
      <c r="B19" s="12" t="s">
        <v>336</v>
      </c>
      <c r="C19" s="12">
        <v>1</v>
      </c>
      <c r="D19" s="18" t="s">
        <v>1223</v>
      </c>
      <c r="E19" s="18" t="s">
        <v>1224</v>
      </c>
      <c r="F19" s="18" t="s">
        <v>340</v>
      </c>
      <c r="G19" s="12" t="s">
        <v>974</v>
      </c>
      <c r="H19" s="12"/>
      <c r="I19" s="18"/>
    </row>
    <row r="20" spans="1:9" ht="51" x14ac:dyDescent="0.25">
      <c r="A20" s="19">
        <v>46292.190057870372</v>
      </c>
      <c r="B20" s="12" t="s">
        <v>288</v>
      </c>
      <c r="C20" s="12">
        <v>1</v>
      </c>
      <c r="D20" s="18" t="s">
        <v>1225</v>
      </c>
      <c r="E20" s="18" t="s">
        <v>1226</v>
      </c>
      <c r="F20" s="18" t="s">
        <v>1227</v>
      </c>
      <c r="G20" s="12" t="s">
        <v>1198</v>
      </c>
      <c r="H20" s="12"/>
      <c r="I20" s="18"/>
    </row>
    <row r="21" spans="1:9" ht="38.25" x14ac:dyDescent="0.25">
      <c r="A21" s="19">
        <v>46292.193043981482</v>
      </c>
      <c r="B21" s="12" t="s">
        <v>321</v>
      </c>
      <c r="C21" s="12">
        <v>1</v>
      </c>
      <c r="D21" s="18" t="s">
        <v>1228</v>
      </c>
      <c r="E21" s="18" t="s">
        <v>1229</v>
      </c>
      <c r="F21" s="18" t="s">
        <v>325</v>
      </c>
      <c r="G21" s="12" t="s">
        <v>974</v>
      </c>
      <c r="H21" s="12"/>
      <c r="I21" s="18"/>
    </row>
    <row r="22" spans="1:9" ht="38.25" x14ac:dyDescent="0.25">
      <c r="A22" s="19">
        <v>46292.196898148148</v>
      </c>
      <c r="B22" s="12" t="s">
        <v>1230</v>
      </c>
      <c r="C22" s="12">
        <v>1</v>
      </c>
      <c r="D22" s="18" t="s">
        <v>1231</v>
      </c>
      <c r="E22" s="18"/>
      <c r="F22" s="18"/>
      <c r="G22" s="12" t="s">
        <v>974</v>
      </c>
      <c r="H22" s="12" t="s">
        <v>255</v>
      </c>
      <c r="I22" s="18"/>
    </row>
    <row r="23" spans="1:9" ht="63.75" x14ac:dyDescent="0.25">
      <c r="A23" s="19">
        <v>46292.217905092592</v>
      </c>
      <c r="B23" s="12" t="s">
        <v>341</v>
      </c>
      <c r="C23" s="12">
        <v>1</v>
      </c>
      <c r="D23" s="18" t="s">
        <v>1232</v>
      </c>
      <c r="E23" s="18" t="s">
        <v>1233</v>
      </c>
      <c r="F23" s="18" t="s">
        <v>345</v>
      </c>
      <c r="G23" s="12" t="s">
        <v>974</v>
      </c>
      <c r="H23" s="12"/>
      <c r="I23" s="18"/>
    </row>
    <row r="24" spans="1:9" ht="25.5" x14ac:dyDescent="0.25">
      <c r="A24" s="19">
        <v>46292.217939814807</v>
      </c>
      <c r="B24" s="12" t="s">
        <v>368</v>
      </c>
      <c r="C24" s="12">
        <v>1</v>
      </c>
      <c r="D24" s="18" t="s">
        <v>1234</v>
      </c>
      <c r="E24" s="18"/>
      <c r="F24" s="18" t="s">
        <v>372</v>
      </c>
      <c r="G24" s="12" t="s">
        <v>974</v>
      </c>
      <c r="H24" s="12"/>
      <c r="I24" s="18"/>
    </row>
    <row r="25" spans="1:9" ht="51" x14ac:dyDescent="0.25">
      <c r="A25" s="19">
        <v>46292.217986111107</v>
      </c>
      <c r="B25" s="12" t="s">
        <v>363</v>
      </c>
      <c r="C25" s="12">
        <v>1</v>
      </c>
      <c r="D25" s="18" t="s">
        <v>1235</v>
      </c>
      <c r="E25" s="18" t="s">
        <v>1236</v>
      </c>
      <c r="F25" s="18" t="s">
        <v>367</v>
      </c>
      <c r="G25" s="12" t="s">
        <v>974</v>
      </c>
      <c r="H25" s="12"/>
      <c r="I25" s="18"/>
    </row>
    <row r="26" spans="1:9" ht="38.25" x14ac:dyDescent="0.25">
      <c r="A26" s="19">
        <v>46292.219421296293</v>
      </c>
      <c r="B26" s="12" t="s">
        <v>1237</v>
      </c>
      <c r="C26" s="12">
        <v>1</v>
      </c>
      <c r="D26" s="18" t="s">
        <v>1238</v>
      </c>
      <c r="E26" s="18"/>
      <c r="F26" s="18"/>
      <c r="G26" s="12" t="s">
        <v>974</v>
      </c>
      <c r="H26" s="12" t="s">
        <v>346</v>
      </c>
      <c r="I26" s="18"/>
    </row>
    <row r="27" spans="1:9" ht="89.25" x14ac:dyDescent="0.25">
      <c r="A27" s="19">
        <v>46292.350648148153</v>
      </c>
      <c r="B27" s="12" t="s">
        <v>356</v>
      </c>
      <c r="C27" s="12">
        <v>1</v>
      </c>
      <c r="D27" s="18" t="s">
        <v>1239</v>
      </c>
      <c r="E27" s="18"/>
      <c r="F27" s="18" t="s">
        <v>360</v>
      </c>
      <c r="G27" s="12" t="s">
        <v>974</v>
      </c>
      <c r="H27" s="12"/>
      <c r="I27" s="18"/>
    </row>
    <row r="28" spans="1:9" ht="25.5" x14ac:dyDescent="0.25">
      <c r="A28" s="19">
        <v>46292.351168981477</v>
      </c>
      <c r="B28" s="12" t="s">
        <v>356</v>
      </c>
      <c r="C28" s="12">
        <v>1</v>
      </c>
      <c r="D28" s="18" t="s">
        <v>1240</v>
      </c>
      <c r="E28" s="18"/>
      <c r="F28" s="18"/>
      <c r="G28" s="12" t="s">
        <v>974</v>
      </c>
      <c r="H28" s="12" t="s">
        <v>361</v>
      </c>
      <c r="I28" s="18"/>
    </row>
    <row r="29" spans="1:9" ht="63.75" x14ac:dyDescent="0.25">
      <c r="A29" s="19">
        <v>46292.356574074067</v>
      </c>
      <c r="B29" s="12" t="s">
        <v>373</v>
      </c>
      <c r="C29" s="12">
        <v>1</v>
      </c>
      <c r="D29" s="18" t="s">
        <v>1241</v>
      </c>
      <c r="E29" s="18" t="s">
        <v>1242</v>
      </c>
      <c r="F29" s="18" t="s">
        <v>377</v>
      </c>
      <c r="G29" s="12" t="s">
        <v>974</v>
      </c>
      <c r="H29" s="12"/>
      <c r="I29" s="18"/>
    </row>
    <row r="30" spans="1:9" x14ac:dyDescent="0.25">
      <c r="A30" s="19">
        <v>46292.357893518521</v>
      </c>
      <c r="B30" s="12" t="s">
        <v>373</v>
      </c>
      <c r="C30" s="12">
        <v>1</v>
      </c>
      <c r="D30" s="18" t="s">
        <v>1243</v>
      </c>
      <c r="E30" s="18"/>
      <c r="F30" s="18"/>
      <c r="G30" s="12" t="s">
        <v>974</v>
      </c>
      <c r="H30" s="12" t="s">
        <v>379</v>
      </c>
      <c r="I30" s="18"/>
    </row>
    <row r="31" spans="1:9" ht="76.5" x14ac:dyDescent="0.25">
      <c r="A31" s="19">
        <v>46292.373900462961</v>
      </c>
      <c r="B31" s="12" t="s">
        <v>347</v>
      </c>
      <c r="C31" s="12">
        <v>1</v>
      </c>
      <c r="D31" s="18" t="s">
        <v>1244</v>
      </c>
      <c r="E31" s="18" t="s">
        <v>1245</v>
      </c>
      <c r="F31" s="18" t="s">
        <v>351</v>
      </c>
      <c r="G31" s="12" t="s">
        <v>974</v>
      </c>
      <c r="H31" s="12"/>
      <c r="I31" s="18"/>
    </row>
    <row r="32" spans="1:9" ht="38.25" x14ac:dyDescent="0.25">
      <c r="A32" s="19">
        <v>46292.373935185176</v>
      </c>
      <c r="B32" s="12" t="s">
        <v>455</v>
      </c>
      <c r="C32" s="12">
        <v>3</v>
      </c>
      <c r="D32" s="18" t="s">
        <v>1246</v>
      </c>
      <c r="E32" s="18"/>
      <c r="F32" s="18" t="s">
        <v>458</v>
      </c>
      <c r="G32" s="12" t="s">
        <v>974</v>
      </c>
      <c r="H32" s="12"/>
      <c r="I32" s="18"/>
    </row>
    <row r="33" spans="1:9" ht="25.5" x14ac:dyDescent="0.25">
      <c r="A33" s="19">
        <v>46292.373981481483</v>
      </c>
      <c r="B33" s="12" t="s">
        <v>461</v>
      </c>
      <c r="C33" s="12">
        <v>3</v>
      </c>
      <c r="D33" s="18" t="s">
        <v>1247</v>
      </c>
      <c r="E33" s="18"/>
      <c r="F33" s="18" t="s">
        <v>464</v>
      </c>
      <c r="G33" s="12" t="s">
        <v>974</v>
      </c>
      <c r="H33" s="12"/>
      <c r="I33" s="18"/>
    </row>
    <row r="34" spans="1:9" ht="76.5" x14ac:dyDescent="0.25">
      <c r="A34" s="19">
        <v>46292.374016203707</v>
      </c>
      <c r="B34" s="12" t="s">
        <v>442</v>
      </c>
      <c r="C34" s="12">
        <v>3</v>
      </c>
      <c r="D34" s="18" t="s">
        <v>1248</v>
      </c>
      <c r="E34" s="18"/>
      <c r="F34" s="18" t="s">
        <v>445</v>
      </c>
      <c r="G34" s="12" t="s">
        <v>974</v>
      </c>
      <c r="H34" s="12"/>
      <c r="I34" s="18"/>
    </row>
    <row r="35" spans="1:9" ht="25.5" x14ac:dyDescent="0.25">
      <c r="A35" s="19">
        <v>46292.374050925922</v>
      </c>
      <c r="B35" s="12" t="s">
        <v>499</v>
      </c>
      <c r="C35" s="12">
        <v>3</v>
      </c>
      <c r="D35" s="18" t="s">
        <v>1249</v>
      </c>
      <c r="E35" s="18"/>
      <c r="F35" s="18" t="s">
        <v>502</v>
      </c>
      <c r="G35" s="12" t="s">
        <v>974</v>
      </c>
      <c r="H35" s="12"/>
      <c r="I35" s="18"/>
    </row>
    <row r="36" spans="1:9" ht="38.25" x14ac:dyDescent="0.25">
      <c r="A36" s="19">
        <v>46292.374340277784</v>
      </c>
      <c r="B36" s="12" t="s">
        <v>382</v>
      </c>
      <c r="C36" s="12">
        <v>1</v>
      </c>
      <c r="D36" s="18" t="s">
        <v>1250</v>
      </c>
      <c r="E36" s="18" t="s">
        <v>1251</v>
      </c>
      <c r="F36" s="18" t="s">
        <v>1252</v>
      </c>
      <c r="G36" s="12" t="s">
        <v>974</v>
      </c>
      <c r="H36" s="12"/>
      <c r="I36" s="18"/>
    </row>
    <row r="37" spans="1:9" ht="76.5" x14ac:dyDescent="0.25">
      <c r="A37" s="19">
        <v>46292.376377314817</v>
      </c>
      <c r="B37" s="12" t="s">
        <v>347</v>
      </c>
      <c r="C37" s="12">
        <v>1</v>
      </c>
      <c r="D37" s="18" t="s">
        <v>1253</v>
      </c>
      <c r="E37" s="18"/>
      <c r="F37" s="18" t="s">
        <v>351</v>
      </c>
      <c r="G37" s="12" t="s">
        <v>974</v>
      </c>
      <c r="H37" s="12" t="s">
        <v>353</v>
      </c>
      <c r="I37" s="18"/>
    </row>
    <row r="38" spans="1:9" ht="76.5" x14ac:dyDescent="0.25">
      <c r="A38" s="19">
        <v>46292.397314814807</v>
      </c>
      <c r="B38" s="12" t="s">
        <v>575</v>
      </c>
      <c r="C38" s="12">
        <v>4</v>
      </c>
      <c r="D38" s="18" t="s">
        <v>1254</v>
      </c>
      <c r="E38" s="18" t="s">
        <v>1255</v>
      </c>
      <c r="F38" s="18" t="s">
        <v>579</v>
      </c>
      <c r="G38" s="12" t="s">
        <v>974</v>
      </c>
      <c r="H38" s="12"/>
      <c r="I38" s="18"/>
    </row>
    <row r="39" spans="1:9" ht="25.5" x14ac:dyDescent="0.25">
      <c r="A39" s="19">
        <v>46292.397361111107</v>
      </c>
      <c r="B39" s="12" t="s">
        <v>755</v>
      </c>
      <c r="C39" s="12">
        <v>12</v>
      </c>
      <c r="D39" s="18" t="s">
        <v>1256</v>
      </c>
      <c r="E39" s="18"/>
      <c r="F39" s="18" t="s">
        <v>759</v>
      </c>
      <c r="G39" s="12" t="s">
        <v>974</v>
      </c>
      <c r="H39" s="12"/>
      <c r="I39" s="18"/>
    </row>
    <row r="40" spans="1:9" ht="127.5" x14ac:dyDescent="0.25">
      <c r="A40" s="19">
        <v>46292.397581018522</v>
      </c>
      <c r="B40" s="12" t="s">
        <v>293</v>
      </c>
      <c r="C40" s="12">
        <v>1</v>
      </c>
      <c r="D40" s="18" t="s">
        <v>1257</v>
      </c>
      <c r="E40" s="18" t="s">
        <v>1258</v>
      </c>
      <c r="F40" s="18" t="s">
        <v>297</v>
      </c>
      <c r="G40" s="12" t="s">
        <v>974</v>
      </c>
      <c r="H40" s="12"/>
      <c r="I40" s="18"/>
    </row>
    <row r="41" spans="1:9" ht="51" x14ac:dyDescent="0.25">
      <c r="A41" s="19">
        <v>46292.397627314807</v>
      </c>
      <c r="B41" s="12" t="s">
        <v>299</v>
      </c>
      <c r="C41" s="12">
        <v>1</v>
      </c>
      <c r="D41" s="18" t="s">
        <v>1259</v>
      </c>
      <c r="E41" s="18"/>
      <c r="F41" s="18" t="s">
        <v>303</v>
      </c>
      <c r="G41" s="12" t="s">
        <v>974</v>
      </c>
      <c r="H41" s="12"/>
      <c r="I41" s="18"/>
    </row>
    <row r="42" spans="1:9" ht="76.5" x14ac:dyDescent="0.25">
      <c r="A42" s="19">
        <v>46292.397662037038</v>
      </c>
      <c r="B42" s="12" t="s">
        <v>315</v>
      </c>
      <c r="C42" s="12">
        <v>1</v>
      </c>
      <c r="D42" s="18" t="s">
        <v>1260</v>
      </c>
      <c r="E42" s="18"/>
      <c r="F42" s="18" t="s">
        <v>320</v>
      </c>
      <c r="G42" s="12" t="s">
        <v>974</v>
      </c>
      <c r="H42" s="12"/>
      <c r="I42" s="18"/>
    </row>
    <row r="43" spans="1:9" ht="25.5" x14ac:dyDescent="0.25">
      <c r="A43" s="19">
        <v>46292.397696759261</v>
      </c>
      <c r="B43" s="12" t="s">
        <v>309</v>
      </c>
      <c r="C43" s="12">
        <v>1</v>
      </c>
      <c r="D43" s="18" t="s">
        <v>1261</v>
      </c>
      <c r="E43" s="18"/>
      <c r="F43" s="18" t="s">
        <v>312</v>
      </c>
      <c r="G43" s="12" t="s">
        <v>974</v>
      </c>
      <c r="H43" s="12"/>
      <c r="I43" s="18"/>
    </row>
  </sheetData>
  <autoFilter ref="A1:I4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1262</v>
      </c>
    </row>
    <row r="2" spans="1:2" x14ac:dyDescent="0.25">
      <c r="A2" s="4" t="s">
        <v>151</v>
      </c>
    </row>
    <row r="3" spans="1:2" x14ac:dyDescent="0.25">
      <c r="A3" s="2" t="s">
        <v>1263</v>
      </c>
    </row>
    <row r="4" spans="1:2" x14ac:dyDescent="0.25">
      <c r="A4" s="10" t="s">
        <v>1264</v>
      </c>
      <c r="B4" s="10" t="s">
        <v>1265</v>
      </c>
    </row>
    <row r="5" spans="1:2" x14ac:dyDescent="0.25">
      <c r="A5" s="6" t="s">
        <v>6</v>
      </c>
      <c r="B5" s="18" t="s">
        <v>1266</v>
      </c>
    </row>
    <row r="6" spans="1:2" x14ac:dyDescent="0.25">
      <c r="A6" s="6" t="s">
        <v>9</v>
      </c>
      <c r="B6" s="18" t="s">
        <v>1267</v>
      </c>
    </row>
    <row r="7" spans="1:2" ht="25.5" x14ac:dyDescent="0.25">
      <c r="A7" s="6" t="s">
        <v>12</v>
      </c>
      <c r="B7" s="18" t="s">
        <v>1268</v>
      </c>
    </row>
    <row r="8" spans="1:2" ht="25.5" x14ac:dyDescent="0.25">
      <c r="A8" s="6" t="s">
        <v>15</v>
      </c>
      <c r="B8" s="18" t="s">
        <v>1269</v>
      </c>
    </row>
    <row r="9" spans="1:2" x14ac:dyDescent="0.25">
      <c r="A9" s="6" t="s">
        <v>1270</v>
      </c>
      <c r="B9" s="18" t="s">
        <v>1271</v>
      </c>
    </row>
    <row r="10" spans="1:2" x14ac:dyDescent="0.25">
      <c r="A10" s="6" t="s">
        <v>1272</v>
      </c>
      <c r="B10" s="18" t="s">
        <v>1273</v>
      </c>
    </row>
    <row r="11" spans="1:2" x14ac:dyDescent="0.25">
      <c r="A11" s="6" t="s">
        <v>26</v>
      </c>
      <c r="B11" s="18" t="s">
        <v>1274</v>
      </c>
    </row>
    <row r="12" spans="1:2" x14ac:dyDescent="0.25">
      <c r="A12" s="6" t="s">
        <v>29</v>
      </c>
      <c r="B12" s="18" t="s">
        <v>1275</v>
      </c>
    </row>
    <row r="13" spans="1:2" ht="25.5" x14ac:dyDescent="0.25">
      <c r="A13" s="6" t="s">
        <v>32</v>
      </c>
      <c r="B13" s="18" t="s">
        <v>1276</v>
      </c>
    </row>
    <row r="14" spans="1:2" x14ac:dyDescent="0.25">
      <c r="A14" s="6" t="s">
        <v>18</v>
      </c>
      <c r="B14" s="18" t="s">
        <v>1277</v>
      </c>
    </row>
    <row r="15" spans="1:2" x14ac:dyDescent="0.25">
      <c r="A15" s="6" t="s">
        <v>21</v>
      </c>
      <c r="B15" s="18" t="s">
        <v>1278</v>
      </c>
    </row>
    <row r="16" spans="1:2" x14ac:dyDescent="0.25">
      <c r="A16" s="6" t="s">
        <v>24</v>
      </c>
      <c r="B16" s="18" t="s">
        <v>1279</v>
      </c>
    </row>
    <row r="17" spans="1:2" x14ac:dyDescent="0.25">
      <c r="A17" s="6" t="s">
        <v>35</v>
      </c>
      <c r="B17" s="18" t="s">
        <v>1280</v>
      </c>
    </row>
    <row r="18" spans="1:2" x14ac:dyDescent="0.25">
      <c r="A18" s="6" t="s">
        <v>1281</v>
      </c>
      <c r="B18" s="18" t="s">
        <v>1282</v>
      </c>
    </row>
    <row r="19" spans="1:2" x14ac:dyDescent="0.25">
      <c r="A19" s="6" t="s">
        <v>1283</v>
      </c>
      <c r="B19" s="18" t="str">
        <f>"Tasks "&amp;DASHBOARD!B5&amp;" · done "&amp;DASHBOARD!B6&amp;" · verified "&amp;DASHBOARD!B7&amp;" · in progress "&amp;DASHBOARD!B8&amp;" · blocked "&amp;DASHBOARD!B9&amp;" · failed "&amp;DASHBOARD!B10&amp;" · P0 open "&amp;DASHBOARD!B16&amp;" · P1 open "&amp;DASHBOARD!B17</f>
        <v>Tasks 161 · done 29 · verified 34 · in progress 8 · blocked 1 · failed 0 · P0 open 61 · P1 open 50</v>
      </c>
    </row>
    <row r="20" spans="1:2" x14ac:dyDescent="0.25">
      <c r="A20" s="6" t="s">
        <v>1284</v>
      </c>
      <c r="B20" s="18" t="s">
        <v>1182</v>
      </c>
    </row>
    <row r="21" spans="1:2" x14ac:dyDescent="0.25">
      <c r="A21" s="6" t="s">
        <v>1285</v>
      </c>
      <c r="B21" s="18" t="s">
        <v>1184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1286</v>
      </c>
    </row>
    <row r="2" spans="1:9" x14ac:dyDescent="0.25">
      <c r="A2" s="4" t="s">
        <v>154</v>
      </c>
    </row>
    <row r="3" spans="1:9" x14ac:dyDescent="0.25">
      <c r="A3" s="6" t="s">
        <v>1287</v>
      </c>
      <c r="B3" s="6" t="s">
        <v>974</v>
      </c>
      <c r="C3" s="6" t="s">
        <v>1288</v>
      </c>
      <c r="D3" s="6" t="s">
        <v>1289</v>
      </c>
    </row>
    <row r="4" spans="1:9" x14ac:dyDescent="0.25">
      <c r="A4" s="7">
        <f>COUNTA(A7:A21)</f>
        <v>15</v>
      </c>
      <c r="B4" s="7">
        <f>COUNTIF(C7:C21,"PASS")</f>
        <v>0</v>
      </c>
      <c r="C4" s="7">
        <f>COUNTIF(C7:C21,"FAIL")</f>
        <v>0</v>
      </c>
      <c r="D4" s="7">
        <f>COUNTIF(C7:C21,"NOT_EVALUATED")</f>
        <v>15</v>
      </c>
    </row>
    <row r="6" spans="1:9" ht="25.5" x14ac:dyDescent="0.25">
      <c r="A6" s="10" t="s">
        <v>1290</v>
      </c>
      <c r="B6" s="10" t="s">
        <v>1291</v>
      </c>
      <c r="C6" s="10" t="s">
        <v>57</v>
      </c>
      <c r="D6" s="10" t="s">
        <v>1060</v>
      </c>
      <c r="E6" s="10" t="s">
        <v>1061</v>
      </c>
      <c r="F6" s="10" t="s">
        <v>1062</v>
      </c>
      <c r="G6" s="10" t="s">
        <v>166</v>
      </c>
      <c r="H6" s="10" t="s">
        <v>15</v>
      </c>
      <c r="I6" s="10" t="s">
        <v>174</v>
      </c>
    </row>
    <row r="7" spans="1:9" x14ac:dyDescent="0.25">
      <c r="A7" s="15" t="s">
        <v>1292</v>
      </c>
      <c r="B7" s="18" t="s">
        <v>1293</v>
      </c>
      <c r="C7" s="12" t="s">
        <v>1289</v>
      </c>
      <c r="D7" s="18" t="s">
        <v>1294</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1295</v>
      </c>
      <c r="B8" s="18" t="s">
        <v>1296</v>
      </c>
      <c r="C8" s="12" t="s">
        <v>1289</v>
      </c>
      <c r="D8" s="18" t="s">
        <v>565</v>
      </c>
      <c r="E8" s="16">
        <f>SUMPRODUCT(ISNUMBER(SEARCH(","&amp;MASTER!$A$2:$A$2000&amp;",",","&amp;SUBSTITUTE($D8," ","")&amp;","))*((MASTER!$G$2:$G$2000="DONE")))</f>
        <v>0</v>
      </c>
      <c r="F8" s="16">
        <f t="shared" si="0"/>
        <v>1</v>
      </c>
      <c r="G8" s="18"/>
      <c r="H8" s="19"/>
      <c r="I8" s="18"/>
    </row>
    <row r="9" spans="1:9" x14ac:dyDescent="0.25">
      <c r="A9" s="15" t="s">
        <v>1297</v>
      </c>
      <c r="B9" s="18" t="s">
        <v>1298</v>
      </c>
      <c r="C9" s="12" t="s">
        <v>1289</v>
      </c>
      <c r="D9" s="18" t="s">
        <v>1299</v>
      </c>
      <c r="E9" s="16">
        <f>SUMPRODUCT(ISNUMBER(SEARCH(","&amp;MASTER!$A$2:$A$2000&amp;",",","&amp;SUBSTITUTE($D9," ","")&amp;","))*((MASTER!$G$2:$G$2000="DONE")))</f>
        <v>0</v>
      </c>
      <c r="F9" s="16">
        <f t="shared" si="0"/>
        <v>2</v>
      </c>
      <c r="G9" s="18"/>
      <c r="H9" s="19"/>
      <c r="I9" s="18"/>
    </row>
    <row r="10" spans="1:9" x14ac:dyDescent="0.25">
      <c r="A10" s="15" t="s">
        <v>1300</v>
      </c>
      <c r="B10" s="18" t="s">
        <v>1301</v>
      </c>
      <c r="C10" s="12" t="s">
        <v>1289</v>
      </c>
      <c r="D10" s="18" t="s">
        <v>639</v>
      </c>
      <c r="E10" s="16">
        <f>SUMPRODUCT(ISNUMBER(SEARCH(","&amp;MASTER!$A$2:$A$2000&amp;",",","&amp;SUBSTITUTE($D10," ","")&amp;","))*((MASTER!$G$2:$G$2000="DONE")))</f>
        <v>0</v>
      </c>
      <c r="F10" s="16">
        <f t="shared" si="0"/>
        <v>1</v>
      </c>
      <c r="G10" s="18"/>
      <c r="H10" s="19"/>
      <c r="I10" s="18"/>
    </row>
    <row r="11" spans="1:9" x14ac:dyDescent="0.25">
      <c r="A11" s="15" t="s">
        <v>1302</v>
      </c>
      <c r="B11" s="18" t="s">
        <v>1303</v>
      </c>
      <c r="C11" s="12" t="s">
        <v>1289</v>
      </c>
      <c r="D11" s="18" t="s">
        <v>1304</v>
      </c>
      <c r="E11" s="16">
        <f>SUMPRODUCT(ISNUMBER(SEARCH(","&amp;MASTER!$A$2:$A$2000&amp;",",","&amp;SUBSTITUTE($D11," ","")&amp;","))*((MASTER!$G$2:$G$2000="DONE")))</f>
        <v>0</v>
      </c>
      <c r="F11" s="16">
        <f t="shared" si="0"/>
        <v>3</v>
      </c>
      <c r="G11" s="18"/>
      <c r="H11" s="19"/>
      <c r="I11" s="18"/>
    </row>
    <row r="12" spans="1:9" x14ac:dyDescent="0.25">
      <c r="A12" s="15" t="s">
        <v>1305</v>
      </c>
      <c r="B12" s="18" t="s">
        <v>1306</v>
      </c>
      <c r="C12" s="12" t="s">
        <v>1289</v>
      </c>
      <c r="D12" s="18" t="s">
        <v>519</v>
      </c>
      <c r="E12" s="16">
        <f>SUMPRODUCT(ISNUMBER(SEARCH(","&amp;MASTER!$A$2:$A$2000&amp;",",","&amp;SUBSTITUTE($D12," ","")&amp;","))*((MASTER!$G$2:$G$2000="DONE")))</f>
        <v>0</v>
      </c>
      <c r="F12" s="16">
        <f t="shared" si="0"/>
        <v>1</v>
      </c>
      <c r="G12" s="18"/>
      <c r="H12" s="19"/>
      <c r="I12" s="18"/>
    </row>
    <row r="13" spans="1:9" x14ac:dyDescent="0.25">
      <c r="A13" s="15" t="s">
        <v>1307</v>
      </c>
      <c r="B13" s="18" t="s">
        <v>1308</v>
      </c>
      <c r="C13" s="12" t="s">
        <v>1289</v>
      </c>
      <c r="D13" s="18" t="s">
        <v>519</v>
      </c>
      <c r="E13" s="16">
        <f>SUMPRODUCT(ISNUMBER(SEARCH(","&amp;MASTER!$A$2:$A$2000&amp;",",","&amp;SUBSTITUTE($D13," ","")&amp;","))*((MASTER!$G$2:$G$2000="DONE")))</f>
        <v>0</v>
      </c>
      <c r="F13" s="16">
        <f t="shared" si="0"/>
        <v>1</v>
      </c>
      <c r="G13" s="18"/>
      <c r="H13" s="19"/>
      <c r="I13" s="18"/>
    </row>
    <row r="14" spans="1:9" x14ac:dyDescent="0.25">
      <c r="A14" s="15" t="s">
        <v>1309</v>
      </c>
      <c r="B14" s="18" t="s">
        <v>1310</v>
      </c>
      <c r="C14" s="12" t="s">
        <v>1289</v>
      </c>
      <c r="D14" s="18" t="s">
        <v>743</v>
      </c>
      <c r="E14" s="16">
        <f>SUMPRODUCT(ISNUMBER(SEARCH(","&amp;MASTER!$A$2:$A$2000&amp;",",","&amp;SUBSTITUTE($D14," ","")&amp;","))*((MASTER!$G$2:$G$2000="DONE")))</f>
        <v>0</v>
      </c>
      <c r="F14" s="16">
        <f t="shared" si="0"/>
        <v>1</v>
      </c>
      <c r="G14" s="18"/>
      <c r="H14" s="19"/>
      <c r="I14" s="18"/>
    </row>
    <row r="15" spans="1:9" x14ac:dyDescent="0.25">
      <c r="A15" s="15" t="s">
        <v>1311</v>
      </c>
      <c r="B15" s="18" t="s">
        <v>1312</v>
      </c>
      <c r="C15" s="12" t="s">
        <v>1289</v>
      </c>
      <c r="D15" s="18" t="s">
        <v>672</v>
      </c>
      <c r="E15" s="16">
        <f>SUMPRODUCT(ISNUMBER(SEARCH(","&amp;MASTER!$A$2:$A$2000&amp;",",","&amp;SUBSTITUTE($D15," ","")&amp;","))*((MASTER!$G$2:$G$2000="DONE")))</f>
        <v>0</v>
      </c>
      <c r="F15" s="16">
        <f t="shared" si="0"/>
        <v>1</v>
      </c>
      <c r="G15" s="18"/>
      <c r="H15" s="19"/>
      <c r="I15" s="18"/>
    </row>
    <row r="16" spans="1:9" x14ac:dyDescent="0.25">
      <c r="A16" s="15" t="s">
        <v>1313</v>
      </c>
      <c r="B16" s="18" t="s">
        <v>1314</v>
      </c>
      <c r="C16" s="12" t="s">
        <v>1289</v>
      </c>
      <c r="D16" s="18" t="s">
        <v>723</v>
      </c>
      <c r="E16" s="16">
        <f>SUMPRODUCT(ISNUMBER(SEARCH(","&amp;MASTER!$A$2:$A$2000&amp;",",","&amp;SUBSTITUTE($D16," ","")&amp;","))*((MASTER!$G$2:$G$2000="DONE")))</f>
        <v>0</v>
      </c>
      <c r="F16" s="16">
        <f t="shared" si="0"/>
        <v>1</v>
      </c>
      <c r="G16" s="18"/>
      <c r="H16" s="19"/>
      <c r="I16" s="18"/>
    </row>
    <row r="17" spans="1:9" x14ac:dyDescent="0.25">
      <c r="A17" s="15" t="s">
        <v>1315</v>
      </c>
      <c r="B17" s="18" t="s">
        <v>1316</v>
      </c>
      <c r="C17" s="12" t="s">
        <v>1289</v>
      </c>
      <c r="D17" s="18" t="s">
        <v>711</v>
      </c>
      <c r="E17" s="16">
        <f>SUMPRODUCT(ISNUMBER(SEARCH(","&amp;MASTER!$A$2:$A$2000&amp;",",","&amp;SUBSTITUTE($D17," ","")&amp;","))*((MASTER!$G$2:$G$2000="DONE")))</f>
        <v>0</v>
      </c>
      <c r="F17" s="16">
        <f t="shared" si="0"/>
        <v>1</v>
      </c>
      <c r="G17" s="18"/>
      <c r="H17" s="19"/>
      <c r="I17" s="18"/>
    </row>
    <row r="18" spans="1:9" x14ac:dyDescent="0.25">
      <c r="A18" s="15" t="s">
        <v>1317</v>
      </c>
      <c r="B18" s="18" t="s">
        <v>1318</v>
      </c>
      <c r="C18" s="12" t="s">
        <v>1289</v>
      </c>
      <c r="D18" s="18" t="s">
        <v>823</v>
      </c>
      <c r="E18" s="16">
        <f>SUMPRODUCT(ISNUMBER(SEARCH(","&amp;MASTER!$A$2:$A$2000&amp;",",","&amp;SUBSTITUTE($D18," ","")&amp;","))*((MASTER!$G$2:$G$2000="DONE")))</f>
        <v>0</v>
      </c>
      <c r="F18" s="16">
        <f t="shared" si="0"/>
        <v>1</v>
      </c>
      <c r="G18" s="18"/>
      <c r="H18" s="19"/>
      <c r="I18" s="18"/>
    </row>
    <row r="19" spans="1:9" x14ac:dyDescent="0.25">
      <c r="A19" s="15" t="s">
        <v>1319</v>
      </c>
      <c r="B19" s="18" t="s">
        <v>1320</v>
      </c>
      <c r="C19" s="12" t="s">
        <v>1289</v>
      </c>
      <c r="D19" s="18" t="s">
        <v>217</v>
      </c>
      <c r="E19" s="16">
        <f>SUMPRODUCT(ISNUMBER(SEARCH(","&amp;MASTER!$A$2:$A$2000&amp;",",","&amp;SUBSTITUTE($D19," ","")&amp;","))*((MASTER!$G$2:$G$2000="DONE")))</f>
        <v>1</v>
      </c>
      <c r="F19" s="16">
        <f t="shared" si="0"/>
        <v>1</v>
      </c>
      <c r="G19" s="18"/>
      <c r="H19" s="19"/>
      <c r="I19" s="18"/>
    </row>
    <row r="20" spans="1:9" x14ac:dyDescent="0.25">
      <c r="A20" s="15" t="s">
        <v>1321</v>
      </c>
      <c r="B20" s="18" t="s">
        <v>1322</v>
      </c>
      <c r="C20" s="12" t="s">
        <v>1289</v>
      </c>
      <c r="D20" s="18" t="s">
        <v>1323</v>
      </c>
      <c r="E20" s="16">
        <f>SUMPRODUCT(ISNUMBER(SEARCH(","&amp;MASTER!$A$2:$A$2000&amp;",",","&amp;SUBSTITUTE($D20," ","")&amp;","))*((MASTER!$G$2:$G$2000="DONE")))</f>
        <v>1</v>
      </c>
      <c r="F20" s="16">
        <f t="shared" si="0"/>
        <v>2</v>
      </c>
      <c r="G20" s="18"/>
      <c r="H20" s="19"/>
      <c r="I20" s="18"/>
    </row>
    <row r="21" spans="1:9" x14ac:dyDescent="0.25">
      <c r="A21" s="15" t="s">
        <v>1324</v>
      </c>
      <c r="B21" s="18" t="s">
        <v>1325</v>
      </c>
      <c r="C21" s="12" t="s">
        <v>1289</v>
      </c>
      <c r="D21" s="18" t="s">
        <v>804</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2026-09-27T06:33:32Z</dcterms:modified>
</cp:coreProperties>
</file>

<file path=docProps/custom.xml><?xml version="1.0" encoding="utf-8"?>
<Properties xmlns="http://schemas.openxmlformats.org/officeDocument/2006/custom-properties" xmlns:vt="http://schemas.openxmlformats.org/officeDocument/2006/docPropsVTypes"/>
</file>