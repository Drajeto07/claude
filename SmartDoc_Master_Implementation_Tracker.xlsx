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E38416AA-5083-47F1-A7C2-BECF050E658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CHANGE_LOG!$A$1:$I$184</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TESTING!$A$275:$L$292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92" i="12"/>
  <c r="K292" i="12"/>
  <c r="J292" i="12"/>
  <c r="I292" i="12"/>
  <c r="H292" i="12"/>
  <c r="G292" i="12"/>
  <c r="F292" i="12"/>
  <c r="E292" i="12"/>
  <c r="D292" i="12"/>
  <c r="C292" i="12"/>
  <c r="B292" i="12"/>
  <c r="L291" i="12"/>
  <c r="K291" i="12"/>
  <c r="J291" i="12"/>
  <c r="I291" i="12"/>
  <c r="H291" i="12"/>
  <c r="G291" i="12"/>
  <c r="F291" i="12"/>
  <c r="E291" i="12"/>
  <c r="D291" i="12"/>
  <c r="C291" i="12"/>
  <c r="B291" i="12"/>
  <c r="L290" i="12"/>
  <c r="K290" i="12"/>
  <c r="J290" i="12"/>
  <c r="I290" i="12"/>
  <c r="H290" i="12"/>
  <c r="G290" i="12"/>
  <c r="F290" i="12"/>
  <c r="E290" i="12"/>
  <c r="D290" i="12"/>
  <c r="C290" i="12"/>
  <c r="B290" i="12"/>
  <c r="L289" i="12"/>
  <c r="K289" i="12"/>
  <c r="J289" i="12"/>
  <c r="I289" i="12"/>
  <c r="H289" i="12"/>
  <c r="G289" i="12"/>
  <c r="F289" i="12"/>
  <c r="E289" i="12"/>
  <c r="D289" i="12"/>
  <c r="C289" i="12"/>
  <c r="B289" i="12"/>
  <c r="L288" i="12"/>
  <c r="K288" i="12"/>
  <c r="J288" i="12"/>
  <c r="I288" i="12"/>
  <c r="H288" i="12"/>
  <c r="G288" i="12"/>
  <c r="F288" i="12"/>
  <c r="E288" i="12"/>
  <c r="D288" i="12"/>
  <c r="C288" i="12"/>
  <c r="B288" i="12"/>
  <c r="L287" i="12"/>
  <c r="K287" i="12"/>
  <c r="J287" i="12"/>
  <c r="I287" i="12"/>
  <c r="H287" i="12"/>
  <c r="G287" i="12"/>
  <c r="F287" i="12"/>
  <c r="E287" i="12"/>
  <c r="D287" i="12"/>
  <c r="C287" i="12"/>
  <c r="B287" i="12"/>
  <c r="L286" i="12"/>
  <c r="K286" i="12"/>
  <c r="J286" i="12"/>
  <c r="I286" i="12"/>
  <c r="H286" i="12"/>
  <c r="G286" i="12"/>
  <c r="F286" i="12"/>
  <c r="E286" i="12"/>
  <c r="D286" i="12"/>
  <c r="C286" i="12"/>
  <c r="B286" i="12"/>
  <c r="L285" i="12"/>
  <c r="K285" i="12"/>
  <c r="J285" i="12"/>
  <c r="I285" i="12"/>
  <c r="H285" i="12"/>
  <c r="G285" i="12"/>
  <c r="F285" i="12"/>
  <c r="E285" i="12"/>
  <c r="D285" i="12"/>
  <c r="C285" i="12"/>
  <c r="B285" i="12"/>
  <c r="L284" i="12"/>
  <c r="K284" i="12"/>
  <c r="J284" i="12"/>
  <c r="I284" i="12"/>
  <c r="H284" i="12"/>
  <c r="G284" i="12"/>
  <c r="F284" i="12"/>
  <c r="E284" i="12"/>
  <c r="D284" i="12"/>
  <c r="C284" i="12"/>
  <c r="B284" i="12"/>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L280" i="12"/>
  <c r="K280" i="12"/>
  <c r="J280" i="12"/>
  <c r="I280" i="12"/>
  <c r="H280" i="12"/>
  <c r="G280" i="12"/>
  <c r="F280" i="12"/>
  <c r="E280" i="12"/>
  <c r="D280" i="12"/>
  <c r="C280" i="12"/>
  <c r="B280" i="12"/>
  <c r="L279" i="12"/>
  <c r="K279" i="12"/>
  <c r="J279" i="12"/>
  <c r="I279" i="12"/>
  <c r="H279" i="12"/>
  <c r="G279" i="12"/>
  <c r="F279" i="12"/>
  <c r="E279" i="12"/>
  <c r="D279" i="12"/>
  <c r="C279" i="12"/>
  <c r="B279" i="12"/>
  <c r="L278" i="12"/>
  <c r="K278" i="12"/>
  <c r="J278" i="12"/>
  <c r="I278" i="12"/>
  <c r="H278" i="12"/>
  <c r="G278" i="12"/>
  <c r="F278" i="12"/>
  <c r="E278" i="12"/>
  <c r="D278" i="12"/>
  <c r="C278" i="12"/>
  <c r="B278" i="12"/>
  <c r="L277" i="12"/>
  <c r="K277" i="12"/>
  <c r="J277" i="12"/>
  <c r="I277" i="12"/>
  <c r="H277" i="12"/>
  <c r="G277" i="12"/>
  <c r="F277" i="12"/>
  <c r="E277" i="12"/>
  <c r="D277" i="12"/>
  <c r="C277" i="12"/>
  <c r="B277" i="12"/>
  <c r="L276" i="12"/>
  <c r="K276" i="12"/>
  <c r="J276" i="12"/>
  <c r="I276" i="12"/>
  <c r="H276" i="12"/>
  <c r="G276" i="12"/>
  <c r="F276" i="12"/>
  <c r="E276" i="12"/>
  <c r="D276" i="12"/>
  <c r="C276" i="12"/>
  <c r="B276" i="12"/>
  <c r="F4" i="12"/>
  <c r="E4" i="12"/>
  <c r="D4" i="12"/>
  <c r="B4" i="12"/>
  <c r="G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G63" i="1"/>
  <c r="L62" i="1"/>
  <c r="K62" i="1"/>
  <c r="J62" i="1"/>
  <c r="H62" i="1"/>
  <c r="I62" i="1" s="1"/>
  <c r="G62" i="1"/>
  <c r="L61" i="1"/>
  <c r="K61" i="1"/>
  <c r="J61" i="1"/>
  <c r="H61" i="1"/>
  <c r="I61" i="1" s="1"/>
  <c r="G61" i="1"/>
  <c r="L60" i="1"/>
  <c r="K60" i="1"/>
  <c r="J60" i="1"/>
  <c r="H60" i="1"/>
  <c r="I60" i="1" s="1"/>
  <c r="N60" i="1" s="1"/>
  <c r="G60" i="1"/>
  <c r="L59" i="1"/>
  <c r="K59" i="1"/>
  <c r="J59" i="1"/>
  <c r="H59" i="1"/>
  <c r="I59" i="1" s="1"/>
  <c r="G59" i="1"/>
  <c r="L58" i="1"/>
  <c r="K58" i="1"/>
  <c r="J58" i="1"/>
  <c r="H58" i="1"/>
  <c r="I58" i="1" s="1"/>
  <c r="G58" i="1"/>
  <c r="L57" i="1"/>
  <c r="K57" i="1"/>
  <c r="J57" i="1"/>
  <c r="H57" i="1"/>
  <c r="I57" i="1" s="1"/>
  <c r="G57" i="1"/>
  <c r="L56" i="1"/>
  <c r="K56" i="1"/>
  <c r="J56" i="1"/>
  <c r="H56" i="1"/>
  <c r="I56" i="1" s="1"/>
  <c r="G56" i="1"/>
  <c r="L55" i="1"/>
  <c r="K55" i="1"/>
  <c r="J55" i="1"/>
  <c r="H55" i="1"/>
  <c r="I55" i="1" s="1"/>
  <c r="G55" i="1"/>
  <c r="L54" i="1"/>
  <c r="K54" i="1"/>
  <c r="J54" i="1"/>
  <c r="H54" i="1"/>
  <c r="I54" i="1" s="1"/>
  <c r="N54" i="1" s="1"/>
  <c r="G54" i="1"/>
  <c r="L53" i="1"/>
  <c r="K53" i="1"/>
  <c r="J53" i="1"/>
  <c r="H53" i="1"/>
  <c r="I53" i="1" s="1"/>
  <c r="G53" i="1"/>
  <c r="L52" i="1"/>
  <c r="K52" i="1"/>
  <c r="J52" i="1"/>
  <c r="H52" i="1"/>
  <c r="I52" i="1" s="1"/>
  <c r="G52" i="1"/>
  <c r="L51" i="1"/>
  <c r="K51" i="1"/>
  <c r="J51" i="1"/>
  <c r="H51" i="1"/>
  <c r="I51" i="1" s="1"/>
  <c r="G51" i="1"/>
  <c r="L50" i="1"/>
  <c r="K50" i="1"/>
  <c r="J50" i="1"/>
  <c r="H50" i="1"/>
  <c r="I50" i="1" s="1"/>
  <c r="G50" i="1"/>
  <c r="L49" i="1"/>
  <c r="K49" i="1"/>
  <c r="J49" i="1"/>
  <c r="H49" i="1"/>
  <c r="I49" i="1" s="1"/>
  <c r="G49" i="1"/>
  <c r="L48" i="1"/>
  <c r="K48" i="1"/>
  <c r="J48" i="1"/>
  <c r="H48" i="1"/>
  <c r="I48" i="1" s="1"/>
  <c r="N48" i="1" s="1"/>
  <c r="G48" i="1"/>
  <c r="L47" i="1"/>
  <c r="K47" i="1"/>
  <c r="J47" i="1"/>
  <c r="H47" i="1"/>
  <c r="I47" i="1" s="1"/>
  <c r="G47" i="1"/>
  <c r="L46" i="1"/>
  <c r="K46" i="1"/>
  <c r="J46" i="1"/>
  <c r="H46" i="1"/>
  <c r="I46" i="1" s="1"/>
  <c r="G46" i="1"/>
  <c r="L45" i="1"/>
  <c r="K45" i="1"/>
  <c r="J45" i="1"/>
  <c r="H45" i="1"/>
  <c r="I45" i="1" s="1"/>
  <c r="G45" i="1"/>
  <c r="L44" i="1"/>
  <c r="K44" i="1"/>
  <c r="J44" i="1"/>
  <c r="H44" i="1"/>
  <c r="I44" i="1" s="1"/>
  <c r="G44" i="1"/>
  <c r="L43" i="1"/>
  <c r="K43" i="1"/>
  <c r="J43" i="1"/>
  <c r="H43" i="1"/>
  <c r="I43" i="1" s="1"/>
  <c r="G43" i="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G36" i="1"/>
  <c r="L35" i="1"/>
  <c r="K35" i="1"/>
  <c r="J35" i="1"/>
  <c r="H35" i="1"/>
  <c r="I35" i="1" s="1"/>
  <c r="G35" i="1"/>
  <c r="M35" i="1" s="1"/>
  <c r="M34" i="1"/>
  <c r="L34" i="1"/>
  <c r="K34" i="1"/>
  <c r="J34" i="1"/>
  <c r="H34" i="1"/>
  <c r="I34" i="1" s="1"/>
  <c r="G34" i="1"/>
  <c r="L33" i="1"/>
  <c r="K33" i="1"/>
  <c r="J33" i="1"/>
  <c r="H33" i="1"/>
  <c r="G33" i="1"/>
  <c r="B33" i="1"/>
  <c r="L32" i="1"/>
  <c r="K32" i="1"/>
  <c r="J32" i="1"/>
  <c r="H32" i="1"/>
  <c r="I32" i="1" s="1"/>
  <c r="G32" i="1"/>
  <c r="B32" i="1"/>
  <c r="L31" i="1"/>
  <c r="K31" i="1"/>
  <c r="J31" i="1"/>
  <c r="I31" i="1"/>
  <c r="H31" i="1"/>
  <c r="G31" i="1"/>
  <c r="M31" i="1" s="1"/>
  <c r="B31" i="1"/>
  <c r="L30" i="1"/>
  <c r="K30" i="1"/>
  <c r="J30" i="1"/>
  <c r="H30" i="1"/>
  <c r="I30" i="1" s="1"/>
  <c r="G30" i="1"/>
  <c r="M30" i="1" s="1"/>
  <c r="B30" i="1"/>
  <c r="L29" i="1"/>
  <c r="K29" i="1"/>
  <c r="J29" i="1"/>
  <c r="H29" i="1"/>
  <c r="M29" i="1" s="1"/>
  <c r="G29" i="1"/>
  <c r="B29" i="1"/>
  <c r="L28" i="1"/>
  <c r="K28" i="1"/>
  <c r="J28" i="1"/>
  <c r="H28" i="1"/>
  <c r="I28" i="1" s="1"/>
  <c r="G28" i="1"/>
  <c r="B28" i="1"/>
  <c r="L27" i="1"/>
  <c r="K27" i="1"/>
  <c r="J27" i="1"/>
  <c r="H27" i="1"/>
  <c r="I27" i="1" s="1"/>
  <c r="G27" i="1"/>
  <c r="M27" i="1" s="1"/>
  <c r="B27" i="1"/>
  <c r="L26" i="1"/>
  <c r="K26" i="1"/>
  <c r="J26" i="1"/>
  <c r="H26" i="1"/>
  <c r="I26" i="1" s="1"/>
  <c r="G26" i="1"/>
  <c r="M26" i="1" s="1"/>
  <c r="B26" i="1"/>
  <c r="L25" i="1"/>
  <c r="K25" i="1"/>
  <c r="J25" i="1"/>
  <c r="H25" i="1"/>
  <c r="I25" i="1" s="1"/>
  <c r="G25" i="1"/>
  <c r="B25" i="1"/>
  <c r="L24" i="1"/>
  <c r="K24" i="1"/>
  <c r="J24" i="1"/>
  <c r="H24" i="1"/>
  <c r="I24" i="1" s="1"/>
  <c r="G24" i="1"/>
  <c r="B24" i="1"/>
  <c r="N23" i="1"/>
  <c r="L23" i="1"/>
  <c r="K23" i="1"/>
  <c r="J23" i="1"/>
  <c r="I23" i="1"/>
  <c r="H23" i="1"/>
  <c r="G23" i="1"/>
  <c r="M23" i="1" s="1"/>
  <c r="L22" i="1"/>
  <c r="K22" i="1"/>
  <c r="J22" i="1"/>
  <c r="I22" i="1"/>
  <c r="H22" i="1"/>
  <c r="G22" i="1"/>
  <c r="N22" i="1" s="1"/>
  <c r="L21" i="1"/>
  <c r="K21" i="1"/>
  <c r="J21" i="1"/>
  <c r="H21" i="1"/>
  <c r="I21" i="1" s="1"/>
  <c r="G21" i="1"/>
  <c r="L20" i="1"/>
  <c r="K20" i="1"/>
  <c r="J20" i="1"/>
  <c r="I20" i="1"/>
  <c r="H20" i="1"/>
  <c r="G20" i="1"/>
  <c r="M20" i="1" s="1"/>
  <c r="L19" i="1"/>
  <c r="K19" i="1"/>
  <c r="J19" i="1"/>
  <c r="H19" i="1"/>
  <c r="I19" i="1" s="1"/>
  <c r="G19" i="1"/>
  <c r="M19" i="1" s="1"/>
  <c r="B19" i="1"/>
  <c r="B17" i="1"/>
  <c r="B16" i="1"/>
  <c r="F15" i="1"/>
  <c r="F14" i="1"/>
  <c r="B14" i="1"/>
  <c r="F13" i="1"/>
  <c r="F12" i="1"/>
  <c r="B12" i="1"/>
  <c r="F11" i="1"/>
  <c r="B11" i="1"/>
  <c r="F10" i="1"/>
  <c r="B10" i="1"/>
  <c r="F9" i="1"/>
  <c r="B9" i="1"/>
  <c r="F8" i="1"/>
  <c r="B8" i="1"/>
  <c r="F7" i="1"/>
  <c r="F6" i="1"/>
  <c r="B6" i="1"/>
  <c r="B7" i="1" s="1"/>
  <c r="F5" i="1"/>
  <c r="B5" i="1"/>
  <c r="B13" i="1" s="1"/>
  <c r="N45" i="1" l="1"/>
  <c r="N57" i="1"/>
  <c r="N51" i="1"/>
  <c r="N63" i="1"/>
  <c r="H4" i="7"/>
  <c r="N27" i="1"/>
  <c r="M33" i="1"/>
  <c r="C9" i="3"/>
  <c r="C12" i="3"/>
  <c r="C15" i="3"/>
  <c r="C18" i="3"/>
  <c r="C21" i="3"/>
  <c r="C24" i="3"/>
  <c r="C27" i="3"/>
  <c r="C4" i="6"/>
  <c r="H4" i="9"/>
  <c r="N31" i="1"/>
  <c r="H4" i="5"/>
  <c r="H4" i="8"/>
  <c r="N20" i="1"/>
  <c r="N34" i="1"/>
  <c r="M42" i="1"/>
  <c r="N44" i="1"/>
  <c r="M48" i="1"/>
  <c r="N50" i="1"/>
  <c r="M54" i="1"/>
  <c r="N56" i="1"/>
  <c r="M60" i="1"/>
  <c r="N62" i="1"/>
  <c r="C10" i="3"/>
  <c r="C13" i="3"/>
  <c r="C16" i="3"/>
  <c r="C19" i="3"/>
  <c r="C22" i="3"/>
  <c r="C25" i="3"/>
  <c r="H4" i="4"/>
  <c r="H4" i="13"/>
  <c r="H4" i="15"/>
  <c r="N25" i="1"/>
  <c r="M36" i="1"/>
  <c r="N41" i="1"/>
  <c r="C8" i="3"/>
  <c r="C11" i="3"/>
  <c r="C14" i="3"/>
  <c r="C17" i="3"/>
  <c r="C20" i="3"/>
  <c r="C23" i="3"/>
  <c r="C26" i="3"/>
  <c r="G4" i="9"/>
  <c r="G4" i="11"/>
  <c r="N35" i="1"/>
  <c r="M45" i="1"/>
  <c r="N47" i="1"/>
  <c r="M51" i="1"/>
  <c r="N53" i="1"/>
  <c r="M57" i="1"/>
  <c r="N59" i="1"/>
  <c r="M63" i="1"/>
  <c r="H4" i="6"/>
  <c r="G4" i="13"/>
  <c r="H4" i="17"/>
  <c r="N21" i="1"/>
  <c r="N24" i="1"/>
  <c r="N26" i="1"/>
  <c r="N43" i="1"/>
  <c r="N49" i="1"/>
  <c r="N55" i="1"/>
  <c r="N61" i="1"/>
  <c r="N28" i="1"/>
  <c r="N30" i="1"/>
  <c r="N32" i="1"/>
  <c r="N46" i="1"/>
  <c r="N52" i="1"/>
  <c r="N58" i="1"/>
  <c r="N19" i="1"/>
  <c r="G4" i="15"/>
  <c r="B19" i="19"/>
  <c r="G4" i="17"/>
  <c r="C4" i="11"/>
  <c r="H4" i="11" s="1"/>
  <c r="C4" i="12"/>
  <c r="H4" i="12" s="1"/>
  <c r="I29" i="1"/>
  <c r="N29" i="1" s="1"/>
  <c r="I33" i="1"/>
  <c r="N33" i="1" s="1"/>
  <c r="I36" i="1"/>
  <c r="N36" i="1" s="1"/>
  <c r="B15" i="1"/>
  <c r="M22" i="1"/>
  <c r="M44" i="1"/>
  <c r="M47" i="1"/>
  <c r="M50" i="1"/>
  <c r="M53" i="1"/>
  <c r="M56" i="1"/>
  <c r="M59" i="1"/>
  <c r="M62" i="1"/>
  <c r="B9" i="3"/>
  <c r="B11" i="3"/>
  <c r="B13" i="3"/>
  <c r="B15" i="3"/>
  <c r="B17" i="3"/>
  <c r="B19" i="3"/>
  <c r="B21" i="3"/>
  <c r="B23" i="3"/>
  <c r="B25" i="3"/>
  <c r="B27" i="3"/>
  <c r="G4" i="7"/>
  <c r="C4" i="10"/>
  <c r="H4" i="10" s="1"/>
  <c r="C4" i="14"/>
  <c r="H4" i="14" s="1"/>
  <c r="M25" i="1"/>
  <c r="C4" i="16"/>
  <c r="H4" i="16" s="1"/>
  <c r="M21" i="1"/>
  <c r="M43" i="1"/>
  <c r="M46" i="1"/>
  <c r="M49" i="1"/>
  <c r="M52" i="1"/>
  <c r="M55" i="1"/>
  <c r="M58" i="1"/>
  <c r="M61" i="1"/>
  <c r="M24" i="1"/>
  <c r="M28" i="1"/>
  <c r="M32" i="1"/>
  <c r="B12" i="3"/>
  <c r="B16" i="3"/>
  <c r="B20" i="3"/>
  <c r="B8" i="3"/>
  <c r="B10" i="3"/>
  <c r="B14" i="3"/>
  <c r="B18" i="3"/>
  <c r="B22" i="3"/>
  <c r="B24" i="3"/>
  <c r="B26" i="3"/>
  <c r="E4" i="3" l="1"/>
  <c r="D4" i="3"/>
  <c r="C4" i="3"/>
  <c r="B4" i="3"/>
  <c r="B18" i="1" s="1"/>
</calcChain>
</file>

<file path=xl/sharedStrings.xml><?xml version="1.0" encoding="utf-8"?>
<sst xmlns="http://schemas.openxmlformats.org/spreadsheetml/2006/main" count="6114" uniqueCount="2455">
  <si>
    <t>SmartDoc — Master Implementation Tracker</t>
  </si>
  <si>
    <t>Production-hardening brief. MASTER holds the task data; every number here is a formula. Updated with tools/tracker/tracker.py. Last written 2026-10-07 16:20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</si>
  <si>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</si>
  <si>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</si>
  <si>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</si>
  <si>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</si>
  <si>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</si>
  <si>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</si>
  <si>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</si>
  <si>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</si>
  <si>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</si>
  <si>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</si>
  <si>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</si>
  <si>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</si>
  <si>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</si>
  <si>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</si>
  <si>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</si>
  <si>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</si>
  <si>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</si>
  <si>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</si>
  <si>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</si>
  <si>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</si>
  <si>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</si>
  <si>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</si>
  <si>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</si>
  <si>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</si>
  <si>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</si>
  <si>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</si>
  <si>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</si>
  <si>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</si>
  <si>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</si>
  <si>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</si>
  <si>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</si>
  <si>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</si>
  <si>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</si>
  <si>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</si>
  <si>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</si>
  <si>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</si>
  <si>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</si>
  <si>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</si>
  <si>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</si>
  <si>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</si>
  <si>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</si>
  <si>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</si>
  <si>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</si>
  <si>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</si>
  <si>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</si>
  <si>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</si>
  <si>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</si>
  <si>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</si>
  <si>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</si>
  <si>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</si>
  <si>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</si>
  <si>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</si>
  <si>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</si>
  <si>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</si>
  <si>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</si>
  <si>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</si>
  <si>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</si>
  <si>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</si>
  <si>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</si>
  <si>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</si>
  <si>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</si>
  <si>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</si>
  <si>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</si>
  <si>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</si>
  <si>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</si>
  <si>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</si>
  <si>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</si>
  <si>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</si>
  <si>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</si>
  <si>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</si>
  <si>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</si>
  <si>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</si>
  <si>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</si>
  <si>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</si>
  <si>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</si>
  <si>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</si>
  <si>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</si>
  <si>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</si>
  <si>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</si>
  <si>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</si>
  <si>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</si>
  <si>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</si>
  <si>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</si>
  <si>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</si>
  <si>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</si>
  <si>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</si>
  <si>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</si>
  <si>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</si>
  <si>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</si>
  <si>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</si>
  <si>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</si>
  <si>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</si>
  <si>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</si>
  <si>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</si>
  <si>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</si>
  <si>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</si>
  <si>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</si>
  <si>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</si>
  <si>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</si>
  <si>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</si>
  <si>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</si>
  <si>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</si>
  <si>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</si>
  <si>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</si>
  <si>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</si>
  <si>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</si>
  <si>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</si>
  <si>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</si>
  <si>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</si>
  <si>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</si>
  <si>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</si>
  <si>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</si>
  <si>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</si>
  <si>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</si>
  <si>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</si>
  <si>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</si>
  <si>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</si>
  <si>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</si>
  <si>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</si>
  <si>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</si>
  <si>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</si>
  <si>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</si>
  <si>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</si>
  <si>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</si>
  <si>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</si>
  <si>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</si>
  <si>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</si>
  <si>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</si>
  <si>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</si>
  <si>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</si>
  <si>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</si>
  <si>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</si>
  <si>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</si>
  <si>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</si>
  <si>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</si>
  <si>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</si>
  <si>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</si>
  <si>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</si>
  <si>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</si>
  <si>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</si>
  <si>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</si>
  <si>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</si>
  <si>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</si>
  <si>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</si>
  <si>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</si>
  <si>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</si>
  <si>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</si>
  <si>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</si>
  <si>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</si>
  <si>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</si>
  <si>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</si>
  <si>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</si>
  <si>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</si>
  <si>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</si>
  <si>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</si>
  <si>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</si>
  <si>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</si>
  <si>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</si>
  <si>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</si>
  <si>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</si>
  <si>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</si>
  <si>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</si>
  <si>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</si>
  <si>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</si>
  <si>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</si>
  <si>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</si>
  <si>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</si>
  <si>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</si>
  <si>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</si>
  <si>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</si>
  <si>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</si>
  <si>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</si>
  <si>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</si>
  <si>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</si>
  <si>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</si>
  <si>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</si>
  <si>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</si>
  <si>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</si>
  <si>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</si>
  <si>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</si>
  <si>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</si>
  <si>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</si>
  <si>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</si>
  <si>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</si>
  <si>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</si>
  <si>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</si>
  <si>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</si>
  <si>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</si>
  <si>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</si>
  <si>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</si>
  <si>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</si>
  <si>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</si>
  <si>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</si>
  <si>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</si>
  <si>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</si>
  <si>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</si>
  <si>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</si>
  <si>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</si>
  <si>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</si>
  <si>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</si>
  <si>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</si>
  <si>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</si>
  <si>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</si>
  <si>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</si>
  <si>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</si>
  <si>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</si>
  <si>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</si>
  <si>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</si>
  <si>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</si>
  <si>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</si>
  <si>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</si>
  <si>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</si>
  <si>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</si>
  <si>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</si>
  <si>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</si>
  <si>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</si>
  <si>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</si>
  <si>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</si>
  <si>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</si>
  <si>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</si>
  <si>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</si>
  <si>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</si>
  <si>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</si>
  <si>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</si>
  <si>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</si>
  <si>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</si>
  <si>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</si>
  <si>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</si>
  <si>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</si>
  <si>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</si>
  <si>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</si>
  <si>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</si>
  <si>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</si>
  <si>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</si>
  <si>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</si>
  <si>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</si>
  <si>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</si>
  <si>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</si>
  <si>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</si>
  <si>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</si>
  <si>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</si>
  <si>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</si>
  <si>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</si>
  <si>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</si>
  <si>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</si>
  <si>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</si>
  <si>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</si>
  <si>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</si>
  <si>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</si>
  <si>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</si>
  <si>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</si>
  <si>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</si>
  <si>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</si>
  <si>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</si>
  <si>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</si>
  <si>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</si>
  <si>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</si>
  <si>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</si>
  <si>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</si>
  <si>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</si>
  <si>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</si>
  <si>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</si>
  <si>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</si>
  <si>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</si>
  <si>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</si>
  <si>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</si>
  <si>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</si>
  <si>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</si>
  <si>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</si>
  <si>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</si>
  <si>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</si>
  <si>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</si>
  <si>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</si>
  <si>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</si>
  <si>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</si>
  <si>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</si>
  <si>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</si>
  <si>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</si>
  <si>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</si>
  <si>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</si>
  <si>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</si>
  <si>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</si>
  <si>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</si>
  <si>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</si>
  <si>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</si>
  <si>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</si>
  <si>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</si>
  <si>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</si>
  <si>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</si>
  <si>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</si>
  <si>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</si>
  <si>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</si>
  <si>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</si>
  <si>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</si>
  <si>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</si>
  <si>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</si>
  <si>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</si>
  <si>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</si>
  <si>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</si>
  <si>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</si>
  <si>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</si>
  <si>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</si>
  <si>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</si>
  <si>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</si>
  <si>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</si>
  <si>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</si>
  <si>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</si>
  <si>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</si>
  <si>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</si>
  <si>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</si>
  <si>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</si>
  <si>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</si>
  <si>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</si>
  <si>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</si>
  <si>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</si>
  <si>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</si>
  <si>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</si>
  <si>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</si>
  <si>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</si>
  <si>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</si>
  <si>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</si>
  <si>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</si>
  <si>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</si>
  <si>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</si>
  <si>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</si>
  <si>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</si>
  <si>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</si>
  <si>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</si>
  <si>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</si>
  <si>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</si>
  <si>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</si>
  <si>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</si>
  <si>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</si>
  <si>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</si>
  <si>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</si>
  <si>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</si>
  <si>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</si>
  <si>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</si>
  <si>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</si>
  <si>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</si>
  <si>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</si>
  <si>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</si>
  <si>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</si>
  <si>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</si>
  <si>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</si>
  <si>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</si>
  <si>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</si>
  <si>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</si>
  <si>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</si>
  <si>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</si>
  <si>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</si>
  <si>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</si>
  <si>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</si>
  <si>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</si>
  <si>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</si>
  <si>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</si>
  <si>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</si>
  <si>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</si>
  <si>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</si>
  <si>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</si>
  <si>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</si>
  <si>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</si>
  <si>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</si>
  <si>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</si>
  <si>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</si>
  <si>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</si>
  <si>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</si>
  <si>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</si>
  <si>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</si>
  <si>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</si>
  <si>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</si>
  <si>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</si>
  <si>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</si>
  <si>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</si>
  <si>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</si>
  <si>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</si>
  <si>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</si>
  <si>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</si>
  <si>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</si>
  <si>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</si>
  <si>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</si>
  <si>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</si>
  <si>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</si>
  <si>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</si>
  <si>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</si>
  <si>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</si>
  <si>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</si>
  <si>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</si>
  <si>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</si>
  <si>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</si>
  <si>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</si>
  <si>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</si>
  <si>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</si>
  <si>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</si>
  <si>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</si>
  <si>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</si>
  <si>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</si>
  <si>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</si>
  <si>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</si>
  <si>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</si>
  <si>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</si>
  <si>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</si>
  <si>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</si>
  <si>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</si>
  <si>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</si>
  <si>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</si>
  <si>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</si>
  <si>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</si>
  <si>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</si>
  <si>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</si>
  <si>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</si>
  <si>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</si>
  <si>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</si>
  <si>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</si>
  <si>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</si>
  <si>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</si>
  <si>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</si>
  <si>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</si>
  <si>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</si>
  <si>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</si>
  <si>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</si>
  <si>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</si>
  <si>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</si>
  <si>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</si>
  <si>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</si>
  <si>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</si>
  <si>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</si>
  <si>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</si>
  <si>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</si>
  <si>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</si>
  <si>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</si>
  <si>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</si>
  <si>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</si>
  <si>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</si>
  <si>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</si>
  <si>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</si>
  <si>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</si>
  <si>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</si>
  <si>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</si>
  <si>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</si>
  <si>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</si>
  <si>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</si>
  <si>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</si>
  <si>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</si>
  <si>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</si>
  <si>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</si>
  <si>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</si>
  <si>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</si>
  <si>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</si>
  <si>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</si>
  <si>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</si>
  <si>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</si>
  <si>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</si>
  <si>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</si>
  <si>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</si>
  <si>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</si>
  <si>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</si>
  <si>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</si>
  <si>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</si>
  <si>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</si>
  <si>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</si>
  <si>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</si>
  <si>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</si>
  <si>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</si>
  <si>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</si>
  <si>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</si>
  <si>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</si>
  <si>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</si>
  <si>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</si>
  <si>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</si>
  <si>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</si>
  <si>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</si>
  <si>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</si>
  <si>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</si>
  <si>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</si>
  <si>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</si>
  <si>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</si>
  <si>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</si>
  <si>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</si>
  <si>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</si>
  <si>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</si>
  <si>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</si>
  <si>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</si>
  <si>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</si>
  <si>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</si>
  <si>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</si>
  <si>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</si>
  <si>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</si>
  <si>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</si>
  <si>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</si>
  <si>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</si>
  <si>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</si>
  <si>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</si>
  <si>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</si>
  <si>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</si>
  <si>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</si>
  <si>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</si>
  <si>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</si>
  <si>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</si>
  <si>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</si>
  <si>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</si>
  <si>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</si>
  <si>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</si>
  <si>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</si>
  <si>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</si>
  <si>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</si>
  <si>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</si>
  <si>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</si>
  <si>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</si>
  <si>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</si>
  <si>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</si>
  <si>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</si>
  <si>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</si>
  <si>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</si>
  <si>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</si>
  <si>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</si>
  <si>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</si>
  <si>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</si>
  <si>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</si>
  <si>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</si>
  <si>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</si>
  <si>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</si>
  <si>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</si>
  <si>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</si>
  <si>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</si>
  <si>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</si>
  <si>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</si>
  <si>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</si>
  <si>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</si>
  <si>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</si>
  <si>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</si>
  <si>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</si>
  <si>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</si>
  <si>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</si>
  <si>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</si>
  <si>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</si>
  <si>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</si>
  <si>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</si>
  <si>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</si>
  <si>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</si>
  <si>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</si>
  <si>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</si>
  <si>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</si>
  <si>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</si>
  <si>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</si>
  <si>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</si>
  <si>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</si>
  <si>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</si>
  <si>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</si>
  <si>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</si>
  <si>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</si>
  <si>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</si>
  <si>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</si>
  <si>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</si>
  <si>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</si>
  <si>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</si>
  <si>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</si>
  <si>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</si>
  <si>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</si>
  <si>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</si>
  <si>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</si>
  <si>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</si>
  <si>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</si>
  <si>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</si>
  <si>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</si>
  <si>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</si>
  <si>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</si>
  <si>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</si>
  <si>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</si>
  <si>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</si>
  <si>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</si>
  <si>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</si>
  <si>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</si>
  <si>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</si>
  <si>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</si>
  <si>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</si>
  <si>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</si>
  <si>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</si>
  <si>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</si>
  <si>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</si>
  <si>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</si>
  <si>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</si>
  <si>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</si>
  <si>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</si>
  <si>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</si>
  <si>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</si>
  <si>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</si>
  <si>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</si>
  <si>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</si>
  <si>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</si>
  <si>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</si>
  <si>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</si>
  <si>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</si>
  <si>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</si>
  <si>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</si>
  <si>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</si>
  <si>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</si>
  <si>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</si>
  <si>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</si>
  <si>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</si>
  <si>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</si>
  <si>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</si>
  <si>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</si>
  <si>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</si>
  <si>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</si>
  <si>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</si>
  <si>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</si>
  <si>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</si>
  <si>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</si>
  <si>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</si>
  <si>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</si>
  <si>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</si>
  <si>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</si>
  <si>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</si>
  <si>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</si>
  <si>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</si>
  <si>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</si>
  <si>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</si>
  <si>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</si>
  <si>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</si>
  <si>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</si>
  <si>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</si>
  <si>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</si>
  <si>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</si>
  <si>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</si>
  <si>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</si>
  <si>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</si>
  <si>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</si>
  <si>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</si>
  <si>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</si>
  <si>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</si>
  <si>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</si>
  <si>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</si>
  <si>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</si>
  <si>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</si>
  <si>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</si>
  <si>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</si>
  <si>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</si>
  <si>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</si>
  <si>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</si>
  <si>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</si>
  <si>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</si>
  <si>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</si>
  <si>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</si>
  <si>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</si>
  <si>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</si>
  <si>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</si>
  <si>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</si>
  <si>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</si>
  <si>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</si>
  <si>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</si>
  <si>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</si>
  <si>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</si>
  <si>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</si>
  <si>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</si>
  <si>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</si>
  <si>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</si>
  <si>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</si>
  <si>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</si>
  <si>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</si>
  <si>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</si>
  <si>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</si>
  <si>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</si>
  <si>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</si>
  <si>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</si>
  <si>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</si>
  <si>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</si>
  <si>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</si>
  <si>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</si>
  <si>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</si>
  <si>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</si>
  <si>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</si>
  <si>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</si>
  <si>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</si>
  <si>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</si>
  <si>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</si>
  <si>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</si>
  <si>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</si>
  <si>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</si>
  <si>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</si>
  <si>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</si>
  <si>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</si>
  <si>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</si>
  <si>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</si>
  <si>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</si>
  <si>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</si>
  <si>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</si>
  <si>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</si>
  <si>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</si>
  <si>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</si>
  <si>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</si>
  <si>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</si>
  <si>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</si>
  <si>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</si>
  <si>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</si>
  <si>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</si>
  <si>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</si>
  <si>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</si>
  <si>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</si>
  <si>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</si>
  <si>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</si>
  <si>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</si>
  <si>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</si>
  <si>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</si>
  <si>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</si>
  <si>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</si>
  <si>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</si>
  <si>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</si>
  <si>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</si>
  <si>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</si>
  <si>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</si>
  <si>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</si>
  <si>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</si>
  <si>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</si>
  <si>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</si>
  <si>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</si>
  <si>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</si>
  <si>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</si>
  <si>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</si>
  <si>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</si>
  <si>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</si>
  <si>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</si>
  <si>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</si>
  <si>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</si>
  <si>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</si>
  <si>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</si>
  <si>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</si>
  <si>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</si>
  <si>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</si>
  <si>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</si>
  <si>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</si>
  <si>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</si>
  <si>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</si>
  <si>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</si>
  <si>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</si>
  <si>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</si>
  <si>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</si>
  <si>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</si>
  <si>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</si>
  <si>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</si>
  <si>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</si>
  <si>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</si>
  <si>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</si>
  <si>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</si>
  <si>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</si>
  <si>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</si>
  <si>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</si>
  <si>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</si>
  <si>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</si>
  <si>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</si>
  <si>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</si>
  <si>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</si>
  <si>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</si>
  <si>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</si>
  <si>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</si>
  <si>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</si>
  <si>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</si>
  <si>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</si>
  <si>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</si>
  <si>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</si>
  <si>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</si>
  <si>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</si>
  <si>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</si>
  <si>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</si>
  <si>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</si>
  <si>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</si>
  <si>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</si>
  <si>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</si>
  <si>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</si>
  <si>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</si>
  <si>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</si>
  <si>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</si>
  <si>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</si>
  <si>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</si>
  <si>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</si>
  <si>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</si>
  <si>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</si>
  <si>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</si>
  <si>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</si>
  <si>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</si>
  <si>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</si>
  <si>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</si>
  <si>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</si>
  <si>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</si>
  <si>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</si>
  <si>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</si>
  <si>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</si>
  <si>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</si>
  <si>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</si>
  <si>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</si>
  <si>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</si>
  <si>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</si>
  <si>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</si>
  <si>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</si>
  <si>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</si>
  <si>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</si>
  <si>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</si>
  <si>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</si>
  <si>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</si>
  <si>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</si>
  <si>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</si>
  <si>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</si>
  <si>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</si>
  <si>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</si>
  <si>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</si>
  <si>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</si>
  <si>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</si>
  <si>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</si>
  <si>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</si>
  <si>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</si>
  <si>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</si>
  <si>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</si>
  <si>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</si>
  <si>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</si>
  <si>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</si>
  <si>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</si>
  <si>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</si>
  <si>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</si>
  <si>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</si>
  <si>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</si>
  <si>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</si>
  <si>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</si>
  <si>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</si>
  <si>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</si>
  <si>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</si>
  <si>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</si>
  <si>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</si>
  <si>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</si>
  <si>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</si>
  <si>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</si>
  <si>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</si>
  <si>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</si>
  <si>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</si>
  <si>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</si>
  <si>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</si>
  <si>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</si>
  <si>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</si>
  <si>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</si>
  <si>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</si>
  <si>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</si>
  <si>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</si>
  <si>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</si>
  <si>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</si>
  <si>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</si>
  <si>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</si>
  <si>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</si>
  <si>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</si>
  <si>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</si>
  <si>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</si>
  <si>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</si>
  <si>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</si>
  <si>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</si>
  <si>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</si>
  <si>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</si>
  <si>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</si>
  <si>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</si>
  <si>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</si>
  <si>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</si>
  <si>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</si>
  <si>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</si>
  <si>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</si>
  <si>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</si>
  <si>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</si>
  <si>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</si>
  <si>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</si>
  <si>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</si>
  <si>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</si>
  <si>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</si>
  <si>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</si>
  <si>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</si>
  <si>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</si>
  <si>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</si>
  <si>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</si>
  <si>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</si>
  <si>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</si>
  <si>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</si>
  <si>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</si>
  <si>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</si>
  <si>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</si>
  <si>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</si>
  <si>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</si>
  <si>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</si>
  <si>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</si>
  <si>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</si>
  <si>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</si>
  <si>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</si>
  <si>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</si>
  <si>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</si>
  <si>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</si>
  <si>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</si>
  <si>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</si>
  <si>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</si>
  <si>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</si>
  <si>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</si>
  <si>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</si>
  <si>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</si>
  <si>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</si>
  <si>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</si>
  <si>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</si>
  <si>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</si>
  <si>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</si>
  <si>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</si>
  <si>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</si>
  <si>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</si>
  <si>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</si>
  <si>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</si>
  <si>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</si>
  <si>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</si>
  <si>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</si>
  <si>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</si>
  <si>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</si>
  <si>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</si>
  <si>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</si>
  <si>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</si>
  <si>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</si>
  <si>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</si>
  <si>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</si>
  <si>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</si>
  <si>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</si>
  <si>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</si>
  <si>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</si>
  <si>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</si>
  <si>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</si>
  <si>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</si>
  <si>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</si>
  <si>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</si>
  <si>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</si>
  <si>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</si>
  <si>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</si>
  <si>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</si>
  <si>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</si>
  <si>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</si>
  <si>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</si>
  <si>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</si>
  <si>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</si>
  <si>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</si>
  <si>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</si>
  <si>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</si>
  <si>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</si>
  <si>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</si>
  <si>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</si>
  <si>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</si>
  <si>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</si>
  <si>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</si>
  <si>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</si>
  <si>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</si>
  <si>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</si>
  <si>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</si>
  <si>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</si>
  <si>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</si>
  <si>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</si>
  <si>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</si>
  <si>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</si>
  <si>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</si>
  <si>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</si>
  <si>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</si>
  <si>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</si>
  <si>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</si>
  <si>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</si>
  <si>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</si>
  <si>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</si>
  <si>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</si>
  <si>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</si>
  <si>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</si>
  <si>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</si>
  <si>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</si>
  <si>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</si>
  <si>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</si>
  <si>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</si>
  <si>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</si>
  <si>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</si>
  <si>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</si>
  <si>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</si>
  <si>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</si>
  <si>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</si>
  <si>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</si>
  <si>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</si>
  <si>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</si>
  <si>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</si>
  <si>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</si>
  <si>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</si>
  <si>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</si>
  <si>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</si>
  <si>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</si>
  <si>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</si>
  <si>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</si>
  <si>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</si>
  <si>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</si>
  <si>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</si>
  <si>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</si>
  <si>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</si>
  <si>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</si>
  <si>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</si>
  <si>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</si>
  <si>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</si>
  <si>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</si>
  <si>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</si>
  <si>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</si>
  <si>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</si>
  <si>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</si>
  <si>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</si>
  <si>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</si>
  <si>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</si>
  <si>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</si>
  <si>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</si>
  <si>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</si>
  <si>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</si>
  <si>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</si>
  <si>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</si>
  <si>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</si>
  <si>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</si>
  <si>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</si>
  <si>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</si>
  <si>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</si>
  <si>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</si>
  <si>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</si>
  <si>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</si>
  <si>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</si>
  <si>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</si>
  <si>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</si>
  <si>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</si>
  <si>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</si>
  <si>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</si>
  <si>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</si>
  <si>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</si>
  <si>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</si>
  <si>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</si>
  <si>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</si>
  <si>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</si>
  <si>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</si>
  <si>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</si>
  <si>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</si>
  <si>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</si>
  <si>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</si>
  <si>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</si>
  <si>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</si>
  <si>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</si>
  <si>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</si>
  <si>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</si>
  <si>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</si>
  <si>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</si>
  <si>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</si>
  <si>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</si>
  <si>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</si>
  <si>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</si>
  <si>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</si>
  <si>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</si>
  <si>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</si>
  <si>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</si>
  <si>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</si>
  <si>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</si>
  <si>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</si>
  <si>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</si>
  <si>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</si>
  <si>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</si>
  <si>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</si>
  <si>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</si>
  <si>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</si>
  <si>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</si>
  <si>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</si>
  <si>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</si>
  <si>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</si>
  <si>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</si>
  <si>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</si>
  <si>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</si>
  <si>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</si>
  <si>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</si>
  <si>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</si>
  <si>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</si>
  <si>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</si>
  <si>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</si>
  <si>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</si>
  <si>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</si>
  <si>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</si>
  <si>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</si>
  <si>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</si>
  <si>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</si>
  <si>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</si>
  <si>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</si>
  <si>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</si>
  <si>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</si>
  <si>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</si>
  <si>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</si>
  <si>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</si>
  <si>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</si>
  <si>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</si>
  <si>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</si>
  <si>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</si>
  <si>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</si>
  <si>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</si>
  <si>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</si>
  <si>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</si>
  <si>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</si>
  <si>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</si>
  <si>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</si>
  <si>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</si>
  <si>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</si>
  <si>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</si>
  <si>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</si>
  <si>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</si>
  <si>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</si>
  <si>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</si>
  <si>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</si>
  <si>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</si>
  <si>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</si>
  <si>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</si>
  <si>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</si>
  <si>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</si>
  <si>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</si>
  <si>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</si>
  <si>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</si>
  <si>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</si>
  <si>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</si>
  <si>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</si>
  <si>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</si>
  <si>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</si>
  <si>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</si>
  <si>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</si>
  <si>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</si>
  <si>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</si>
  <si>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</si>
  <si>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</si>
  <si>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</si>
  <si>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</si>
  <si>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</si>
  <si>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</si>
  <si>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</si>
  <si>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</si>
  <si>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</si>
  <si>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</si>
  <si>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</si>
  <si>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</si>
  <si>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</si>
  <si>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</si>
  <si>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</si>
  <si>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</si>
  <si>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</si>
  <si>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</si>
  <si>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</si>
  <si>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</si>
  <si>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</si>
  <si>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</si>
  <si>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</si>
  <si>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</si>
  <si>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</si>
  <si>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</si>
  <si>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</si>
  <si>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</si>
  <si>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</si>
  <si>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</si>
  <si>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</si>
  <si>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</si>
  <si>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</si>
  <si>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</si>
  <si>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</si>
  <si>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</si>
  <si>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</si>
  <si>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</si>
  <si>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</si>
  <si>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</si>
  <si>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</si>
  <si>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</si>
  <si>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</si>
  <si>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</si>
  <si>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</si>
  <si>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</si>
  <si>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</si>
  <si>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</si>
  <si>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</si>
  <si>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</si>
  <si>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</si>
  <si>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</si>
  <si>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</si>
  <si>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</si>
  <si>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</si>
  <si>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</si>
  <si>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</si>
  <si>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</si>
  <si>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</si>
  <si>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</si>
  <si>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</si>
  <si>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</si>
  <si>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</si>
  <si>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</si>
  <si>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</si>
  <si>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</si>
  <si>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</si>
  <si>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</si>
  <si>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</si>
  <si>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</si>
  <si>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</si>
  <si>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</si>
  <si>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</si>
  <si>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</si>
  <si>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</si>
  <si>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</si>
  <si>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</si>
  <si>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</si>
  <si>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</si>
  <si>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</si>
  <si>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</si>
  <si>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</si>
  <si>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</si>
  <si>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</si>
  <si>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</si>
  <si>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</si>
  <si>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</si>
  <si>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</si>
  <si>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</si>
  <si>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</si>
  <si>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</si>
  <si>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</si>
  <si>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</si>
  <si>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</si>
  <si>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</si>
  <si>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</si>
  <si>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</si>
  <si>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</si>
  <si>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</si>
  <si>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</si>
  <si>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</si>
  <si>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</si>
  <si>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</si>
  <si>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</si>
  <si>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</si>
  <si>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</si>
  <si>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</si>
  <si>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</si>
  <si>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</si>
  <si>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</si>
  <si>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</si>
  <si>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</si>
  <si>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</si>
  <si>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</si>
  <si>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</si>
  <si>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</si>
  <si>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</si>
  <si>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</si>
  <si>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</si>
  <si>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</si>
  <si>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</si>
  <si>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</si>
  <si>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</si>
  <si>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</si>
  <si>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</si>
  <si>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</si>
  <si>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</si>
  <si>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</si>
  <si>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</si>
  <si>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</si>
  <si>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</si>
  <si>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</si>
  <si>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</si>
  <si>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</si>
  <si>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</si>
  <si>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</si>
  <si>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</si>
  <si>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</si>
  <si>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</si>
  <si>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</si>
  <si>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</si>
  <si>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</si>
  <si>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</si>
  <si>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</si>
  <si>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</si>
  <si>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</si>
  <si>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</si>
  <si>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</si>
  <si>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</si>
  <si>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</si>
  <si>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</si>
  <si>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</si>
  <si>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</si>
  <si>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</si>
  <si>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</si>
  <si>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</si>
  <si>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</si>
  <si>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</si>
  <si>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</si>
  <si>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</si>
  <si>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</si>
  <si>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</si>
  <si>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</si>
  <si>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</si>
  <si>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</si>
  <si>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</si>
  <si>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</si>
  <si>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</si>
  <si>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</si>
  <si>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</si>
  <si>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</si>
  <si>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</si>
  <si>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</si>
  <si>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</si>
  <si>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</si>
  <si>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</si>
  <si>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</si>
  <si>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</si>
  <si>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</si>
  <si>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</si>
  <si>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</si>
  <si>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</si>
  <si>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</si>
  <si>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</si>
  <si>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</si>
  <si>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</si>
  <si>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</si>
  <si>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</si>
  <si>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</si>
  <si>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</si>
  <si>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</si>
  <si>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</si>
  <si>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</si>
  <si>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</si>
  <si>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</si>
  <si>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</si>
  <si>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</si>
  <si>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</si>
  <si>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</si>
  <si>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</si>
  <si>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</si>
  <si>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</si>
  <si>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</si>
  <si>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</si>
  <si>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</si>
  <si>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</si>
  <si>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</si>
  <si>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</si>
  <si>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</si>
  <si>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</si>
  <si>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</si>
  <si>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</si>
  <si>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</si>
  <si>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</si>
  <si>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</si>
  <si>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</si>
  <si>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</si>
  <si>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</si>
  <si>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</si>
  <si>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</si>
  <si>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</si>
  <si>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</si>
  <si>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</si>
  <si>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</si>
  <si>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</si>
  <si>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</si>
  <si>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</si>
  <si>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</si>
  <si>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</si>
  <si>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</si>
  <si>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</si>
  <si>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</si>
  <si>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</si>
  <si>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</si>
  <si>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</si>
  <si>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</si>
  <si>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</si>
  <si>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</si>
  <si>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</si>
  <si>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</si>
  <si>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</si>
  <si>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</si>
  <si>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</si>
  <si>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</si>
  <si>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</si>
  <si>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</si>
  <si>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</si>
  <si>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</si>
  <si>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</si>
  <si>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</si>
  <si>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</si>
  <si>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</si>
  <si>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</si>
  <si>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</si>
  <si>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</si>
  <si>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</si>
  <si>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</si>
  <si>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</si>
  <si>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</si>
  <si>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</si>
  <si>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</si>
  <si>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</si>
  <si>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</si>
  <si>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</si>
  <si>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</si>
  <si>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</si>
  <si>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</si>
  <si>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</si>
  <si>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</si>
  <si>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</si>
  <si>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</si>
  <si>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</si>
  <si>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</si>
  <si>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</si>
  <si>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</si>
  <si>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</si>
  <si>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</si>
  <si>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</si>
  <si>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</si>
  <si>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</si>
  <si>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</si>
  <si>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</si>
  <si>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</si>
  <si>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</si>
  <si>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</si>
  <si>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</si>
  <si>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</si>
  <si>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</si>
  <si>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</si>
  <si>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</si>
  <si>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</si>
  <si>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</si>
  <si>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</si>
  <si>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</si>
  <si>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</si>
  <si>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</si>
  <si>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</si>
  <si>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</si>
  <si>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</si>
  <si>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</si>
  <si>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</si>
  <si>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</si>
  <si>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</si>
  <si>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</si>
  <si>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</si>
  <si>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</si>
  <si>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</si>
  <si>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</si>
  <si>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</si>
  <si>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</si>
  <si>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</si>
  <si>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</si>
  <si>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</si>
  <si>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</si>
  <si>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</si>
  <si>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</si>
  <si>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</si>
  <si>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</si>
  <si>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</si>
  <si>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</si>
  <si>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</si>
  <si>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</si>
  <si>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</si>
  <si>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</si>
  <si>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</si>
  <si>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</si>
  <si>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</si>
  <si>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</si>
  <si>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</si>
  <si>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</si>
  <si>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</si>
  <si>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</si>
  <si>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</si>
  <si>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</si>
  <si>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</si>
  <si>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</si>
  <si>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</si>
  <si>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</si>
  <si>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</si>
  <si>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</si>
  <si>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</si>
  <si>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</si>
  <si>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</si>
  <si>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</si>
  <si>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</si>
  <si>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</si>
  <si>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</si>
  <si>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</si>
  <si>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</si>
  <si>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</si>
  <si>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</si>
  <si>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</si>
  <si>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</si>
  <si>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</si>
  <si>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</si>
  <si>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</si>
  <si>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</si>
  <si>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</si>
  <si>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</si>
  <si>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</si>
  <si>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</si>
  <si>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</si>
  <si>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</si>
  <si>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</si>
  <si>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</si>
  <si>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</si>
  <si>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</si>
  <si>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</si>
  <si>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</si>
  <si>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</si>
  <si>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</si>
  <si>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</si>
  <si>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</si>
  <si>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</si>
  <si>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</si>
  <si>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</si>
  <si>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</si>
  <si>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</si>
  <si>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</si>
  <si>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</si>
  <si>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</si>
  <si>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</si>
  <si>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</si>
  <si>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</si>
  <si>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</si>
  <si>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</si>
  <si>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</si>
  <si>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</si>
  <si>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</si>
  <si>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</si>
  <si>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</si>
  <si>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</si>
  <si>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</si>
  <si>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</si>
  <si>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</si>
  <si>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</si>
  <si>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</si>
  <si>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</si>
  <si>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</si>
  <si>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</si>
  <si>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</si>
  <si>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</si>
  <si>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</si>
  <si>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</si>
  <si>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</si>
  <si>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</si>
  <si>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</si>
  <si>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</si>
  <si>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</si>
  <si>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</si>
  <si>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</si>
  <si>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</si>
  <si>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</si>
  <si>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</si>
  <si>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</si>
  <si>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</si>
  <si>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</si>
  <si>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</si>
  <si>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</si>
  <si>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</si>
  <si>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</si>
  <si>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</si>
  <si>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</si>
  <si>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</si>
  <si>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</si>
  <si>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</si>
  <si>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</si>
  <si>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</si>
  <si>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</si>
  <si>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</si>
  <si>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</si>
  <si>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</si>
  <si>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</si>
  <si>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</si>
  <si>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</si>
  <si>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</si>
  <si>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</si>
  <si>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</si>
  <si>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</si>
  <si>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</si>
  <si>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</si>
  <si>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</si>
  <si>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</si>
  <si>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</si>
  <si>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</si>
  <si>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</si>
  <si>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</si>
  <si>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</si>
  <si>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</si>
  <si>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</si>
  <si>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</si>
  <si>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</si>
  <si>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</si>
  <si>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</si>
  <si>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</si>
  <si>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</si>
  <si>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</si>
  <si>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</si>
  <si>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</si>
  <si>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</si>
  <si>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</si>
  <si>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</si>
  <si>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</si>
  <si>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</si>
  <si>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</si>
  <si>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</si>
  <si>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</si>
  <si>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</si>
  <si>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</si>
  <si>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</si>
  <si>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</si>
  <si>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</si>
  <si>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</si>
  <si>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</si>
  <si>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</si>
  <si>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</si>
  <si>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</si>
  <si>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</si>
  <si>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</si>
  <si>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</si>
  <si>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</si>
  <si>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</si>
  <si>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</si>
  <si>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</si>
  <si>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</si>
  <si>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</si>
  <si>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</si>
  <si>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</si>
  <si>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</si>
  <si>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</si>
  <si>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</si>
  <si>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</si>
  <si>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</si>
  <si>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</si>
  <si>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</si>
  <si>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</si>
  <si>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</si>
  <si>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</si>
  <si>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</si>
  <si>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</si>
  <si>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</si>
  <si>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</si>
  <si>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</si>
  <si>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</si>
  <si>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</si>
  <si>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</si>
  <si>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</si>
  <si>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</si>
  <si>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</si>
  <si>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</si>
  <si>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</si>
  <si>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</si>
  <si>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</si>
  <si>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</si>
  <si>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</si>
  <si>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</si>
  <si>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</si>
  <si>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</si>
  <si>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</si>
  <si>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</si>
  <si>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</si>
  <si>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</si>
  <si>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</si>
  <si>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</si>
  <si>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</si>
  <si>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</si>
  <si>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</si>
  <si>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</si>
  <si>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</si>
  <si>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</si>
  <si>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</si>
  <si>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</si>
  <si>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</si>
  <si>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</si>
  <si>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</si>
  <si>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</si>
  <si>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</si>
  <si>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</si>
  <si>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</si>
  <si>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</si>
  <si>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</si>
  <si>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</si>
  <si>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</si>
  <si>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</si>
  <si>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</si>
  <si>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</si>
  <si>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</si>
  <si>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</si>
  <si>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</si>
  <si>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</si>
  <si>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</si>
  <si>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</si>
  <si>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</si>
  <si>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</si>
  <si>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</si>
  <si>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</si>
  <si>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</si>
  <si>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</si>
  <si>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</si>
  <si>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</si>
  <si>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</si>
  <si>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</si>
  <si>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</si>
  <si>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</si>
  <si>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</si>
  <si>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</si>
  <si>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</si>
  <si>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</si>
  <si>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</si>
  <si>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</si>
  <si>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</si>
  <si>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</si>
  <si>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</si>
  <si>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</si>
  <si>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</si>
  <si>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</si>
  <si>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</si>
  <si>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</si>
  <si>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</si>
  <si>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</si>
  <si>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</si>
  <si>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</si>
  <si>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</si>
  <si>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</si>
  <si>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</si>
  <si>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</si>
  <si>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</si>
  <si>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</si>
  <si>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</si>
  <si>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</si>
  <si>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</si>
  <si>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</si>
  <si>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</si>
  <si>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</si>
  <si>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</si>
  <si>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</si>
  <si>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</si>
  <si>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</si>
  <si>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</si>
  <si>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</si>
  <si>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</si>
  <si>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</si>
  <si>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</si>
  <si>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</si>
  <si>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</si>
  <si>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</si>
  <si>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</si>
  <si>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</si>
  <si>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</si>
  <si>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</si>
  <si>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</si>
  <si>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</si>
  <si>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</si>
  <si>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</si>
  <si>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</si>
  <si>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</si>
  <si>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</si>
  <si>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</si>
  <si>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</si>
  <si>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</si>
  <si>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</si>
  <si>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</si>
  <si>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</si>
  <si>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</si>
  <si>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</si>
  <si>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</si>
  <si>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</si>
  <si>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</si>
  <si>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</si>
  <si>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</si>
  <si>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</si>
  <si>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</si>
  <si>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</si>
  <si>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</si>
  <si>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</si>
  <si>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</si>
  <si>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</si>
  <si>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</si>
  <si>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</si>
  <si>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</si>
  <si>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</si>
  <si>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</si>
  <si>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</si>
  <si>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</si>
  <si>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</si>
  <si>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</si>
  <si>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</si>
  <si>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</si>
  <si>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</si>
  <si>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</si>
  <si>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</si>
  <si>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</si>
  <si>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</si>
  <si>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</si>
  <si>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</si>
  <si>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</si>
  <si>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</si>
  <si>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</si>
  <si>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</si>
  <si>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</si>
  <si>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</si>
  <si>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</si>
  <si>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</si>
  <si>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</si>
  <si>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</si>
  <si>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</si>
  <si>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</si>
  <si>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</si>
  <si>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</si>
  <si>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</si>
  <si>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</si>
  <si>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</si>
  <si>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</si>
  <si>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</si>
  <si>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</si>
  <si>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</si>
  <si>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</si>
  <si>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</si>
  <si>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</si>
  <si>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</si>
  <si>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</si>
  <si>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</si>
  <si>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</si>
  <si>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</si>
  <si>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</si>
  <si>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</si>
  <si>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</si>
  <si>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</si>
  <si>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</si>
  <si>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</si>
  <si>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</si>
  <si>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</si>
  <si>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</si>
  <si>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</si>
  <si>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</si>
  <si>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</si>
  <si>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</si>
  <si>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</si>
  <si>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</si>
  <si>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</si>
  <si>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</si>
  <si>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</si>
  <si>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</si>
  <si>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</si>
  <si>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</si>
  <si>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</si>
  <si>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</si>
  <si>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</si>
  <si>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</si>
  <si>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</si>
  <si>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</si>
  <si>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</si>
  <si>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</si>
  <si>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</si>
  <si>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</si>
  <si>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</si>
  <si>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</si>
  <si>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</si>
  <si>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</si>
  <si>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</si>
  <si>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</si>
  <si>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</si>
  <si>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</si>
  <si>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</si>
  <si>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</si>
  <si>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</si>
  <si>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</si>
  <si>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</si>
  <si>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</si>
  <si>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</si>
  <si>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</si>
  <si>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</si>
  <si>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</si>
  <si>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</si>
  <si>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</si>
  <si>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</si>
  <si>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</si>
  <si>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</si>
  <si>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</si>
  <si>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</si>
  <si>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</si>
  <si>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</si>
  <si>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</si>
  <si>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</si>
  <si>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</si>
  <si>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</si>
  <si>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</si>
  <si>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</si>
  <si>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</si>
  <si>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</si>
  <si>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</si>
  <si>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</si>
  <si>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</si>
  <si>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</si>
  <si>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</si>
  <si>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</si>
  <si>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</si>
  <si>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</si>
  <si>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</si>
  <si>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</si>
  <si>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</si>
  <si>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</si>
  <si>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</si>
  <si>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</si>
  <si>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</si>
  <si>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</si>
  <si>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</si>
  <si>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</si>
  <si>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</si>
  <si>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</si>
  <si>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</si>
  <si>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</si>
  <si>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</si>
  <si>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</si>
  <si>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</si>
  <si>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</si>
  <si>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</si>
  <si>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</si>
  <si>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</si>
  <si>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</si>
  <si>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</si>
  <si>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</si>
  <si>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</si>
  <si>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</si>
  <si>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</si>
  <si>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</si>
  <si>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</si>
  <si>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</si>
  <si>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</si>
  <si>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</si>
  <si>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</si>
  <si>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</si>
  <si>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</si>
  <si>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</si>
  <si>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</si>
  <si>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</si>
  <si>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</si>
  <si>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</si>
  <si>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</si>
  <si>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</si>
  <si>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</si>
  <si>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</si>
  <si>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</si>
  <si>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</si>
  <si>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</si>
  <si>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</si>
  <si>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</si>
  <si>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</si>
  <si>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</si>
  <si>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</si>
  <si>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</si>
  <si>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</si>
  <si>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</si>
  <si>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</si>
  <si>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</si>
  <si>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</si>
  <si>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</si>
  <si>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</si>
  <si>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</si>
  <si>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</si>
  <si>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</si>
  <si>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</si>
  <si>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</si>
  <si>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</si>
  <si>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</si>
  <si>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</si>
  <si>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</si>
  <si>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</si>
  <si>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</si>
  <si>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</si>
  <si>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</si>
  <si>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</si>
  <si>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</si>
  <si>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</si>
  <si>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</si>
  <si>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</si>
  <si>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</si>
  <si>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</si>
  <si>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</si>
  <si>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</si>
  <si>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</si>
  <si>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</si>
  <si>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</si>
  <si>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</si>
  <si>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</si>
  <si>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</si>
  <si>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</si>
  <si>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</si>
  <si>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</si>
  <si>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</si>
  <si>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</si>
  <si>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</si>
  <si>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</si>
  <si>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</si>
  <si>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</si>
  <si>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</si>
  <si>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</si>
  <si>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</si>
  <si>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</si>
  <si>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</si>
  <si>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</si>
  <si>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</si>
  <si>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</si>
  <si>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</si>
  <si>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</si>
  <si>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</si>
  <si>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</si>
  <si>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</si>
  <si>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</si>
  <si>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</si>
  <si>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</si>
  <si>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</si>
  <si>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</si>
  <si>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</si>
  <si>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</si>
  <si>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</si>
  <si>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</si>
  <si>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</si>
  <si>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</si>
  <si>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</si>
  <si>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</si>
  <si>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</si>
  <si>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</si>
  <si>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</si>
  <si>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</si>
  <si>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</si>
  <si>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</si>
  <si>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</si>
  <si>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</si>
  <si>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</si>
  <si>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</si>
  <si>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</si>
  <si>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</si>
  <si>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</si>
  <si>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</si>
  <si>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</si>
  <si>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</si>
  <si>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</si>
  <si>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</si>
  <si>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</si>
  <si>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</si>
  <si>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</si>
  <si>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</si>
  <si>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</si>
  <si>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</si>
  <si>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</si>
  <si>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</si>
  <si>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</si>
  <si>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</si>
  <si>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</si>
  <si>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</si>
  <si>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</si>
  <si>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</si>
  <si>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</si>
  <si>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</si>
  <si>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</si>
  <si>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</si>
  <si>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</si>
  <si>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</si>
  <si>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</si>
  <si>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</si>
  <si>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</si>
  <si>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</si>
  <si>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</si>
  <si>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</si>
  <si>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</si>
  <si>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</si>
  <si>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</si>
  <si>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</si>
  <si>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</si>
  <si>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</si>
  <si>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</si>
  <si>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</si>
  <si>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</si>
  <si>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</si>
  <si>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</si>
  <si>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</si>
  <si>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</si>
  <si>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</si>
  <si>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</si>
  <si>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</si>
  <si>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</si>
  <si>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</si>
  <si>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</si>
  <si>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</si>
  <si>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</si>
  <si>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</si>
  <si>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</si>
  <si>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</si>
  <si>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</si>
  <si>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</si>
  <si>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</si>
  <si>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</si>
  <si>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</si>
  <si>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</si>
  <si>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</si>
  <si>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</si>
  <si>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</si>
  <si>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</si>
  <si>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</si>
  <si>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</si>
  <si>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</si>
  <si>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</si>
  <si>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</si>
  <si>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</si>
  <si>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</si>
  <si>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</si>
  <si>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</si>
  <si>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</si>
  <si>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</si>
  <si>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</si>
  <si>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</si>
  <si>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</si>
  <si>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</si>
  <si>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</si>
  <si>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</si>
  <si>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</si>
  <si>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</si>
  <si>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</si>
  <si>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</si>
  <si>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</si>
  <si>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</si>
  <si>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</si>
  <si>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</si>
  <si>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</si>
  <si>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</si>
  <si>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</si>
  <si>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</si>
  <si>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</si>
  <si>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</si>
  <si>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</si>
  <si>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</si>
  <si>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</si>
  <si>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</si>
  <si>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</si>
  <si>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</si>
  <si>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</si>
  <si>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</si>
  <si>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</si>
  <si>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</si>
  <si>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</si>
  <si>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</si>
  <si>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</si>
  <si>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</si>
  <si>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</si>
  <si>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</si>
  <si>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</si>
  <si>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</si>
  <si>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</si>
  <si>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</si>
  <si>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</si>
  <si>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</si>
  <si>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</si>
  <si>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</si>
  <si>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</si>
  <si>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</si>
  <si>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</si>
  <si>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</si>
  <si>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</si>
  <si>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</si>
  <si>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</si>
  <si>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</si>
  <si>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</si>
  <si>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</si>
  <si>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</si>
  <si>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</si>
  <si>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</si>
  <si>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</si>
  <si>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</si>
  <si>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</si>
  <si>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</si>
  <si>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</si>
  <si>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</si>
  <si>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</si>
  <si>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</si>
  <si>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</si>
  <si>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</si>
  <si>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</si>
  <si>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</si>
  <si>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</si>
  <si>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</si>
  <si>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</si>
  <si>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</si>
  <si>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</si>
  <si>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</si>
  <si>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</si>
  <si>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</si>
  <si>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</si>
  <si>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</si>
  <si>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</si>
  <si>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</si>
  <si>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</si>
  <si>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</si>
  <si>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</si>
  <si>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</si>
  <si>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</si>
  <si>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</si>
  <si>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</si>
  <si>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</si>
  <si>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</si>
  <si>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</si>
  <si>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</si>
  <si>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</si>
  <si>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</si>
  <si>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</si>
  <si>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</si>
  <si>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</si>
  <si>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</si>
  <si>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</si>
  <si>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</si>
  <si>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</si>
  <si>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</si>
  <si>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</si>
  <si>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</si>
  <si>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</si>
  <si>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</si>
  <si>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</si>
  <si>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</si>
  <si>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</si>
  <si>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</si>
  <si>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</si>
  <si>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</si>
  <si>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</si>
  <si>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</si>
  <si>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</si>
  <si>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</si>
  <si>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</si>
  <si>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</si>
  <si>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</si>
  <si>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</si>
  <si>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</si>
  <si>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</si>
  <si>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</si>
  <si>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</si>
  <si>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</si>
  <si>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</si>
  <si>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</si>
  <si>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</si>
  <si>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</si>
  <si>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</si>
  <si>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</si>
  <si>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</si>
  <si>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</si>
  <si>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</si>
  <si>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</si>
  <si>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</si>
  <si>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</si>
  <si>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</si>
  <si>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</si>
  <si>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</si>
  <si>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</si>
  <si>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</si>
  <si>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</si>
  <si>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</si>
  <si>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</si>
  <si>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</si>
  <si>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</si>
  <si>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</si>
  <si>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</si>
  <si>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</si>
  <si>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</si>
  <si>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</si>
  <si>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</si>
  <si>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</si>
  <si>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</si>
  <si>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</si>
  <si>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</si>
  <si>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</si>
  <si>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</si>
  <si>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</si>
  <si>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</si>
  <si>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</si>
  <si>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</si>
  <si>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</si>
  <si>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</si>
  <si>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</si>
  <si>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</si>
  <si>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</si>
  <si>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</si>
  <si>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</si>
  <si>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</si>
  <si>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</si>
  <si>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</si>
  <si>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</si>
  <si>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</si>
  <si>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</si>
  <si>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</si>
  <si>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</si>
  <si>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</si>
  <si>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</si>
  <si>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</si>
  <si>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</si>
  <si>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</si>
  <si>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</si>
  <si>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</si>
  <si>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</si>
  <si>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</si>
  <si>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</si>
  <si>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</si>
  <si>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</si>
  <si>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</si>
  <si>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</si>
  <si>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</si>
  <si>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</si>
  <si>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</si>
  <si>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</si>
  <si>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</si>
  <si>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</si>
  <si>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</si>
  <si>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</si>
  <si>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</si>
  <si>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</si>
  <si>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</si>
  <si>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</si>
  <si>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</si>
  <si>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</si>
  <si>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</si>
  <si>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</si>
  <si>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</si>
  <si>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</si>
  <si>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</si>
  <si>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</si>
  <si>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</si>
  <si>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</si>
  <si>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</si>
  <si>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</si>
  <si>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</si>
  <si>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</si>
  <si>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</si>
  <si>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</si>
  <si>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</si>
  <si>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</si>
  <si>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</si>
  <si>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</si>
  <si>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</si>
  <si>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</si>
  <si>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</si>
  <si>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</si>
  <si>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</si>
  <si>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</si>
  <si>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</si>
  <si>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</si>
  <si>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</si>
  <si>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</si>
  <si>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</si>
  <si>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</si>
  <si>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</si>
  <si>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</si>
  <si>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</si>
  <si>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</si>
  <si>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</si>
  <si>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</si>
  <si>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</si>
  <si>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</si>
  <si>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</si>
  <si>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</si>
  <si>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</si>
  <si>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</si>
  <si>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</si>
  <si>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</si>
  <si>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</si>
  <si>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</si>
  <si>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</si>
  <si>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</si>
  <si>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</si>
  <si>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</si>
  <si>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</si>
  <si>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</si>
  <si>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</si>
  <si>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</si>
  <si>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</si>
  <si>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</si>
  <si>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</si>
  <si>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</si>
  <si>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</si>
  <si>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</si>
  <si>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</si>
  <si>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</si>
  <si>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</si>
  <si>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</si>
  <si>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</si>
  <si>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</si>
  <si>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</si>
  <si>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</si>
  <si>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</si>
  <si>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</si>
  <si>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</si>
  <si>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</si>
  <si>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</si>
  <si>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</si>
  <si>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</si>
  <si>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</si>
  <si>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SESSION_STATE — Where the work stands</t>
  </si>
  <si>
    <t>Resume with: Прочети docs/AI-CONTINUATION.md и продължи от next task.</t>
  </si>
  <si>
    <t>Field</t>
  </si>
  <si>
    <t>Value</t>
  </si>
  <si>
    <t>3 — DOCX follow-ups (P2) — IN_PROGRESS</t>
  </si>
  <si>
    <t>FONT-005 — Editor fallback stacks: CSS stacks from the resolver.</t>
  </si>
  <si>
    <t>P2E-020 — Frames hook (frame_of) and layout-preserving design doc (8602607).</t>
  </si>
  <si>
    <t>P2E-020 — test_frames 5, mutations 5/5 — PASS — 2026-10-07</t>
  </si>
  <si>
    <t>Current Branch</t>
  </si>
  <si>
    <t>feature/smartdoc-production-hardening</t>
  </si>
  <si>
    <t>Current Commit</t>
  </si>
  <si>
    <t>8602607 (+ uncommitted changes)</t>
  </si>
  <si>
    <t>backend 2424/11; Vitest 296; Playwright 53; Word gate 60/60; mutations 12/12</t>
  </si>
  <si>
    <t>none</t>
  </si>
  <si>
    <t>INFRA-010: no Docker on this machine; real deployment needs Boril's hosting target; GATE-004/013: CI's PostgreSQL job result; TEST-021A: the expected-loss-linux CI artifact must be downloaded and merged (python -m scripts.merge_expected_losses DIR)</t>
  </si>
  <si>
    <t>FONT-005 — Editor fallback stacks; then the P2 list in order.</t>
  </si>
  <si>
    <t>2026-10-07T16:20:38+03:00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</si>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</sst>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168</v>
      </c>
      <c r="C6" s="8" t="s">
        <v>8</v>
      </c>
      <c r="E6" s="6" t="s">
        <v>9</v>
      </c>
      <c r="F6" s="1" t="str">
        <f>IF(SESSION_STATE!$B$6="","",SESSION_STATE!$B$6)</f>
        <v>FONT-005 — Editor fallback stacks: CSS stacks from the resolver.</v>
      </c>
    </row>
    <row r="7" spans="1:6" x14ac:dyDescent="0.25">
      <c r="A7" s="6" t="s">
        <v>10</v>
      </c>
      <c r="B7" s="7">
        <f>COUNTIF(MASTER!$G$2:$G$2000,"VERIFIED")+B6</f>
        <v>168</v>
      </c>
      <c r="C7" s="8" t="s">
        <v>11</v>
      </c>
      <c r="E7" s="6" t="s">
        <v>12</v>
      </c>
      <c r="F7" s="1" t="str">
        <f>IF(SESSION_STATE!$B$7="","",SESSION_STATE!$B$7)</f>
        <v>P2E-020 — Frames hook (frame_of) and layout-preserving design doc (8602607).</v>
      </c>
    </row>
    <row r="8" spans="1:6" x14ac:dyDescent="0.25">
      <c r="A8" s="6" t="s">
        <v>13</v>
      </c>
      <c r="B8" s="7">
        <f>COUNTIF(MASTER!$G$2:$G$2000,"IN_PROGRESS")+COUNTIF(MASTER!$G$2:$G$2000,"IMPLEMENTED")+COUNTIF(MASTER!$G$2:$G$2000,"TESTING")</f>
        <v>0</v>
      </c>
      <c r="C8" s="8" t="s">
        <v>14</v>
      </c>
      <c r="E8" s="6" t="s">
        <v>15</v>
      </c>
      <c r="F8" s="1" t="str">
        <f>IF(SESSION_STATE!$B$8="","",SESSION_STATE!$B$8)</f>
        <v>P2E-020 — test_frames 5, mutations 5/5 — PASS — 2026-10-07</v>
      </c>
    </row>
    <row r="9" spans="1:6" x14ac:dyDescent="0.25">
      <c r="A9" s="6" t="s">
        <v>16</v>
      </c>
      <c r="B9" s="7">
        <f>COUNTIF(MASTER!$G$2:$G$2000,"BLOCKED")</f>
        <v>3</v>
      </c>
      <c r="C9" s="8" t="s">
        <v>17</v>
      </c>
      <c r="E9" s="6" t="s">
        <v>18</v>
      </c>
      <c r="F9" s="1" t="str">
        <f>IF(SESSION_STATE!$B$14="","",SESSION_STATE!$B$14)</f>
        <v>FONT-005 — Editor fallback stacks;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16</v>
      </c>
      <c r="C12" s="8"/>
      <c r="E12" s="6" t="s">
        <v>26</v>
      </c>
      <c r="F12" s="1" t="str">
        <f>IF(SESSION_STATE!$B$11="","",SESSION_STATE!$B$11)</f>
        <v>backend 2424/11; Vitest 296; Playwright 53; Word gate 60/60; mutations 12/12</v>
      </c>
    </row>
    <row r="13" spans="1:6" x14ac:dyDescent="0.25">
      <c r="A13" s="6" t="s">
        <v>27</v>
      </c>
      <c r="B13" s="7">
        <f>B5-B6</f>
        <v>21</v>
      </c>
      <c r="C13" s="8" t="s">
        <v>28</v>
      </c>
      <c r="E13" s="6" t="s">
        <v>29</v>
      </c>
      <c r="F13" s="1" t="str">
        <f>IF(SESSION_STATE!$B$12="","",SESSION_STATE!$B$12)</f>
        <v>none</v>
      </c>
    </row>
    <row r="14" spans="1:6" x14ac:dyDescent="0.25">
      <c r="A14" s="6" t="s">
        <v>30</v>
      </c>
      <c r="B14" s="9">
        <f>IF(B5=0,0,B6/B5)</f>
        <v>0.88888888888888884</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0.88888888888888884</v>
      </c>
      <c r="C15" s="8" t="s">
        <v>34</v>
      </c>
      <c r="E15" s="6" t="s">
        <v>35</v>
      </c>
      <c r="F15" s="1" t="str">
        <f>IF(SESSION_STATE!$B$17="","",SESSION_STATE!$B$17)</f>
        <v>2026-10-07T16:20:38+03:00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16</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168</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TESTING!B271&amp;" — "&amp;TESTING!A271</f>
        <v>backend — RUN-0264</v>
      </c>
      <c r="B37" s="16" t="str">
        <f>TESTING!C271&amp;""</f>
        <v>PASS</v>
      </c>
      <c r="C37" s="12" t="str">
        <f>TESTING!E271&amp;" passed · "&amp;TESTING!F271&amp;" failed · "&amp;TESTING!H271&amp;" skipped"</f>
        <v>5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TESTING!B270&amp;" — "&amp;TESTING!A270</f>
        <v>backend — RUN-0263</v>
      </c>
      <c r="B38" s="16" t="str">
        <f>TESTING!C270&amp;""</f>
        <v>PASS</v>
      </c>
      <c r="C38" s="12" t="str">
        <f>TESTING!E270&amp;" passed · "&amp;TESTING!F270&amp;" failed · "&amp;TESTING!H270&amp;" skipped"</f>
        <v>2424 passed · 0 failed · 11 skipped</v>
      </c>
    </row>
    <row r="39" spans="1:14" ht="15.75" x14ac:dyDescent="0.25">
      <c r="A39" s="15" t="str">
        <f>TESTING!B269&amp;" — "&amp;TESTING!A269</f>
        <v>playwright — RUN-0262</v>
      </c>
      <c r="B39" s="16" t="str">
        <f>TESTING!C269&amp;""</f>
        <v>PASS</v>
      </c>
      <c r="C39" s="12" t="str">
        <f>TESTING!E269&amp;" passed · "&amp;TESTING!F269&amp;" failed · "&amp;TESTING!H269&amp;" skipped"</f>
        <v>53 passed · 0 failed · 1 skipped</v>
      </c>
      <c r="E39" s="5" t="s">
        <v>98</v>
      </c>
    </row>
    <row r="40" spans="1:14" x14ac:dyDescent="0.25">
      <c r="A40" s="15" t="str">
        <f>TESTING!B268&amp;" — "&amp;TESTING!A268</f>
        <v>vitest — RUN-0261</v>
      </c>
      <c r="B40" s="16" t="str">
        <f>TESTING!C268&amp;""</f>
        <v>PASS</v>
      </c>
      <c r="C40" s="12" t="str">
        <f>TESTING!E268&amp;" passed · "&amp;TESTING!F268&amp;" failed · "&amp;TESTING!H268&amp;" skipped"</f>
        <v>296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TESTING!B267&amp;" — "&amp;TESTING!A267</f>
        <v>word-gate — RUN-0260</v>
      </c>
      <c r="B41" s="16" t="str">
        <f>TESTING!C267&amp;""</f>
        <v>PASS</v>
      </c>
      <c r="C41" s="12" t="str">
        <f>TESTING!E267&amp;" passed · "&amp;TESTING!F267&amp;" failed · "&amp;TESTING!H267&amp;" skipped"</f>
        <v>60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TESTING!B266&amp;" — "&amp;TESTING!A266</f>
        <v>playwright — RUN-0259</v>
      </c>
      <c r="B42" s="16" t="str">
        <f>TESTING!C266&amp;""</f>
        <v>PASS</v>
      </c>
      <c r="C42" s="12" t="str">
        <f>TESTING!E266&amp;" passed · "&amp;TESTING!F266&amp;" failed · "&amp;TESTING!H266&amp;" skipped"</f>
        <v>53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x14ac:dyDescent="0.25">
      <c r="A158" s="15" t="s">
        <v>1145</v>
      </c>
      <c r="B158" s="16">
        <v>11</v>
      </c>
      <c r="C158" s="12" t="s">
        <v>134</v>
      </c>
      <c r="D158" s="18" t="s">
        <v>1146</v>
      </c>
      <c r="E158" s="18" t="s">
        <v>1147</v>
      </c>
      <c r="F158" s="12" t="s">
        <v>309</v>
      </c>
      <c r="G158" s="12" t="s">
        <v>60</v>
      </c>
      <c r="H158" s="18"/>
      <c r="I158" s="18"/>
      <c r="J158" s="18" t="s">
        <v>210</v>
      </c>
      <c r="K158" s="18" t="s">
        <v>1133</v>
      </c>
      <c r="L158" s="12" t="s">
        <v>184</v>
      </c>
      <c r="M158" s="19"/>
      <c r="N158" s="19"/>
      <c r="O158" s="19"/>
      <c r="P158" s="12"/>
      <c r="Q158" s="18"/>
      <c r="R158" s="12" t="s">
        <v>1133</v>
      </c>
      <c r="S158" s="12"/>
    </row>
    <row r="159" spans="1:19" ht="38.25" x14ac:dyDescent="0.25">
      <c r="A159" s="15" t="s">
        <v>1148</v>
      </c>
      <c r="B159" s="16">
        <v>11</v>
      </c>
      <c r="C159" s="12" t="s">
        <v>134</v>
      </c>
      <c r="D159" s="18" t="s">
        <v>1149</v>
      </c>
      <c r="E159" s="18" t="s">
        <v>1150</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1151</v>
      </c>
      <c r="R159" s="12" t="s">
        <v>1137</v>
      </c>
      <c r="S159" s="12" t="s">
        <v>1132</v>
      </c>
    </row>
    <row r="160" spans="1:19" ht="89.25" x14ac:dyDescent="0.25">
      <c r="A160" s="15" t="s">
        <v>1152</v>
      </c>
      <c r="B160" s="16">
        <v>12</v>
      </c>
      <c r="C160" s="12" t="s">
        <v>116</v>
      </c>
      <c r="D160" s="18" t="s">
        <v>1153</v>
      </c>
      <c r="E160" s="18" t="s">
        <v>1154</v>
      </c>
      <c r="F160" s="12" t="s">
        <v>195</v>
      </c>
      <c r="G160" s="12" t="s">
        <v>78</v>
      </c>
      <c r="H160" s="18" t="s">
        <v>1155</v>
      </c>
      <c r="I160" s="18" t="s">
        <v>1156</v>
      </c>
      <c r="J160" s="18" t="s">
        <v>688</v>
      </c>
      <c r="K160" s="18" t="s">
        <v>536</v>
      </c>
      <c r="L160" s="12" t="s">
        <v>264</v>
      </c>
      <c r="M160" s="19">
        <v>46302.365358796298</v>
      </c>
      <c r="N160" s="19">
        <v>46302.365358796298</v>
      </c>
      <c r="O160" s="19">
        <v>46302.365358796298</v>
      </c>
      <c r="P160" s="12" t="s">
        <v>1157</v>
      </c>
      <c r="Q160" s="18" t="s">
        <v>1158</v>
      </c>
      <c r="R160" s="12"/>
      <c r="S160" s="12"/>
    </row>
    <row r="161" spans="1:19" ht="89.25" x14ac:dyDescent="0.25">
      <c r="A161" s="15" t="s">
        <v>1159</v>
      </c>
      <c r="B161" s="16">
        <v>12</v>
      </c>
      <c r="C161" s="12" t="s">
        <v>116</v>
      </c>
      <c r="D161" s="18" t="s">
        <v>1160</v>
      </c>
      <c r="E161" s="18" t="s">
        <v>1161</v>
      </c>
      <c r="F161" s="12" t="s">
        <v>195</v>
      </c>
      <c r="G161" s="12" t="s">
        <v>78</v>
      </c>
      <c r="H161" s="18" t="s">
        <v>1155</v>
      </c>
      <c r="I161" s="18" t="s">
        <v>1156</v>
      </c>
      <c r="J161" s="18" t="s">
        <v>688</v>
      </c>
      <c r="K161" s="18"/>
      <c r="L161" s="12" t="s">
        <v>264</v>
      </c>
      <c r="M161" s="19">
        <v>46302.365405092591</v>
      </c>
      <c r="N161" s="19">
        <v>46302.365405092591</v>
      </c>
      <c r="O161" s="19">
        <v>46302.365405092591</v>
      </c>
      <c r="P161" s="12" t="s">
        <v>1157</v>
      </c>
      <c r="Q161" s="18" t="s">
        <v>1162</v>
      </c>
      <c r="R161" s="12"/>
      <c r="S161" s="12"/>
    </row>
    <row r="162" spans="1:19" ht="89.25" x14ac:dyDescent="0.25">
      <c r="A162" s="15" t="s">
        <v>1163</v>
      </c>
      <c r="B162" s="16">
        <v>12</v>
      </c>
      <c r="C162" s="12" t="s">
        <v>116</v>
      </c>
      <c r="D162" s="18" t="s">
        <v>1164</v>
      </c>
      <c r="E162" s="18" t="s">
        <v>1165</v>
      </c>
      <c r="F162" s="12" t="s">
        <v>195</v>
      </c>
      <c r="G162" s="12" t="s">
        <v>78</v>
      </c>
      <c r="H162" s="18" t="s">
        <v>1155</v>
      </c>
      <c r="I162" s="18" t="s">
        <v>1156</v>
      </c>
      <c r="J162" s="18" t="s">
        <v>210</v>
      </c>
      <c r="K162" s="18"/>
      <c r="L162" s="12" t="s">
        <v>184</v>
      </c>
      <c r="M162" s="19">
        <v>46302.365451388891</v>
      </c>
      <c r="N162" s="19">
        <v>46302.365451388891</v>
      </c>
      <c r="O162" s="19">
        <v>46302.365451388891</v>
      </c>
      <c r="P162" s="12" t="s">
        <v>1157</v>
      </c>
      <c r="Q162" s="18" t="s">
        <v>1166</v>
      </c>
      <c r="R162" s="12"/>
      <c r="S162" s="12"/>
    </row>
    <row r="163" spans="1:19" ht="38.25" x14ac:dyDescent="0.25">
      <c r="A163" s="15" t="s">
        <v>1167</v>
      </c>
      <c r="B163" s="16">
        <v>12</v>
      </c>
      <c r="C163" s="12" t="s">
        <v>116</v>
      </c>
      <c r="D163" s="18" t="s">
        <v>1168</v>
      </c>
      <c r="E163" s="18" t="s">
        <v>1169</v>
      </c>
      <c r="F163" s="12" t="s">
        <v>195</v>
      </c>
      <c r="G163" s="12" t="s">
        <v>78</v>
      </c>
      <c r="H163" s="18" t="s">
        <v>1170</v>
      </c>
      <c r="I163" s="18" t="s">
        <v>1171</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1172</v>
      </c>
      <c r="B164" s="16">
        <v>13</v>
      </c>
      <c r="C164" s="12" t="s">
        <v>118</v>
      </c>
      <c r="D164" s="18" t="s">
        <v>1173</v>
      </c>
      <c r="E164" s="18" t="s">
        <v>1174</v>
      </c>
      <c r="F164" s="12" t="s">
        <v>195</v>
      </c>
      <c r="G164" s="12" t="s">
        <v>78</v>
      </c>
      <c r="H164" s="18" t="s">
        <v>1175</v>
      </c>
      <c r="I164" s="18" t="s">
        <v>1176</v>
      </c>
      <c r="J164" s="18" t="s">
        <v>688</v>
      </c>
      <c r="K164" s="18" t="s">
        <v>354</v>
      </c>
      <c r="L164" s="12" t="s">
        <v>264</v>
      </c>
      <c r="M164" s="19">
        <v>46302.365798611107</v>
      </c>
      <c r="N164" s="19">
        <v>46302.365798611107</v>
      </c>
      <c r="O164" s="19">
        <v>46302.365798611107</v>
      </c>
      <c r="P164" s="12" t="s">
        <v>1177</v>
      </c>
      <c r="Q164" s="18" t="s">
        <v>1178</v>
      </c>
      <c r="R164" s="12"/>
      <c r="S164" s="12"/>
    </row>
    <row r="165" spans="1:19" ht="76.5" x14ac:dyDescent="0.25">
      <c r="A165" s="15" t="s">
        <v>1179</v>
      </c>
      <c r="B165" s="16">
        <v>13</v>
      </c>
      <c r="C165" s="12" t="s">
        <v>118</v>
      </c>
      <c r="D165" s="18" t="s">
        <v>1180</v>
      </c>
      <c r="E165" s="18" t="s">
        <v>1181</v>
      </c>
      <c r="F165" s="12" t="s">
        <v>195</v>
      </c>
      <c r="G165" s="12" t="s">
        <v>78</v>
      </c>
      <c r="H165" s="18" t="s">
        <v>1175</v>
      </c>
      <c r="I165" s="18" t="s">
        <v>1176</v>
      </c>
      <c r="J165" s="18" t="s">
        <v>228</v>
      </c>
      <c r="K165" s="18" t="s">
        <v>464</v>
      </c>
      <c r="L165" s="12" t="s">
        <v>264</v>
      </c>
      <c r="M165" s="19">
        <v>46302.365844907406</v>
      </c>
      <c r="N165" s="19">
        <v>46302.365844907406</v>
      </c>
      <c r="O165" s="19">
        <v>46302.365844907406</v>
      </c>
      <c r="P165" s="12" t="s">
        <v>1177</v>
      </c>
      <c r="Q165" s="18" t="s">
        <v>1182</v>
      </c>
      <c r="R165" s="12"/>
      <c r="S165" s="12"/>
    </row>
    <row r="166" spans="1:19" x14ac:dyDescent="0.25">
      <c r="A166" s="15" t="s">
        <v>1183</v>
      </c>
      <c r="B166" s="16">
        <v>13</v>
      </c>
      <c r="C166" s="12" t="s">
        <v>118</v>
      </c>
      <c r="D166" s="18" t="s">
        <v>1184</v>
      </c>
      <c r="E166" s="18" t="s">
        <v>1185</v>
      </c>
      <c r="F166" s="12" t="s">
        <v>309</v>
      </c>
      <c r="G166" s="12" t="s">
        <v>60</v>
      </c>
      <c r="H166" s="18"/>
      <c r="I166" s="18"/>
      <c r="J166" s="18" t="s">
        <v>413</v>
      </c>
      <c r="K166" s="18"/>
      <c r="L166" s="12" t="s">
        <v>184</v>
      </c>
      <c r="M166" s="19"/>
      <c r="N166" s="19"/>
      <c r="O166" s="19"/>
      <c r="P166" s="12"/>
      <c r="Q166" s="18"/>
      <c r="R166" s="12"/>
      <c r="S166" s="12"/>
    </row>
    <row r="167" spans="1:19" ht="63.75" x14ac:dyDescent="0.25">
      <c r="A167" s="15" t="s">
        <v>1186</v>
      </c>
      <c r="B167" s="16">
        <v>14</v>
      </c>
      <c r="C167" s="12" t="s">
        <v>104</v>
      </c>
      <c r="D167" s="18" t="s">
        <v>1187</v>
      </c>
      <c r="E167" s="18" t="s">
        <v>1188</v>
      </c>
      <c r="F167" s="12" t="s">
        <v>180</v>
      </c>
      <c r="G167" s="12" t="s">
        <v>78</v>
      </c>
      <c r="H167" s="18" t="s">
        <v>1189</v>
      </c>
      <c r="I167" s="18" t="s">
        <v>1190</v>
      </c>
      <c r="J167" s="18" t="s">
        <v>210</v>
      </c>
      <c r="K167" s="18" t="s">
        <v>464</v>
      </c>
      <c r="L167" s="12" t="s">
        <v>264</v>
      </c>
      <c r="M167" s="19">
        <v>46302.366180555553</v>
      </c>
      <c r="N167" s="19">
        <v>46302.366180555553</v>
      </c>
      <c r="O167" s="19">
        <v>46302.366180555553</v>
      </c>
      <c r="P167" s="12" t="s">
        <v>1191</v>
      </c>
      <c r="Q167" s="18" t="s">
        <v>1192</v>
      </c>
      <c r="R167" s="12"/>
      <c r="S167" s="12" t="s">
        <v>439</v>
      </c>
    </row>
    <row r="168" spans="1:19" ht="102" x14ac:dyDescent="0.25">
      <c r="A168" s="15" t="s">
        <v>1193</v>
      </c>
      <c r="B168" s="16">
        <v>14</v>
      </c>
      <c r="C168" s="12" t="s">
        <v>104</v>
      </c>
      <c r="D168" s="18" t="s">
        <v>1194</v>
      </c>
      <c r="E168" s="18" t="s">
        <v>1195</v>
      </c>
      <c r="F168" s="12" t="s">
        <v>180</v>
      </c>
      <c r="G168" s="12" t="s">
        <v>78</v>
      </c>
      <c r="H168" s="18" t="s">
        <v>1189</v>
      </c>
      <c r="I168" s="18" t="s">
        <v>1190</v>
      </c>
      <c r="J168" s="18" t="s">
        <v>1196</v>
      </c>
      <c r="K168" s="18" t="s">
        <v>464</v>
      </c>
      <c r="L168" s="12" t="s">
        <v>254</v>
      </c>
      <c r="M168" s="19">
        <v>46302.366226851853</v>
      </c>
      <c r="N168" s="19">
        <v>46302.366226851853</v>
      </c>
      <c r="O168" s="19">
        <v>46302.366226851853</v>
      </c>
      <c r="P168" s="12" t="s">
        <v>1191</v>
      </c>
      <c r="Q168" s="18" t="s">
        <v>1197</v>
      </c>
      <c r="R168" s="12" t="s">
        <v>1186</v>
      </c>
      <c r="S168" s="12" t="s">
        <v>439</v>
      </c>
    </row>
    <row r="169" spans="1:19" x14ac:dyDescent="0.25">
      <c r="A169" s="15" t="s">
        <v>1198</v>
      </c>
      <c r="B169" s="16">
        <v>14</v>
      </c>
      <c r="C169" s="12" t="s">
        <v>104</v>
      </c>
      <c r="D169" s="18" t="s">
        <v>1199</v>
      </c>
      <c r="E169" s="18" t="s">
        <v>1200</v>
      </c>
      <c r="F169" s="12" t="s">
        <v>309</v>
      </c>
      <c r="G169" s="12" t="s">
        <v>60</v>
      </c>
      <c r="H169" s="18"/>
      <c r="I169" s="18"/>
      <c r="J169" s="18" t="s">
        <v>228</v>
      </c>
      <c r="K169" s="18" t="s">
        <v>464</v>
      </c>
      <c r="L169" s="12" t="s">
        <v>264</v>
      </c>
      <c r="M169" s="19"/>
      <c r="N169" s="19"/>
      <c r="O169" s="19"/>
      <c r="P169" s="12"/>
      <c r="Q169" s="18"/>
      <c r="R169" s="12"/>
      <c r="S169" s="12"/>
    </row>
    <row r="170" spans="1:19" ht="25.5" x14ac:dyDescent="0.25">
      <c r="A170" s="15" t="s">
        <v>1201</v>
      </c>
      <c r="B170" s="16">
        <v>14</v>
      </c>
      <c r="C170" s="12" t="s">
        <v>104</v>
      </c>
      <c r="D170" s="18" t="s">
        <v>1202</v>
      </c>
      <c r="E170" s="18" t="s">
        <v>1203</v>
      </c>
      <c r="F170" s="12" t="s">
        <v>309</v>
      </c>
      <c r="G170" s="12" t="s">
        <v>60</v>
      </c>
      <c r="H170" s="18"/>
      <c r="I170" s="18"/>
      <c r="J170" s="18" t="s">
        <v>228</v>
      </c>
      <c r="K170" s="18" t="s">
        <v>633</v>
      </c>
      <c r="L170" s="12" t="s">
        <v>264</v>
      </c>
      <c r="M170" s="19"/>
      <c r="N170" s="19"/>
      <c r="O170" s="19"/>
      <c r="P170" s="12"/>
      <c r="Q170" s="18"/>
      <c r="R170" s="12"/>
      <c r="S170" s="12"/>
    </row>
    <row r="171" spans="1:19" x14ac:dyDescent="0.25">
      <c r="A171" s="15" t="s">
        <v>1204</v>
      </c>
      <c r="B171" s="16">
        <v>15</v>
      </c>
      <c r="C171" s="12" t="s">
        <v>129</v>
      </c>
      <c r="D171" s="18" t="s">
        <v>1205</v>
      </c>
      <c r="E171" s="18" t="s">
        <v>1206</v>
      </c>
      <c r="F171" s="12" t="s">
        <v>309</v>
      </c>
      <c r="G171" s="12" t="s">
        <v>60</v>
      </c>
      <c r="H171" s="18"/>
      <c r="I171" s="18"/>
      <c r="J171" s="18" t="s">
        <v>1207</v>
      </c>
      <c r="K171" s="18"/>
      <c r="L171" s="12" t="s">
        <v>264</v>
      </c>
      <c r="M171" s="19"/>
      <c r="N171" s="19"/>
      <c r="O171" s="19"/>
      <c r="P171" s="12"/>
      <c r="Q171" s="18"/>
      <c r="R171" s="12"/>
      <c r="S171" s="12"/>
    </row>
    <row r="172" spans="1:19" x14ac:dyDescent="0.25">
      <c r="A172" s="15" t="s">
        <v>1208</v>
      </c>
      <c r="B172" s="16">
        <v>15</v>
      </c>
      <c r="C172" s="12" t="s">
        <v>129</v>
      </c>
      <c r="D172" s="18" t="s">
        <v>1209</v>
      </c>
      <c r="E172" s="18" t="s">
        <v>1210</v>
      </c>
      <c r="F172" s="12" t="s">
        <v>309</v>
      </c>
      <c r="G172" s="12" t="s">
        <v>60</v>
      </c>
      <c r="H172" s="18"/>
      <c r="I172" s="18"/>
      <c r="J172" s="18" t="s">
        <v>1207</v>
      </c>
      <c r="K172" s="18" t="s">
        <v>865</v>
      </c>
      <c r="L172" s="12" t="s">
        <v>184</v>
      </c>
      <c r="M172" s="19"/>
      <c r="N172" s="19"/>
      <c r="O172" s="19"/>
      <c r="P172" s="12"/>
      <c r="Q172" s="18"/>
      <c r="R172" s="12"/>
      <c r="S172" s="12"/>
    </row>
    <row r="173" spans="1:19" x14ac:dyDescent="0.25">
      <c r="A173" s="15" t="s">
        <v>1211</v>
      </c>
      <c r="B173" s="16">
        <v>15</v>
      </c>
      <c r="C173" s="12" t="s">
        <v>129</v>
      </c>
      <c r="D173" s="18" t="s">
        <v>1212</v>
      </c>
      <c r="E173" s="18" t="s">
        <v>1213</v>
      </c>
      <c r="F173" s="12" t="s">
        <v>323</v>
      </c>
      <c r="G173" s="12" t="s">
        <v>60</v>
      </c>
      <c r="H173" s="18"/>
      <c r="I173" s="18"/>
      <c r="J173" s="18" t="s">
        <v>1207</v>
      </c>
      <c r="K173" s="18" t="s">
        <v>1109</v>
      </c>
      <c r="L173" s="12" t="s">
        <v>264</v>
      </c>
      <c r="M173" s="19"/>
      <c r="N173" s="19"/>
      <c r="O173" s="19"/>
      <c r="P173" s="12"/>
      <c r="Q173" s="18"/>
      <c r="R173" s="12"/>
      <c r="S173" s="12"/>
    </row>
    <row r="174" spans="1:19" ht="63.75" x14ac:dyDescent="0.25">
      <c r="A174" s="15" t="s">
        <v>1214</v>
      </c>
      <c r="B174" s="16">
        <v>16</v>
      </c>
      <c r="C174" s="12" t="s">
        <v>129</v>
      </c>
      <c r="D174" s="18" t="s">
        <v>1215</v>
      </c>
      <c r="E174" s="18" t="s">
        <v>1216</v>
      </c>
      <c r="F174" s="12" t="s">
        <v>195</v>
      </c>
      <c r="G174" s="12" t="s">
        <v>78</v>
      </c>
      <c r="H174" s="18" t="s">
        <v>1217</v>
      </c>
      <c r="I174" s="18" t="s">
        <v>1218</v>
      </c>
      <c r="J174" s="18" t="s">
        <v>688</v>
      </c>
      <c r="K174" s="18" t="s">
        <v>1172</v>
      </c>
      <c r="L174" s="12" t="s">
        <v>184</v>
      </c>
      <c r="M174" s="19">
        <v>46302.366608796299</v>
      </c>
      <c r="N174" s="19">
        <v>46302.366608796299</v>
      </c>
      <c r="O174" s="19">
        <v>46302.366608796299</v>
      </c>
      <c r="P174" s="12" t="s">
        <v>1219</v>
      </c>
      <c r="Q174" s="18" t="s">
        <v>1220</v>
      </c>
      <c r="R174" s="12"/>
      <c r="S174" s="12"/>
    </row>
    <row r="175" spans="1:19" ht="63.75" x14ac:dyDescent="0.25">
      <c r="A175" s="15" t="s">
        <v>1221</v>
      </c>
      <c r="B175" s="16">
        <v>16</v>
      </c>
      <c r="C175" s="12" t="s">
        <v>129</v>
      </c>
      <c r="D175" s="18" t="s">
        <v>1222</v>
      </c>
      <c r="E175" s="18" t="s">
        <v>1223</v>
      </c>
      <c r="F175" s="12" t="s">
        <v>195</v>
      </c>
      <c r="G175" s="12" t="s">
        <v>78</v>
      </c>
      <c r="H175" s="18" t="s">
        <v>1224</v>
      </c>
      <c r="I175" s="18" t="s">
        <v>1225</v>
      </c>
      <c r="J175" s="18" t="s">
        <v>210</v>
      </c>
      <c r="K175" s="18"/>
      <c r="L175" s="12" t="s">
        <v>184</v>
      </c>
      <c r="M175" s="19">
        <v>46302.366666666669</v>
      </c>
      <c r="N175" s="19">
        <v>46302.366666666669</v>
      </c>
      <c r="O175" s="19">
        <v>46302.366666666669</v>
      </c>
      <c r="P175" s="12" t="s">
        <v>1219</v>
      </c>
      <c r="Q175" s="18" t="s">
        <v>1226</v>
      </c>
      <c r="R175" s="12"/>
      <c r="S175" s="12"/>
    </row>
    <row r="176" spans="1:19" ht="51" x14ac:dyDescent="0.25">
      <c r="A176" s="15" t="s">
        <v>1227</v>
      </c>
      <c r="B176" s="16">
        <v>5</v>
      </c>
      <c r="C176" s="12" t="s">
        <v>144</v>
      </c>
      <c r="D176" s="18" t="s">
        <v>1228</v>
      </c>
      <c r="E176" s="18" t="s">
        <v>1229</v>
      </c>
      <c r="F176" s="12" t="s">
        <v>195</v>
      </c>
      <c r="G176" s="12" t="s">
        <v>78</v>
      </c>
      <c r="H176" s="18" t="s">
        <v>1230</v>
      </c>
      <c r="I176" s="18" t="s">
        <v>1231</v>
      </c>
      <c r="J176" s="18" t="s">
        <v>1207</v>
      </c>
      <c r="K176" s="18"/>
      <c r="L176" s="12" t="s">
        <v>264</v>
      </c>
      <c r="M176" s="19">
        <v>46301.615115740737</v>
      </c>
      <c r="N176" s="19">
        <v>46301.615115740737</v>
      </c>
      <c r="O176" s="19">
        <v>46301.615115740737</v>
      </c>
      <c r="P176" s="12" t="s">
        <v>870</v>
      </c>
      <c r="Q176" s="18" t="s">
        <v>1232</v>
      </c>
      <c r="R176" s="12"/>
      <c r="S176" s="12"/>
    </row>
    <row r="177" spans="1:19" ht="89.25" x14ac:dyDescent="0.25">
      <c r="A177" s="15" t="s">
        <v>1233</v>
      </c>
      <c r="B177" s="16">
        <v>5</v>
      </c>
      <c r="C177" s="12" t="s">
        <v>126</v>
      </c>
      <c r="D177" s="18" t="s">
        <v>1234</v>
      </c>
      <c r="E177" s="18" t="s">
        <v>1235</v>
      </c>
      <c r="F177" s="12" t="s">
        <v>309</v>
      </c>
      <c r="G177" s="12" t="s">
        <v>78</v>
      </c>
      <c r="H177" s="18" t="s">
        <v>1236</v>
      </c>
      <c r="I177" s="18" t="s">
        <v>1237</v>
      </c>
      <c r="J177" s="18" t="s">
        <v>1238</v>
      </c>
      <c r="K177" s="18" t="s">
        <v>887</v>
      </c>
      <c r="L177" s="12" t="s">
        <v>264</v>
      </c>
      <c r="M177" s="19">
        <v>46301.615925925929</v>
      </c>
      <c r="N177" s="19">
        <v>46301.640243055554</v>
      </c>
      <c r="O177" s="19">
        <v>46301.640243055554</v>
      </c>
      <c r="P177" s="12" t="s">
        <v>1239</v>
      </c>
      <c r="Q177" s="18" t="s">
        <v>1240</v>
      </c>
      <c r="R177" s="12"/>
      <c r="S177" s="12"/>
    </row>
    <row r="178" spans="1:19" ht="38.25" x14ac:dyDescent="0.25">
      <c r="A178" s="15" t="s">
        <v>1241</v>
      </c>
      <c r="B178" s="16">
        <v>6</v>
      </c>
      <c r="C178" s="12" t="s">
        <v>146</v>
      </c>
      <c r="D178" s="18" t="s">
        <v>1242</v>
      </c>
      <c r="E178" s="18" t="s">
        <v>1243</v>
      </c>
      <c r="F178" s="12" t="s">
        <v>195</v>
      </c>
      <c r="G178" s="12" t="s">
        <v>78</v>
      </c>
      <c r="H178" s="18" t="s">
        <v>1244</v>
      </c>
      <c r="I178" s="18" t="s">
        <v>1245</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1246</v>
      </c>
      <c r="B179" s="16">
        <v>6</v>
      </c>
      <c r="C179" s="12" t="s">
        <v>72</v>
      </c>
      <c r="D179" s="18" t="s">
        <v>1247</v>
      </c>
      <c r="E179" s="18" t="s">
        <v>1248</v>
      </c>
      <c r="F179" s="12" t="s">
        <v>309</v>
      </c>
      <c r="G179" s="12" t="s">
        <v>78</v>
      </c>
      <c r="H179" s="18" t="s">
        <v>1249</v>
      </c>
      <c r="I179" s="18" t="s">
        <v>1250</v>
      </c>
      <c r="J179" s="18" t="s">
        <v>1251</v>
      </c>
      <c r="K179" s="18" t="s">
        <v>974</v>
      </c>
      <c r="L179" s="12" t="s">
        <v>184</v>
      </c>
      <c r="M179" s="19">
        <v>46301.615254629629</v>
      </c>
      <c r="N179" s="19">
        <v>46301.615254629629</v>
      </c>
      <c r="O179" s="19">
        <v>46301.615254629629</v>
      </c>
      <c r="P179" s="12" t="s">
        <v>870</v>
      </c>
      <c r="Q179" s="18" t="s">
        <v>1252</v>
      </c>
      <c r="R179" s="12"/>
      <c r="S179" s="12"/>
    </row>
    <row r="180" spans="1:19" ht="89.25" x14ac:dyDescent="0.25">
      <c r="A180" s="15" t="s">
        <v>1253</v>
      </c>
      <c r="B180" s="16">
        <v>16</v>
      </c>
      <c r="C180" s="12" t="s">
        <v>149</v>
      </c>
      <c r="D180" s="18" t="s">
        <v>1254</v>
      </c>
      <c r="E180" s="18" t="s">
        <v>1255</v>
      </c>
      <c r="F180" s="12" t="s">
        <v>195</v>
      </c>
      <c r="G180" s="12" t="s">
        <v>78</v>
      </c>
      <c r="H180" s="18" t="s">
        <v>1256</v>
      </c>
      <c r="I180" s="18" t="s">
        <v>1257</v>
      </c>
      <c r="J180" s="18" t="s">
        <v>1196</v>
      </c>
      <c r="K180" s="18"/>
      <c r="L180" s="12" t="s">
        <v>264</v>
      </c>
      <c r="M180" s="19">
        <v>46302.367025462961</v>
      </c>
      <c r="N180" s="19">
        <v>46302.367025462961</v>
      </c>
      <c r="O180" s="19">
        <v>46302.367025462961</v>
      </c>
      <c r="P180" s="12" t="s">
        <v>1258</v>
      </c>
      <c r="Q180" s="18" t="s">
        <v>1259</v>
      </c>
      <c r="R180" s="12"/>
      <c r="S180" s="12" t="s">
        <v>1260</v>
      </c>
    </row>
    <row r="181" spans="1:19" ht="51" x14ac:dyDescent="0.25">
      <c r="A181" s="15" t="s">
        <v>1261</v>
      </c>
      <c r="B181" s="16">
        <v>16</v>
      </c>
      <c r="C181" s="12" t="s">
        <v>149</v>
      </c>
      <c r="D181" s="18" t="s">
        <v>1262</v>
      </c>
      <c r="E181" s="18" t="s">
        <v>1263</v>
      </c>
      <c r="F181" s="12" t="s">
        <v>195</v>
      </c>
      <c r="G181" s="12" t="s">
        <v>78</v>
      </c>
      <c r="H181" s="18" t="s">
        <v>1256</v>
      </c>
      <c r="I181" s="18" t="s">
        <v>1257</v>
      </c>
      <c r="J181" s="18" t="s">
        <v>1196</v>
      </c>
      <c r="K181" s="18"/>
      <c r="L181" s="12" t="s">
        <v>184</v>
      </c>
      <c r="M181" s="19">
        <v>46302.367071759261</v>
      </c>
      <c r="N181" s="19">
        <v>46302.367071759261</v>
      </c>
      <c r="O181" s="19">
        <v>46302.367071759261</v>
      </c>
      <c r="P181" s="12" t="s">
        <v>1258</v>
      </c>
      <c r="Q181" s="18" t="s">
        <v>1264</v>
      </c>
      <c r="R181" s="12"/>
      <c r="S181" s="12" t="s">
        <v>1260</v>
      </c>
    </row>
    <row r="182" spans="1:19" ht="25.5" x14ac:dyDescent="0.25">
      <c r="A182" s="15" t="s">
        <v>1265</v>
      </c>
      <c r="B182" s="16">
        <v>16</v>
      </c>
      <c r="C182" s="12" t="s">
        <v>149</v>
      </c>
      <c r="D182" s="18" t="s">
        <v>1266</v>
      </c>
      <c r="E182" s="18" t="s">
        <v>1267</v>
      </c>
      <c r="F182" s="12" t="s">
        <v>309</v>
      </c>
      <c r="G182" s="12" t="s">
        <v>60</v>
      </c>
      <c r="H182" s="18"/>
      <c r="I182" s="18"/>
      <c r="J182" s="18" t="s">
        <v>1196</v>
      </c>
      <c r="K182" s="18" t="s">
        <v>1253</v>
      </c>
      <c r="L182" s="12" t="s">
        <v>184</v>
      </c>
      <c r="M182" s="19"/>
      <c r="N182" s="19"/>
      <c r="O182" s="19"/>
      <c r="P182" s="12"/>
      <c r="Q182" s="18"/>
      <c r="R182" s="12"/>
      <c r="S182" s="12" t="s">
        <v>1260</v>
      </c>
    </row>
    <row r="183" spans="1:19" ht="76.5" x14ac:dyDescent="0.25">
      <c r="A183" s="15" t="s">
        <v>1268</v>
      </c>
      <c r="B183" s="16">
        <v>17</v>
      </c>
      <c r="C183" s="12" t="s">
        <v>142</v>
      </c>
      <c r="D183" s="18" t="s">
        <v>1269</v>
      </c>
      <c r="E183" s="18" t="s">
        <v>1270</v>
      </c>
      <c r="F183" s="12" t="s">
        <v>195</v>
      </c>
      <c r="G183" s="12" t="s">
        <v>66</v>
      </c>
      <c r="H183" s="18"/>
      <c r="I183" s="18"/>
      <c r="J183" s="18" t="s">
        <v>1271</v>
      </c>
      <c r="K183" s="18"/>
      <c r="L183" s="12" t="s">
        <v>254</v>
      </c>
      <c r="M183" s="19">
        <v>46302.367546296293</v>
      </c>
      <c r="N183" s="19"/>
      <c r="O183" s="19"/>
      <c r="P183" s="12"/>
      <c r="Q183" s="18" t="s">
        <v>1272</v>
      </c>
      <c r="R183" s="12"/>
      <c r="S183" s="12" t="s">
        <v>1260</v>
      </c>
    </row>
    <row r="184" spans="1:19" ht="38.25" x14ac:dyDescent="0.25">
      <c r="A184" s="15" t="s">
        <v>1273</v>
      </c>
      <c r="B184" s="16">
        <v>17</v>
      </c>
      <c r="C184" s="12" t="s">
        <v>142</v>
      </c>
      <c r="D184" s="18" t="s">
        <v>1274</v>
      </c>
      <c r="E184" s="18" t="s">
        <v>1275</v>
      </c>
      <c r="F184" s="12" t="s">
        <v>180</v>
      </c>
      <c r="G184" s="12" t="s">
        <v>78</v>
      </c>
      <c r="H184" s="18" t="s">
        <v>1276</v>
      </c>
      <c r="I184" s="18" t="s">
        <v>1277</v>
      </c>
      <c r="J184" s="18" t="s">
        <v>1278</v>
      </c>
      <c r="K184" s="18" t="s">
        <v>697</v>
      </c>
      <c r="L184" s="12" t="s">
        <v>264</v>
      </c>
      <c r="M184" s="19">
        <v>46301.615208333344</v>
      </c>
      <c r="N184" s="19">
        <v>46301.615208333344</v>
      </c>
      <c r="O184" s="19">
        <v>46301.615208333344</v>
      </c>
      <c r="P184" s="12" t="s">
        <v>870</v>
      </c>
      <c r="Q184" s="18"/>
      <c r="R184" s="12"/>
      <c r="S184" s="12" t="s">
        <v>1279</v>
      </c>
    </row>
    <row r="185" spans="1:19" ht="25.5" x14ac:dyDescent="0.25">
      <c r="A185" s="15" t="s">
        <v>1280</v>
      </c>
      <c r="B185" s="16">
        <v>17</v>
      </c>
      <c r="C185" s="12" t="s">
        <v>72</v>
      </c>
      <c r="D185" s="18" t="s">
        <v>1281</v>
      </c>
      <c r="E185" s="18" t="s">
        <v>1282</v>
      </c>
      <c r="F185" s="12" t="s">
        <v>180</v>
      </c>
      <c r="G185" s="12" t="s">
        <v>78</v>
      </c>
      <c r="H185" s="18" t="s">
        <v>1283</v>
      </c>
      <c r="I185" s="18" t="s">
        <v>1284</v>
      </c>
      <c r="J185" s="18" t="s">
        <v>216</v>
      </c>
      <c r="K185" s="18"/>
      <c r="L185" s="12" t="s">
        <v>264</v>
      </c>
      <c r="M185" s="19">
        <v>46301.640289351853</v>
      </c>
      <c r="N185" s="19">
        <v>46301.640289351853</v>
      </c>
      <c r="O185" s="19">
        <v>46301.640289351853</v>
      </c>
      <c r="P185" s="12" t="s">
        <v>1285</v>
      </c>
      <c r="Q185" s="18"/>
      <c r="R185" s="12"/>
      <c r="S185" s="12"/>
    </row>
    <row r="186" spans="1:19" ht="76.5" x14ac:dyDescent="0.25">
      <c r="A186" s="15" t="s">
        <v>1286</v>
      </c>
      <c r="B186" s="16">
        <v>17</v>
      </c>
      <c r="C186" s="12" t="s">
        <v>72</v>
      </c>
      <c r="D186" s="18" t="s">
        <v>1287</v>
      </c>
      <c r="E186" s="18" t="s">
        <v>1288</v>
      </c>
      <c r="F186" s="12" t="s">
        <v>195</v>
      </c>
      <c r="G186" s="12" t="s">
        <v>78</v>
      </c>
      <c r="H186" s="18" t="s">
        <v>1289</v>
      </c>
      <c r="I186" s="18" t="s">
        <v>1290</v>
      </c>
      <c r="J186" s="18" t="s">
        <v>878</v>
      </c>
      <c r="K186" s="18" t="s">
        <v>873</v>
      </c>
      <c r="L186" s="12" t="s">
        <v>184</v>
      </c>
      <c r="M186" s="19">
        <v>46302.367442129631</v>
      </c>
      <c r="N186" s="19">
        <v>46302.367442129631</v>
      </c>
      <c r="O186" s="19">
        <v>46302.367442129631</v>
      </c>
      <c r="P186" s="12" t="s">
        <v>1291</v>
      </c>
      <c r="Q186" s="18" t="s">
        <v>1292</v>
      </c>
      <c r="R186" s="12"/>
      <c r="S186" s="12"/>
    </row>
    <row r="187" spans="1:19" x14ac:dyDescent="0.25">
      <c r="A187" s="15" t="s">
        <v>1293</v>
      </c>
      <c r="B187" s="16">
        <v>17</v>
      </c>
      <c r="C187" s="12" t="s">
        <v>72</v>
      </c>
      <c r="D187" s="18" t="s">
        <v>1294</v>
      </c>
      <c r="E187" s="18" t="s">
        <v>1295</v>
      </c>
      <c r="F187" s="12" t="s">
        <v>309</v>
      </c>
      <c r="G187" s="12" t="s">
        <v>60</v>
      </c>
      <c r="H187" s="18"/>
      <c r="I187" s="18"/>
      <c r="J187" s="18" t="s">
        <v>216</v>
      </c>
      <c r="K187" s="18"/>
      <c r="L187" s="12" t="s">
        <v>184</v>
      </c>
      <c r="M187" s="19"/>
      <c r="N187" s="19"/>
      <c r="O187" s="19"/>
      <c r="P187" s="12"/>
      <c r="Q187" s="18"/>
      <c r="R187" s="12"/>
      <c r="S187" s="12"/>
    </row>
    <row r="188" spans="1:19" ht="25.5" x14ac:dyDescent="0.25">
      <c r="A188" s="15" t="s">
        <v>1296</v>
      </c>
      <c r="B188" s="16">
        <v>17</v>
      </c>
      <c r="C188" s="12" t="s">
        <v>72</v>
      </c>
      <c r="D188" s="18" t="s">
        <v>1297</v>
      </c>
      <c r="E188" s="18" t="s">
        <v>1298</v>
      </c>
      <c r="F188" s="12" t="s">
        <v>323</v>
      </c>
      <c r="G188" s="12" t="s">
        <v>60</v>
      </c>
      <c r="H188" s="18"/>
      <c r="I188" s="18"/>
      <c r="J188" s="18" t="s">
        <v>1299</v>
      </c>
      <c r="K188" s="18"/>
      <c r="L188" s="12" t="s">
        <v>184</v>
      </c>
      <c r="M188" s="19"/>
      <c r="N188" s="19"/>
      <c r="O188" s="19"/>
      <c r="P188" s="12"/>
      <c r="Q188" s="18"/>
      <c r="R188" s="12"/>
      <c r="S188" s="12"/>
    </row>
    <row r="189" spans="1:19" ht="63.75" x14ac:dyDescent="0.25">
      <c r="A189" s="15" t="s">
        <v>1300</v>
      </c>
      <c r="B189" s="16">
        <v>18</v>
      </c>
      <c r="C189" s="12" t="s">
        <v>152</v>
      </c>
      <c r="D189" s="18" t="s">
        <v>1301</v>
      </c>
      <c r="E189" s="18" t="s">
        <v>1302</v>
      </c>
      <c r="F189" s="12" t="s">
        <v>180</v>
      </c>
      <c r="G189" s="12" t="s">
        <v>78</v>
      </c>
      <c r="H189" s="18" t="s">
        <v>1303</v>
      </c>
      <c r="I189" s="18" t="s">
        <v>1304</v>
      </c>
      <c r="J189" s="18" t="s">
        <v>191</v>
      </c>
      <c r="K189" s="18"/>
      <c r="L189" s="12" t="s">
        <v>184</v>
      </c>
      <c r="M189" s="19">
        <v>46302.367800925917</v>
      </c>
      <c r="N189" s="19">
        <v>46302.367800925917</v>
      </c>
      <c r="O189" s="19">
        <v>46302.367800925917</v>
      </c>
      <c r="P189" s="12" t="s">
        <v>1305</v>
      </c>
      <c r="Q189" s="18" t="s">
        <v>1306</v>
      </c>
      <c r="R189" s="12"/>
      <c r="S189" s="12"/>
    </row>
    <row r="190" spans="1:19" ht="63.75" x14ac:dyDescent="0.25">
      <c r="A190" s="15" t="s">
        <v>1307</v>
      </c>
      <c r="B190" s="16">
        <v>18</v>
      </c>
      <c r="C190" s="12" t="s">
        <v>152</v>
      </c>
      <c r="D190" s="18" t="s">
        <v>1308</v>
      </c>
      <c r="E190" s="18" t="s">
        <v>1309</v>
      </c>
      <c r="F190" s="12" t="s">
        <v>195</v>
      </c>
      <c r="G190" s="12" t="s">
        <v>78</v>
      </c>
      <c r="H190" s="18" t="s">
        <v>1310</v>
      </c>
      <c r="I190" s="18" t="s">
        <v>1311</v>
      </c>
      <c r="J190" s="18" t="s">
        <v>191</v>
      </c>
      <c r="K190" s="18"/>
      <c r="L190" s="12" t="s">
        <v>184</v>
      </c>
      <c r="M190" s="19">
        <v>46292.414097222223</v>
      </c>
      <c r="N190" s="19">
        <v>46302.3675</v>
      </c>
      <c r="O190" s="19">
        <v>46302.3675</v>
      </c>
      <c r="P190" s="12" t="s">
        <v>1312</v>
      </c>
      <c r="Q190" s="18" t="s">
        <v>1313</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1314</v>
      </c>
    </row>
    <row r="2" spans="1:10" x14ac:dyDescent="0.25">
      <c r="A2" s="4" t="s">
        <v>1315</v>
      </c>
    </row>
    <row r="3" spans="1:10" x14ac:dyDescent="0.25">
      <c r="A3" s="6" t="s">
        <v>1316</v>
      </c>
      <c r="B3" s="6" t="s">
        <v>1317</v>
      </c>
      <c r="C3" s="6" t="s">
        <v>13</v>
      </c>
      <c r="D3" s="6" t="s">
        <v>16</v>
      </c>
      <c r="E3" s="6" t="s">
        <v>1318</v>
      </c>
      <c r="F3" s="6" t="s">
        <v>1319</v>
      </c>
      <c r="G3" s="6" t="s">
        <v>1320</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1321</v>
      </c>
    </row>
    <row r="7" spans="1:10" x14ac:dyDescent="0.25">
      <c r="A7" s="10" t="s">
        <v>1322</v>
      </c>
      <c r="B7" s="10" t="s">
        <v>57</v>
      </c>
      <c r="C7" s="10" t="s">
        <v>1323</v>
      </c>
      <c r="D7" s="10" t="s">
        <v>1324</v>
      </c>
      <c r="E7" s="10" t="s">
        <v>45</v>
      </c>
      <c r="F7" s="10" t="s">
        <v>46</v>
      </c>
      <c r="G7" s="10" t="s">
        <v>1325</v>
      </c>
      <c r="H7" s="10" t="s">
        <v>1326</v>
      </c>
      <c r="I7" s="10" t="s">
        <v>1327</v>
      </c>
      <c r="J7" s="10" t="s">
        <v>174</v>
      </c>
    </row>
    <row r="8" spans="1:10" ht="25.5" x14ac:dyDescent="0.25">
      <c r="A8" s="15" t="s">
        <v>265</v>
      </c>
      <c r="B8" s="12" t="str">
        <f t="shared" ref="B8:B27" si="0">IF(E8=0,"OPEN",IF(F8=E8,"RESOLVED",IF(I8&gt;0,"BLOCKED",IF(H8+F8&gt;0,"IN_PROGRESS","OPEN"))))</f>
        <v>RESOLVED</v>
      </c>
      <c r="C8" s="14">
        <f t="shared" ref="C8:C27" si="1">IF(E8=0,0,F8/E8)</f>
        <v>1</v>
      </c>
      <c r="D8" s="18" t="s">
        <v>1328</v>
      </c>
      <c r="E8" s="16">
        <f t="shared" ref="E8:E27" si="2">IF(LEN(SUBSTITUTE($G8," ",""))=0,0,LEN(SUBSTITUTE($G8," ",""))-LEN(SUBSTITUTE(SUBSTITUTE($G8," ",""),",",""))+1)</f>
        <v>5</v>
      </c>
      <c r="F8" s="16">
        <f>SUMPRODUCT(ISNUMBER(SEARCH(","&amp;MASTER!$A$2:$A$2000&amp;",",","&amp;SUBSTITUTE($G8," ","")&amp;","))*((MASTER!$G$2:$G$2000="DONE")))</f>
        <v>5</v>
      </c>
      <c r="G8" s="18" t="s">
        <v>1329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1330</v>
      </c>
      <c r="E9" s="16">
        <f t="shared" si="2"/>
        <v>4</v>
      </c>
      <c r="F9" s="16">
        <f>SUMPRODUCT(ISNUMBER(SEARCH(","&amp;MASTER!$A$2:$A$2000&amp;",",","&amp;SUBSTITUTE($G9," ","")&amp;","))*((MASTER!$G$2:$G$2000="DONE")))</f>
        <v>4</v>
      </c>
      <c r="G9" s="18" t="s">
        <v>1331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1332</v>
      </c>
    </row>
    <row r="10" spans="1:10" ht="25.5" x14ac:dyDescent="0.25">
      <c r="A10" s="15" t="s">
        <v>299</v>
      </c>
      <c r="B10" s="12" t="str">
        <f t="shared" si="0"/>
        <v>RESOLVED</v>
      </c>
      <c r="C10" s="14">
        <f t="shared" si="1"/>
        <v>1</v>
      </c>
      <c r="D10" s="18" t="s">
        <v>1333</v>
      </c>
      <c r="E10" s="16">
        <f t="shared" si="2"/>
        <v>5</v>
      </c>
      <c r="F10" s="16">
        <f>SUMPRODUCT(ISNUMBER(SEARCH(","&amp;MASTER!$A$2:$A$2000&amp;",",","&amp;SUBSTITUTE($G10," ","")&amp;","))*((MASTER!$G$2:$G$2000="DONE")))</f>
        <v>5</v>
      </c>
      <c r="G10" s="18" t="s">
        <v>1334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1335</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1336</v>
      </c>
    </row>
    <row r="12" spans="1:10" ht="63.75" x14ac:dyDescent="0.25">
      <c r="A12" s="15" t="s">
        <v>439</v>
      </c>
      <c r="B12" s="12" t="str">
        <f t="shared" si="0"/>
        <v>RESOLVED</v>
      </c>
      <c r="C12" s="14">
        <f t="shared" si="1"/>
        <v>1</v>
      </c>
      <c r="D12" s="18" t="s">
        <v>1337</v>
      </c>
      <c r="E12" s="16">
        <f t="shared" si="2"/>
        <v>4</v>
      </c>
      <c r="F12" s="16">
        <f>SUMPRODUCT(ISNUMBER(SEARCH(","&amp;MASTER!$A$2:$A$2000&amp;",",","&amp;SUBSTITUTE($G12," ","")&amp;","))*((MASTER!$G$2:$G$2000="DONE")))</f>
        <v>4</v>
      </c>
      <c r="G12" s="18" t="s">
        <v>1338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1339</v>
      </c>
    </row>
    <row r="13" spans="1:10" ht="25.5" x14ac:dyDescent="0.25">
      <c r="A13" s="15" t="s">
        <v>632</v>
      </c>
      <c r="B13" s="12" t="str">
        <f t="shared" si="0"/>
        <v>RESOLVED</v>
      </c>
      <c r="C13" s="14">
        <f t="shared" si="1"/>
        <v>1</v>
      </c>
      <c r="D13" s="18" t="s">
        <v>1340</v>
      </c>
      <c r="E13" s="16">
        <f t="shared" si="2"/>
        <v>3</v>
      </c>
      <c r="F13" s="16">
        <f>SUMPRODUCT(ISNUMBER(SEARCH(","&amp;MASTER!$A$2:$A$2000&amp;",",","&amp;SUBSTITUTE($G13," ","")&amp;","))*((MASTER!$G$2:$G$2000="DONE")))</f>
        <v>3</v>
      </c>
      <c r="G13" s="18" t="s">
        <v>1341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1342</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1343</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1344</v>
      </c>
      <c r="E16" s="16">
        <f t="shared" si="2"/>
        <v>2</v>
      </c>
      <c r="F16" s="16">
        <f>SUMPRODUCT(ISNUMBER(SEARCH(","&amp;MASTER!$A$2:$A$2000&amp;",",","&amp;SUBSTITUTE($G16," ","")&amp;","))*((MASTER!$G$2:$G$2000="DONE")))</f>
        <v>2</v>
      </c>
      <c r="G16" s="18" t="s">
        <v>1345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1346</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1347</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1348</v>
      </c>
      <c r="E19" s="16">
        <f t="shared" si="2"/>
        <v>2</v>
      </c>
      <c r="F19" s="16">
        <f>SUMPRODUCT(ISNUMBER(SEARCH(","&amp;MASTER!$A$2:$A$2000&amp;",",","&amp;SUBSTITUTE($G19," ","")&amp;","))*((MASTER!$G$2:$G$2000="DONE")))</f>
        <v>2</v>
      </c>
      <c r="G19" s="18" t="s">
        <v>1349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1350</v>
      </c>
      <c r="E20" s="16">
        <f t="shared" si="2"/>
        <v>3</v>
      </c>
      <c r="F20" s="16">
        <f>SUMPRODUCT(ISNUMBER(SEARCH(","&amp;MASTER!$A$2:$A$2000&amp;",",","&amp;SUBSTITUTE($G20," ","")&amp;","))*((MASTER!$G$2:$G$2000="DONE")))</f>
        <v>3</v>
      </c>
      <c r="G20" s="18" t="s">
        <v>1351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1352</v>
      </c>
      <c r="E21" s="16">
        <f t="shared" si="2"/>
        <v>4</v>
      </c>
      <c r="F21" s="16">
        <f>SUMPRODUCT(ISNUMBER(SEARCH(","&amp;MASTER!$A$2:$A$2000&amp;",",","&amp;SUBSTITUTE($G21," ","")&amp;","))*((MASTER!$G$2:$G$2000="DONE")))</f>
        <v>4</v>
      </c>
      <c r="G21" s="18" t="s">
        <v>1353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1260</v>
      </c>
      <c r="B22" s="12" t="str">
        <f t="shared" si="0"/>
        <v>BLOCKED</v>
      </c>
      <c r="C22" s="14">
        <f t="shared" si="1"/>
        <v>0.66666666666666663</v>
      </c>
      <c r="D22" s="18" t="s">
        <v>1354</v>
      </c>
      <c r="E22" s="16">
        <f t="shared" si="2"/>
        <v>3</v>
      </c>
      <c r="F22" s="16">
        <f>SUMPRODUCT(ISNUMBER(SEARCH(","&amp;MASTER!$A$2:$A$2000&amp;",",","&amp;SUBSTITUTE($G22," ","")&amp;","))*((MASTER!$G$2:$G$2000="DONE")))</f>
        <v>2</v>
      </c>
      <c r="G22" s="18" t="s">
        <v>1355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1356</v>
      </c>
      <c r="E23" s="16">
        <f t="shared" si="2"/>
        <v>2</v>
      </c>
      <c r="F23" s="16">
        <f>SUMPRODUCT(ISNUMBER(SEARCH(","&amp;MASTER!$A$2:$A$2000&amp;",",","&amp;SUBSTITUTE($G23," ","")&amp;","))*((MASTER!$G$2:$G$2000="DONE")))</f>
        <v>2</v>
      </c>
      <c r="G23" s="18" t="s">
        <v>1357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1358</v>
      </c>
      <c r="E24" s="16">
        <f t="shared" si="2"/>
        <v>2</v>
      </c>
      <c r="F24" s="16">
        <f>SUMPRODUCT(ISNUMBER(SEARCH(","&amp;MASTER!$A$2:$A$2000&amp;",",","&amp;SUBSTITUTE($G24," ","")&amp;","))*((MASTER!$G$2:$G$2000="DONE")))</f>
        <v>2</v>
      </c>
      <c r="G24" s="18" t="s">
        <v>1359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1360</v>
      </c>
      <c r="E25" s="16">
        <f t="shared" si="2"/>
        <v>2</v>
      </c>
      <c r="F25" s="16">
        <f>SUMPRODUCT(ISNUMBER(SEARCH(","&amp;MASTER!$A$2:$A$2000&amp;",",","&amp;SUBSTITUTE($G25," ","")&amp;","))*((MASTER!$G$2:$G$2000="DONE")))</f>
        <v>2</v>
      </c>
      <c r="G25" s="18" t="s">
        <v>1361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1362</v>
      </c>
    </row>
    <row r="26" spans="1:12" ht="25.5" x14ac:dyDescent="0.25">
      <c r="A26" s="15" t="s">
        <v>1363</v>
      </c>
      <c r="B26" s="12" t="str">
        <f t="shared" si="0"/>
        <v>RESOLVED</v>
      </c>
      <c r="C26" s="14">
        <f t="shared" si="1"/>
        <v>1</v>
      </c>
      <c r="D26" s="18" t="s">
        <v>1364</v>
      </c>
      <c r="E26" s="16">
        <f t="shared" si="2"/>
        <v>4</v>
      </c>
      <c r="F26" s="16">
        <f>SUMPRODUCT(ISNUMBER(SEARCH(","&amp;MASTER!$A$2:$A$2000&amp;",",","&amp;SUBSTITUTE($G26," ","")&amp;","))*((MASTER!$G$2:$G$2000="DONE")))</f>
        <v>4</v>
      </c>
      <c r="G26" s="18" t="s">
        <v>1365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1366</v>
      </c>
      <c r="E27" s="16">
        <f t="shared" si="2"/>
        <v>3</v>
      </c>
      <c r="F27" s="16">
        <f>SUMPRODUCT(ISNUMBER(SEARCH(","&amp;MASTER!$A$2:$A$2000&amp;",",","&amp;SUBSTITUTE($G27," ","")&amp;","))*((MASTER!$G$2:$G$2000="DONE")))</f>
        <v>3</v>
      </c>
      <c r="G27" s="18" t="s">
        <v>1367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1368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1148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1186</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1193</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1273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1280</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1300</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1369</v>
      </c>
    </row>
    <row r="2" spans="1:12" x14ac:dyDescent="0.25">
      <c r="A2" s="4" t="s">
        <v>1370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1186</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1193</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1198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1201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1372</v>
      </c>
    </row>
    <row r="2" spans="1:12" x14ac:dyDescent="0.25">
      <c r="A2" s="4" t="s">
        <v>1373</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1374</v>
      </c>
    </row>
    <row r="2" spans="1:12" x14ac:dyDescent="0.25">
      <c r="A2" s="4" t="s">
        <v>1375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1376</v>
      </c>
    </row>
    <row r="2" spans="1:12" x14ac:dyDescent="0.25">
      <c r="A2" s="4" t="s">
        <v>1377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1378</v>
      </c>
    </row>
    <row r="2" spans="1:12" x14ac:dyDescent="0.25">
      <c r="A2" s="4" t="s">
        <v>1379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1159</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1167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1179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1380</v>
      </c>
    </row>
    <row r="2" spans="1:12" x14ac:dyDescent="0.25">
      <c r="A2" s="4" t="s">
        <v>1381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1382</v>
      </c>
    </row>
    <row r="2" spans="1:12" x14ac:dyDescent="0.25">
      <c r="A2" s="4" t="s">
        <v>1383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1384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1385</v>
      </c>
    </row>
    <row r="7" spans="1:11" x14ac:dyDescent="0.25">
      <c r="A7" s="10" t="s">
        <v>1386</v>
      </c>
      <c r="B7" s="10" t="s">
        <v>1387</v>
      </c>
      <c r="C7" s="10" t="s">
        <v>1388</v>
      </c>
      <c r="D7" s="10" t="s">
        <v>1389</v>
      </c>
      <c r="E7" s="10" t="s">
        <v>1390</v>
      </c>
      <c r="F7" s="10" t="s">
        <v>57</v>
      </c>
      <c r="G7" s="10" t="s">
        <v>1391</v>
      </c>
      <c r="H7" s="10" t="s">
        <v>1392</v>
      </c>
      <c r="I7" s="10" t="s">
        <v>1393</v>
      </c>
      <c r="J7" s="10" t="s">
        <v>1394</v>
      </c>
      <c r="K7" s="10" t="s">
        <v>174</v>
      </c>
    </row>
    <row r="8" spans="1:11" ht="51" x14ac:dyDescent="0.25">
      <c r="A8" s="15" t="s">
        <v>1395</v>
      </c>
      <c r="B8" s="12" t="s">
        <v>1396</v>
      </c>
      <c r="C8" s="12" t="s">
        <v>1397</v>
      </c>
      <c r="D8" s="18" t="s">
        <v>1398</v>
      </c>
      <c r="E8" s="12">
        <v>321</v>
      </c>
      <c r="F8" s="12" t="str">
        <f t="shared" ref="F8:F20" si="0">IF(H8="","NOT_REMEASURED",IF(J8="","NO_THRESHOLD",IF(H8&lt;=J8,"WITHIN","OVER")))</f>
        <v>WITHIN</v>
      </c>
      <c r="G8" s="18" t="s">
        <v>1399</v>
      </c>
      <c r="H8" s="12">
        <v>0.70599999999999996</v>
      </c>
      <c r="I8" s="19">
        <v>46301.616249999999</v>
      </c>
      <c r="J8" s="12">
        <v>10</v>
      </c>
      <c r="K8" s="18" t="s">
        <v>1400</v>
      </c>
    </row>
    <row r="9" spans="1:11" x14ac:dyDescent="0.25">
      <c r="A9" s="15" t="s">
        <v>1401</v>
      </c>
      <c r="B9" s="12" t="s">
        <v>1396</v>
      </c>
      <c r="C9" s="12" t="s">
        <v>1397</v>
      </c>
      <c r="D9" s="18" t="s">
        <v>1402</v>
      </c>
      <c r="E9" s="12">
        <v>1.4</v>
      </c>
      <c r="F9" s="12" t="str">
        <f t="shared" si="0"/>
        <v>NOT_REMEASURED</v>
      </c>
      <c r="G9" s="18" t="s">
        <v>1403</v>
      </c>
      <c r="H9" s="12"/>
      <c r="I9" s="19"/>
      <c r="J9" s="12"/>
      <c r="K9" s="18"/>
    </row>
    <row r="10" spans="1:11" x14ac:dyDescent="0.25">
      <c r="A10" s="15" t="s">
        <v>1404</v>
      </c>
      <c r="B10" s="12" t="s">
        <v>1396</v>
      </c>
      <c r="C10" s="12" t="s">
        <v>1397</v>
      </c>
      <c r="D10" s="18" t="s">
        <v>1405</v>
      </c>
      <c r="E10" s="12">
        <v>0.32800000000000001</v>
      </c>
      <c r="F10" s="12" t="str">
        <f t="shared" si="0"/>
        <v>NOT_REMEASURED</v>
      </c>
      <c r="G10" s="18" t="s">
        <v>1406</v>
      </c>
      <c r="H10" s="12"/>
      <c r="I10" s="19"/>
      <c r="J10" s="12"/>
      <c r="K10" s="18"/>
    </row>
    <row r="11" spans="1:11" x14ac:dyDescent="0.25">
      <c r="A11" s="15" t="s">
        <v>1407</v>
      </c>
      <c r="B11" s="12" t="s">
        <v>1396</v>
      </c>
      <c r="C11" s="12" t="s">
        <v>1397</v>
      </c>
      <c r="D11" s="18" t="s">
        <v>1408</v>
      </c>
      <c r="E11" s="12">
        <v>0.66900000000000004</v>
      </c>
      <c r="F11" s="12" t="str">
        <f t="shared" si="0"/>
        <v>NOT_REMEASURED</v>
      </c>
      <c r="G11" s="18" t="s">
        <v>1406</v>
      </c>
      <c r="H11" s="12"/>
      <c r="I11" s="19"/>
      <c r="J11" s="12"/>
      <c r="K11" s="18"/>
    </row>
    <row r="12" spans="1:11" x14ac:dyDescent="0.25">
      <c r="A12" s="15" t="s">
        <v>1409</v>
      </c>
      <c r="B12" s="12" t="s">
        <v>1396</v>
      </c>
      <c r="C12" s="12" t="s">
        <v>1397</v>
      </c>
      <c r="D12" s="18" t="s">
        <v>1410</v>
      </c>
      <c r="E12" s="12">
        <v>1.8</v>
      </c>
      <c r="F12" s="12" t="str">
        <f t="shared" si="0"/>
        <v>NOT_REMEASURED</v>
      </c>
      <c r="G12" s="18" t="s">
        <v>1406</v>
      </c>
      <c r="H12" s="12"/>
      <c r="I12" s="19"/>
      <c r="J12" s="12"/>
      <c r="K12" s="18"/>
    </row>
    <row r="13" spans="1:11" ht="25.5" x14ac:dyDescent="0.25">
      <c r="A13" s="15" t="s">
        <v>1411</v>
      </c>
      <c r="B13" s="12" t="s">
        <v>1412</v>
      </c>
      <c r="C13" s="12" t="s">
        <v>1413</v>
      </c>
      <c r="D13" s="18" t="s">
        <v>1414</v>
      </c>
      <c r="E13" s="12">
        <v>1382</v>
      </c>
      <c r="F13" s="12" t="str">
        <f t="shared" si="0"/>
        <v>NOT_REMEASURED</v>
      </c>
      <c r="G13" s="18" t="s">
        <v>1415</v>
      </c>
      <c r="H13" s="12"/>
      <c r="I13" s="19"/>
      <c r="J13" s="12"/>
      <c r="K13" s="18"/>
    </row>
    <row r="14" spans="1:11" x14ac:dyDescent="0.25">
      <c r="A14" s="15" t="s">
        <v>1416</v>
      </c>
      <c r="B14" s="12" t="s">
        <v>1412</v>
      </c>
      <c r="C14" s="12" t="s">
        <v>1413</v>
      </c>
      <c r="D14" s="18" t="s">
        <v>1417</v>
      </c>
      <c r="E14" s="12">
        <v>180</v>
      </c>
      <c r="F14" s="12" t="str">
        <f t="shared" si="0"/>
        <v>NOT_REMEASURED</v>
      </c>
      <c r="G14" s="18" t="s">
        <v>1418</v>
      </c>
      <c r="H14" s="12"/>
      <c r="I14" s="19"/>
      <c r="J14" s="12"/>
      <c r="K14" s="18"/>
    </row>
    <row r="15" spans="1:11" ht="25.5" x14ac:dyDescent="0.25">
      <c r="A15" s="15" t="s">
        <v>1419</v>
      </c>
      <c r="B15" s="12" t="s">
        <v>1396</v>
      </c>
      <c r="C15" s="12" t="s">
        <v>1397</v>
      </c>
      <c r="D15" s="18" t="s">
        <v>1420</v>
      </c>
      <c r="E15" s="12">
        <v>9.4</v>
      </c>
      <c r="F15" s="12" t="str">
        <f t="shared" si="0"/>
        <v>NOT_REMEASURED</v>
      </c>
      <c r="G15" s="18" t="s">
        <v>1421</v>
      </c>
      <c r="H15" s="12"/>
      <c r="I15" s="19"/>
      <c r="J15" s="12"/>
      <c r="K15" s="18"/>
    </row>
    <row r="16" spans="1:11" x14ac:dyDescent="0.25">
      <c r="A16" s="15" t="s">
        <v>1422</v>
      </c>
      <c r="B16" s="12" t="s">
        <v>1396</v>
      </c>
      <c r="C16" s="12" t="s">
        <v>1397</v>
      </c>
      <c r="D16" s="18" t="s">
        <v>1423</v>
      </c>
      <c r="E16" s="12">
        <v>0.62</v>
      </c>
      <c r="F16" s="12" t="str">
        <f t="shared" si="0"/>
        <v>NOT_REMEASURED</v>
      </c>
      <c r="G16" s="18" t="s">
        <v>1424</v>
      </c>
      <c r="H16" s="12"/>
      <c r="I16" s="19"/>
      <c r="J16" s="12"/>
      <c r="K16" s="18"/>
    </row>
    <row r="17" spans="1:12" ht="102" x14ac:dyDescent="0.25">
      <c r="A17" s="15" t="s">
        <v>1425</v>
      </c>
      <c r="B17" s="12" t="s">
        <v>1426</v>
      </c>
      <c r="C17" s="12" t="s">
        <v>1413</v>
      </c>
      <c r="D17" s="18" t="s">
        <v>1427</v>
      </c>
      <c r="E17" s="12">
        <v>2.77</v>
      </c>
      <c r="F17" s="12" t="str">
        <f t="shared" si="0"/>
        <v>WITHIN</v>
      </c>
      <c r="G17" s="18" t="s">
        <v>1428</v>
      </c>
      <c r="H17" s="12">
        <v>1.4E-3</v>
      </c>
      <c r="I17" s="19">
        <v>46296.494641203702</v>
      </c>
      <c r="J17" s="12">
        <v>0.05</v>
      </c>
      <c r="K17" s="18" t="s">
        <v>1429</v>
      </c>
    </row>
    <row r="18" spans="1:12" ht="76.5" x14ac:dyDescent="0.25">
      <c r="A18" s="15" t="s">
        <v>1430</v>
      </c>
      <c r="B18" s="12" t="s">
        <v>1426</v>
      </c>
      <c r="C18" s="12" t="s">
        <v>1413</v>
      </c>
      <c r="D18" s="18" t="s">
        <v>1431</v>
      </c>
      <c r="E18" s="12">
        <v>5.99</v>
      </c>
      <c r="F18" s="12" t="str">
        <f t="shared" si="0"/>
        <v>WITHIN</v>
      </c>
      <c r="G18" s="18" t="s">
        <v>1424</v>
      </c>
      <c r="H18" s="12">
        <v>8.0000000000000004E-4</v>
      </c>
      <c r="I18" s="19">
        <v>46296.494687500002</v>
      </c>
      <c r="J18" s="12">
        <v>0.05</v>
      </c>
      <c r="K18" s="18" t="s">
        <v>1432</v>
      </c>
    </row>
    <row r="19" spans="1:12" ht="25.5" x14ac:dyDescent="0.25">
      <c r="A19" s="15" t="s">
        <v>1433</v>
      </c>
      <c r="B19" s="12" t="s">
        <v>1434</v>
      </c>
      <c r="C19" s="12" t="s">
        <v>1413</v>
      </c>
      <c r="D19" s="18" t="s">
        <v>1435</v>
      </c>
      <c r="E19" s="12">
        <v>140</v>
      </c>
      <c r="F19" s="12" t="str">
        <f t="shared" si="0"/>
        <v>NOT_REMEASURED</v>
      </c>
      <c r="G19" s="18" t="s">
        <v>1436</v>
      </c>
      <c r="H19" s="12"/>
      <c r="I19" s="19"/>
      <c r="J19" s="12"/>
      <c r="K19" s="18"/>
    </row>
    <row r="20" spans="1:12" ht="25.5" x14ac:dyDescent="0.25">
      <c r="A20" s="15" t="s">
        <v>1437</v>
      </c>
      <c r="B20" s="12" t="s">
        <v>1396</v>
      </c>
      <c r="C20" s="12" t="s">
        <v>1397</v>
      </c>
      <c r="D20" s="18" t="s">
        <v>1438</v>
      </c>
      <c r="E20" s="12">
        <v>0.65</v>
      </c>
      <c r="F20" s="12" t="str">
        <f t="shared" si="0"/>
        <v>NOT_REMEASURED</v>
      </c>
      <c r="G20" s="18" t="s">
        <v>1439</v>
      </c>
      <c r="H20" s="12"/>
      <c r="I20" s="19"/>
      <c r="J20" s="12"/>
      <c r="K20" s="18"/>
    </row>
    <row r="23" spans="1:12" ht="15.75" x14ac:dyDescent="0.25">
      <c r="A23" s="5" t="s">
        <v>1440</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1233</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9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1441</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1442</v>
      </c>
    </row>
    <row r="7" spans="1:11" ht="25.5" x14ac:dyDescent="0.25">
      <c r="A7" s="10" t="s">
        <v>1443</v>
      </c>
      <c r="B7" s="10" t="s">
        <v>93</v>
      </c>
      <c r="C7" s="10" t="s">
        <v>94</v>
      </c>
      <c r="D7" s="10" t="s">
        <v>1444</v>
      </c>
      <c r="E7" s="10" t="s">
        <v>1445</v>
      </c>
      <c r="F7" s="10" t="s">
        <v>19</v>
      </c>
      <c r="G7" s="10" t="s">
        <v>174</v>
      </c>
      <c r="H7" s="10" t="s">
        <v>1446</v>
      </c>
      <c r="I7" s="10" t="s">
        <v>1447</v>
      </c>
      <c r="J7" s="10" t="s">
        <v>1448</v>
      </c>
      <c r="K7" s="10" t="s">
        <v>173</v>
      </c>
    </row>
    <row r="8" spans="1:11" ht="51" x14ac:dyDescent="0.25">
      <c r="A8" s="15" t="s">
        <v>1449</v>
      </c>
      <c r="B8" s="12" t="s">
        <v>1450</v>
      </c>
      <c r="C8" s="12" t="s">
        <v>1451</v>
      </c>
      <c r="D8" s="18" t="s">
        <v>1452</v>
      </c>
      <c r="E8" s="12">
        <v>643</v>
      </c>
      <c r="F8" s="12">
        <v>0</v>
      </c>
      <c r="G8" s="18" t="s">
        <v>1453</v>
      </c>
      <c r="H8" s="12">
        <v>1</v>
      </c>
      <c r="I8" s="19">
        <v>46292.166724537034</v>
      </c>
      <c r="J8" s="12">
        <v>88</v>
      </c>
      <c r="K8" s="12" t="s">
        <v>1454</v>
      </c>
    </row>
    <row r="9" spans="1:11" x14ac:dyDescent="0.25">
      <c r="A9" s="15" t="s">
        <v>1455</v>
      </c>
      <c r="B9" s="12" t="s">
        <v>1456</v>
      </c>
      <c r="C9" s="12" t="s">
        <v>1451</v>
      </c>
      <c r="D9" s="18" t="s">
        <v>1457</v>
      </c>
      <c r="E9" s="12">
        <v>0</v>
      </c>
      <c r="F9" s="12">
        <v>0</v>
      </c>
      <c r="G9" s="18" t="s">
        <v>1458</v>
      </c>
      <c r="H9" s="12">
        <v>0</v>
      </c>
      <c r="I9" s="19">
        <v>46292.166759259257</v>
      </c>
      <c r="J9" s="12">
        <v>53</v>
      </c>
      <c r="K9" s="12" t="s">
        <v>1454</v>
      </c>
    </row>
    <row r="10" spans="1:11" x14ac:dyDescent="0.25">
      <c r="A10" s="15" t="s">
        <v>1459</v>
      </c>
      <c r="B10" s="12" t="s">
        <v>1460</v>
      </c>
      <c r="C10" s="12" t="s">
        <v>1451</v>
      </c>
      <c r="D10" s="18" t="s">
        <v>1461</v>
      </c>
      <c r="E10" s="12">
        <v>0</v>
      </c>
      <c r="F10" s="12">
        <v>0</v>
      </c>
      <c r="G10" s="18" t="s">
        <v>1462</v>
      </c>
      <c r="H10" s="12">
        <v>0</v>
      </c>
      <c r="I10" s="19">
        <v>46292.16679398148</v>
      </c>
      <c r="J10" s="12">
        <v>7</v>
      </c>
      <c r="K10" s="12" t="s">
        <v>1454</v>
      </c>
    </row>
    <row r="11" spans="1:11" x14ac:dyDescent="0.25">
      <c r="A11" s="15" t="s">
        <v>1463</v>
      </c>
      <c r="B11" s="12" t="s">
        <v>1464</v>
      </c>
      <c r="C11" s="12" t="s">
        <v>1451</v>
      </c>
      <c r="D11" s="18" t="s">
        <v>1465</v>
      </c>
      <c r="E11" s="12">
        <v>46</v>
      </c>
      <c r="F11" s="12">
        <v>0</v>
      </c>
      <c r="G11" s="18" t="s">
        <v>1466</v>
      </c>
      <c r="H11" s="12">
        <v>0</v>
      </c>
      <c r="I11" s="19">
        <v>46292.166828703703</v>
      </c>
      <c r="J11" s="12">
        <v>30</v>
      </c>
      <c r="K11" s="12" t="s">
        <v>1454</v>
      </c>
    </row>
    <row r="12" spans="1:11" x14ac:dyDescent="0.25">
      <c r="A12" s="15" t="s">
        <v>1467</v>
      </c>
      <c r="B12" s="12" t="s">
        <v>1468</v>
      </c>
      <c r="C12" s="12" t="s">
        <v>1451</v>
      </c>
      <c r="D12" s="18" t="s">
        <v>1469</v>
      </c>
      <c r="E12" s="12">
        <v>0</v>
      </c>
      <c r="F12" s="12">
        <v>0</v>
      </c>
      <c r="G12" s="18" t="s">
        <v>1470</v>
      </c>
      <c r="H12" s="12">
        <v>0</v>
      </c>
      <c r="I12" s="19">
        <v>46292.166863425933</v>
      </c>
      <c r="J12" s="12">
        <v>20</v>
      </c>
      <c r="K12" s="12" t="s">
        <v>1454</v>
      </c>
    </row>
    <row r="13" spans="1:11" ht="63.75" x14ac:dyDescent="0.25">
      <c r="A13" s="15" t="s">
        <v>1471</v>
      </c>
      <c r="B13" s="12" t="s">
        <v>1472</v>
      </c>
      <c r="C13" s="12" t="s">
        <v>1451</v>
      </c>
      <c r="D13" s="18" t="s">
        <v>1473</v>
      </c>
      <c r="E13" s="12">
        <v>16</v>
      </c>
      <c r="F13" s="12">
        <v>0</v>
      </c>
      <c r="G13" s="18" t="s">
        <v>1474</v>
      </c>
      <c r="H13" s="12">
        <v>0</v>
      </c>
      <c r="I13" s="19">
        <v>46292.166898148149</v>
      </c>
      <c r="J13" s="12">
        <v>67</v>
      </c>
      <c r="K13" s="12" t="s">
        <v>1454</v>
      </c>
    </row>
    <row r="14" spans="1:11" ht="38.25" x14ac:dyDescent="0.25">
      <c r="A14" s="15" t="s">
        <v>1475</v>
      </c>
      <c r="B14" s="12" t="s">
        <v>1476</v>
      </c>
      <c r="C14" s="12" t="s">
        <v>1451</v>
      </c>
      <c r="D14" s="18" t="s">
        <v>1477</v>
      </c>
      <c r="E14" s="12">
        <v>4</v>
      </c>
      <c r="F14" s="12">
        <v>0</v>
      </c>
      <c r="G14" s="18" t="s">
        <v>1478</v>
      </c>
      <c r="H14" s="12">
        <v>0</v>
      </c>
      <c r="I14" s="19">
        <v>46292.166932870372</v>
      </c>
      <c r="J14" s="12"/>
      <c r="K14" s="12" t="s">
        <v>1454</v>
      </c>
    </row>
    <row r="15" spans="1:11" ht="63.75" x14ac:dyDescent="0.25">
      <c r="A15" s="15" t="s">
        <v>1479</v>
      </c>
      <c r="B15" s="12" t="s">
        <v>1480</v>
      </c>
      <c r="C15" s="12" t="s">
        <v>1451</v>
      </c>
      <c r="D15" s="18" t="s">
        <v>1481</v>
      </c>
      <c r="E15" s="12">
        <v>8</v>
      </c>
      <c r="F15" s="12">
        <v>0</v>
      </c>
      <c r="G15" s="18" t="s">
        <v>1482</v>
      </c>
      <c r="H15" s="12">
        <v>0</v>
      </c>
      <c r="I15" s="19">
        <v>46292.166979166657</v>
      </c>
      <c r="J15" s="12"/>
      <c r="K15" s="12" t="s">
        <v>1454</v>
      </c>
    </row>
    <row r="16" spans="1:11" ht="25.5" x14ac:dyDescent="0.25">
      <c r="A16" s="15" t="s">
        <v>1483</v>
      </c>
      <c r="B16" s="12" t="s">
        <v>1484</v>
      </c>
      <c r="C16" s="12" t="s">
        <v>1451</v>
      </c>
      <c r="D16" s="18" t="s">
        <v>1485</v>
      </c>
      <c r="E16" s="12">
        <v>2</v>
      </c>
      <c r="F16" s="12">
        <v>0</v>
      </c>
      <c r="G16" s="18" t="s">
        <v>1486</v>
      </c>
      <c r="H16" s="12">
        <v>0</v>
      </c>
      <c r="I16" s="19">
        <v>46292.167013888888</v>
      </c>
      <c r="J16" s="12"/>
      <c r="K16" s="12" t="s">
        <v>1454</v>
      </c>
    </row>
    <row r="17" spans="1:11" x14ac:dyDescent="0.25">
      <c r="A17" s="15" t="s">
        <v>1487</v>
      </c>
      <c r="B17" s="12" t="s">
        <v>1488</v>
      </c>
      <c r="C17" s="12" t="s">
        <v>1451</v>
      </c>
      <c r="D17" s="18" t="s">
        <v>1489</v>
      </c>
      <c r="E17" s="12">
        <v>1</v>
      </c>
      <c r="F17" s="12">
        <v>0</v>
      </c>
      <c r="G17" s="18" t="s">
        <v>1490</v>
      </c>
      <c r="H17" s="12">
        <v>0</v>
      </c>
      <c r="I17" s="19">
        <v>46292.167048611111</v>
      </c>
      <c r="J17" s="12"/>
      <c r="K17" s="12" t="s">
        <v>1454</v>
      </c>
    </row>
    <row r="18" spans="1:11" ht="63.75" x14ac:dyDescent="0.25">
      <c r="A18" s="15" t="s">
        <v>1491</v>
      </c>
      <c r="B18" s="12" t="s">
        <v>1492</v>
      </c>
      <c r="C18" s="12" t="s">
        <v>1493</v>
      </c>
      <c r="D18" s="18" t="s">
        <v>1494</v>
      </c>
      <c r="E18" s="12">
        <v>1</v>
      </c>
      <c r="F18" s="12">
        <v>0</v>
      </c>
      <c r="G18" s="18" t="s">
        <v>1495</v>
      </c>
      <c r="H18" s="12">
        <v>0</v>
      </c>
      <c r="I18" s="19">
        <v>46292.167083333326</v>
      </c>
      <c r="J18" s="12"/>
      <c r="K18" s="12" t="s">
        <v>1454</v>
      </c>
    </row>
    <row r="19" spans="1:11" ht="25.5" x14ac:dyDescent="0.25">
      <c r="A19" s="15" t="s">
        <v>1496</v>
      </c>
      <c r="B19" s="12" t="s">
        <v>1450</v>
      </c>
      <c r="C19" s="12" t="s">
        <v>1451</v>
      </c>
      <c r="D19" s="18" t="s">
        <v>1452</v>
      </c>
      <c r="E19" s="12">
        <v>659</v>
      </c>
      <c r="F19" s="12">
        <v>0</v>
      </c>
      <c r="G19" s="18" t="s">
        <v>1497</v>
      </c>
      <c r="H19" s="12">
        <v>1</v>
      </c>
      <c r="I19" s="19">
        <v>46292.194814814808</v>
      </c>
      <c r="J19" s="12">
        <v>85</v>
      </c>
      <c r="K19" s="12" t="s">
        <v>185</v>
      </c>
    </row>
    <row r="20" spans="1:11" ht="25.5" x14ac:dyDescent="0.25">
      <c r="A20" s="15" t="s">
        <v>1498</v>
      </c>
      <c r="B20" s="12" t="s">
        <v>1464</v>
      </c>
      <c r="C20" s="12" t="s">
        <v>1451</v>
      </c>
      <c r="D20" s="18" t="s">
        <v>1499</v>
      </c>
      <c r="E20" s="12">
        <v>77</v>
      </c>
      <c r="F20" s="12">
        <v>0</v>
      </c>
      <c r="G20" s="18" t="s">
        <v>1500</v>
      </c>
      <c r="H20" s="12">
        <v>0</v>
      </c>
      <c r="I20" s="19">
        <v>46292.194849537038</v>
      </c>
      <c r="J20" s="12">
        <v>4</v>
      </c>
      <c r="K20" s="12" t="s">
        <v>185</v>
      </c>
    </row>
    <row r="21" spans="1:11" ht="25.5" x14ac:dyDescent="0.25">
      <c r="A21" s="15" t="s">
        <v>1501</v>
      </c>
      <c r="B21" s="12" t="s">
        <v>1472</v>
      </c>
      <c r="C21" s="12" t="s">
        <v>1451</v>
      </c>
      <c r="D21" s="18" t="s">
        <v>1502</v>
      </c>
      <c r="E21" s="12">
        <v>17</v>
      </c>
      <c r="F21" s="12">
        <v>0</v>
      </c>
      <c r="G21" s="18" t="s">
        <v>1503</v>
      </c>
      <c r="H21" s="12">
        <v>0</v>
      </c>
      <c r="I21" s="19">
        <v>46292.194884259261</v>
      </c>
      <c r="J21" s="12">
        <v>71</v>
      </c>
      <c r="K21" s="12" t="s">
        <v>185</v>
      </c>
    </row>
    <row r="22" spans="1:11" ht="25.5" x14ac:dyDescent="0.25">
      <c r="A22" s="15" t="s">
        <v>1504</v>
      </c>
      <c r="B22" s="12" t="s">
        <v>1450</v>
      </c>
      <c r="C22" s="12" t="s">
        <v>1451</v>
      </c>
      <c r="D22" s="18" t="s">
        <v>1452</v>
      </c>
      <c r="E22" s="12">
        <v>688</v>
      </c>
      <c r="F22" s="12">
        <v>0</v>
      </c>
      <c r="G22" s="18" t="s">
        <v>1505</v>
      </c>
      <c r="H22" s="12">
        <v>1</v>
      </c>
      <c r="I22" s="19">
        <v>46292.218171296299</v>
      </c>
      <c r="J22" s="12">
        <v>102</v>
      </c>
      <c r="K22" s="12" t="s">
        <v>255</v>
      </c>
    </row>
    <row r="23" spans="1:11" x14ac:dyDescent="0.25">
      <c r="A23" s="15" t="s">
        <v>1506</v>
      </c>
      <c r="B23" s="12" t="s">
        <v>1464</v>
      </c>
      <c r="C23" s="12" t="s">
        <v>1451</v>
      </c>
      <c r="D23" s="18" t="s">
        <v>1499</v>
      </c>
      <c r="E23" s="12">
        <v>80</v>
      </c>
      <c r="F23" s="12">
        <v>0</v>
      </c>
      <c r="G23" s="18" t="s">
        <v>1507</v>
      </c>
      <c r="H23" s="12">
        <v>0</v>
      </c>
      <c r="I23" s="19">
        <v>46292.218206018522</v>
      </c>
      <c r="J23" s="12">
        <v>5</v>
      </c>
      <c r="K23" s="12" t="s">
        <v>255</v>
      </c>
    </row>
    <row r="24" spans="1:11" ht="38.25" x14ac:dyDescent="0.25">
      <c r="A24" s="15" t="s">
        <v>1508</v>
      </c>
      <c r="B24" s="12" t="s">
        <v>1472</v>
      </c>
      <c r="C24" s="12" t="s">
        <v>1451</v>
      </c>
      <c r="D24" s="18" t="s">
        <v>1502</v>
      </c>
      <c r="E24" s="12">
        <v>18</v>
      </c>
      <c r="F24" s="12">
        <v>0</v>
      </c>
      <c r="G24" s="18" t="s">
        <v>1509</v>
      </c>
      <c r="H24" s="12">
        <v>0</v>
      </c>
      <c r="I24" s="19">
        <v>46292.218240740738</v>
      </c>
      <c r="J24" s="12">
        <v>72</v>
      </c>
      <c r="K24" s="12" t="s">
        <v>255</v>
      </c>
    </row>
    <row r="25" spans="1:11" ht="25.5" x14ac:dyDescent="0.25">
      <c r="A25" s="15" t="s">
        <v>1510</v>
      </c>
      <c r="B25" s="12" t="s">
        <v>1450</v>
      </c>
      <c r="C25" s="12" t="s">
        <v>1451</v>
      </c>
      <c r="D25" s="18" t="s">
        <v>1452</v>
      </c>
      <c r="E25" s="12">
        <v>694</v>
      </c>
      <c r="F25" s="12">
        <v>0</v>
      </c>
      <c r="G25" s="18" t="s">
        <v>1511</v>
      </c>
      <c r="H25" s="12">
        <v>1</v>
      </c>
      <c r="I25" s="19">
        <v>46292.350682870368</v>
      </c>
      <c r="J25" s="12">
        <v>107</v>
      </c>
      <c r="K25" s="12" t="s">
        <v>353</v>
      </c>
    </row>
    <row r="26" spans="1:11" x14ac:dyDescent="0.25">
      <c r="A26" s="15" t="s">
        <v>1512</v>
      </c>
      <c r="B26" s="12" t="s">
        <v>1464</v>
      </c>
      <c r="C26" s="12" t="s">
        <v>1451</v>
      </c>
      <c r="D26" s="18" t="s">
        <v>1499</v>
      </c>
      <c r="E26" s="12">
        <v>84</v>
      </c>
      <c r="F26" s="12">
        <v>0</v>
      </c>
      <c r="G26" s="18" t="s">
        <v>1513</v>
      </c>
      <c r="H26" s="12">
        <v>0</v>
      </c>
      <c r="I26" s="19">
        <v>46292.350717592592</v>
      </c>
      <c r="J26" s="12">
        <v>5</v>
      </c>
      <c r="K26" s="12" t="s">
        <v>353</v>
      </c>
    </row>
    <row r="27" spans="1:11" ht="25.5" x14ac:dyDescent="0.25">
      <c r="A27" s="15" t="s">
        <v>1514</v>
      </c>
      <c r="B27" s="12" t="s">
        <v>1472</v>
      </c>
      <c r="C27" s="12" t="s">
        <v>1451</v>
      </c>
      <c r="D27" s="18" t="s">
        <v>1502</v>
      </c>
      <c r="E27" s="12">
        <v>18</v>
      </c>
      <c r="F27" s="12">
        <v>0</v>
      </c>
      <c r="G27" s="18" t="s">
        <v>1515</v>
      </c>
      <c r="H27" s="12">
        <v>0</v>
      </c>
      <c r="I27" s="19">
        <v>46292.350763888891</v>
      </c>
      <c r="J27" s="12">
        <v>72</v>
      </c>
      <c r="K27" s="12" t="s">
        <v>353</v>
      </c>
    </row>
    <row r="28" spans="1:11" ht="25.5" x14ac:dyDescent="0.25">
      <c r="A28" s="15" t="s">
        <v>1516</v>
      </c>
      <c r="B28" s="12" t="s">
        <v>1450</v>
      </c>
      <c r="C28" s="12" t="s">
        <v>1451</v>
      </c>
      <c r="D28" s="18" t="s">
        <v>1452</v>
      </c>
      <c r="E28" s="12">
        <v>700</v>
      </c>
      <c r="F28" s="12">
        <v>0</v>
      </c>
      <c r="G28" s="18" t="s">
        <v>1517</v>
      </c>
      <c r="H28" s="12">
        <v>1</v>
      </c>
      <c r="I28" s="19">
        <v>46292.356620370367</v>
      </c>
      <c r="J28" s="12">
        <v>89</v>
      </c>
      <c r="K28" s="12" t="s">
        <v>368</v>
      </c>
    </row>
    <row r="29" spans="1:11" x14ac:dyDescent="0.25">
      <c r="A29" s="15" t="s">
        <v>1518</v>
      </c>
      <c r="B29" s="12" t="s">
        <v>1196</v>
      </c>
      <c r="C29" s="12" t="s">
        <v>1451</v>
      </c>
      <c r="D29" s="18" t="s">
        <v>1519</v>
      </c>
      <c r="E29" s="12">
        <v>713</v>
      </c>
      <c r="F29" s="12">
        <v>0</v>
      </c>
      <c r="G29" s="18" t="s">
        <v>1520</v>
      </c>
      <c r="H29" s="12">
        <v>1</v>
      </c>
      <c r="I29" s="19">
        <v>46292.374259259261</v>
      </c>
      <c r="J29" s="12">
        <v>92</v>
      </c>
      <c r="K29" s="12" t="s">
        <v>386</v>
      </c>
    </row>
    <row r="30" spans="1:11" x14ac:dyDescent="0.25">
      <c r="A30" s="15" t="s">
        <v>1521</v>
      </c>
      <c r="B30" s="12" t="s">
        <v>1464</v>
      </c>
      <c r="C30" s="12" t="s">
        <v>1451</v>
      </c>
      <c r="D30" s="18" t="s">
        <v>1522</v>
      </c>
      <c r="E30" s="12">
        <v>84</v>
      </c>
      <c r="F30" s="12">
        <v>0</v>
      </c>
      <c r="G30" s="18" t="s">
        <v>1523</v>
      </c>
      <c r="H30" s="12">
        <v>0</v>
      </c>
      <c r="I30" s="19">
        <v>46292.374305555553</v>
      </c>
      <c r="J30" s="12"/>
      <c r="K30" s="12" t="s">
        <v>386</v>
      </c>
    </row>
    <row r="31" spans="1:11" x14ac:dyDescent="0.25">
      <c r="A31" s="15" t="s">
        <v>1524</v>
      </c>
      <c r="B31" s="12" t="s">
        <v>1196</v>
      </c>
      <c r="C31" s="12" t="s">
        <v>1451</v>
      </c>
      <c r="D31" s="18" t="s">
        <v>1519</v>
      </c>
      <c r="E31" s="12">
        <v>749</v>
      </c>
      <c r="F31" s="12">
        <v>0</v>
      </c>
      <c r="G31" s="18" t="s">
        <v>1525</v>
      </c>
      <c r="H31" s="12">
        <v>1</v>
      </c>
      <c r="I31" s="19">
        <v>46292.398113425923</v>
      </c>
      <c r="J31" s="12">
        <v>95</v>
      </c>
      <c r="K31" s="12" t="s">
        <v>360</v>
      </c>
    </row>
    <row r="32" spans="1:11" x14ac:dyDescent="0.25">
      <c r="A32" s="15" t="s">
        <v>1526</v>
      </c>
      <c r="B32" s="12" t="s">
        <v>1464</v>
      </c>
      <c r="C32" s="12" t="s">
        <v>1451</v>
      </c>
      <c r="D32" s="18" t="s">
        <v>1522</v>
      </c>
      <c r="E32" s="12">
        <v>109</v>
      </c>
      <c r="F32" s="12">
        <v>0</v>
      </c>
      <c r="G32" s="18" t="s">
        <v>1527</v>
      </c>
      <c r="H32" s="12">
        <v>0</v>
      </c>
      <c r="I32" s="19">
        <v>46292.398148148153</v>
      </c>
      <c r="J32" s="12"/>
      <c r="K32" s="12" t="s">
        <v>360</v>
      </c>
    </row>
    <row r="33" spans="1:11" x14ac:dyDescent="0.25">
      <c r="A33" s="15" t="s">
        <v>1528</v>
      </c>
      <c r="B33" s="12" t="s">
        <v>1529</v>
      </c>
      <c r="C33" s="12" t="s">
        <v>1451</v>
      </c>
      <c r="D33" s="18" t="s">
        <v>1530</v>
      </c>
      <c r="E33" s="12">
        <v>19</v>
      </c>
      <c r="F33" s="12">
        <v>0</v>
      </c>
      <c r="G33" s="18" t="s">
        <v>1531</v>
      </c>
      <c r="H33" s="12">
        <v>0</v>
      </c>
      <c r="I33" s="19">
        <v>46292.398194444453</v>
      </c>
      <c r="J33" s="12">
        <v>72</v>
      </c>
      <c r="K33" s="12" t="s">
        <v>360</v>
      </c>
    </row>
    <row r="34" spans="1:11" ht="25.5" x14ac:dyDescent="0.25">
      <c r="A34" s="15" t="s">
        <v>1532</v>
      </c>
      <c r="B34" s="12" t="s">
        <v>1196</v>
      </c>
      <c r="C34" s="12" t="s">
        <v>1451</v>
      </c>
      <c r="D34" s="18" t="s">
        <v>1519</v>
      </c>
      <c r="E34" s="12">
        <v>754</v>
      </c>
      <c r="F34" s="12">
        <v>0</v>
      </c>
      <c r="G34" s="18" t="s">
        <v>1533</v>
      </c>
      <c r="H34" s="12">
        <v>1</v>
      </c>
      <c r="I34" s="19">
        <v>46292.413946759261</v>
      </c>
      <c r="J34" s="12">
        <v>113</v>
      </c>
      <c r="K34" s="12" t="s">
        <v>298</v>
      </c>
    </row>
    <row r="35" spans="1:11" x14ac:dyDescent="0.25">
      <c r="A35" s="15" t="s">
        <v>1534</v>
      </c>
      <c r="B35" s="12" t="s">
        <v>1464</v>
      </c>
      <c r="C35" s="12" t="s">
        <v>1451</v>
      </c>
      <c r="D35" s="18" t="s">
        <v>1522</v>
      </c>
      <c r="E35" s="12">
        <v>113</v>
      </c>
      <c r="F35" s="12">
        <v>0</v>
      </c>
      <c r="G35" s="18" t="s">
        <v>1535</v>
      </c>
      <c r="H35" s="12">
        <v>0</v>
      </c>
      <c r="I35" s="19">
        <v>46292.413981481477</v>
      </c>
      <c r="J35" s="12"/>
      <c r="K35" s="12" t="s">
        <v>298</v>
      </c>
    </row>
    <row r="36" spans="1:11" x14ac:dyDescent="0.25">
      <c r="A36" s="15" t="s">
        <v>1536</v>
      </c>
      <c r="B36" s="12" t="s">
        <v>1529</v>
      </c>
      <c r="C36" s="12" t="s">
        <v>1451</v>
      </c>
      <c r="D36" s="18" t="s">
        <v>1530</v>
      </c>
      <c r="E36" s="12">
        <v>19</v>
      </c>
      <c r="F36" s="12">
        <v>0</v>
      </c>
      <c r="G36" s="18" t="s">
        <v>1537</v>
      </c>
      <c r="H36" s="12">
        <v>0</v>
      </c>
      <c r="I36" s="19">
        <v>46292.414027777777</v>
      </c>
      <c r="J36" s="12">
        <v>96</v>
      </c>
      <c r="K36" s="12" t="s">
        <v>298</v>
      </c>
    </row>
    <row r="37" spans="1:11" x14ac:dyDescent="0.25">
      <c r="A37" s="15" t="s">
        <v>1538</v>
      </c>
      <c r="B37" s="12" t="s">
        <v>1196</v>
      </c>
      <c r="C37" s="12" t="s">
        <v>1451</v>
      </c>
      <c r="D37" s="18" t="s">
        <v>1519</v>
      </c>
      <c r="E37" s="12">
        <v>789</v>
      </c>
      <c r="F37" s="12">
        <v>0</v>
      </c>
      <c r="G37" s="18" t="s">
        <v>1539</v>
      </c>
      <c r="H37" s="12">
        <v>1</v>
      </c>
      <c r="I37" s="19">
        <v>46292.605902777781</v>
      </c>
      <c r="J37" s="12">
        <v>96</v>
      </c>
      <c r="K37" s="12" t="s">
        <v>479</v>
      </c>
    </row>
    <row r="38" spans="1:11" x14ac:dyDescent="0.25">
      <c r="A38" s="15" t="s">
        <v>1540</v>
      </c>
      <c r="B38" s="12" t="s">
        <v>1196</v>
      </c>
      <c r="C38" s="12" t="s">
        <v>1451</v>
      </c>
      <c r="D38" s="18" t="s">
        <v>1519</v>
      </c>
      <c r="E38" s="12">
        <v>799</v>
      </c>
      <c r="F38" s="12">
        <v>0</v>
      </c>
      <c r="G38" s="18" t="s">
        <v>1541</v>
      </c>
      <c r="H38" s="12">
        <v>1</v>
      </c>
      <c r="I38" s="19">
        <v>46292.606377314813</v>
      </c>
      <c r="J38" s="12">
        <v>93</v>
      </c>
      <c r="K38" s="12" t="s">
        <v>479</v>
      </c>
    </row>
    <row r="39" spans="1:11" x14ac:dyDescent="0.25">
      <c r="A39" s="15" t="s">
        <v>1542</v>
      </c>
      <c r="B39" s="12" t="s">
        <v>1464</v>
      </c>
      <c r="C39" s="12" t="s">
        <v>1451</v>
      </c>
      <c r="D39" s="18" t="s">
        <v>1522</v>
      </c>
      <c r="E39" s="12">
        <v>117</v>
      </c>
      <c r="F39" s="12">
        <v>0</v>
      </c>
      <c r="G39" s="18" t="s">
        <v>1527</v>
      </c>
      <c r="H39" s="12">
        <v>0</v>
      </c>
      <c r="I39" s="19">
        <v>46292.606423611112</v>
      </c>
      <c r="J39" s="12"/>
      <c r="K39" s="12" t="s">
        <v>479</v>
      </c>
    </row>
    <row r="40" spans="1:11" x14ac:dyDescent="0.25">
      <c r="A40" s="15" t="s">
        <v>1543</v>
      </c>
      <c r="B40" s="12" t="s">
        <v>1529</v>
      </c>
      <c r="C40" s="12" t="s">
        <v>1451</v>
      </c>
      <c r="D40" s="18" t="s">
        <v>1530</v>
      </c>
      <c r="E40" s="12">
        <v>20</v>
      </c>
      <c r="F40" s="12">
        <v>0</v>
      </c>
      <c r="G40" s="18" t="s">
        <v>1544</v>
      </c>
      <c r="H40" s="12">
        <v>0</v>
      </c>
      <c r="I40" s="19">
        <v>46292.606458333343</v>
      </c>
      <c r="J40" s="12">
        <v>78</v>
      </c>
      <c r="K40" s="12" t="s">
        <v>479</v>
      </c>
    </row>
    <row r="41" spans="1:11" x14ac:dyDescent="0.25">
      <c r="A41" s="15" t="s">
        <v>1545</v>
      </c>
      <c r="B41" s="12" t="s">
        <v>1196</v>
      </c>
      <c r="C41" s="12" t="s">
        <v>1451</v>
      </c>
      <c r="D41" s="18" t="s">
        <v>1519</v>
      </c>
      <c r="E41" s="12">
        <v>805</v>
      </c>
      <c r="F41" s="12">
        <v>0</v>
      </c>
      <c r="G41" s="18" t="s">
        <v>1546</v>
      </c>
      <c r="H41" s="12">
        <v>1</v>
      </c>
      <c r="I41" s="19">
        <v>46292.606736111113</v>
      </c>
      <c r="J41" s="12">
        <v>94</v>
      </c>
      <c r="K41" s="12" t="s">
        <v>479</v>
      </c>
    </row>
    <row r="42" spans="1:11" x14ac:dyDescent="0.25">
      <c r="A42" s="15" t="s">
        <v>1547</v>
      </c>
      <c r="B42" s="12" t="s">
        <v>1196</v>
      </c>
      <c r="C42" s="12" t="s">
        <v>1451</v>
      </c>
      <c r="D42" s="18" t="s">
        <v>1519</v>
      </c>
      <c r="E42" s="12">
        <v>817</v>
      </c>
      <c r="F42" s="12">
        <v>0</v>
      </c>
      <c r="G42" s="18" t="s">
        <v>1548</v>
      </c>
      <c r="H42" s="12">
        <v>1</v>
      </c>
      <c r="I42" s="19">
        <v>46292.606932870367</v>
      </c>
      <c r="J42" s="12">
        <v>97</v>
      </c>
      <c r="K42" s="12" t="s">
        <v>479</v>
      </c>
    </row>
    <row r="43" spans="1:11" x14ac:dyDescent="0.25">
      <c r="A43" s="15" t="s">
        <v>1549</v>
      </c>
      <c r="B43" s="12" t="s">
        <v>1529</v>
      </c>
      <c r="C43" s="12" t="s">
        <v>1451</v>
      </c>
      <c r="D43" s="18" t="s">
        <v>1530</v>
      </c>
      <c r="E43" s="12">
        <v>20</v>
      </c>
      <c r="F43" s="12">
        <v>0</v>
      </c>
      <c r="G43" s="18" t="s">
        <v>1550</v>
      </c>
      <c r="H43" s="12">
        <v>0</v>
      </c>
      <c r="I43" s="19">
        <v>46292.607141203713</v>
      </c>
      <c r="J43" s="12">
        <v>78</v>
      </c>
      <c r="K43" s="12" t="s">
        <v>479</v>
      </c>
    </row>
    <row r="44" spans="1:11" x14ac:dyDescent="0.25">
      <c r="A44" s="15" t="s">
        <v>1551</v>
      </c>
      <c r="B44" s="12" t="s">
        <v>1464</v>
      </c>
      <c r="C44" s="12" t="s">
        <v>1451</v>
      </c>
      <c r="D44" s="18" t="s">
        <v>1522</v>
      </c>
      <c r="E44" s="12">
        <v>117</v>
      </c>
      <c r="F44" s="12">
        <v>0</v>
      </c>
      <c r="G44" s="18" t="s">
        <v>1550</v>
      </c>
      <c r="H44" s="12">
        <v>0</v>
      </c>
      <c r="I44" s="19">
        <v>46292.607187499998</v>
      </c>
      <c r="J44" s="12"/>
      <c r="K44" s="12" t="s">
        <v>479</v>
      </c>
    </row>
    <row r="45" spans="1:11" x14ac:dyDescent="0.25">
      <c r="A45" s="15" t="s">
        <v>1552</v>
      </c>
      <c r="B45" s="12" t="s">
        <v>1196</v>
      </c>
      <c r="C45" s="12" t="s">
        <v>1451</v>
      </c>
      <c r="D45" s="18" t="s">
        <v>1519</v>
      </c>
      <c r="E45" s="12">
        <v>838</v>
      </c>
      <c r="F45" s="12">
        <v>0</v>
      </c>
      <c r="G45" s="18" t="s">
        <v>1553</v>
      </c>
      <c r="H45" s="12">
        <v>1</v>
      </c>
      <c r="I45" s="19">
        <v>46292.607465277782</v>
      </c>
      <c r="J45" s="12">
        <v>104</v>
      </c>
      <c r="K45" s="12" t="s">
        <v>479</v>
      </c>
    </row>
    <row r="46" spans="1:11" x14ac:dyDescent="0.25">
      <c r="A46" s="15" t="s">
        <v>1554</v>
      </c>
      <c r="B46" s="12" t="s">
        <v>1529</v>
      </c>
      <c r="C46" s="12" t="s">
        <v>1451</v>
      </c>
      <c r="D46" s="18" t="s">
        <v>1530</v>
      </c>
      <c r="E46" s="12">
        <v>20</v>
      </c>
      <c r="F46" s="12">
        <v>0</v>
      </c>
      <c r="G46" s="18" t="s">
        <v>1555</v>
      </c>
      <c r="H46" s="12">
        <v>0</v>
      </c>
      <c r="I46" s="19">
        <v>46292.607499999998</v>
      </c>
      <c r="J46" s="12">
        <v>84</v>
      </c>
      <c r="K46" s="12" t="s">
        <v>479</v>
      </c>
    </row>
    <row r="47" spans="1:11" ht="25.5" x14ac:dyDescent="0.25">
      <c r="A47" s="15" t="s">
        <v>1556</v>
      </c>
      <c r="B47" s="12" t="s">
        <v>1557</v>
      </c>
      <c r="C47" s="12" t="s">
        <v>1451</v>
      </c>
      <c r="D47" s="18" t="s">
        <v>1452</v>
      </c>
      <c r="E47" s="12">
        <v>869</v>
      </c>
      <c r="F47" s="12">
        <v>0</v>
      </c>
      <c r="G47" s="18" t="s">
        <v>1558</v>
      </c>
      <c r="H47" s="12">
        <v>1</v>
      </c>
      <c r="I47" s="19">
        <v>46292.780370370368</v>
      </c>
      <c r="J47" s="12">
        <v>112</v>
      </c>
      <c r="K47" s="12" t="s">
        <v>1559</v>
      </c>
    </row>
    <row r="48" spans="1:11" x14ac:dyDescent="0.25">
      <c r="A48" s="15" t="s">
        <v>1560</v>
      </c>
      <c r="B48" s="12" t="s">
        <v>1561</v>
      </c>
      <c r="C48" s="12" t="s">
        <v>1451</v>
      </c>
      <c r="D48" s="18" t="s">
        <v>1499</v>
      </c>
      <c r="E48" s="12">
        <v>119</v>
      </c>
      <c r="F48" s="12">
        <v>0</v>
      </c>
      <c r="G48" s="18" t="s">
        <v>1562</v>
      </c>
      <c r="H48" s="12">
        <v>0</v>
      </c>
      <c r="I48" s="19">
        <v>46292.780405092592</v>
      </c>
      <c r="J48" s="12"/>
      <c r="K48" s="12" t="s">
        <v>1559</v>
      </c>
    </row>
    <row r="49" spans="1:11" x14ac:dyDescent="0.25">
      <c r="A49" s="15" t="s">
        <v>1563</v>
      </c>
      <c r="B49" s="12" t="s">
        <v>1564</v>
      </c>
      <c r="C49" s="12" t="s">
        <v>1451</v>
      </c>
      <c r="D49" s="18" t="s">
        <v>1502</v>
      </c>
      <c r="E49" s="12">
        <v>21</v>
      </c>
      <c r="F49" s="12">
        <v>0</v>
      </c>
      <c r="G49" s="18" t="s">
        <v>1565</v>
      </c>
      <c r="H49" s="12">
        <v>0</v>
      </c>
      <c r="I49" s="19">
        <v>46292.780451388891</v>
      </c>
      <c r="J49" s="12">
        <v>102</v>
      </c>
      <c r="K49" s="12" t="s">
        <v>1559</v>
      </c>
    </row>
    <row r="50" spans="1:11" x14ac:dyDescent="0.25">
      <c r="A50" s="15" t="s">
        <v>1566</v>
      </c>
      <c r="B50" s="12" t="s">
        <v>1567</v>
      </c>
      <c r="C50" s="12" t="s">
        <v>1451</v>
      </c>
      <c r="D50" s="18" t="s">
        <v>1568</v>
      </c>
      <c r="E50" s="12">
        <v>2</v>
      </c>
      <c r="F50" s="12">
        <v>0</v>
      </c>
      <c r="G50" s="18" t="s">
        <v>1569</v>
      </c>
      <c r="H50" s="12">
        <v>0</v>
      </c>
      <c r="I50" s="19">
        <v>46292.780486111107</v>
      </c>
      <c r="J50" s="12"/>
      <c r="K50" s="12" t="s">
        <v>1559</v>
      </c>
    </row>
    <row r="51" spans="1:11" ht="25.5" x14ac:dyDescent="0.25">
      <c r="A51" s="15" t="s">
        <v>1570</v>
      </c>
      <c r="B51" s="12" t="s">
        <v>1557</v>
      </c>
      <c r="C51" s="12" t="s">
        <v>1451</v>
      </c>
      <c r="D51" s="18" t="s">
        <v>1452</v>
      </c>
      <c r="E51" s="12">
        <v>876</v>
      </c>
      <c r="F51" s="12">
        <v>0</v>
      </c>
      <c r="G51" s="18" t="s">
        <v>1571</v>
      </c>
      <c r="H51" s="12">
        <v>1</v>
      </c>
      <c r="I51" s="19">
        <v>46292.79247685185</v>
      </c>
      <c r="J51" s="12">
        <v>114</v>
      </c>
      <c r="K51" s="12" t="s">
        <v>1572</v>
      </c>
    </row>
    <row r="52" spans="1:11" x14ac:dyDescent="0.25">
      <c r="A52" s="15" t="s">
        <v>1573</v>
      </c>
      <c r="B52" s="12" t="s">
        <v>1561</v>
      </c>
      <c r="C52" s="12" t="s">
        <v>1451</v>
      </c>
      <c r="D52" s="18" t="s">
        <v>1499</v>
      </c>
      <c r="E52" s="12">
        <v>125</v>
      </c>
      <c r="F52" s="12">
        <v>0</v>
      </c>
      <c r="G52" s="18" t="s">
        <v>1574</v>
      </c>
      <c r="H52" s="12">
        <v>0</v>
      </c>
      <c r="I52" s="19">
        <v>46292.792511574073</v>
      </c>
      <c r="J52" s="12"/>
      <c r="K52" s="12" t="s">
        <v>1572</v>
      </c>
    </row>
    <row r="53" spans="1:11" x14ac:dyDescent="0.25">
      <c r="A53" s="15" t="s">
        <v>1575</v>
      </c>
      <c r="B53" s="12" t="s">
        <v>1564</v>
      </c>
      <c r="C53" s="12" t="s">
        <v>1451</v>
      </c>
      <c r="D53" s="18" t="s">
        <v>1502</v>
      </c>
      <c r="E53" s="12">
        <v>22</v>
      </c>
      <c r="F53" s="12">
        <v>0</v>
      </c>
      <c r="G53" s="18" t="s">
        <v>1576</v>
      </c>
      <c r="H53" s="12">
        <v>0</v>
      </c>
      <c r="I53" s="19">
        <v>46292.792557870373</v>
      </c>
      <c r="J53" s="12">
        <v>90</v>
      </c>
      <c r="K53" s="12" t="s">
        <v>1572</v>
      </c>
    </row>
    <row r="54" spans="1:11" x14ac:dyDescent="0.25">
      <c r="A54" s="15" t="s">
        <v>1577</v>
      </c>
      <c r="B54" s="12" t="s">
        <v>1567</v>
      </c>
      <c r="C54" s="12" t="s">
        <v>1451</v>
      </c>
      <c r="D54" s="18" t="s">
        <v>1568</v>
      </c>
      <c r="E54" s="12">
        <v>2</v>
      </c>
      <c r="F54" s="12">
        <v>0</v>
      </c>
      <c r="G54" s="18" t="s">
        <v>1569</v>
      </c>
      <c r="H54" s="12">
        <v>0</v>
      </c>
      <c r="I54" s="19">
        <v>46292.792592592603</v>
      </c>
      <c r="J54" s="12"/>
      <c r="K54" s="12" t="s">
        <v>1572</v>
      </c>
    </row>
    <row r="55" spans="1:11" ht="25.5" x14ac:dyDescent="0.25">
      <c r="A55" s="15" t="s">
        <v>1578</v>
      </c>
      <c r="B55" s="12" t="s">
        <v>1557</v>
      </c>
      <c r="C55" s="12" t="s">
        <v>1451</v>
      </c>
      <c r="D55" s="18" t="s">
        <v>1452</v>
      </c>
      <c r="E55" s="12">
        <v>888</v>
      </c>
      <c r="F55" s="12">
        <v>0</v>
      </c>
      <c r="G55" s="18" t="s">
        <v>1579</v>
      </c>
      <c r="H55" s="12">
        <v>1</v>
      </c>
      <c r="I55" s="19">
        <v>46292.807222222233</v>
      </c>
      <c r="J55" s="12">
        <v>114</v>
      </c>
      <c r="K55" s="12" t="s">
        <v>1580</v>
      </c>
    </row>
    <row r="56" spans="1:11" x14ac:dyDescent="0.25">
      <c r="A56" s="15" t="s">
        <v>1581</v>
      </c>
      <c r="B56" s="12" t="s">
        <v>1561</v>
      </c>
      <c r="C56" s="12" t="s">
        <v>1451</v>
      </c>
      <c r="D56" s="18" t="s">
        <v>1499</v>
      </c>
      <c r="E56" s="12">
        <v>128</v>
      </c>
      <c r="F56" s="12">
        <v>0</v>
      </c>
      <c r="G56" s="18" t="s">
        <v>1582</v>
      </c>
      <c r="H56" s="12">
        <v>0</v>
      </c>
      <c r="I56" s="19">
        <v>46292.807268518518</v>
      </c>
      <c r="J56" s="12"/>
      <c r="K56" s="12" t="s">
        <v>1580</v>
      </c>
    </row>
    <row r="57" spans="1:11" x14ac:dyDescent="0.25">
      <c r="A57" s="15" t="s">
        <v>1583</v>
      </c>
      <c r="B57" s="12" t="s">
        <v>1564</v>
      </c>
      <c r="C57" s="12" t="s">
        <v>1451</v>
      </c>
      <c r="D57" s="18" t="s">
        <v>1502</v>
      </c>
      <c r="E57" s="12">
        <v>22</v>
      </c>
      <c r="F57" s="12">
        <v>0</v>
      </c>
      <c r="G57" s="18" t="s">
        <v>1584</v>
      </c>
      <c r="H57" s="12">
        <v>0</v>
      </c>
      <c r="I57" s="19">
        <v>46292.807303240741</v>
      </c>
      <c r="J57" s="12">
        <v>90</v>
      </c>
      <c r="K57" s="12" t="s">
        <v>1580</v>
      </c>
    </row>
    <row r="58" spans="1:11" x14ac:dyDescent="0.25">
      <c r="A58" s="15" t="s">
        <v>1585</v>
      </c>
      <c r="B58" s="12" t="s">
        <v>1567</v>
      </c>
      <c r="C58" s="12" t="s">
        <v>1451</v>
      </c>
      <c r="D58" s="18" t="s">
        <v>1568</v>
      </c>
      <c r="E58" s="12">
        <v>2</v>
      </c>
      <c r="F58" s="12">
        <v>0</v>
      </c>
      <c r="G58" s="18" t="s">
        <v>1569</v>
      </c>
      <c r="H58" s="12">
        <v>0</v>
      </c>
      <c r="I58" s="19">
        <v>46292.807337962957</v>
      </c>
      <c r="J58" s="12"/>
      <c r="K58" s="12" t="s">
        <v>1580</v>
      </c>
    </row>
    <row r="59" spans="1:11" ht="25.5" x14ac:dyDescent="0.25">
      <c r="A59" s="15" t="s">
        <v>1586</v>
      </c>
      <c r="B59" s="12" t="s">
        <v>1557</v>
      </c>
      <c r="C59" s="12" t="s">
        <v>1451</v>
      </c>
      <c r="D59" s="18" t="s">
        <v>1452</v>
      </c>
      <c r="E59" s="12">
        <v>894</v>
      </c>
      <c r="F59" s="12">
        <v>0</v>
      </c>
      <c r="G59" s="18" t="s">
        <v>1587</v>
      </c>
      <c r="H59" s="12">
        <v>1</v>
      </c>
      <c r="I59" s="19">
        <v>46292.817453703698</v>
      </c>
      <c r="J59" s="12">
        <v>117</v>
      </c>
      <c r="K59" s="12" t="s">
        <v>1588</v>
      </c>
    </row>
    <row r="60" spans="1:11" x14ac:dyDescent="0.25">
      <c r="A60" s="15" t="s">
        <v>1589</v>
      </c>
      <c r="B60" s="12" t="s">
        <v>1561</v>
      </c>
      <c r="C60" s="12" t="s">
        <v>1451</v>
      </c>
      <c r="D60" s="18" t="s">
        <v>1499</v>
      </c>
      <c r="E60" s="12">
        <v>129</v>
      </c>
      <c r="F60" s="12">
        <v>0</v>
      </c>
      <c r="G60" s="18" t="s">
        <v>1590</v>
      </c>
      <c r="H60" s="12">
        <v>0</v>
      </c>
      <c r="I60" s="19">
        <v>46292.817488425928</v>
      </c>
      <c r="J60" s="12"/>
      <c r="K60" s="12" t="s">
        <v>1588</v>
      </c>
    </row>
    <row r="61" spans="1:11" x14ac:dyDescent="0.25">
      <c r="A61" s="15" t="s">
        <v>1591</v>
      </c>
      <c r="B61" s="12" t="s">
        <v>1564</v>
      </c>
      <c r="C61" s="12" t="s">
        <v>1451</v>
      </c>
      <c r="D61" s="18" t="s">
        <v>1502</v>
      </c>
      <c r="E61" s="12">
        <v>22</v>
      </c>
      <c r="F61" s="12">
        <v>0</v>
      </c>
      <c r="G61" s="18" t="s">
        <v>1592</v>
      </c>
      <c r="H61" s="12">
        <v>0</v>
      </c>
      <c r="I61" s="19">
        <v>46292.817523148151</v>
      </c>
      <c r="J61" s="12">
        <v>90</v>
      </c>
      <c r="K61" s="12" t="s">
        <v>1588</v>
      </c>
    </row>
    <row r="62" spans="1:11" x14ac:dyDescent="0.25">
      <c r="A62" s="15" t="s">
        <v>1593</v>
      </c>
      <c r="B62" s="12" t="s">
        <v>1567</v>
      </c>
      <c r="C62" s="12" t="s">
        <v>1451</v>
      </c>
      <c r="D62" s="18" t="s">
        <v>1568</v>
      </c>
      <c r="E62" s="12">
        <v>2</v>
      </c>
      <c r="F62" s="12">
        <v>0</v>
      </c>
      <c r="G62" s="18" t="s">
        <v>1569</v>
      </c>
      <c r="H62" s="12">
        <v>0</v>
      </c>
      <c r="I62" s="19">
        <v>46292.817569444444</v>
      </c>
      <c r="J62" s="12"/>
      <c r="K62" s="12" t="s">
        <v>1588</v>
      </c>
    </row>
    <row r="63" spans="1:11" ht="25.5" x14ac:dyDescent="0.25">
      <c r="A63" s="15" t="s">
        <v>1594</v>
      </c>
      <c r="B63" s="12" t="s">
        <v>1557</v>
      </c>
      <c r="C63" s="12" t="s">
        <v>1451</v>
      </c>
      <c r="D63" s="18" t="s">
        <v>1452</v>
      </c>
      <c r="E63" s="12">
        <v>903</v>
      </c>
      <c r="F63" s="12">
        <v>0</v>
      </c>
      <c r="G63" s="18" t="s">
        <v>1595</v>
      </c>
      <c r="H63" s="12">
        <v>1</v>
      </c>
      <c r="I63" s="19">
        <v>46292.826944444438</v>
      </c>
      <c r="J63" s="12">
        <v>117</v>
      </c>
      <c r="K63" s="12" t="s">
        <v>1596</v>
      </c>
    </row>
    <row r="64" spans="1:11" x14ac:dyDescent="0.25">
      <c r="A64" s="15" t="s">
        <v>1597</v>
      </c>
      <c r="B64" s="12" t="s">
        <v>1561</v>
      </c>
      <c r="C64" s="12" t="s">
        <v>1451</v>
      </c>
      <c r="D64" s="18" t="s">
        <v>1499</v>
      </c>
      <c r="E64" s="12">
        <v>129</v>
      </c>
      <c r="F64" s="12">
        <v>0</v>
      </c>
      <c r="G64" s="18" t="s">
        <v>1598</v>
      </c>
      <c r="H64" s="12">
        <v>0</v>
      </c>
      <c r="I64" s="19">
        <v>46292.826990740738</v>
      </c>
      <c r="J64" s="12"/>
      <c r="K64" s="12" t="s">
        <v>1596</v>
      </c>
    </row>
    <row r="65" spans="1:11" x14ac:dyDescent="0.25">
      <c r="A65" s="15" t="s">
        <v>1599</v>
      </c>
      <c r="B65" s="12" t="s">
        <v>1564</v>
      </c>
      <c r="C65" s="12" t="s">
        <v>1451</v>
      </c>
      <c r="D65" s="18" t="s">
        <v>1502</v>
      </c>
      <c r="E65" s="12">
        <v>22</v>
      </c>
      <c r="F65" s="12">
        <v>0</v>
      </c>
      <c r="G65" s="18" t="s">
        <v>1598</v>
      </c>
      <c r="H65" s="12">
        <v>0</v>
      </c>
      <c r="I65" s="19">
        <v>46292.827025462961</v>
      </c>
      <c r="J65" s="12">
        <v>90</v>
      </c>
      <c r="K65" s="12" t="s">
        <v>1596</v>
      </c>
    </row>
    <row r="66" spans="1:11" x14ac:dyDescent="0.25">
      <c r="A66" s="15" t="s">
        <v>1600</v>
      </c>
      <c r="B66" s="12" t="s">
        <v>1567</v>
      </c>
      <c r="C66" s="12" t="s">
        <v>1451</v>
      </c>
      <c r="D66" s="18" t="s">
        <v>1568</v>
      </c>
      <c r="E66" s="12">
        <v>2</v>
      </c>
      <c r="F66" s="12">
        <v>0</v>
      </c>
      <c r="G66" s="18" t="s">
        <v>1569</v>
      </c>
      <c r="H66" s="12">
        <v>0</v>
      </c>
      <c r="I66" s="19">
        <v>46292.82707175926</v>
      </c>
      <c r="J66" s="12"/>
      <c r="K66" s="12" t="s">
        <v>1596</v>
      </c>
    </row>
    <row r="67" spans="1:11" ht="25.5" x14ac:dyDescent="0.25">
      <c r="A67" s="15" t="s">
        <v>1601</v>
      </c>
      <c r="B67" s="12" t="s">
        <v>1557</v>
      </c>
      <c r="C67" s="12" t="s">
        <v>1451</v>
      </c>
      <c r="D67" s="18" t="s">
        <v>1452</v>
      </c>
      <c r="E67" s="12">
        <v>913</v>
      </c>
      <c r="F67" s="12">
        <v>0</v>
      </c>
      <c r="G67" s="18" t="s">
        <v>1602</v>
      </c>
      <c r="H67" s="12">
        <v>1</v>
      </c>
      <c r="I67" s="19">
        <v>46292.833993055552</v>
      </c>
      <c r="J67" s="12">
        <v>116</v>
      </c>
      <c r="K67" s="12" t="s">
        <v>1603</v>
      </c>
    </row>
    <row r="68" spans="1:11" x14ac:dyDescent="0.25">
      <c r="A68" s="15" t="s">
        <v>1604</v>
      </c>
      <c r="B68" s="12" t="s">
        <v>1561</v>
      </c>
      <c r="C68" s="12" t="s">
        <v>1451</v>
      </c>
      <c r="D68" s="18" t="s">
        <v>1499</v>
      </c>
      <c r="E68" s="12">
        <v>129</v>
      </c>
      <c r="F68" s="12">
        <v>0</v>
      </c>
      <c r="G68" s="18" t="s">
        <v>1605</v>
      </c>
      <c r="H68" s="12">
        <v>0</v>
      </c>
      <c r="I68" s="19">
        <v>46292.834027777782</v>
      </c>
      <c r="J68" s="12"/>
      <c r="K68" s="12" t="s">
        <v>1603</v>
      </c>
    </row>
    <row r="69" spans="1:11" x14ac:dyDescent="0.25">
      <c r="A69" s="15" t="s">
        <v>1606</v>
      </c>
      <c r="B69" s="12" t="s">
        <v>1564</v>
      </c>
      <c r="C69" s="12" t="s">
        <v>1451</v>
      </c>
      <c r="D69" s="18" t="s">
        <v>1502</v>
      </c>
      <c r="E69" s="12">
        <v>22</v>
      </c>
      <c r="F69" s="12">
        <v>0</v>
      </c>
      <c r="G69" s="18" t="s">
        <v>1605</v>
      </c>
      <c r="H69" s="12">
        <v>0</v>
      </c>
      <c r="I69" s="19">
        <v>46292.834074074082</v>
      </c>
      <c r="J69" s="12">
        <v>90</v>
      </c>
      <c r="K69" s="12" t="s">
        <v>1603</v>
      </c>
    </row>
    <row r="70" spans="1:11" x14ac:dyDescent="0.25">
      <c r="A70" s="15" t="s">
        <v>1607</v>
      </c>
      <c r="B70" s="12" t="s">
        <v>1567</v>
      </c>
      <c r="C70" s="12" t="s">
        <v>1451</v>
      </c>
      <c r="D70" s="18" t="s">
        <v>1568</v>
      </c>
      <c r="E70" s="12">
        <v>2</v>
      </c>
      <c r="F70" s="12">
        <v>0</v>
      </c>
      <c r="G70" s="18" t="s">
        <v>1569</v>
      </c>
      <c r="H70" s="12">
        <v>0</v>
      </c>
      <c r="I70" s="19">
        <v>46292.834108796298</v>
      </c>
      <c r="J70" s="12"/>
      <c r="K70" s="12" t="s">
        <v>1603</v>
      </c>
    </row>
    <row r="71" spans="1:11" ht="25.5" x14ac:dyDescent="0.25">
      <c r="A71" s="15" t="s">
        <v>1608</v>
      </c>
      <c r="B71" s="12" t="s">
        <v>1557</v>
      </c>
      <c r="C71" s="12" t="s">
        <v>1451</v>
      </c>
      <c r="D71" s="18" t="s">
        <v>1452</v>
      </c>
      <c r="E71" s="12">
        <v>919</v>
      </c>
      <c r="F71" s="12">
        <v>0</v>
      </c>
      <c r="G71" s="18" t="s">
        <v>1609</v>
      </c>
      <c r="H71" s="12">
        <v>1</v>
      </c>
      <c r="I71" s="19">
        <v>46292.846990740742</v>
      </c>
      <c r="J71" s="12">
        <v>144</v>
      </c>
      <c r="K71" s="12" t="s">
        <v>1610</v>
      </c>
    </row>
    <row r="72" spans="1:11" x14ac:dyDescent="0.25">
      <c r="A72" s="15" t="s">
        <v>1611</v>
      </c>
      <c r="B72" s="12" t="s">
        <v>1561</v>
      </c>
      <c r="C72" s="12" t="s">
        <v>1451</v>
      </c>
      <c r="D72" s="18" t="s">
        <v>1499</v>
      </c>
      <c r="E72" s="12">
        <v>132</v>
      </c>
      <c r="F72" s="12">
        <v>0</v>
      </c>
      <c r="G72" s="18" t="s">
        <v>1612</v>
      </c>
      <c r="H72" s="12">
        <v>0</v>
      </c>
      <c r="I72" s="19">
        <v>46292.847025462957</v>
      </c>
      <c r="J72" s="12"/>
      <c r="K72" s="12" t="s">
        <v>1610</v>
      </c>
    </row>
    <row r="73" spans="1:11" x14ac:dyDescent="0.25">
      <c r="A73" s="15" t="s">
        <v>1613</v>
      </c>
      <c r="B73" s="12" t="s">
        <v>1564</v>
      </c>
      <c r="C73" s="12" t="s">
        <v>1451</v>
      </c>
      <c r="D73" s="18" t="s">
        <v>1502</v>
      </c>
      <c r="E73" s="12">
        <v>22</v>
      </c>
      <c r="F73" s="12">
        <v>0</v>
      </c>
      <c r="G73" s="18" t="s">
        <v>1614</v>
      </c>
      <c r="H73" s="12">
        <v>0</v>
      </c>
      <c r="I73" s="19">
        <v>46292.847071759257</v>
      </c>
      <c r="J73" s="12">
        <v>90</v>
      </c>
      <c r="K73" s="12" t="s">
        <v>1610</v>
      </c>
    </row>
    <row r="74" spans="1:11" x14ac:dyDescent="0.25">
      <c r="A74" s="15" t="s">
        <v>1615</v>
      </c>
      <c r="B74" s="12" t="s">
        <v>1567</v>
      </c>
      <c r="C74" s="12" t="s">
        <v>1451</v>
      </c>
      <c r="D74" s="18" t="s">
        <v>1568</v>
      </c>
      <c r="E74" s="12">
        <v>2</v>
      </c>
      <c r="F74" s="12">
        <v>0</v>
      </c>
      <c r="G74" s="18" t="s">
        <v>1569</v>
      </c>
      <c r="H74" s="12">
        <v>0</v>
      </c>
      <c r="I74" s="19">
        <v>46292.84710648148</v>
      </c>
      <c r="J74" s="12"/>
      <c r="K74" s="12" t="s">
        <v>1610</v>
      </c>
    </row>
    <row r="75" spans="1:11" ht="25.5" x14ac:dyDescent="0.25">
      <c r="A75" s="15" t="s">
        <v>1616</v>
      </c>
      <c r="B75" s="12" t="s">
        <v>1557</v>
      </c>
      <c r="C75" s="12" t="s">
        <v>1451</v>
      </c>
      <c r="D75" s="18" t="s">
        <v>1452</v>
      </c>
      <c r="E75" s="12">
        <v>920</v>
      </c>
      <c r="F75" s="12">
        <v>0</v>
      </c>
      <c r="G75" s="18" t="s">
        <v>1617</v>
      </c>
      <c r="H75" s="12">
        <v>1</v>
      </c>
      <c r="I75" s="19">
        <v>46292.980844907397</v>
      </c>
      <c r="J75" s="12">
        <v>124</v>
      </c>
      <c r="K75" s="12" t="s">
        <v>1618</v>
      </c>
    </row>
    <row r="76" spans="1:11" x14ac:dyDescent="0.25">
      <c r="A76" s="15" t="s">
        <v>1619</v>
      </c>
      <c r="B76" s="12" t="s">
        <v>1561</v>
      </c>
      <c r="C76" s="12" t="s">
        <v>1451</v>
      </c>
      <c r="D76" s="18" t="s">
        <v>1499</v>
      </c>
      <c r="E76" s="12">
        <v>132</v>
      </c>
      <c r="F76" s="12">
        <v>0</v>
      </c>
      <c r="G76" s="18" t="s">
        <v>1620</v>
      </c>
      <c r="H76" s="12">
        <v>0</v>
      </c>
      <c r="I76" s="19">
        <v>46292.980891203697</v>
      </c>
      <c r="J76" s="12"/>
      <c r="K76" s="12" t="s">
        <v>1618</v>
      </c>
    </row>
    <row r="77" spans="1:11" x14ac:dyDescent="0.25">
      <c r="A77" s="15" t="s">
        <v>1621</v>
      </c>
      <c r="B77" s="12" t="s">
        <v>1564</v>
      </c>
      <c r="C77" s="12" t="s">
        <v>1451</v>
      </c>
      <c r="D77" s="18" t="s">
        <v>1502</v>
      </c>
      <c r="E77" s="12">
        <v>22</v>
      </c>
      <c r="F77" s="12">
        <v>0</v>
      </c>
      <c r="G77" s="18" t="s">
        <v>1620</v>
      </c>
      <c r="H77" s="12">
        <v>0</v>
      </c>
      <c r="I77" s="19">
        <v>46292.980925925927</v>
      </c>
      <c r="J77" s="12">
        <v>90</v>
      </c>
      <c r="K77" s="12" t="s">
        <v>1618</v>
      </c>
    </row>
    <row r="78" spans="1:11" x14ac:dyDescent="0.25">
      <c r="A78" s="15" t="s">
        <v>1622</v>
      </c>
      <c r="B78" s="12" t="s">
        <v>1567</v>
      </c>
      <c r="C78" s="12" t="s">
        <v>1451</v>
      </c>
      <c r="D78" s="18" t="s">
        <v>1568</v>
      </c>
      <c r="E78" s="12">
        <v>2</v>
      </c>
      <c r="F78" s="12">
        <v>0</v>
      </c>
      <c r="G78" s="18" t="s">
        <v>1569</v>
      </c>
      <c r="H78" s="12">
        <v>0</v>
      </c>
      <c r="I78" s="19">
        <v>46292.98097222222</v>
      </c>
      <c r="J78" s="12"/>
      <c r="K78" s="12" t="s">
        <v>1618</v>
      </c>
    </row>
    <row r="79" spans="1:11" ht="25.5" x14ac:dyDescent="0.25">
      <c r="A79" s="15" t="s">
        <v>1623</v>
      </c>
      <c r="B79" s="12" t="s">
        <v>1196</v>
      </c>
      <c r="C79" s="12" t="s">
        <v>1451</v>
      </c>
      <c r="D79" s="18" t="s">
        <v>1452</v>
      </c>
      <c r="E79" s="12">
        <v>936</v>
      </c>
      <c r="F79" s="12">
        <v>0</v>
      </c>
      <c r="G79" s="18"/>
      <c r="H79" s="12">
        <v>0</v>
      </c>
      <c r="I79" s="19">
        <v>46294.632986111108</v>
      </c>
      <c r="J79" s="12">
        <v>128</v>
      </c>
      <c r="K79" s="12" t="s">
        <v>1624</v>
      </c>
    </row>
    <row r="80" spans="1:11" x14ac:dyDescent="0.25">
      <c r="A80" s="15" t="s">
        <v>1625</v>
      </c>
      <c r="B80" s="12" t="s">
        <v>1626</v>
      </c>
      <c r="C80" s="12" t="s">
        <v>1451</v>
      </c>
      <c r="D80" s="18" t="s">
        <v>1499</v>
      </c>
      <c r="E80" s="12">
        <v>140</v>
      </c>
      <c r="F80" s="12">
        <v>0</v>
      </c>
      <c r="G80" s="18"/>
      <c r="H80" s="12">
        <v>0</v>
      </c>
      <c r="I80" s="19">
        <v>46294.633020833331</v>
      </c>
      <c r="J80" s="12">
        <v>10</v>
      </c>
      <c r="K80" s="12" t="s">
        <v>1624</v>
      </c>
    </row>
    <row r="81" spans="1:11" x14ac:dyDescent="0.25">
      <c r="A81" s="15" t="s">
        <v>1627</v>
      </c>
      <c r="B81" s="12" t="s">
        <v>1564</v>
      </c>
      <c r="C81" s="12" t="s">
        <v>1451</v>
      </c>
      <c r="D81" s="18" t="s">
        <v>1502</v>
      </c>
      <c r="E81" s="12">
        <v>23</v>
      </c>
      <c r="F81" s="12">
        <v>0</v>
      </c>
      <c r="G81" s="18"/>
      <c r="H81" s="12">
        <v>0</v>
      </c>
      <c r="I81" s="19">
        <v>46294.633067129631</v>
      </c>
      <c r="J81" s="12">
        <v>90</v>
      </c>
      <c r="K81" s="12" t="s">
        <v>1624</v>
      </c>
    </row>
    <row r="82" spans="1:11" ht="25.5" x14ac:dyDescent="0.25">
      <c r="A82" s="15" t="s">
        <v>1628</v>
      </c>
      <c r="B82" s="12" t="s">
        <v>1196</v>
      </c>
      <c r="C82" s="12" t="s">
        <v>1451</v>
      </c>
      <c r="D82" s="18" t="s">
        <v>1452</v>
      </c>
      <c r="E82" s="12">
        <v>937</v>
      </c>
      <c r="F82" s="12">
        <v>0</v>
      </c>
      <c r="G82" s="18"/>
      <c r="H82" s="12">
        <v>0</v>
      </c>
      <c r="I82" s="19">
        <v>46294.640046296299</v>
      </c>
      <c r="J82" s="12">
        <v>128</v>
      </c>
      <c r="K82" s="12" t="s">
        <v>1629</v>
      </c>
    </row>
    <row r="83" spans="1:11" x14ac:dyDescent="0.25">
      <c r="A83" s="15" t="s">
        <v>1630</v>
      </c>
      <c r="B83" s="12" t="s">
        <v>1564</v>
      </c>
      <c r="C83" s="12" t="s">
        <v>1451</v>
      </c>
      <c r="D83" s="18" t="s">
        <v>1502</v>
      </c>
      <c r="E83" s="12">
        <v>23</v>
      </c>
      <c r="F83" s="12">
        <v>0</v>
      </c>
      <c r="G83" s="18"/>
      <c r="H83" s="12">
        <v>0</v>
      </c>
      <c r="I83" s="19">
        <v>46294.640081018522</v>
      </c>
      <c r="J83" s="12">
        <v>90</v>
      </c>
      <c r="K83" s="12" t="s">
        <v>1629</v>
      </c>
    </row>
    <row r="84" spans="1:11" ht="25.5" x14ac:dyDescent="0.25">
      <c r="A84" s="15" t="s">
        <v>1631</v>
      </c>
      <c r="B84" s="12" t="s">
        <v>1196</v>
      </c>
      <c r="C84" s="12" t="s">
        <v>1451</v>
      </c>
      <c r="D84" s="18" t="s">
        <v>1452</v>
      </c>
      <c r="E84" s="12">
        <v>937</v>
      </c>
      <c r="F84" s="12">
        <v>0</v>
      </c>
      <c r="G84" s="18"/>
      <c r="H84" s="12">
        <v>0</v>
      </c>
      <c r="I84" s="19">
        <v>46294.651724537027</v>
      </c>
      <c r="J84" s="12">
        <v>133</v>
      </c>
      <c r="K84" s="12" t="s">
        <v>1632</v>
      </c>
    </row>
    <row r="85" spans="1:11" x14ac:dyDescent="0.25">
      <c r="A85" s="15" t="s">
        <v>1633</v>
      </c>
      <c r="B85" s="12" t="s">
        <v>1626</v>
      </c>
      <c r="C85" s="12" t="s">
        <v>1451</v>
      </c>
      <c r="D85" s="18" t="s">
        <v>1499</v>
      </c>
      <c r="E85" s="12">
        <v>144</v>
      </c>
      <c r="F85" s="12">
        <v>0</v>
      </c>
      <c r="G85" s="18"/>
      <c r="H85" s="12">
        <v>0</v>
      </c>
      <c r="I85" s="19">
        <v>46294.651770833327</v>
      </c>
      <c r="J85" s="12">
        <v>8</v>
      </c>
      <c r="K85" s="12" t="s">
        <v>1632</v>
      </c>
    </row>
    <row r="86" spans="1:11" x14ac:dyDescent="0.25">
      <c r="A86" s="15" t="s">
        <v>1634</v>
      </c>
      <c r="B86" s="12" t="s">
        <v>1564</v>
      </c>
      <c r="C86" s="12" t="s">
        <v>1451</v>
      </c>
      <c r="D86" s="18" t="s">
        <v>1502</v>
      </c>
      <c r="E86" s="12">
        <v>24</v>
      </c>
      <c r="F86" s="12">
        <v>0</v>
      </c>
      <c r="G86" s="18"/>
      <c r="H86" s="12">
        <v>0</v>
      </c>
      <c r="I86" s="19">
        <v>46294.651805555557</v>
      </c>
      <c r="J86" s="12">
        <v>100</v>
      </c>
      <c r="K86" s="12" t="s">
        <v>1632</v>
      </c>
    </row>
    <row r="87" spans="1:11" ht="25.5" x14ac:dyDescent="0.25">
      <c r="A87" s="15" t="s">
        <v>1635</v>
      </c>
      <c r="B87" s="12" t="s">
        <v>1196</v>
      </c>
      <c r="C87" s="12" t="s">
        <v>1451</v>
      </c>
      <c r="D87" s="18" t="s">
        <v>1452</v>
      </c>
      <c r="E87" s="12">
        <v>951</v>
      </c>
      <c r="F87" s="12">
        <v>0</v>
      </c>
      <c r="G87" s="18"/>
      <c r="H87" s="12">
        <v>0</v>
      </c>
      <c r="I87" s="19">
        <v>46294.675370370373</v>
      </c>
      <c r="J87" s="12">
        <v>124</v>
      </c>
      <c r="K87" s="12" t="s">
        <v>516</v>
      </c>
    </row>
    <row r="88" spans="1:11" x14ac:dyDescent="0.25">
      <c r="A88" s="15" t="s">
        <v>1636</v>
      </c>
      <c r="B88" s="12" t="s">
        <v>1626</v>
      </c>
      <c r="C88" s="12" t="s">
        <v>1451</v>
      </c>
      <c r="D88" s="18" t="s">
        <v>1499</v>
      </c>
      <c r="E88" s="12">
        <v>148</v>
      </c>
      <c r="F88" s="12">
        <v>0</v>
      </c>
      <c r="G88" s="18"/>
      <c r="H88" s="12">
        <v>0</v>
      </c>
      <c r="I88" s="19">
        <v>46294.675416666672</v>
      </c>
      <c r="J88" s="12">
        <v>9</v>
      </c>
      <c r="K88" s="12" t="s">
        <v>516</v>
      </c>
    </row>
    <row r="89" spans="1:11" x14ac:dyDescent="0.25">
      <c r="A89" s="15" t="s">
        <v>1637</v>
      </c>
      <c r="B89" s="12" t="s">
        <v>1564</v>
      </c>
      <c r="C89" s="12" t="s">
        <v>1451</v>
      </c>
      <c r="D89" s="18" t="s">
        <v>1502</v>
      </c>
      <c r="E89" s="12">
        <v>24</v>
      </c>
      <c r="F89" s="12">
        <v>0</v>
      </c>
      <c r="G89" s="18"/>
      <c r="H89" s="12">
        <v>0</v>
      </c>
      <c r="I89" s="19">
        <v>46294.675451388888</v>
      </c>
      <c r="J89" s="12">
        <v>96</v>
      </c>
      <c r="K89" s="12" t="s">
        <v>516</v>
      </c>
    </row>
    <row r="90" spans="1:11" ht="25.5" x14ac:dyDescent="0.25">
      <c r="A90" s="15" t="s">
        <v>1638</v>
      </c>
      <c r="B90" s="12" t="s">
        <v>1196</v>
      </c>
      <c r="C90" s="12" t="s">
        <v>1451</v>
      </c>
      <c r="D90" s="18" t="s">
        <v>1452</v>
      </c>
      <c r="E90" s="12">
        <v>953</v>
      </c>
      <c r="F90" s="12">
        <v>0</v>
      </c>
      <c r="G90" s="18"/>
      <c r="H90" s="12">
        <v>0</v>
      </c>
      <c r="I90" s="19">
        <v>46294.68277777778</v>
      </c>
      <c r="J90" s="12">
        <v>125</v>
      </c>
      <c r="K90" s="12" t="s">
        <v>1639</v>
      </c>
    </row>
    <row r="91" spans="1:11" x14ac:dyDescent="0.25">
      <c r="A91" s="15" t="s">
        <v>1640</v>
      </c>
      <c r="B91" s="12" t="s">
        <v>1564</v>
      </c>
      <c r="C91" s="12" t="s">
        <v>1451</v>
      </c>
      <c r="D91" s="18" t="s">
        <v>1502</v>
      </c>
      <c r="E91" s="12">
        <v>24</v>
      </c>
      <c r="F91" s="12">
        <v>0</v>
      </c>
      <c r="G91" s="18"/>
      <c r="H91" s="12">
        <v>0</v>
      </c>
      <c r="I91" s="19">
        <v>46294.682812500003</v>
      </c>
      <c r="J91" s="12">
        <v>90</v>
      </c>
      <c r="K91" s="12" t="s">
        <v>1639</v>
      </c>
    </row>
    <row r="92" spans="1:11" ht="25.5" x14ac:dyDescent="0.25">
      <c r="A92" s="15" t="s">
        <v>1641</v>
      </c>
      <c r="B92" s="12" t="s">
        <v>1196</v>
      </c>
      <c r="C92" s="12" t="s">
        <v>1451</v>
      </c>
      <c r="D92" s="18" t="s">
        <v>1452</v>
      </c>
      <c r="E92" s="12">
        <v>953</v>
      </c>
      <c r="F92" s="12">
        <v>0</v>
      </c>
      <c r="G92" s="18"/>
      <c r="H92" s="12">
        <v>0</v>
      </c>
      <c r="I92" s="19">
        <v>46294.695011574076</v>
      </c>
      <c r="J92" s="12">
        <v>127</v>
      </c>
      <c r="K92" s="12" t="s">
        <v>1642</v>
      </c>
    </row>
    <row r="93" spans="1:11" x14ac:dyDescent="0.25">
      <c r="A93" s="15" t="s">
        <v>1643</v>
      </c>
      <c r="B93" s="12" t="s">
        <v>1626</v>
      </c>
      <c r="C93" s="12" t="s">
        <v>1451</v>
      </c>
      <c r="D93" s="18" t="s">
        <v>1499</v>
      </c>
      <c r="E93" s="12">
        <v>152</v>
      </c>
      <c r="F93" s="12">
        <v>0</v>
      </c>
      <c r="G93" s="18"/>
      <c r="H93" s="12">
        <v>0</v>
      </c>
      <c r="I93" s="19">
        <v>46294.6950462963</v>
      </c>
      <c r="J93" s="12">
        <v>9</v>
      </c>
      <c r="K93" s="12" t="s">
        <v>1642</v>
      </c>
    </row>
    <row r="94" spans="1:11" x14ac:dyDescent="0.25">
      <c r="A94" s="15" t="s">
        <v>1644</v>
      </c>
      <c r="B94" s="12" t="s">
        <v>1564</v>
      </c>
      <c r="C94" s="12" t="s">
        <v>1451</v>
      </c>
      <c r="D94" s="18" t="s">
        <v>1502</v>
      </c>
      <c r="E94" s="12">
        <v>25</v>
      </c>
      <c r="F94" s="12">
        <v>0</v>
      </c>
      <c r="G94" s="18"/>
      <c r="H94" s="12">
        <v>0</v>
      </c>
      <c r="I94" s="19">
        <v>46294.695092592592</v>
      </c>
      <c r="J94" s="12">
        <v>96</v>
      </c>
      <c r="K94" s="12" t="s">
        <v>1642</v>
      </c>
    </row>
    <row r="95" spans="1:11" ht="25.5" x14ac:dyDescent="0.25">
      <c r="A95" s="15" t="s">
        <v>1645</v>
      </c>
      <c r="B95" s="12" t="s">
        <v>1196</v>
      </c>
      <c r="C95" s="12" t="s">
        <v>1451</v>
      </c>
      <c r="D95" s="18" t="s">
        <v>1452</v>
      </c>
      <c r="E95" s="12">
        <v>959</v>
      </c>
      <c r="F95" s="12">
        <v>0</v>
      </c>
      <c r="G95" s="18"/>
      <c r="H95" s="12">
        <v>0</v>
      </c>
      <c r="I95" s="19">
        <v>46294.906469907408</v>
      </c>
      <c r="J95" s="12">
        <v>128</v>
      </c>
      <c r="K95" s="12" t="s">
        <v>541</v>
      </c>
    </row>
    <row r="96" spans="1:11" x14ac:dyDescent="0.25">
      <c r="A96" s="15" t="s">
        <v>1646</v>
      </c>
      <c r="B96" s="12" t="s">
        <v>1626</v>
      </c>
      <c r="C96" s="12" t="s">
        <v>1451</v>
      </c>
      <c r="D96" s="18" t="s">
        <v>1499</v>
      </c>
      <c r="E96" s="12">
        <v>155</v>
      </c>
      <c r="F96" s="12">
        <v>0</v>
      </c>
      <c r="G96" s="18"/>
      <c r="H96" s="12">
        <v>0</v>
      </c>
      <c r="I96" s="19">
        <v>46294.906504629631</v>
      </c>
      <c r="J96" s="12">
        <v>9</v>
      </c>
      <c r="K96" s="12" t="s">
        <v>541</v>
      </c>
    </row>
    <row r="97" spans="1:11" x14ac:dyDescent="0.25">
      <c r="A97" s="15" t="s">
        <v>1647</v>
      </c>
      <c r="B97" s="12" t="s">
        <v>1564</v>
      </c>
      <c r="C97" s="12" t="s">
        <v>1451</v>
      </c>
      <c r="D97" s="18" t="s">
        <v>1502</v>
      </c>
      <c r="E97" s="12">
        <v>25</v>
      </c>
      <c r="F97" s="12">
        <v>0</v>
      </c>
      <c r="G97" s="18"/>
      <c r="H97" s="12">
        <v>0</v>
      </c>
      <c r="I97" s="19">
        <v>46294.906550925924</v>
      </c>
      <c r="J97" s="12">
        <v>108</v>
      </c>
      <c r="K97" s="12" t="s">
        <v>541</v>
      </c>
    </row>
    <row r="98" spans="1:11" ht="25.5" x14ac:dyDescent="0.25">
      <c r="A98" s="15" t="s">
        <v>1648</v>
      </c>
      <c r="B98" s="12" t="s">
        <v>1196</v>
      </c>
      <c r="C98" s="12" t="s">
        <v>1451</v>
      </c>
      <c r="D98" s="18" t="s">
        <v>1452</v>
      </c>
      <c r="E98" s="12">
        <v>968</v>
      </c>
      <c r="F98" s="12">
        <v>0</v>
      </c>
      <c r="G98" s="18"/>
      <c r="H98" s="12">
        <v>0</v>
      </c>
      <c r="I98" s="19">
        <v>46294.923182870371</v>
      </c>
      <c r="J98" s="12">
        <v>133</v>
      </c>
      <c r="K98" s="12" t="s">
        <v>1649</v>
      </c>
    </row>
    <row r="99" spans="1:11" x14ac:dyDescent="0.25">
      <c r="A99" s="15" t="s">
        <v>1650</v>
      </c>
      <c r="B99" s="12" t="s">
        <v>1626</v>
      </c>
      <c r="C99" s="12" t="s">
        <v>1451</v>
      </c>
      <c r="D99" s="18" t="s">
        <v>1499</v>
      </c>
      <c r="E99" s="12">
        <v>158</v>
      </c>
      <c r="F99" s="12">
        <v>0</v>
      </c>
      <c r="G99" s="18"/>
      <c r="H99" s="12">
        <v>0</v>
      </c>
      <c r="I99" s="19">
        <v>46294.923229166663</v>
      </c>
      <c r="J99" s="12">
        <v>9</v>
      </c>
      <c r="K99" s="12" t="s">
        <v>1649</v>
      </c>
    </row>
    <row r="100" spans="1:11" x14ac:dyDescent="0.25">
      <c r="A100" s="15" t="s">
        <v>1651</v>
      </c>
      <c r="B100" s="12" t="s">
        <v>1564</v>
      </c>
      <c r="C100" s="12" t="s">
        <v>1451</v>
      </c>
      <c r="D100" s="18" t="s">
        <v>1502</v>
      </c>
      <c r="E100" s="12">
        <v>26</v>
      </c>
      <c r="F100" s="12">
        <v>0</v>
      </c>
      <c r="G100" s="18"/>
      <c r="H100" s="12">
        <v>0</v>
      </c>
      <c r="I100" s="19">
        <v>46294.923275462963</v>
      </c>
      <c r="J100" s="12">
        <v>114</v>
      </c>
      <c r="K100" s="12" t="s">
        <v>1649</v>
      </c>
    </row>
    <row r="101" spans="1:11" ht="25.5" x14ac:dyDescent="0.25">
      <c r="A101" s="15" t="s">
        <v>1652</v>
      </c>
      <c r="B101" s="12" t="s">
        <v>1196</v>
      </c>
      <c r="C101" s="12" t="s">
        <v>1451</v>
      </c>
      <c r="D101" s="18" t="s">
        <v>1452</v>
      </c>
      <c r="E101" s="12">
        <v>987</v>
      </c>
      <c r="F101" s="12">
        <v>0</v>
      </c>
      <c r="G101" s="18"/>
      <c r="H101" s="12">
        <v>0</v>
      </c>
      <c r="I101" s="19">
        <v>46294.956284722219</v>
      </c>
      <c r="J101" s="12">
        <v>183</v>
      </c>
      <c r="K101" s="12" t="s">
        <v>558</v>
      </c>
    </row>
    <row r="102" spans="1:11" x14ac:dyDescent="0.25">
      <c r="A102" s="15" t="s">
        <v>1653</v>
      </c>
      <c r="B102" s="12" t="s">
        <v>1626</v>
      </c>
      <c r="C102" s="12" t="s">
        <v>1451</v>
      </c>
      <c r="D102" s="18" t="s">
        <v>1499</v>
      </c>
      <c r="E102" s="12">
        <v>164</v>
      </c>
      <c r="F102" s="12">
        <v>0</v>
      </c>
      <c r="G102" s="18"/>
      <c r="H102" s="12">
        <v>0</v>
      </c>
      <c r="I102" s="19">
        <v>46294.956319444442</v>
      </c>
      <c r="J102" s="12"/>
      <c r="K102" s="12" t="s">
        <v>558</v>
      </c>
    </row>
    <row r="103" spans="1:11" x14ac:dyDescent="0.25">
      <c r="A103" s="15" t="s">
        <v>1654</v>
      </c>
      <c r="B103" s="12" t="s">
        <v>1564</v>
      </c>
      <c r="C103" s="12" t="s">
        <v>1451</v>
      </c>
      <c r="D103" s="18" t="s">
        <v>1502</v>
      </c>
      <c r="E103" s="12">
        <v>27</v>
      </c>
      <c r="F103" s="12">
        <v>0</v>
      </c>
      <c r="G103" s="18"/>
      <c r="H103" s="12">
        <v>0</v>
      </c>
      <c r="I103" s="19">
        <v>46294.956365740742</v>
      </c>
      <c r="J103" s="12">
        <v>114</v>
      </c>
      <c r="K103" s="12" t="s">
        <v>558</v>
      </c>
    </row>
    <row r="104" spans="1:11" x14ac:dyDescent="0.25">
      <c r="A104" s="15" t="s">
        <v>1655</v>
      </c>
      <c r="B104" s="12" t="s">
        <v>1656</v>
      </c>
      <c r="C104" s="12" t="s">
        <v>1451</v>
      </c>
      <c r="D104" s="18" t="s">
        <v>1568</v>
      </c>
      <c r="E104" s="12">
        <v>1</v>
      </c>
      <c r="F104" s="12">
        <v>0</v>
      </c>
      <c r="G104" s="18"/>
      <c r="H104" s="12">
        <v>0</v>
      </c>
      <c r="I104" s="19">
        <v>46294.956412037027</v>
      </c>
      <c r="J104" s="12"/>
      <c r="K104" s="12" t="s">
        <v>558</v>
      </c>
    </row>
    <row r="105" spans="1:11" ht="25.5" x14ac:dyDescent="0.25">
      <c r="A105" s="15" t="s">
        <v>1657</v>
      </c>
      <c r="B105" s="12" t="s">
        <v>1196</v>
      </c>
      <c r="C105" s="12" t="s">
        <v>1451</v>
      </c>
      <c r="D105" s="18" t="s">
        <v>1452</v>
      </c>
      <c r="E105" s="12">
        <v>990</v>
      </c>
      <c r="F105" s="12">
        <v>0</v>
      </c>
      <c r="G105" s="18"/>
      <c r="H105" s="12">
        <v>0</v>
      </c>
      <c r="I105" s="19">
        <v>46294.965208333328</v>
      </c>
      <c r="J105" s="12">
        <v>166</v>
      </c>
      <c r="K105" s="12" t="s">
        <v>575</v>
      </c>
    </row>
    <row r="106" spans="1:11" x14ac:dyDescent="0.25">
      <c r="A106" s="15" t="s">
        <v>1658</v>
      </c>
      <c r="B106" s="12" t="s">
        <v>1626</v>
      </c>
      <c r="C106" s="12" t="s">
        <v>1451</v>
      </c>
      <c r="D106" s="18" t="s">
        <v>1499</v>
      </c>
      <c r="E106" s="12">
        <v>164</v>
      </c>
      <c r="F106" s="12">
        <v>0</v>
      </c>
      <c r="G106" s="18"/>
      <c r="H106" s="12">
        <v>0</v>
      </c>
      <c r="I106" s="19">
        <v>46294.965254629627</v>
      </c>
      <c r="J106" s="12"/>
      <c r="K106" s="12" t="s">
        <v>575</v>
      </c>
    </row>
    <row r="107" spans="1:11" x14ac:dyDescent="0.25">
      <c r="A107" s="15" t="s">
        <v>1659</v>
      </c>
      <c r="B107" s="12" t="s">
        <v>1564</v>
      </c>
      <c r="C107" s="12" t="s">
        <v>1451</v>
      </c>
      <c r="D107" s="18" t="s">
        <v>1502</v>
      </c>
      <c r="E107" s="12">
        <v>27</v>
      </c>
      <c r="F107" s="12">
        <v>0</v>
      </c>
      <c r="G107" s="18"/>
      <c r="H107" s="12">
        <v>0</v>
      </c>
      <c r="I107" s="19">
        <v>46294.965289351851</v>
      </c>
      <c r="J107" s="12">
        <v>108</v>
      </c>
      <c r="K107" s="12" t="s">
        <v>575</v>
      </c>
    </row>
    <row r="108" spans="1:11" x14ac:dyDescent="0.25">
      <c r="A108" s="15" t="s">
        <v>1660</v>
      </c>
      <c r="B108" s="12" t="s">
        <v>1656</v>
      </c>
      <c r="C108" s="12" t="s">
        <v>1451</v>
      </c>
      <c r="D108" s="18" t="s">
        <v>1568</v>
      </c>
      <c r="E108" s="12">
        <v>1</v>
      </c>
      <c r="F108" s="12">
        <v>0</v>
      </c>
      <c r="G108" s="18"/>
      <c r="H108" s="12">
        <v>0</v>
      </c>
      <c r="I108" s="19">
        <v>46294.96533564815</v>
      </c>
      <c r="J108" s="12"/>
      <c r="K108" s="12" t="s">
        <v>575</v>
      </c>
    </row>
    <row r="109" spans="1:11" ht="25.5" x14ac:dyDescent="0.25">
      <c r="A109" s="15" t="s">
        <v>1661</v>
      </c>
      <c r="B109" s="12" t="s">
        <v>1196</v>
      </c>
      <c r="C109" s="12" t="s">
        <v>1451</v>
      </c>
      <c r="D109" s="18" t="s">
        <v>1452</v>
      </c>
      <c r="E109" s="12">
        <v>993</v>
      </c>
      <c r="F109" s="12">
        <v>0</v>
      </c>
      <c r="G109" s="18"/>
      <c r="H109" s="12">
        <v>0</v>
      </c>
      <c r="I109" s="19">
        <v>46295.105914351851</v>
      </c>
      <c r="J109" s="12">
        <v>144</v>
      </c>
      <c r="K109" s="12" t="s">
        <v>727</v>
      </c>
    </row>
    <row r="110" spans="1:11" x14ac:dyDescent="0.25">
      <c r="A110" s="15" t="s">
        <v>1662</v>
      </c>
      <c r="B110" s="12" t="s">
        <v>1626</v>
      </c>
      <c r="C110" s="12" t="s">
        <v>1451</v>
      </c>
      <c r="D110" s="18" t="s">
        <v>1499</v>
      </c>
      <c r="E110" s="12">
        <v>164</v>
      </c>
      <c r="F110" s="12">
        <v>0</v>
      </c>
      <c r="G110" s="18"/>
      <c r="H110" s="12">
        <v>0</v>
      </c>
      <c r="I110" s="19">
        <v>46295.10596064815</v>
      </c>
      <c r="J110" s="12"/>
      <c r="K110" s="12" t="s">
        <v>727</v>
      </c>
    </row>
    <row r="111" spans="1:11" x14ac:dyDescent="0.25">
      <c r="A111" s="15" t="s">
        <v>1663</v>
      </c>
      <c r="B111" s="12" t="s">
        <v>1564</v>
      </c>
      <c r="C111" s="12" t="s">
        <v>1451</v>
      </c>
      <c r="D111" s="18" t="s">
        <v>1502</v>
      </c>
      <c r="E111" s="12">
        <v>27</v>
      </c>
      <c r="F111" s="12">
        <v>0</v>
      </c>
      <c r="G111" s="18"/>
      <c r="H111" s="12">
        <v>0</v>
      </c>
      <c r="I111" s="19">
        <v>46295.105995370373</v>
      </c>
      <c r="J111" s="12">
        <v>114</v>
      </c>
      <c r="K111" s="12" t="s">
        <v>727</v>
      </c>
    </row>
    <row r="112" spans="1:11" x14ac:dyDescent="0.25">
      <c r="A112" s="15" t="s">
        <v>1664</v>
      </c>
      <c r="B112" s="12" t="s">
        <v>1656</v>
      </c>
      <c r="C112" s="12" t="s">
        <v>1451</v>
      </c>
      <c r="D112" s="18" t="s">
        <v>1568</v>
      </c>
      <c r="E112" s="12">
        <v>1</v>
      </c>
      <c r="F112" s="12">
        <v>0</v>
      </c>
      <c r="G112" s="18"/>
      <c r="H112" s="12">
        <v>0</v>
      </c>
      <c r="I112" s="19">
        <v>46295.106041666673</v>
      </c>
      <c r="J112" s="12"/>
      <c r="K112" s="12" t="s">
        <v>727</v>
      </c>
    </row>
    <row r="113" spans="1:11" ht="25.5" x14ac:dyDescent="0.25">
      <c r="A113" s="15" t="s">
        <v>1665</v>
      </c>
      <c r="B113" s="12" t="s">
        <v>1196</v>
      </c>
      <c r="C113" s="12" t="s">
        <v>1451</v>
      </c>
      <c r="D113" s="18" t="s">
        <v>1452</v>
      </c>
      <c r="E113" s="12">
        <v>996</v>
      </c>
      <c r="F113" s="12">
        <v>0</v>
      </c>
      <c r="G113" s="18"/>
      <c r="H113" s="12">
        <v>0</v>
      </c>
      <c r="I113" s="19">
        <v>46295.114618055559</v>
      </c>
      <c r="J113" s="12">
        <v>160</v>
      </c>
      <c r="K113" s="12" t="s">
        <v>689</v>
      </c>
    </row>
    <row r="114" spans="1:11" x14ac:dyDescent="0.25">
      <c r="A114" s="15" t="s">
        <v>1666</v>
      </c>
      <c r="B114" s="12" t="s">
        <v>1626</v>
      </c>
      <c r="C114" s="12" t="s">
        <v>1451</v>
      </c>
      <c r="D114" s="18" t="s">
        <v>1499</v>
      </c>
      <c r="E114" s="12">
        <v>166</v>
      </c>
      <c r="F114" s="12">
        <v>0</v>
      </c>
      <c r="G114" s="18"/>
      <c r="H114" s="12">
        <v>0</v>
      </c>
      <c r="I114" s="19">
        <v>46295.114664351851</v>
      </c>
      <c r="J114" s="12"/>
      <c r="K114" s="12" t="s">
        <v>689</v>
      </c>
    </row>
    <row r="115" spans="1:11" x14ac:dyDescent="0.25">
      <c r="A115" s="15" t="s">
        <v>1667</v>
      </c>
      <c r="B115" s="12" t="s">
        <v>1564</v>
      </c>
      <c r="C115" s="12" t="s">
        <v>1451</v>
      </c>
      <c r="D115" s="18" t="s">
        <v>1502</v>
      </c>
      <c r="E115" s="12">
        <v>28</v>
      </c>
      <c r="F115" s="12">
        <v>0</v>
      </c>
      <c r="G115" s="18"/>
      <c r="H115" s="12">
        <v>0</v>
      </c>
      <c r="I115" s="19">
        <v>46295.114699074067</v>
      </c>
      <c r="J115" s="12">
        <v>108</v>
      </c>
      <c r="K115" s="12" t="s">
        <v>689</v>
      </c>
    </row>
    <row r="116" spans="1:11" x14ac:dyDescent="0.25">
      <c r="A116" s="15" t="s">
        <v>1668</v>
      </c>
      <c r="B116" s="12" t="s">
        <v>1656</v>
      </c>
      <c r="C116" s="12" t="s">
        <v>1451</v>
      </c>
      <c r="D116" s="18" t="s">
        <v>1568</v>
      </c>
      <c r="E116" s="12">
        <v>1</v>
      </c>
      <c r="F116" s="12">
        <v>0</v>
      </c>
      <c r="G116" s="18"/>
      <c r="H116" s="12">
        <v>0</v>
      </c>
      <c r="I116" s="19">
        <v>46295.114745370367</v>
      </c>
      <c r="J116" s="12"/>
      <c r="K116" s="12" t="s">
        <v>689</v>
      </c>
    </row>
    <row r="117" spans="1:11" ht="25.5" x14ac:dyDescent="0.25">
      <c r="A117" s="15" t="s">
        <v>1669</v>
      </c>
      <c r="B117" s="12" t="s">
        <v>1196</v>
      </c>
      <c r="C117" s="12" t="s">
        <v>1451</v>
      </c>
      <c r="D117" s="18" t="s">
        <v>1452</v>
      </c>
      <c r="E117" s="12">
        <v>1037</v>
      </c>
      <c r="F117" s="12">
        <v>0</v>
      </c>
      <c r="G117" s="18"/>
      <c r="H117" s="12">
        <v>0</v>
      </c>
      <c r="I117" s="19">
        <v>46295.122025462973</v>
      </c>
      <c r="J117" s="12">
        <v>139</v>
      </c>
      <c r="K117" s="12" t="s">
        <v>680</v>
      </c>
    </row>
    <row r="118" spans="1:11" ht="25.5" x14ac:dyDescent="0.25">
      <c r="A118" s="15" t="s">
        <v>1670</v>
      </c>
      <c r="B118" s="12" t="s">
        <v>1196</v>
      </c>
      <c r="C118" s="12" t="s">
        <v>1451</v>
      </c>
      <c r="D118" s="18" t="s">
        <v>1452</v>
      </c>
      <c r="E118" s="12">
        <v>1075</v>
      </c>
      <c r="F118" s="12">
        <v>0</v>
      </c>
      <c r="G118" s="18"/>
      <c r="H118" s="12">
        <v>0</v>
      </c>
      <c r="I118" s="19">
        <v>46295.126666666663</v>
      </c>
      <c r="J118" s="12">
        <v>145</v>
      </c>
      <c r="K118" s="12" t="s">
        <v>696</v>
      </c>
    </row>
    <row r="119" spans="1:11" ht="25.5" x14ac:dyDescent="0.25">
      <c r="A119" s="15" t="s">
        <v>1671</v>
      </c>
      <c r="B119" s="12" t="s">
        <v>1196</v>
      </c>
      <c r="C119" s="12" t="s">
        <v>1451</v>
      </c>
      <c r="D119" s="18" t="s">
        <v>1452</v>
      </c>
      <c r="E119" s="12">
        <v>1224</v>
      </c>
      <c r="F119" s="12">
        <v>0</v>
      </c>
      <c r="G119" s="18"/>
      <c r="H119" s="12">
        <v>0</v>
      </c>
      <c r="I119" s="19">
        <v>46295.136516203696</v>
      </c>
      <c r="J119" s="12">
        <v>182</v>
      </c>
      <c r="K119" s="12" t="s">
        <v>702</v>
      </c>
    </row>
    <row r="120" spans="1:11" x14ac:dyDescent="0.25">
      <c r="A120" s="15" t="s">
        <v>1672</v>
      </c>
      <c r="B120" s="12" t="s">
        <v>1626</v>
      </c>
      <c r="C120" s="12" t="s">
        <v>1451</v>
      </c>
      <c r="D120" s="18" t="s">
        <v>1499</v>
      </c>
      <c r="E120" s="12">
        <v>166</v>
      </c>
      <c r="F120" s="12">
        <v>0</v>
      </c>
      <c r="G120" s="18"/>
      <c r="H120" s="12">
        <v>0</v>
      </c>
      <c r="I120" s="19">
        <v>46295.136562500003</v>
      </c>
      <c r="J120" s="12"/>
      <c r="K120" s="12" t="s">
        <v>702</v>
      </c>
    </row>
    <row r="121" spans="1:11" x14ac:dyDescent="0.25">
      <c r="A121" s="15" t="s">
        <v>1673</v>
      </c>
      <c r="B121" s="12" t="s">
        <v>1564</v>
      </c>
      <c r="C121" s="12" t="s">
        <v>1451</v>
      </c>
      <c r="D121" s="18" t="s">
        <v>1502</v>
      </c>
      <c r="E121" s="12">
        <v>28</v>
      </c>
      <c r="F121" s="12">
        <v>0</v>
      </c>
      <c r="G121" s="18"/>
      <c r="H121" s="12">
        <v>0</v>
      </c>
      <c r="I121" s="19">
        <v>46295.136608796303</v>
      </c>
      <c r="J121" s="12">
        <v>114</v>
      </c>
      <c r="K121" s="12" t="s">
        <v>702</v>
      </c>
    </row>
    <row r="122" spans="1:11" x14ac:dyDescent="0.25">
      <c r="A122" s="15" t="s">
        <v>1674</v>
      </c>
      <c r="B122" s="12" t="s">
        <v>1656</v>
      </c>
      <c r="C122" s="12" t="s">
        <v>1451</v>
      </c>
      <c r="D122" s="18" t="s">
        <v>1568</v>
      </c>
      <c r="E122" s="12">
        <v>1</v>
      </c>
      <c r="F122" s="12">
        <v>0</v>
      </c>
      <c r="G122" s="18"/>
      <c r="H122" s="12">
        <v>0</v>
      </c>
      <c r="I122" s="19">
        <v>46295.136655092603</v>
      </c>
      <c r="J122" s="12"/>
      <c r="K122" s="12" t="s">
        <v>702</v>
      </c>
    </row>
    <row r="123" spans="1:11" ht="25.5" x14ac:dyDescent="0.25">
      <c r="A123" s="15" t="s">
        <v>1675</v>
      </c>
      <c r="B123" s="12" t="s">
        <v>1196</v>
      </c>
      <c r="C123" s="12" t="s">
        <v>1451</v>
      </c>
      <c r="D123" s="18" t="s">
        <v>1452</v>
      </c>
      <c r="E123" s="12">
        <v>1227</v>
      </c>
      <c r="F123" s="12">
        <v>0</v>
      </c>
      <c r="G123" s="18"/>
      <c r="H123" s="12">
        <v>0</v>
      </c>
      <c r="I123" s="19">
        <v>46295.148726851847</v>
      </c>
      <c r="J123" s="12">
        <v>186</v>
      </c>
      <c r="K123" s="12" t="s">
        <v>715</v>
      </c>
    </row>
    <row r="124" spans="1:11" x14ac:dyDescent="0.25">
      <c r="A124" s="15" t="s">
        <v>1676</v>
      </c>
      <c r="B124" s="12" t="s">
        <v>1626</v>
      </c>
      <c r="C124" s="12" t="s">
        <v>1451</v>
      </c>
      <c r="D124" s="18" t="s">
        <v>1499</v>
      </c>
      <c r="E124" s="12">
        <v>166</v>
      </c>
      <c r="F124" s="12">
        <v>0</v>
      </c>
      <c r="G124" s="18"/>
      <c r="H124" s="12">
        <v>0</v>
      </c>
      <c r="I124" s="19">
        <v>46295.148761574077</v>
      </c>
      <c r="J124" s="12"/>
      <c r="K124" s="12" t="s">
        <v>715</v>
      </c>
    </row>
    <row r="125" spans="1:11" x14ac:dyDescent="0.25">
      <c r="A125" s="15" t="s">
        <v>1677</v>
      </c>
      <c r="B125" s="12" t="s">
        <v>1564</v>
      </c>
      <c r="C125" s="12" t="s">
        <v>1451</v>
      </c>
      <c r="D125" s="18" t="s">
        <v>1502</v>
      </c>
      <c r="E125" s="12">
        <v>28</v>
      </c>
      <c r="F125" s="12">
        <v>0</v>
      </c>
      <c r="G125" s="18"/>
      <c r="H125" s="12">
        <v>0</v>
      </c>
      <c r="I125" s="19">
        <v>46295.14880787037</v>
      </c>
      <c r="J125" s="12">
        <v>120</v>
      </c>
      <c r="K125" s="12" t="s">
        <v>715</v>
      </c>
    </row>
    <row r="126" spans="1:11" x14ac:dyDescent="0.25">
      <c r="A126" s="15" t="s">
        <v>1678</v>
      </c>
      <c r="B126" s="12" t="s">
        <v>1656</v>
      </c>
      <c r="C126" s="12" t="s">
        <v>1451</v>
      </c>
      <c r="D126" s="18" t="s">
        <v>1568</v>
      </c>
      <c r="E126" s="12">
        <v>1</v>
      </c>
      <c r="F126" s="12">
        <v>0</v>
      </c>
      <c r="G126" s="18"/>
      <c r="H126" s="12">
        <v>0</v>
      </c>
      <c r="I126" s="19">
        <v>46295.148854166669</v>
      </c>
      <c r="J126" s="12"/>
      <c r="K126" s="12" t="s">
        <v>715</v>
      </c>
    </row>
    <row r="127" spans="1:11" ht="25.5" x14ac:dyDescent="0.25">
      <c r="A127" s="15" t="s">
        <v>1679</v>
      </c>
      <c r="B127" s="12" t="s">
        <v>1196</v>
      </c>
      <c r="C127" s="12" t="s">
        <v>1451</v>
      </c>
      <c r="D127" s="18" t="s">
        <v>1452</v>
      </c>
      <c r="E127" s="12">
        <v>1233</v>
      </c>
      <c r="F127" s="12">
        <v>0</v>
      </c>
      <c r="G127" s="18"/>
      <c r="H127" s="12">
        <v>0</v>
      </c>
      <c r="I127" s="19">
        <v>46295.314618055563</v>
      </c>
      <c r="J127" s="12">
        <v>184</v>
      </c>
      <c r="K127" s="12" t="s">
        <v>600</v>
      </c>
    </row>
    <row r="128" spans="1:11" x14ac:dyDescent="0.25">
      <c r="A128" s="15" t="s">
        <v>1680</v>
      </c>
      <c r="B128" s="12" t="s">
        <v>1626</v>
      </c>
      <c r="C128" s="12" t="s">
        <v>1451</v>
      </c>
      <c r="D128" s="18" t="s">
        <v>1499</v>
      </c>
      <c r="E128" s="12">
        <v>166</v>
      </c>
      <c r="F128" s="12">
        <v>0</v>
      </c>
      <c r="G128" s="18"/>
      <c r="H128" s="12">
        <v>0</v>
      </c>
      <c r="I128" s="19">
        <v>46295.314652777779</v>
      </c>
      <c r="J128" s="12"/>
      <c r="K128" s="12" t="s">
        <v>600</v>
      </c>
    </row>
    <row r="129" spans="1:11" x14ac:dyDescent="0.25">
      <c r="A129" s="15" t="s">
        <v>1681</v>
      </c>
      <c r="B129" s="12" t="s">
        <v>1564</v>
      </c>
      <c r="C129" s="12" t="s">
        <v>1451</v>
      </c>
      <c r="D129" s="18" t="s">
        <v>1502</v>
      </c>
      <c r="E129" s="12">
        <v>28</v>
      </c>
      <c r="F129" s="12">
        <v>0</v>
      </c>
      <c r="G129" s="18"/>
      <c r="H129" s="12">
        <v>0</v>
      </c>
      <c r="I129" s="19">
        <v>46295.314699074072</v>
      </c>
      <c r="J129" s="12">
        <v>120</v>
      </c>
      <c r="K129" s="12" t="s">
        <v>600</v>
      </c>
    </row>
    <row r="130" spans="1:11" x14ac:dyDescent="0.25">
      <c r="A130" s="15" t="s">
        <v>1682</v>
      </c>
      <c r="B130" s="12" t="s">
        <v>1656</v>
      </c>
      <c r="C130" s="12" t="s">
        <v>1451</v>
      </c>
      <c r="D130" s="18" t="s">
        <v>1568</v>
      </c>
      <c r="E130" s="12">
        <v>1</v>
      </c>
      <c r="F130" s="12">
        <v>0</v>
      </c>
      <c r="G130" s="18"/>
      <c r="H130" s="12">
        <v>0</v>
      </c>
      <c r="I130" s="19">
        <v>46295.314745370371</v>
      </c>
      <c r="J130" s="12"/>
      <c r="K130" s="12" t="s">
        <v>600</v>
      </c>
    </row>
    <row r="131" spans="1:11" ht="25.5" x14ac:dyDescent="0.25">
      <c r="A131" s="15" t="s">
        <v>1683</v>
      </c>
      <c r="B131" s="12" t="s">
        <v>1557</v>
      </c>
      <c r="C131" s="12" t="s">
        <v>1451</v>
      </c>
      <c r="D131" s="18" t="s">
        <v>1452</v>
      </c>
      <c r="E131" s="12">
        <v>1410</v>
      </c>
      <c r="F131" s="12">
        <v>0</v>
      </c>
      <c r="G131" s="18" t="s">
        <v>1684</v>
      </c>
      <c r="H131" s="12">
        <v>1</v>
      </c>
      <c r="I131" s="19">
        <v>46295.625185185178</v>
      </c>
      <c r="J131" s="12">
        <v>230</v>
      </c>
      <c r="K131" s="12" t="s">
        <v>1685</v>
      </c>
    </row>
    <row r="132" spans="1:11" ht="25.5" x14ac:dyDescent="0.25">
      <c r="A132" s="15" t="s">
        <v>1686</v>
      </c>
      <c r="B132" s="12" t="s">
        <v>1557</v>
      </c>
      <c r="C132" s="12" t="s">
        <v>1451</v>
      </c>
      <c r="D132" s="18" t="s">
        <v>1452</v>
      </c>
      <c r="E132" s="12">
        <v>1455</v>
      </c>
      <c r="F132" s="12">
        <v>0</v>
      </c>
      <c r="G132" s="18" t="s">
        <v>1687</v>
      </c>
      <c r="H132" s="12">
        <v>1</v>
      </c>
      <c r="I132" s="19">
        <v>46295.914375</v>
      </c>
      <c r="J132" s="12">
        <v>252</v>
      </c>
      <c r="K132" s="12" t="s">
        <v>1688</v>
      </c>
    </row>
    <row r="133" spans="1:11" ht="25.5" x14ac:dyDescent="0.25">
      <c r="A133" s="15" t="s">
        <v>1689</v>
      </c>
      <c r="B133" s="12" t="s">
        <v>1557</v>
      </c>
      <c r="C133" s="12" t="s">
        <v>1451</v>
      </c>
      <c r="D133" s="18" t="s">
        <v>1452</v>
      </c>
      <c r="E133" s="12">
        <v>1480</v>
      </c>
      <c r="F133" s="12">
        <v>0</v>
      </c>
      <c r="G133" s="18" t="s">
        <v>782</v>
      </c>
      <c r="H133" s="12">
        <v>1</v>
      </c>
      <c r="I133" s="19">
        <v>46295.935162037043</v>
      </c>
      <c r="J133" s="12">
        <v>243</v>
      </c>
      <c r="K133" s="12" t="s">
        <v>1690</v>
      </c>
    </row>
    <row r="134" spans="1:11" x14ac:dyDescent="0.25">
      <c r="A134" s="15" t="s">
        <v>1691</v>
      </c>
      <c r="B134" s="12" t="s">
        <v>1561</v>
      </c>
      <c r="C134" s="12" t="s">
        <v>1451</v>
      </c>
      <c r="D134" s="18" t="s">
        <v>1499</v>
      </c>
      <c r="E134" s="12">
        <v>179</v>
      </c>
      <c r="F134" s="12">
        <v>0</v>
      </c>
      <c r="G134" s="18" t="s">
        <v>782</v>
      </c>
      <c r="H134" s="12">
        <v>0</v>
      </c>
      <c r="I134" s="19">
        <v>46295.935196759259</v>
      </c>
      <c r="J134" s="12">
        <v>12</v>
      </c>
      <c r="K134" s="12" t="s">
        <v>1690</v>
      </c>
    </row>
    <row r="135" spans="1:11" x14ac:dyDescent="0.25">
      <c r="A135" s="15" t="s">
        <v>1692</v>
      </c>
      <c r="B135" s="12" t="s">
        <v>1564</v>
      </c>
      <c r="C135" s="12" t="s">
        <v>1451</v>
      </c>
      <c r="D135" s="18" t="s">
        <v>1502</v>
      </c>
      <c r="E135" s="12">
        <v>31</v>
      </c>
      <c r="F135" s="12">
        <v>0</v>
      </c>
      <c r="G135" s="18" t="s">
        <v>782</v>
      </c>
      <c r="H135" s="12">
        <v>0</v>
      </c>
      <c r="I135" s="19">
        <v>46295.935243055559</v>
      </c>
      <c r="J135" s="12">
        <v>138</v>
      </c>
      <c r="K135" s="12" t="s">
        <v>1690</v>
      </c>
    </row>
    <row r="136" spans="1:11" ht="25.5" x14ac:dyDescent="0.25">
      <c r="A136" s="15" t="s">
        <v>1693</v>
      </c>
      <c r="B136" s="12" t="s">
        <v>1557</v>
      </c>
      <c r="C136" s="12" t="s">
        <v>1451</v>
      </c>
      <c r="D136" s="18" t="s">
        <v>1452</v>
      </c>
      <c r="E136" s="12">
        <v>1518</v>
      </c>
      <c r="F136" s="12">
        <v>0</v>
      </c>
      <c r="G136" s="18" t="s">
        <v>796</v>
      </c>
      <c r="H136" s="12">
        <v>1</v>
      </c>
      <c r="I136" s="19">
        <v>46295.949293981481</v>
      </c>
      <c r="J136" s="12">
        <v>272</v>
      </c>
      <c r="K136" s="12" t="s">
        <v>1694</v>
      </c>
    </row>
    <row r="137" spans="1:11" x14ac:dyDescent="0.25">
      <c r="A137" s="15" t="s">
        <v>1695</v>
      </c>
      <c r="B137" s="12" t="s">
        <v>1561</v>
      </c>
      <c r="C137" s="12" t="s">
        <v>1451</v>
      </c>
      <c r="D137" s="18" t="s">
        <v>1499</v>
      </c>
      <c r="E137" s="12">
        <v>217</v>
      </c>
      <c r="F137" s="12">
        <v>0</v>
      </c>
      <c r="G137" s="18" t="s">
        <v>796</v>
      </c>
      <c r="H137" s="12">
        <v>0</v>
      </c>
      <c r="I137" s="19">
        <v>46295.949340277781</v>
      </c>
      <c r="J137" s="12">
        <v>13</v>
      </c>
      <c r="K137" s="12" t="s">
        <v>1694</v>
      </c>
    </row>
    <row r="138" spans="1:11" x14ac:dyDescent="0.25">
      <c r="A138" s="15" t="s">
        <v>1696</v>
      </c>
      <c r="B138" s="12" t="s">
        <v>1564</v>
      </c>
      <c r="C138" s="12" t="s">
        <v>1451</v>
      </c>
      <c r="D138" s="18" t="s">
        <v>1502</v>
      </c>
      <c r="E138" s="12">
        <v>31</v>
      </c>
      <c r="F138" s="12">
        <v>0</v>
      </c>
      <c r="G138" s="18" t="s">
        <v>796</v>
      </c>
      <c r="H138" s="12">
        <v>0</v>
      </c>
      <c r="I138" s="19">
        <v>46295.949386574073</v>
      </c>
      <c r="J138" s="12">
        <v>126</v>
      </c>
      <c r="K138" s="12" t="s">
        <v>1694</v>
      </c>
    </row>
    <row r="139" spans="1:11" ht="25.5" x14ac:dyDescent="0.25">
      <c r="A139" s="15" t="s">
        <v>1697</v>
      </c>
      <c r="B139" s="12" t="s">
        <v>1557</v>
      </c>
      <c r="C139" s="12" t="s">
        <v>1451</v>
      </c>
      <c r="D139" s="18" t="s">
        <v>1452</v>
      </c>
      <c r="E139" s="12">
        <v>1550</v>
      </c>
      <c r="F139" s="12">
        <v>0</v>
      </c>
      <c r="G139" s="18" t="s">
        <v>804</v>
      </c>
      <c r="H139" s="12">
        <v>1</v>
      </c>
      <c r="I139" s="19">
        <v>46295.965324074074</v>
      </c>
      <c r="J139" s="12">
        <v>270</v>
      </c>
      <c r="K139" s="12" t="s">
        <v>1698</v>
      </c>
    </row>
    <row r="140" spans="1:11" x14ac:dyDescent="0.25">
      <c r="A140" s="15" t="s">
        <v>1699</v>
      </c>
      <c r="B140" s="12" t="s">
        <v>1564</v>
      </c>
      <c r="C140" s="12" t="s">
        <v>1451</v>
      </c>
      <c r="D140" s="18" t="s">
        <v>1502</v>
      </c>
      <c r="E140" s="12">
        <v>31</v>
      </c>
      <c r="F140" s="12">
        <v>0</v>
      </c>
      <c r="G140" s="18" t="s">
        <v>804</v>
      </c>
      <c r="H140" s="12">
        <v>0</v>
      </c>
      <c r="I140" s="19">
        <v>46295.965370370373</v>
      </c>
      <c r="J140" s="12">
        <v>126</v>
      </c>
      <c r="K140" s="12" t="s">
        <v>1698</v>
      </c>
    </row>
    <row r="141" spans="1:11" ht="25.5" x14ac:dyDescent="0.25">
      <c r="A141" s="15" t="s">
        <v>1700</v>
      </c>
      <c r="B141" s="12" t="s">
        <v>1701</v>
      </c>
      <c r="C141" s="12" t="s">
        <v>1451</v>
      </c>
      <c r="D141" s="18" t="s">
        <v>1702</v>
      </c>
      <c r="E141" s="12">
        <v>433</v>
      </c>
      <c r="F141" s="12">
        <v>0</v>
      </c>
      <c r="G141" s="18" t="s">
        <v>840</v>
      </c>
      <c r="H141" s="12">
        <v>0</v>
      </c>
      <c r="I141" s="19">
        <v>46295.975243055553</v>
      </c>
      <c r="J141" s="12">
        <v>97</v>
      </c>
      <c r="K141" s="12" t="s">
        <v>1703</v>
      </c>
    </row>
    <row r="142" spans="1:11" ht="25.5" x14ac:dyDescent="0.25">
      <c r="A142" s="15" t="s">
        <v>1704</v>
      </c>
      <c r="B142" s="12" t="s">
        <v>1557</v>
      </c>
      <c r="C142" s="12" t="s">
        <v>1451</v>
      </c>
      <c r="D142" s="18" t="s">
        <v>1705</v>
      </c>
      <c r="E142" s="12">
        <v>1223</v>
      </c>
      <c r="F142" s="12">
        <v>0</v>
      </c>
      <c r="G142" s="18" t="s">
        <v>1706</v>
      </c>
      <c r="H142" s="12">
        <v>1</v>
      </c>
      <c r="I142" s="19">
        <v>46295.975289351853</v>
      </c>
      <c r="J142" s="12">
        <v>204</v>
      </c>
      <c r="K142" s="12" t="s">
        <v>1703</v>
      </c>
    </row>
    <row r="143" spans="1:11" ht="25.5" x14ac:dyDescent="0.25">
      <c r="A143" s="15" t="s">
        <v>1707</v>
      </c>
      <c r="B143" s="12" t="s">
        <v>1557</v>
      </c>
      <c r="C143" s="12" t="s">
        <v>1451</v>
      </c>
      <c r="D143" s="18" t="s">
        <v>1452</v>
      </c>
      <c r="E143" s="12">
        <v>1658</v>
      </c>
      <c r="F143" s="12">
        <v>0</v>
      </c>
      <c r="G143" s="18" t="s">
        <v>810</v>
      </c>
      <c r="H143" s="12">
        <v>1</v>
      </c>
      <c r="I143" s="19">
        <v>46295.985381944447</v>
      </c>
      <c r="J143" s="12">
        <v>303</v>
      </c>
      <c r="K143" s="12" t="s">
        <v>1708</v>
      </c>
    </row>
    <row r="144" spans="1:11" x14ac:dyDescent="0.25">
      <c r="A144" s="15" t="s">
        <v>1709</v>
      </c>
      <c r="B144" s="12" t="s">
        <v>1564</v>
      </c>
      <c r="C144" s="12" t="s">
        <v>1451</v>
      </c>
      <c r="D144" s="18" t="s">
        <v>1502</v>
      </c>
      <c r="E144" s="12">
        <v>31</v>
      </c>
      <c r="F144" s="12">
        <v>0</v>
      </c>
      <c r="G144" s="18" t="s">
        <v>810</v>
      </c>
      <c r="H144" s="12">
        <v>0</v>
      </c>
      <c r="I144" s="19">
        <v>46295.98542824074</v>
      </c>
      <c r="J144" s="12">
        <v>126</v>
      </c>
      <c r="K144" s="12" t="s">
        <v>1708</v>
      </c>
    </row>
    <row r="145" spans="1:11" ht="25.5" x14ac:dyDescent="0.25">
      <c r="A145" s="15" t="s">
        <v>1710</v>
      </c>
      <c r="B145" s="12" t="s">
        <v>1701</v>
      </c>
      <c r="C145" s="12" t="s">
        <v>1451</v>
      </c>
      <c r="D145" s="18" t="s">
        <v>1702</v>
      </c>
      <c r="E145" s="12">
        <v>441</v>
      </c>
      <c r="F145" s="12">
        <v>0</v>
      </c>
      <c r="G145" s="18" t="s">
        <v>816</v>
      </c>
      <c r="H145" s="12">
        <v>0</v>
      </c>
      <c r="I145" s="19">
        <v>46295.990659722222</v>
      </c>
      <c r="J145" s="12">
        <v>98</v>
      </c>
      <c r="K145" s="12" t="s">
        <v>1711</v>
      </c>
    </row>
    <row r="146" spans="1:11" ht="25.5" x14ac:dyDescent="0.25">
      <c r="A146" s="15" t="s">
        <v>1712</v>
      </c>
      <c r="B146" s="12" t="s">
        <v>1557</v>
      </c>
      <c r="C146" s="12" t="s">
        <v>1451</v>
      </c>
      <c r="D146" s="18" t="s">
        <v>1452</v>
      </c>
      <c r="E146" s="12">
        <v>1725</v>
      </c>
      <c r="F146" s="12">
        <v>0</v>
      </c>
      <c r="G146" s="18" t="s">
        <v>827</v>
      </c>
      <c r="H146" s="12">
        <v>1</v>
      </c>
      <c r="I146" s="19">
        <v>46296.425127314818</v>
      </c>
      <c r="J146" s="12">
        <v>348</v>
      </c>
      <c r="K146" s="12" t="s">
        <v>1713</v>
      </c>
    </row>
    <row r="147" spans="1:11" ht="25.5" x14ac:dyDescent="0.25">
      <c r="A147" s="15" t="s">
        <v>1714</v>
      </c>
      <c r="B147" s="12" t="s">
        <v>1557</v>
      </c>
      <c r="C147" s="12" t="s">
        <v>1451</v>
      </c>
      <c r="D147" s="18" t="s">
        <v>1452</v>
      </c>
      <c r="E147" s="12">
        <v>1730</v>
      </c>
      <c r="F147" s="12">
        <v>0</v>
      </c>
      <c r="G147" s="18" t="s">
        <v>790</v>
      </c>
      <c r="H147" s="12">
        <v>1</v>
      </c>
      <c r="I147" s="19">
        <v>46296.44771990741</v>
      </c>
      <c r="J147" s="12">
        <v>349</v>
      </c>
      <c r="K147" s="12" t="s">
        <v>1715</v>
      </c>
    </row>
    <row r="148" spans="1:11" ht="25.5" x14ac:dyDescent="0.25">
      <c r="A148" s="15" t="s">
        <v>1716</v>
      </c>
      <c r="B148" s="12" t="s">
        <v>1557</v>
      </c>
      <c r="C148" s="12" t="s">
        <v>1451</v>
      </c>
      <c r="D148" s="18" t="s">
        <v>1452</v>
      </c>
      <c r="E148" s="12">
        <v>1734</v>
      </c>
      <c r="F148" s="12">
        <v>0</v>
      </c>
      <c r="G148" s="18" t="s">
        <v>1717</v>
      </c>
      <c r="H148" s="12">
        <v>1</v>
      </c>
      <c r="I148" s="19">
        <v>46296.462048611109</v>
      </c>
      <c r="J148" s="12">
        <v>313</v>
      </c>
      <c r="K148" s="12" t="s">
        <v>1718</v>
      </c>
    </row>
    <row r="149" spans="1:11" x14ac:dyDescent="0.25">
      <c r="A149" s="15" t="s">
        <v>1719</v>
      </c>
      <c r="B149" s="12" t="s">
        <v>1561</v>
      </c>
      <c r="C149" s="12" t="s">
        <v>1451</v>
      </c>
      <c r="D149" s="18" t="s">
        <v>1499</v>
      </c>
      <c r="E149" s="12">
        <v>217</v>
      </c>
      <c r="F149" s="12">
        <v>0</v>
      </c>
      <c r="G149" s="18" t="s">
        <v>1717</v>
      </c>
      <c r="H149" s="12">
        <v>0</v>
      </c>
      <c r="I149" s="19">
        <v>46296.462094907409</v>
      </c>
      <c r="J149" s="12"/>
      <c r="K149" s="12" t="s">
        <v>1718</v>
      </c>
    </row>
    <row r="150" spans="1:11" x14ac:dyDescent="0.25">
      <c r="A150" s="15" t="s">
        <v>1720</v>
      </c>
      <c r="B150" s="12" t="s">
        <v>1564</v>
      </c>
      <c r="C150" s="12" t="s">
        <v>1451</v>
      </c>
      <c r="D150" s="18" t="s">
        <v>1502</v>
      </c>
      <c r="E150" s="12">
        <v>31</v>
      </c>
      <c r="F150" s="12">
        <v>0</v>
      </c>
      <c r="G150" s="18" t="s">
        <v>1717</v>
      </c>
      <c r="H150" s="12">
        <v>0</v>
      </c>
      <c r="I150" s="19">
        <v>46296.462141203701</v>
      </c>
      <c r="J150" s="12">
        <v>138</v>
      </c>
      <c r="K150" s="12" t="s">
        <v>1718</v>
      </c>
    </row>
    <row r="151" spans="1:11" x14ac:dyDescent="0.25">
      <c r="A151" s="15" t="s">
        <v>1721</v>
      </c>
      <c r="B151" s="12" t="s">
        <v>1567</v>
      </c>
      <c r="C151" s="12" t="s">
        <v>1451</v>
      </c>
      <c r="D151" s="18" t="s">
        <v>1568</v>
      </c>
      <c r="E151" s="12">
        <v>2</v>
      </c>
      <c r="F151" s="12">
        <v>0</v>
      </c>
      <c r="G151" s="18" t="s">
        <v>1722</v>
      </c>
      <c r="H151" s="12">
        <v>0</v>
      </c>
      <c r="I151" s="19">
        <v>46296.462187500001</v>
      </c>
      <c r="J151" s="12"/>
      <c r="K151" s="12" t="s">
        <v>1718</v>
      </c>
    </row>
    <row r="152" spans="1:11" ht="38.25" x14ac:dyDescent="0.25">
      <c r="A152" s="15" t="s">
        <v>1723</v>
      </c>
      <c r="B152" s="12" t="s">
        <v>1724</v>
      </c>
      <c r="C152" s="12" t="s">
        <v>1451</v>
      </c>
      <c r="D152" s="18" t="s">
        <v>1725</v>
      </c>
      <c r="E152" s="12">
        <v>60</v>
      </c>
      <c r="F152" s="12">
        <v>0</v>
      </c>
      <c r="G152" s="18" t="s">
        <v>1726</v>
      </c>
      <c r="H152" s="12">
        <v>0</v>
      </c>
      <c r="I152" s="19">
        <v>46296.462233796286</v>
      </c>
      <c r="J152" s="12"/>
      <c r="K152" s="12" t="s">
        <v>1718</v>
      </c>
    </row>
    <row r="153" spans="1:11" ht="25.5" x14ac:dyDescent="0.25">
      <c r="A153" s="15" t="s">
        <v>1727</v>
      </c>
      <c r="B153" s="12" t="s">
        <v>1557</v>
      </c>
      <c r="C153" s="12" t="s">
        <v>1451</v>
      </c>
      <c r="D153" s="18" t="s">
        <v>1452</v>
      </c>
      <c r="E153" s="12">
        <v>1758</v>
      </c>
      <c r="F153" s="12">
        <v>0</v>
      </c>
      <c r="G153" s="18" t="s">
        <v>880</v>
      </c>
      <c r="H153" s="12">
        <v>1</v>
      </c>
      <c r="I153" s="19">
        <v>46296.494768518518</v>
      </c>
      <c r="J153" s="12">
        <v>329</v>
      </c>
      <c r="K153" s="12" t="s">
        <v>886</v>
      </c>
    </row>
    <row r="154" spans="1:11" x14ac:dyDescent="0.25">
      <c r="A154" s="15" t="s">
        <v>1728</v>
      </c>
      <c r="B154" s="12" t="s">
        <v>1561</v>
      </c>
      <c r="C154" s="12" t="s">
        <v>1451</v>
      </c>
      <c r="D154" s="18" t="s">
        <v>1499</v>
      </c>
      <c r="E154" s="12">
        <v>228</v>
      </c>
      <c r="F154" s="12">
        <v>0</v>
      </c>
      <c r="G154" s="18" t="s">
        <v>880</v>
      </c>
      <c r="H154" s="12">
        <v>0</v>
      </c>
      <c r="I154" s="19">
        <v>46296.494814814818</v>
      </c>
      <c r="J154" s="12"/>
      <c r="K154" s="12" t="s">
        <v>886</v>
      </c>
    </row>
    <row r="155" spans="1:11" ht="25.5" x14ac:dyDescent="0.25">
      <c r="A155" s="15" t="s">
        <v>1729</v>
      </c>
      <c r="B155" s="12" t="s">
        <v>1564</v>
      </c>
      <c r="C155" s="12" t="s">
        <v>1451</v>
      </c>
      <c r="D155" s="18" t="s">
        <v>1502</v>
      </c>
      <c r="E155" s="12">
        <v>31</v>
      </c>
      <c r="F155" s="12">
        <v>0</v>
      </c>
      <c r="G155" s="18" t="s">
        <v>1730</v>
      </c>
      <c r="H155" s="12">
        <v>0</v>
      </c>
      <c r="I155" s="19">
        <v>46296.49486111111</v>
      </c>
      <c r="J155" s="12">
        <v>120</v>
      </c>
      <c r="K155" s="12" t="s">
        <v>886</v>
      </c>
    </row>
    <row r="156" spans="1:11" x14ac:dyDescent="0.25">
      <c r="A156" s="15" t="s">
        <v>1731</v>
      </c>
      <c r="B156" s="12" t="s">
        <v>1567</v>
      </c>
      <c r="C156" s="12" t="s">
        <v>1451</v>
      </c>
      <c r="D156" s="18" t="s">
        <v>1568</v>
      </c>
      <c r="E156" s="12">
        <v>2</v>
      </c>
      <c r="F156" s="12">
        <v>0</v>
      </c>
      <c r="G156" s="18" t="s">
        <v>880</v>
      </c>
      <c r="H156" s="12">
        <v>0</v>
      </c>
      <c r="I156" s="19">
        <v>46296.494895833333</v>
      </c>
      <c r="J156" s="12"/>
      <c r="K156" s="12" t="s">
        <v>886</v>
      </c>
    </row>
    <row r="157" spans="1:11" x14ac:dyDescent="0.25">
      <c r="A157" s="15" t="s">
        <v>1732</v>
      </c>
      <c r="B157" s="12" t="s">
        <v>1733</v>
      </c>
      <c r="C157" s="12" t="s">
        <v>1451</v>
      </c>
      <c r="D157" s="18" t="s">
        <v>1734</v>
      </c>
      <c r="E157" s="12">
        <v>16</v>
      </c>
      <c r="F157" s="12">
        <v>0</v>
      </c>
      <c r="G157" s="18" t="s">
        <v>880</v>
      </c>
      <c r="H157" s="12">
        <v>0</v>
      </c>
      <c r="I157" s="19">
        <v>46296.494942129633</v>
      </c>
      <c r="J157" s="12"/>
      <c r="K157" s="12" t="s">
        <v>886</v>
      </c>
    </row>
    <row r="158" spans="1:11" ht="25.5" x14ac:dyDescent="0.25">
      <c r="A158" s="15" t="s">
        <v>1735</v>
      </c>
      <c r="B158" s="12" t="s">
        <v>1557</v>
      </c>
      <c r="C158" s="12" t="s">
        <v>1451</v>
      </c>
      <c r="D158" s="18" t="s">
        <v>1452</v>
      </c>
      <c r="E158" s="12">
        <v>1762</v>
      </c>
      <c r="F158" s="12">
        <v>0</v>
      </c>
      <c r="G158" s="18" t="s">
        <v>1736</v>
      </c>
      <c r="H158" s="12">
        <v>1</v>
      </c>
      <c r="I158" s="19">
        <v>46296.631886574083</v>
      </c>
      <c r="J158" s="12">
        <v>315</v>
      </c>
      <c r="K158" s="12" t="s">
        <v>1737</v>
      </c>
    </row>
    <row r="159" spans="1:11" x14ac:dyDescent="0.25">
      <c r="A159" s="15" t="s">
        <v>1738</v>
      </c>
      <c r="B159" s="12" t="s">
        <v>1733</v>
      </c>
      <c r="C159" s="12" t="s">
        <v>1451</v>
      </c>
      <c r="D159" s="18" t="s">
        <v>1739</v>
      </c>
      <c r="E159" s="12">
        <v>6</v>
      </c>
      <c r="F159" s="12">
        <v>0</v>
      </c>
      <c r="G159" s="18" t="s">
        <v>974</v>
      </c>
      <c r="H159" s="12">
        <v>0</v>
      </c>
      <c r="I159" s="19">
        <v>46296.631932870368</v>
      </c>
      <c r="J159" s="12"/>
      <c r="K159" s="12" t="s">
        <v>1737</v>
      </c>
    </row>
    <row r="160" spans="1:11" ht="25.5" x14ac:dyDescent="0.25">
      <c r="A160" s="15" t="s">
        <v>1740</v>
      </c>
      <c r="B160" s="12" t="s">
        <v>1557</v>
      </c>
      <c r="C160" s="12" t="s">
        <v>1451</v>
      </c>
      <c r="D160" s="18" t="s">
        <v>1452</v>
      </c>
      <c r="E160" s="12">
        <v>1768</v>
      </c>
      <c r="F160" s="12">
        <v>0</v>
      </c>
      <c r="G160" s="18" t="s">
        <v>918</v>
      </c>
      <c r="H160" s="12">
        <v>1</v>
      </c>
      <c r="I160" s="19">
        <v>46296.640289351853</v>
      </c>
      <c r="J160" s="12">
        <v>321</v>
      </c>
      <c r="K160" s="12" t="s">
        <v>923</v>
      </c>
    </row>
    <row r="161" spans="1:11" x14ac:dyDescent="0.25">
      <c r="A161" s="15" t="s">
        <v>1741</v>
      </c>
      <c r="B161" s="12" t="s">
        <v>1733</v>
      </c>
      <c r="C161" s="12" t="s">
        <v>1451</v>
      </c>
      <c r="D161" s="18" t="s">
        <v>1742</v>
      </c>
      <c r="E161" s="12">
        <v>7</v>
      </c>
      <c r="F161" s="12">
        <v>0</v>
      </c>
      <c r="G161" s="18" t="s">
        <v>918</v>
      </c>
      <c r="H161" s="12">
        <v>0</v>
      </c>
      <c r="I161" s="19">
        <v>46296.640335648153</v>
      </c>
      <c r="J161" s="12"/>
      <c r="K161" s="12" t="s">
        <v>923</v>
      </c>
    </row>
    <row r="162" spans="1:11" ht="25.5" x14ac:dyDescent="0.25">
      <c r="A162" s="15" t="s">
        <v>1743</v>
      </c>
      <c r="B162" s="12" t="s">
        <v>1557</v>
      </c>
      <c r="C162" s="12" t="s">
        <v>1451</v>
      </c>
      <c r="D162" s="18" t="s">
        <v>1452</v>
      </c>
      <c r="E162" s="12">
        <v>1781</v>
      </c>
      <c r="F162" s="12">
        <v>0</v>
      </c>
      <c r="G162" s="18" t="s">
        <v>925</v>
      </c>
      <c r="H162" s="12">
        <v>1</v>
      </c>
      <c r="I162" s="19">
        <v>46296.657210648147</v>
      </c>
      <c r="J162" s="12">
        <v>328</v>
      </c>
      <c r="K162" s="12" t="s">
        <v>931</v>
      </c>
    </row>
    <row r="163" spans="1:11" x14ac:dyDescent="0.25">
      <c r="A163" s="15" t="s">
        <v>1744</v>
      </c>
      <c r="B163" s="12" t="s">
        <v>1561</v>
      </c>
      <c r="C163" s="12" t="s">
        <v>1451</v>
      </c>
      <c r="D163" s="18" t="s">
        <v>1499</v>
      </c>
      <c r="E163" s="12">
        <v>233</v>
      </c>
      <c r="F163" s="12">
        <v>0</v>
      </c>
      <c r="G163" s="18" t="s">
        <v>925</v>
      </c>
      <c r="H163" s="12">
        <v>0</v>
      </c>
      <c r="I163" s="19">
        <v>46296.657256944447</v>
      </c>
      <c r="J163" s="12"/>
      <c r="K163" s="12" t="s">
        <v>931</v>
      </c>
    </row>
    <row r="164" spans="1:11" x14ac:dyDescent="0.25">
      <c r="A164" s="15" t="s">
        <v>1745</v>
      </c>
      <c r="B164" s="12" t="s">
        <v>1564</v>
      </c>
      <c r="C164" s="12" t="s">
        <v>1451</v>
      </c>
      <c r="D164" s="18" t="s">
        <v>1502</v>
      </c>
      <c r="E164" s="12">
        <v>32</v>
      </c>
      <c r="F164" s="12">
        <v>0</v>
      </c>
      <c r="G164" s="18" t="s">
        <v>1746</v>
      </c>
      <c r="H164" s="12">
        <v>0</v>
      </c>
      <c r="I164" s="19">
        <v>46296.65730324074</v>
      </c>
      <c r="J164" s="12">
        <v>126</v>
      </c>
      <c r="K164" s="12" t="s">
        <v>931</v>
      </c>
    </row>
    <row r="165" spans="1:11" x14ac:dyDescent="0.25">
      <c r="A165" s="15" t="s">
        <v>1747</v>
      </c>
      <c r="B165" s="12" t="s">
        <v>1567</v>
      </c>
      <c r="C165" s="12" t="s">
        <v>1451</v>
      </c>
      <c r="D165" s="18" t="s">
        <v>1568</v>
      </c>
      <c r="E165" s="12">
        <v>2</v>
      </c>
      <c r="F165" s="12">
        <v>0</v>
      </c>
      <c r="G165" s="18" t="s">
        <v>925</v>
      </c>
      <c r="H165" s="12">
        <v>0</v>
      </c>
      <c r="I165" s="19">
        <v>46296.657349537039</v>
      </c>
      <c r="J165" s="12"/>
      <c r="K165" s="12" t="s">
        <v>931</v>
      </c>
    </row>
    <row r="166" spans="1:11" x14ac:dyDescent="0.25">
      <c r="A166" s="15" t="s">
        <v>1748</v>
      </c>
      <c r="B166" s="12" t="s">
        <v>1733</v>
      </c>
      <c r="C166" s="12" t="s">
        <v>1451</v>
      </c>
      <c r="D166" s="18" t="s">
        <v>1749</v>
      </c>
      <c r="E166" s="12">
        <v>13</v>
      </c>
      <c r="F166" s="12">
        <v>0</v>
      </c>
      <c r="G166" s="18" t="s">
        <v>925</v>
      </c>
      <c r="H166" s="12">
        <v>0</v>
      </c>
      <c r="I166" s="19">
        <v>46296.657384259262</v>
      </c>
      <c r="J166" s="12"/>
      <c r="K166" s="12" t="s">
        <v>931</v>
      </c>
    </row>
    <row r="167" spans="1:11" ht="51" x14ac:dyDescent="0.25">
      <c r="A167" s="15" t="s">
        <v>1750</v>
      </c>
      <c r="B167" s="12" t="s">
        <v>1480</v>
      </c>
      <c r="C167" s="12" t="s">
        <v>1451</v>
      </c>
      <c r="D167" s="18" t="s">
        <v>1751</v>
      </c>
      <c r="E167" s="12">
        <v>1</v>
      </c>
      <c r="F167" s="12">
        <v>0</v>
      </c>
      <c r="G167" s="18" t="s">
        <v>1752</v>
      </c>
      <c r="H167" s="12">
        <v>0</v>
      </c>
      <c r="I167" s="19">
        <v>46296.657430555562</v>
      </c>
      <c r="J167" s="12"/>
      <c r="K167" s="12" t="s">
        <v>931</v>
      </c>
    </row>
    <row r="168" spans="1:11" ht="25.5" x14ac:dyDescent="0.25">
      <c r="A168" s="15" t="s">
        <v>1753</v>
      </c>
      <c r="B168" s="12" t="s">
        <v>1557</v>
      </c>
      <c r="C168" s="12" t="s">
        <v>1451</v>
      </c>
      <c r="D168" s="18" t="s">
        <v>1452</v>
      </c>
      <c r="E168" s="12">
        <v>1790</v>
      </c>
      <c r="F168" s="12">
        <v>0</v>
      </c>
      <c r="G168" s="18" t="s">
        <v>932</v>
      </c>
      <c r="H168" s="12">
        <v>1</v>
      </c>
      <c r="I168" s="19">
        <v>46296.674039351848</v>
      </c>
      <c r="J168" s="12">
        <v>388</v>
      </c>
      <c r="K168" s="12" t="s">
        <v>937</v>
      </c>
    </row>
    <row r="169" spans="1:11" x14ac:dyDescent="0.25">
      <c r="A169" s="15" t="s">
        <v>1754</v>
      </c>
      <c r="B169" s="12" t="s">
        <v>1561</v>
      </c>
      <c r="C169" s="12" t="s">
        <v>1451</v>
      </c>
      <c r="D169" s="18" t="s">
        <v>1499</v>
      </c>
      <c r="E169" s="12">
        <v>237</v>
      </c>
      <c r="F169" s="12">
        <v>0</v>
      </c>
      <c r="G169" s="18" t="s">
        <v>932</v>
      </c>
      <c r="H169" s="12">
        <v>0</v>
      </c>
      <c r="I169" s="19">
        <v>46296.674085648148</v>
      </c>
      <c r="J169" s="12"/>
      <c r="K169" s="12" t="s">
        <v>937</v>
      </c>
    </row>
    <row r="170" spans="1:11" x14ac:dyDescent="0.25">
      <c r="A170" s="15" t="s">
        <v>1755</v>
      </c>
      <c r="B170" s="12" t="s">
        <v>1564</v>
      </c>
      <c r="C170" s="12" t="s">
        <v>1451</v>
      </c>
      <c r="D170" s="18" t="s">
        <v>1502</v>
      </c>
      <c r="E170" s="12">
        <v>33</v>
      </c>
      <c r="F170" s="12">
        <v>0</v>
      </c>
      <c r="G170" s="18" t="s">
        <v>1756</v>
      </c>
      <c r="H170" s="12">
        <v>0</v>
      </c>
      <c r="I170" s="19">
        <v>46296.674131944441</v>
      </c>
      <c r="J170" s="12">
        <v>162</v>
      </c>
      <c r="K170" s="12" t="s">
        <v>937</v>
      </c>
    </row>
    <row r="171" spans="1:11" x14ac:dyDescent="0.25">
      <c r="A171" s="15" t="s">
        <v>1757</v>
      </c>
      <c r="B171" s="12" t="s">
        <v>1567</v>
      </c>
      <c r="C171" s="12" t="s">
        <v>1451</v>
      </c>
      <c r="D171" s="18" t="s">
        <v>1568</v>
      </c>
      <c r="E171" s="12">
        <v>2</v>
      </c>
      <c r="F171" s="12">
        <v>0</v>
      </c>
      <c r="G171" s="18" t="s">
        <v>932</v>
      </c>
      <c r="H171" s="12">
        <v>0</v>
      </c>
      <c r="I171" s="19">
        <v>46296.674166666657</v>
      </c>
      <c r="J171" s="12"/>
      <c r="K171" s="12" t="s">
        <v>937</v>
      </c>
    </row>
    <row r="172" spans="1:11" x14ac:dyDescent="0.25">
      <c r="A172" s="15" t="s">
        <v>1758</v>
      </c>
      <c r="B172" s="12" t="s">
        <v>1733</v>
      </c>
      <c r="C172" s="12" t="s">
        <v>1451</v>
      </c>
      <c r="D172" s="18" t="s">
        <v>1759</v>
      </c>
      <c r="E172" s="12">
        <v>8</v>
      </c>
      <c r="F172" s="12">
        <v>0</v>
      </c>
      <c r="G172" s="18" t="s">
        <v>932</v>
      </c>
      <c r="H172" s="12">
        <v>0</v>
      </c>
      <c r="I172" s="19">
        <v>46296.674212962957</v>
      </c>
      <c r="J172" s="12"/>
      <c r="K172" s="12" t="s">
        <v>937</v>
      </c>
    </row>
    <row r="173" spans="1:11" ht="25.5" x14ac:dyDescent="0.25">
      <c r="A173" s="15" t="s">
        <v>1760</v>
      </c>
      <c r="B173" s="12" t="s">
        <v>1480</v>
      </c>
      <c r="C173" s="12" t="s">
        <v>1451</v>
      </c>
      <c r="D173" s="18" t="s">
        <v>1761</v>
      </c>
      <c r="E173" s="12">
        <v>1</v>
      </c>
      <c r="F173" s="12">
        <v>0</v>
      </c>
      <c r="G173" s="18" t="s">
        <v>1762</v>
      </c>
      <c r="H173" s="12">
        <v>0</v>
      </c>
      <c r="I173" s="19">
        <v>46296.674259259264</v>
      </c>
      <c r="J173" s="12"/>
      <c r="K173" s="12" t="s">
        <v>937</v>
      </c>
    </row>
    <row r="174" spans="1:11" ht="25.5" x14ac:dyDescent="0.25">
      <c r="A174" s="15" t="s">
        <v>1763</v>
      </c>
      <c r="B174" s="12" t="s">
        <v>1557</v>
      </c>
      <c r="C174" s="12" t="s">
        <v>1451</v>
      </c>
      <c r="D174" s="18" t="s">
        <v>1452</v>
      </c>
      <c r="E174" s="12">
        <v>1795</v>
      </c>
      <c r="F174" s="12">
        <v>0</v>
      </c>
      <c r="G174" s="18" t="s">
        <v>938</v>
      </c>
      <c r="H174" s="12">
        <v>1</v>
      </c>
      <c r="I174" s="19">
        <v>46296.683657407397</v>
      </c>
      <c r="J174" s="12">
        <v>376</v>
      </c>
      <c r="K174" s="12" t="s">
        <v>943</v>
      </c>
    </row>
    <row r="175" spans="1:11" x14ac:dyDescent="0.25">
      <c r="A175" s="15" t="s">
        <v>1764</v>
      </c>
      <c r="B175" s="12" t="s">
        <v>1561</v>
      </c>
      <c r="C175" s="12" t="s">
        <v>1451</v>
      </c>
      <c r="D175" s="18" t="s">
        <v>1499</v>
      </c>
      <c r="E175" s="12">
        <v>240</v>
      </c>
      <c r="F175" s="12">
        <v>0</v>
      </c>
      <c r="G175" s="18" t="s">
        <v>938</v>
      </c>
      <c r="H175" s="12">
        <v>0</v>
      </c>
      <c r="I175" s="19">
        <v>46296.683703703697</v>
      </c>
      <c r="J175" s="12"/>
      <c r="K175" s="12" t="s">
        <v>943</v>
      </c>
    </row>
    <row r="176" spans="1:11" x14ac:dyDescent="0.25">
      <c r="A176" s="15" t="s">
        <v>1765</v>
      </c>
      <c r="B176" s="12" t="s">
        <v>1564</v>
      </c>
      <c r="C176" s="12" t="s">
        <v>1451</v>
      </c>
      <c r="D176" s="18" t="s">
        <v>1502</v>
      </c>
      <c r="E176" s="12">
        <v>34</v>
      </c>
      <c r="F176" s="12">
        <v>0</v>
      </c>
      <c r="G176" s="18" t="s">
        <v>938</v>
      </c>
      <c r="H176" s="12">
        <v>0</v>
      </c>
      <c r="I176" s="19">
        <v>46296.683749999997</v>
      </c>
      <c r="J176" s="12">
        <v>144</v>
      </c>
      <c r="K176" s="12" t="s">
        <v>943</v>
      </c>
    </row>
    <row r="177" spans="1:11" x14ac:dyDescent="0.25">
      <c r="A177" s="15" t="s">
        <v>1766</v>
      </c>
      <c r="B177" s="12" t="s">
        <v>1567</v>
      </c>
      <c r="C177" s="12" t="s">
        <v>1451</v>
      </c>
      <c r="D177" s="18" t="s">
        <v>1568</v>
      </c>
      <c r="E177" s="12">
        <v>2</v>
      </c>
      <c r="F177" s="12">
        <v>0</v>
      </c>
      <c r="G177" s="18" t="s">
        <v>938</v>
      </c>
      <c r="H177" s="12">
        <v>0</v>
      </c>
      <c r="I177" s="19">
        <v>46296.68378472222</v>
      </c>
      <c r="J177" s="12"/>
      <c r="K177" s="12" t="s">
        <v>943</v>
      </c>
    </row>
    <row r="178" spans="1:11" x14ac:dyDescent="0.25">
      <c r="A178" s="15" t="s">
        <v>1767</v>
      </c>
      <c r="B178" s="12" t="s">
        <v>1733</v>
      </c>
      <c r="C178" s="12" t="s">
        <v>1451</v>
      </c>
      <c r="D178" s="18" t="s">
        <v>1768</v>
      </c>
      <c r="E178" s="12">
        <v>7</v>
      </c>
      <c r="F178" s="12">
        <v>0</v>
      </c>
      <c r="G178" s="18" t="s">
        <v>938</v>
      </c>
      <c r="H178" s="12">
        <v>0</v>
      </c>
      <c r="I178" s="19">
        <v>46296.683831018519</v>
      </c>
      <c r="J178" s="12"/>
      <c r="K178" s="12" t="s">
        <v>943</v>
      </c>
    </row>
    <row r="179" spans="1:11" ht="25.5" x14ac:dyDescent="0.25">
      <c r="A179" s="15" t="s">
        <v>1769</v>
      </c>
      <c r="B179" s="12" t="s">
        <v>1557</v>
      </c>
      <c r="C179" s="12" t="s">
        <v>1451</v>
      </c>
      <c r="D179" s="18" t="s">
        <v>1452</v>
      </c>
      <c r="E179" s="12">
        <v>2136</v>
      </c>
      <c r="F179" s="12">
        <v>0</v>
      </c>
      <c r="G179" s="18" t="s">
        <v>1770</v>
      </c>
      <c r="H179" s="12">
        <v>11</v>
      </c>
      <c r="I179" s="19">
        <v>46301.616018518522</v>
      </c>
      <c r="J179" s="12">
        <v>511</v>
      </c>
      <c r="K179" s="12" t="s">
        <v>949</v>
      </c>
    </row>
    <row r="180" spans="1:11" x14ac:dyDescent="0.25">
      <c r="A180" s="15" t="s">
        <v>1771</v>
      </c>
      <c r="B180" s="12" t="s">
        <v>1561</v>
      </c>
      <c r="C180" s="12" t="s">
        <v>1451</v>
      </c>
      <c r="D180" s="18" t="s">
        <v>1499</v>
      </c>
      <c r="E180" s="12">
        <v>253</v>
      </c>
      <c r="F180" s="12">
        <v>0</v>
      </c>
      <c r="G180" s="18" t="s">
        <v>1770</v>
      </c>
      <c r="H180" s="12">
        <v>0</v>
      </c>
      <c r="I180" s="19">
        <v>46301.616064814807</v>
      </c>
      <c r="J180" s="12"/>
      <c r="K180" s="12" t="s">
        <v>949</v>
      </c>
    </row>
    <row r="181" spans="1:11" x14ac:dyDescent="0.25">
      <c r="A181" s="15" t="s">
        <v>1772</v>
      </c>
      <c r="B181" s="12" t="s">
        <v>1564</v>
      </c>
      <c r="C181" s="12" t="s">
        <v>1451</v>
      </c>
      <c r="D181" s="18" t="s">
        <v>1502</v>
      </c>
      <c r="E181" s="12">
        <v>38</v>
      </c>
      <c r="F181" s="12">
        <v>0</v>
      </c>
      <c r="G181" s="18" t="s">
        <v>1770</v>
      </c>
      <c r="H181" s="12">
        <v>0</v>
      </c>
      <c r="I181" s="19">
        <v>46301.616111111107</v>
      </c>
      <c r="J181" s="12">
        <v>168</v>
      </c>
      <c r="K181" s="12" t="s">
        <v>949</v>
      </c>
    </row>
    <row r="182" spans="1:11" ht="25.5" x14ac:dyDescent="0.25">
      <c r="A182" s="15" t="s">
        <v>1773</v>
      </c>
      <c r="B182" s="12" t="s">
        <v>1724</v>
      </c>
      <c r="C182" s="12" t="s">
        <v>1451</v>
      </c>
      <c r="D182" s="18" t="s">
        <v>1774</v>
      </c>
      <c r="E182" s="12">
        <v>60</v>
      </c>
      <c r="F182" s="12">
        <v>0</v>
      </c>
      <c r="G182" s="18" t="s">
        <v>1775</v>
      </c>
      <c r="H182" s="12">
        <v>0</v>
      </c>
      <c r="I182" s="19">
        <v>46301.616157407407</v>
      </c>
      <c r="J182" s="12"/>
      <c r="K182" s="12" t="s">
        <v>949</v>
      </c>
    </row>
    <row r="183" spans="1:11" ht="38.25" x14ac:dyDescent="0.25">
      <c r="A183" s="15" t="s">
        <v>1776</v>
      </c>
      <c r="B183" s="12" t="s">
        <v>1480</v>
      </c>
      <c r="C183" s="12" t="s">
        <v>1451</v>
      </c>
      <c r="D183" s="18" t="s">
        <v>1777</v>
      </c>
      <c r="E183" s="12">
        <v>4</v>
      </c>
      <c r="F183" s="12">
        <v>0</v>
      </c>
      <c r="G183" s="18" t="s">
        <v>1778</v>
      </c>
      <c r="H183" s="12">
        <v>0</v>
      </c>
      <c r="I183" s="19">
        <v>46301.616203703707</v>
      </c>
      <c r="J183" s="12"/>
      <c r="K183" s="12" t="s">
        <v>949</v>
      </c>
    </row>
    <row r="184" spans="1:11" x14ac:dyDescent="0.25">
      <c r="A184" s="15" t="s">
        <v>1779</v>
      </c>
      <c r="B184" s="12" t="s">
        <v>1564</v>
      </c>
      <c r="C184" s="12" t="s">
        <v>1451</v>
      </c>
      <c r="D184" s="18" t="s">
        <v>1502</v>
      </c>
      <c r="E184" s="12">
        <v>42</v>
      </c>
      <c r="F184" s="12">
        <v>0</v>
      </c>
      <c r="G184" s="18" t="s">
        <v>1280</v>
      </c>
      <c r="H184" s="12">
        <v>0</v>
      </c>
      <c r="I184" s="19">
        <v>46301.640335648153</v>
      </c>
      <c r="J184" s="12">
        <v>162</v>
      </c>
      <c r="K184" s="12" t="s">
        <v>1285</v>
      </c>
    </row>
    <row r="185" spans="1:11" ht="25.5" x14ac:dyDescent="0.25">
      <c r="A185" s="15" t="s">
        <v>1780</v>
      </c>
      <c r="B185" s="12" t="s">
        <v>1557</v>
      </c>
      <c r="C185" s="12" t="s">
        <v>1451</v>
      </c>
      <c r="D185" s="18" t="s">
        <v>1452</v>
      </c>
      <c r="E185" s="12">
        <v>2139</v>
      </c>
      <c r="F185" s="12">
        <v>0</v>
      </c>
      <c r="G185" s="18" t="s">
        <v>1233</v>
      </c>
      <c r="H185" s="12">
        <v>11</v>
      </c>
      <c r="I185" s="19">
        <v>46301.640381944453</v>
      </c>
      <c r="J185" s="12">
        <v>494</v>
      </c>
      <c r="K185" s="12" t="s">
        <v>1285</v>
      </c>
    </row>
    <row r="186" spans="1:11" x14ac:dyDescent="0.25">
      <c r="A186" s="15" t="s">
        <v>1781</v>
      </c>
      <c r="B186" s="12" t="s">
        <v>1733</v>
      </c>
      <c r="C186" s="12" t="s">
        <v>1451</v>
      </c>
      <c r="D186" s="18" t="s">
        <v>1782</v>
      </c>
      <c r="E186" s="12">
        <v>4</v>
      </c>
      <c r="F186" s="12">
        <v>0</v>
      </c>
      <c r="G186" s="18" t="s">
        <v>1233</v>
      </c>
      <c r="H186" s="12">
        <v>0</v>
      </c>
      <c r="I186" s="19">
        <v>46301.640439814822</v>
      </c>
      <c r="J186" s="12"/>
      <c r="K186" s="12" t="s">
        <v>1285</v>
      </c>
    </row>
    <row r="187" spans="1:11" ht="38.25" x14ac:dyDescent="0.25">
      <c r="A187" s="15" t="s">
        <v>1783</v>
      </c>
      <c r="B187" s="12" t="s">
        <v>1196</v>
      </c>
      <c r="C187" s="12" t="s">
        <v>1451</v>
      </c>
      <c r="D187" s="18" t="s">
        <v>1784</v>
      </c>
      <c r="E187" s="12">
        <v>2168</v>
      </c>
      <c r="F187" s="12">
        <v>1</v>
      </c>
      <c r="G187" s="18" t="s">
        <v>1785</v>
      </c>
      <c r="H187" s="12">
        <v>11</v>
      </c>
      <c r="I187" s="19">
        <v>46301.819178240738</v>
      </c>
      <c r="J187" s="12"/>
      <c r="K187" s="12" t="s">
        <v>1013</v>
      </c>
    </row>
    <row r="188" spans="1:11" x14ac:dyDescent="0.25">
      <c r="A188" s="15" t="s">
        <v>1786</v>
      </c>
      <c r="B188" s="12" t="s">
        <v>1564</v>
      </c>
      <c r="C188" s="12" t="s">
        <v>1451</v>
      </c>
      <c r="D188" s="18" t="s">
        <v>1530</v>
      </c>
      <c r="E188" s="12">
        <v>42</v>
      </c>
      <c r="F188" s="12">
        <v>0</v>
      </c>
      <c r="G188" s="18"/>
      <c r="H188" s="12">
        <v>0</v>
      </c>
      <c r="I188" s="19">
        <v>46301.819224537037</v>
      </c>
      <c r="J188" s="12"/>
      <c r="K188" s="12" t="s">
        <v>1013</v>
      </c>
    </row>
    <row r="189" spans="1:11" x14ac:dyDescent="0.25">
      <c r="A189" s="15" t="s">
        <v>1787</v>
      </c>
      <c r="B189" s="12" t="s">
        <v>1626</v>
      </c>
      <c r="C189" s="12" t="s">
        <v>1451</v>
      </c>
      <c r="D189" s="18" t="s">
        <v>1522</v>
      </c>
      <c r="E189" s="12">
        <v>253</v>
      </c>
      <c r="F189" s="12">
        <v>0</v>
      </c>
      <c r="G189" s="18"/>
      <c r="H189" s="12">
        <v>0</v>
      </c>
      <c r="I189" s="19">
        <v>46301.81927083333</v>
      </c>
      <c r="J189" s="12"/>
      <c r="K189" s="12" t="s">
        <v>1013</v>
      </c>
    </row>
    <row r="190" spans="1:11" x14ac:dyDescent="0.25">
      <c r="A190" s="15" t="s">
        <v>1788</v>
      </c>
      <c r="B190" s="12" t="s">
        <v>1789</v>
      </c>
      <c r="C190" s="12" t="s">
        <v>1451</v>
      </c>
      <c r="D190" s="18" t="s">
        <v>1790</v>
      </c>
      <c r="E190" s="12">
        <v>10</v>
      </c>
      <c r="F190" s="12">
        <v>0</v>
      </c>
      <c r="G190" s="18"/>
      <c r="H190" s="12">
        <v>0</v>
      </c>
      <c r="I190" s="19">
        <v>46301.81931712963</v>
      </c>
      <c r="J190" s="12"/>
      <c r="K190" s="12" t="s">
        <v>1013</v>
      </c>
    </row>
    <row r="191" spans="1:11" x14ac:dyDescent="0.25">
      <c r="A191" s="15" t="s">
        <v>1791</v>
      </c>
      <c r="B191" s="12" t="s">
        <v>1196</v>
      </c>
      <c r="C191" s="12" t="s">
        <v>1451</v>
      </c>
      <c r="D191" s="18" t="s">
        <v>1784</v>
      </c>
      <c r="E191" s="12">
        <v>2176</v>
      </c>
      <c r="F191" s="12">
        <v>0</v>
      </c>
      <c r="G191" s="18"/>
      <c r="H191" s="12">
        <v>11</v>
      </c>
      <c r="I191" s="19">
        <v>46301.832372685189</v>
      </c>
      <c r="J191" s="12"/>
      <c r="K191" s="12" t="s">
        <v>1041</v>
      </c>
    </row>
    <row r="192" spans="1:11" x14ac:dyDescent="0.25">
      <c r="A192" s="15" t="s">
        <v>1792</v>
      </c>
      <c r="B192" s="12" t="s">
        <v>1793</v>
      </c>
      <c r="C192" s="12" t="s">
        <v>1451</v>
      </c>
      <c r="D192" s="18" t="s">
        <v>1794</v>
      </c>
      <c r="E192" s="12">
        <v>6</v>
      </c>
      <c r="F192" s="12">
        <v>0</v>
      </c>
      <c r="G192" s="18"/>
      <c r="H192" s="12">
        <v>0</v>
      </c>
      <c r="I192" s="19">
        <v>46301.832418981481</v>
      </c>
      <c r="J192" s="12"/>
      <c r="K192" s="12" t="s">
        <v>1041</v>
      </c>
    </row>
    <row r="193" spans="1:11" ht="38.25" x14ac:dyDescent="0.25">
      <c r="A193" s="15" t="s">
        <v>1795</v>
      </c>
      <c r="B193" s="12" t="s">
        <v>1196</v>
      </c>
      <c r="C193" s="12" t="s">
        <v>1451</v>
      </c>
      <c r="D193" s="18" t="s">
        <v>1784</v>
      </c>
      <c r="E193" s="12">
        <v>2182</v>
      </c>
      <c r="F193" s="12">
        <v>1</v>
      </c>
      <c r="G193" s="18" t="s">
        <v>1796</v>
      </c>
      <c r="H193" s="12">
        <v>11</v>
      </c>
      <c r="I193" s="19">
        <v>46301.847731481481</v>
      </c>
      <c r="J193" s="12"/>
      <c r="K193" s="12" t="s">
        <v>1027</v>
      </c>
    </row>
    <row r="194" spans="1:11" x14ac:dyDescent="0.25">
      <c r="A194" s="15" t="s">
        <v>1797</v>
      </c>
      <c r="B194" s="12" t="s">
        <v>1798</v>
      </c>
      <c r="C194" s="12" t="s">
        <v>1451</v>
      </c>
      <c r="D194" s="18" t="s">
        <v>1799</v>
      </c>
      <c r="E194" s="12">
        <v>9</v>
      </c>
      <c r="F194" s="12">
        <v>0</v>
      </c>
      <c r="G194" s="18"/>
      <c r="H194" s="12">
        <v>0</v>
      </c>
      <c r="I194" s="19">
        <v>46301.847777777781</v>
      </c>
      <c r="J194" s="12"/>
      <c r="K194" s="12" t="s">
        <v>1027</v>
      </c>
    </row>
    <row r="195" spans="1:11" x14ac:dyDescent="0.25">
      <c r="A195" s="15" t="s">
        <v>1800</v>
      </c>
      <c r="B195" s="12" t="s">
        <v>1196</v>
      </c>
      <c r="C195" s="12" t="s">
        <v>1451</v>
      </c>
      <c r="D195" s="18" t="s">
        <v>1784</v>
      </c>
      <c r="E195" s="12">
        <v>2189</v>
      </c>
      <c r="F195" s="12">
        <v>0</v>
      </c>
      <c r="G195" s="18"/>
      <c r="H195" s="12">
        <v>11</v>
      </c>
      <c r="I195" s="19">
        <v>46301.857766203713</v>
      </c>
      <c r="J195" s="12"/>
      <c r="K195" s="12" t="s">
        <v>1034</v>
      </c>
    </row>
    <row r="196" spans="1:11" x14ac:dyDescent="0.25">
      <c r="A196" s="15" t="s">
        <v>1801</v>
      </c>
      <c r="B196" s="12" t="s">
        <v>1802</v>
      </c>
      <c r="C196" s="12" t="s">
        <v>1451</v>
      </c>
      <c r="D196" s="18" t="s">
        <v>1803</v>
      </c>
      <c r="E196" s="12">
        <v>10</v>
      </c>
      <c r="F196" s="12">
        <v>0</v>
      </c>
      <c r="G196" s="18"/>
      <c r="H196" s="12">
        <v>0</v>
      </c>
      <c r="I196" s="19">
        <v>46301.857812499999</v>
      </c>
      <c r="J196" s="12"/>
      <c r="K196" s="12" t="s">
        <v>1034</v>
      </c>
    </row>
    <row r="197" spans="1:11" x14ac:dyDescent="0.25">
      <c r="A197" s="15" t="s">
        <v>1804</v>
      </c>
      <c r="B197" s="12" t="s">
        <v>1196</v>
      </c>
      <c r="C197" s="12" t="s">
        <v>1451</v>
      </c>
      <c r="D197" s="18" t="s">
        <v>1784</v>
      </c>
      <c r="E197" s="12">
        <v>2197</v>
      </c>
      <c r="F197" s="12">
        <v>0</v>
      </c>
      <c r="G197" s="18"/>
      <c r="H197" s="12">
        <v>11</v>
      </c>
      <c r="I197" s="19">
        <v>46301.868495370371</v>
      </c>
      <c r="J197" s="12"/>
      <c r="K197" s="12" t="s">
        <v>1049</v>
      </c>
    </row>
    <row r="198" spans="1:11" x14ac:dyDescent="0.25">
      <c r="A198" s="15" t="s">
        <v>1805</v>
      </c>
      <c r="B198" s="12" t="s">
        <v>1806</v>
      </c>
      <c r="C198" s="12" t="s">
        <v>1451</v>
      </c>
      <c r="D198" s="18" t="s">
        <v>1807</v>
      </c>
      <c r="E198" s="12">
        <v>7</v>
      </c>
      <c r="F198" s="12">
        <v>0</v>
      </c>
      <c r="G198" s="18"/>
      <c r="H198" s="12">
        <v>0</v>
      </c>
      <c r="I198" s="19">
        <v>46301.868541666663</v>
      </c>
      <c r="J198" s="12"/>
      <c r="K198" s="12" t="s">
        <v>1049</v>
      </c>
    </row>
    <row r="199" spans="1:11" x14ac:dyDescent="0.25">
      <c r="A199" s="15" t="s">
        <v>1808</v>
      </c>
      <c r="B199" s="12" t="s">
        <v>1196</v>
      </c>
      <c r="C199" s="12" t="s">
        <v>1451</v>
      </c>
      <c r="D199" s="18" t="s">
        <v>1784</v>
      </c>
      <c r="E199" s="12">
        <v>2201</v>
      </c>
      <c r="F199" s="12">
        <v>0</v>
      </c>
      <c r="G199" s="18"/>
      <c r="H199" s="12">
        <v>11</v>
      </c>
      <c r="I199" s="19">
        <v>46301.883900462963</v>
      </c>
      <c r="J199" s="12"/>
      <c r="K199" s="12" t="s">
        <v>1057</v>
      </c>
    </row>
    <row r="200" spans="1:11" x14ac:dyDescent="0.25">
      <c r="A200" s="15" t="s">
        <v>1809</v>
      </c>
      <c r="B200" s="12" t="s">
        <v>1626</v>
      </c>
      <c r="C200" s="12" t="s">
        <v>1451</v>
      </c>
      <c r="D200" s="18" t="s">
        <v>1522</v>
      </c>
      <c r="E200" s="12">
        <v>256</v>
      </c>
      <c r="F200" s="12">
        <v>0</v>
      </c>
      <c r="G200" s="18"/>
      <c r="H200" s="12">
        <v>0</v>
      </c>
      <c r="I200" s="19">
        <v>46301.883946759262</v>
      </c>
      <c r="J200" s="12"/>
      <c r="K200" s="12" t="s">
        <v>1057</v>
      </c>
    </row>
    <row r="201" spans="1:11" x14ac:dyDescent="0.25">
      <c r="A201" s="15" t="s">
        <v>1810</v>
      </c>
      <c r="B201" s="12" t="s">
        <v>1564</v>
      </c>
      <c r="C201" s="12" t="s">
        <v>1451</v>
      </c>
      <c r="D201" s="18" t="s">
        <v>1530</v>
      </c>
      <c r="E201" s="12">
        <v>43</v>
      </c>
      <c r="F201" s="12">
        <v>0</v>
      </c>
      <c r="G201" s="18"/>
      <c r="H201" s="12">
        <v>0</v>
      </c>
      <c r="I201" s="19">
        <v>46301.883993055562</v>
      </c>
      <c r="J201" s="12"/>
      <c r="K201" s="12" t="s">
        <v>1057</v>
      </c>
    </row>
    <row r="202" spans="1:11" x14ac:dyDescent="0.25">
      <c r="A202" s="15" t="s">
        <v>1811</v>
      </c>
      <c r="B202" s="12" t="s">
        <v>1812</v>
      </c>
      <c r="C202" s="12" t="s">
        <v>1451</v>
      </c>
      <c r="D202" s="18" t="s">
        <v>1813</v>
      </c>
      <c r="E202" s="12">
        <v>7</v>
      </c>
      <c r="F202" s="12">
        <v>0</v>
      </c>
      <c r="G202" s="18"/>
      <c r="H202" s="12">
        <v>0</v>
      </c>
      <c r="I202" s="19">
        <v>46301.884039351848</v>
      </c>
      <c r="J202" s="12"/>
      <c r="K202" s="12" t="s">
        <v>1057</v>
      </c>
    </row>
    <row r="203" spans="1:11" ht="38.25" x14ac:dyDescent="0.25">
      <c r="A203" s="15" t="s">
        <v>1814</v>
      </c>
      <c r="B203" s="12" t="s">
        <v>1196</v>
      </c>
      <c r="C203" s="12" t="s">
        <v>1451</v>
      </c>
      <c r="D203" s="18" t="s">
        <v>1784</v>
      </c>
      <c r="E203" s="12">
        <v>2250</v>
      </c>
      <c r="F203" s="12">
        <v>0</v>
      </c>
      <c r="G203" s="18" t="s">
        <v>1815</v>
      </c>
      <c r="H203" s="12">
        <v>11</v>
      </c>
      <c r="I203" s="19">
        <v>46301.923645833333</v>
      </c>
      <c r="J203" s="12"/>
      <c r="K203" s="12" t="s">
        <v>1103</v>
      </c>
    </row>
    <row r="204" spans="1:11" x14ac:dyDescent="0.25">
      <c r="A204" s="15" t="s">
        <v>1816</v>
      </c>
      <c r="B204" s="12" t="s">
        <v>1626</v>
      </c>
      <c r="C204" s="12" t="s">
        <v>1451</v>
      </c>
      <c r="D204" s="18" t="s">
        <v>1522</v>
      </c>
      <c r="E204" s="12">
        <v>267</v>
      </c>
      <c r="F204" s="12">
        <v>0</v>
      </c>
      <c r="G204" s="18"/>
      <c r="H204" s="12">
        <v>0</v>
      </c>
      <c r="I204" s="19">
        <v>46301.923692129632</v>
      </c>
      <c r="J204" s="12"/>
      <c r="K204" s="12" t="s">
        <v>1103</v>
      </c>
    </row>
    <row r="205" spans="1:11" x14ac:dyDescent="0.25">
      <c r="A205" s="15" t="s">
        <v>1817</v>
      </c>
      <c r="B205" s="12" t="s">
        <v>1564</v>
      </c>
      <c r="C205" s="12" t="s">
        <v>1451</v>
      </c>
      <c r="D205" s="18" t="s">
        <v>1530</v>
      </c>
      <c r="E205" s="12">
        <v>45</v>
      </c>
      <c r="F205" s="12">
        <v>0</v>
      </c>
      <c r="G205" s="18"/>
      <c r="H205" s="12">
        <v>0</v>
      </c>
      <c r="I205" s="19">
        <v>46301.923738425918</v>
      </c>
      <c r="J205" s="12"/>
      <c r="K205" s="12" t="s">
        <v>1103</v>
      </c>
    </row>
    <row r="206" spans="1:11" x14ac:dyDescent="0.25">
      <c r="A206" s="15" t="s">
        <v>1818</v>
      </c>
      <c r="B206" s="12" t="s">
        <v>1819</v>
      </c>
      <c r="C206" s="12" t="s">
        <v>1451</v>
      </c>
      <c r="D206" s="18" t="s">
        <v>1820</v>
      </c>
      <c r="E206" s="12">
        <v>20</v>
      </c>
      <c r="F206" s="12">
        <v>0</v>
      </c>
      <c r="G206" s="18"/>
      <c r="H206" s="12">
        <v>0</v>
      </c>
      <c r="I206" s="19">
        <v>46301.923796296287</v>
      </c>
      <c r="J206" s="12"/>
      <c r="K206" s="12" t="s">
        <v>1103</v>
      </c>
    </row>
    <row r="207" spans="1:11" x14ac:dyDescent="0.25">
      <c r="A207" s="15" t="s">
        <v>1821</v>
      </c>
      <c r="B207" s="12" t="s">
        <v>1196</v>
      </c>
      <c r="C207" s="12" t="s">
        <v>1451</v>
      </c>
      <c r="D207" s="18" t="s">
        <v>1784</v>
      </c>
      <c r="E207" s="12">
        <v>2370</v>
      </c>
      <c r="F207" s="12">
        <v>0</v>
      </c>
      <c r="G207" s="18"/>
      <c r="H207" s="12">
        <v>11</v>
      </c>
      <c r="I207" s="19">
        <v>46302.364363425928</v>
      </c>
      <c r="J207" s="12"/>
      <c r="K207" s="12" t="s">
        <v>582</v>
      </c>
    </row>
    <row r="208" spans="1:11" x14ac:dyDescent="0.25">
      <c r="A208" s="15" t="s">
        <v>1822</v>
      </c>
      <c r="B208" s="12" t="s">
        <v>1626</v>
      </c>
      <c r="C208" s="12" t="s">
        <v>1451</v>
      </c>
      <c r="D208" s="18" t="s">
        <v>1522</v>
      </c>
      <c r="E208" s="12">
        <v>281</v>
      </c>
      <c r="F208" s="12">
        <v>0</v>
      </c>
      <c r="G208" s="18"/>
      <c r="H208" s="12">
        <v>0</v>
      </c>
      <c r="I208" s="19">
        <v>46302.36440972222</v>
      </c>
      <c r="J208" s="12"/>
      <c r="K208" s="12" t="s">
        <v>582</v>
      </c>
    </row>
    <row r="209" spans="1:11" x14ac:dyDescent="0.25">
      <c r="A209" s="15" t="s">
        <v>1823</v>
      </c>
      <c r="B209" s="12" t="s">
        <v>1564</v>
      </c>
      <c r="C209" s="12" t="s">
        <v>1451</v>
      </c>
      <c r="D209" s="18" t="s">
        <v>1530</v>
      </c>
      <c r="E209" s="12">
        <v>51</v>
      </c>
      <c r="F209" s="12">
        <v>0</v>
      </c>
      <c r="G209" s="18"/>
      <c r="H209" s="12">
        <v>0</v>
      </c>
      <c r="I209" s="19">
        <v>46302.36445601852</v>
      </c>
      <c r="J209" s="12"/>
      <c r="K209" s="12" t="s">
        <v>582</v>
      </c>
    </row>
    <row r="210" spans="1:11" x14ac:dyDescent="0.25">
      <c r="A210" s="15" t="s">
        <v>1824</v>
      </c>
      <c r="B210" s="12" t="s">
        <v>1196</v>
      </c>
      <c r="C210" s="12" t="s">
        <v>1451</v>
      </c>
      <c r="D210" s="18" t="s">
        <v>1784</v>
      </c>
      <c r="E210" s="12">
        <v>2279</v>
      </c>
      <c r="F210" s="12">
        <v>0</v>
      </c>
      <c r="G210" s="18"/>
      <c r="H210" s="12">
        <v>11</v>
      </c>
      <c r="I210" s="19">
        <v>46302.365115740737</v>
      </c>
      <c r="J210" s="12"/>
      <c r="K210" s="12" t="s">
        <v>1130</v>
      </c>
    </row>
    <row r="211" spans="1:11" x14ac:dyDescent="0.25">
      <c r="A211" s="15" t="s">
        <v>1825</v>
      </c>
      <c r="B211" s="12" t="s">
        <v>1626</v>
      </c>
      <c r="C211" s="12" t="s">
        <v>1451</v>
      </c>
      <c r="D211" s="18" t="s">
        <v>1522</v>
      </c>
      <c r="E211" s="12">
        <v>267</v>
      </c>
      <c r="F211" s="12">
        <v>0</v>
      </c>
      <c r="G211" s="18"/>
      <c r="H211" s="12">
        <v>0</v>
      </c>
      <c r="I211" s="19">
        <v>46302.365173611113</v>
      </c>
      <c r="J211" s="12"/>
      <c r="K211" s="12" t="s">
        <v>1130</v>
      </c>
    </row>
    <row r="212" spans="1:11" x14ac:dyDescent="0.25">
      <c r="A212" s="15" t="s">
        <v>1826</v>
      </c>
      <c r="B212" s="12" t="s">
        <v>1564</v>
      </c>
      <c r="C212" s="12" t="s">
        <v>1451</v>
      </c>
      <c r="D212" s="18" t="s">
        <v>1530</v>
      </c>
      <c r="E212" s="12">
        <v>45</v>
      </c>
      <c r="F212" s="12">
        <v>0</v>
      </c>
      <c r="G212" s="18"/>
      <c r="H212" s="12">
        <v>0</v>
      </c>
      <c r="I212" s="19">
        <v>46302.365219907413</v>
      </c>
      <c r="J212" s="12"/>
      <c r="K212" s="12" t="s">
        <v>1130</v>
      </c>
    </row>
    <row r="213" spans="1:11" x14ac:dyDescent="0.25">
      <c r="A213" s="15" t="s">
        <v>1827</v>
      </c>
      <c r="B213" s="12" t="s">
        <v>1828</v>
      </c>
      <c r="C213" s="12" t="s">
        <v>1451</v>
      </c>
      <c r="D213" s="18" t="s">
        <v>1829</v>
      </c>
      <c r="E213" s="12">
        <v>11</v>
      </c>
      <c r="F213" s="12">
        <v>0</v>
      </c>
      <c r="G213" s="18"/>
      <c r="H213" s="12">
        <v>0</v>
      </c>
      <c r="I213" s="19">
        <v>46302.365266203713</v>
      </c>
      <c r="J213" s="12"/>
      <c r="K213" s="12" t="s">
        <v>1130</v>
      </c>
    </row>
    <row r="214" spans="1:11" x14ac:dyDescent="0.25">
      <c r="A214" s="15" t="s">
        <v>1830</v>
      </c>
      <c r="B214" s="12" t="s">
        <v>1196</v>
      </c>
      <c r="C214" s="12" t="s">
        <v>1451</v>
      </c>
      <c r="D214" s="18" t="s">
        <v>1784</v>
      </c>
      <c r="E214" s="12">
        <v>2289</v>
      </c>
      <c r="F214" s="12">
        <v>0</v>
      </c>
      <c r="G214" s="18"/>
      <c r="H214" s="12">
        <v>11</v>
      </c>
      <c r="I214" s="19">
        <v>46302.365555555552</v>
      </c>
      <c r="J214" s="12"/>
      <c r="K214" s="12" t="s">
        <v>1157</v>
      </c>
    </row>
    <row r="215" spans="1:11" x14ac:dyDescent="0.25">
      <c r="A215" s="15" t="s">
        <v>1831</v>
      </c>
      <c r="B215" s="12" t="s">
        <v>1626</v>
      </c>
      <c r="C215" s="12" t="s">
        <v>1451</v>
      </c>
      <c r="D215" s="18" t="s">
        <v>1522</v>
      </c>
      <c r="E215" s="12">
        <v>269</v>
      </c>
      <c r="F215" s="12">
        <v>0</v>
      </c>
      <c r="G215" s="18"/>
      <c r="H215" s="12">
        <v>0</v>
      </c>
      <c r="I215" s="19">
        <v>46302.365601851852</v>
      </c>
      <c r="J215" s="12"/>
      <c r="K215" s="12" t="s">
        <v>1157</v>
      </c>
    </row>
    <row r="216" spans="1:11" x14ac:dyDescent="0.25">
      <c r="A216" s="15" t="s">
        <v>1832</v>
      </c>
      <c r="B216" s="12" t="s">
        <v>1564</v>
      </c>
      <c r="C216" s="12" t="s">
        <v>1451</v>
      </c>
      <c r="D216" s="18" t="s">
        <v>1530</v>
      </c>
      <c r="E216" s="12">
        <v>45</v>
      </c>
      <c r="F216" s="12">
        <v>0</v>
      </c>
      <c r="G216" s="18"/>
      <c r="H216" s="12">
        <v>0</v>
      </c>
      <c r="I216" s="19">
        <v>46302.365648148138</v>
      </c>
      <c r="J216" s="12"/>
      <c r="K216" s="12" t="s">
        <v>1157</v>
      </c>
    </row>
    <row r="217" spans="1:11" x14ac:dyDescent="0.25">
      <c r="A217" s="15" t="s">
        <v>1833</v>
      </c>
      <c r="B217" s="12" t="s">
        <v>1834</v>
      </c>
      <c r="C217" s="12" t="s">
        <v>1451</v>
      </c>
      <c r="D217" s="18" t="s">
        <v>1835</v>
      </c>
      <c r="E217" s="12">
        <v>9</v>
      </c>
      <c r="F217" s="12">
        <v>0</v>
      </c>
      <c r="G217" s="18"/>
      <c r="H217" s="12">
        <v>0</v>
      </c>
      <c r="I217" s="19">
        <v>46302.365694444437</v>
      </c>
      <c r="J217" s="12"/>
      <c r="K217" s="12" t="s">
        <v>1157</v>
      </c>
    </row>
    <row r="218" spans="1:11" x14ac:dyDescent="0.25">
      <c r="A218" s="15" t="s">
        <v>1836</v>
      </c>
      <c r="B218" s="12" t="s">
        <v>1196</v>
      </c>
      <c r="C218" s="12" t="s">
        <v>1451</v>
      </c>
      <c r="D218" s="18" t="s">
        <v>1784</v>
      </c>
      <c r="E218" s="12">
        <v>2308</v>
      </c>
      <c r="F218" s="12">
        <v>0</v>
      </c>
      <c r="G218" s="18"/>
      <c r="H218" s="12">
        <v>11</v>
      </c>
      <c r="I218" s="19">
        <v>46302.365937499999</v>
      </c>
      <c r="J218" s="12"/>
      <c r="K218" s="12" t="s">
        <v>1177</v>
      </c>
    </row>
    <row r="219" spans="1:11" x14ac:dyDescent="0.25">
      <c r="A219" s="15" t="s">
        <v>1837</v>
      </c>
      <c r="B219" s="12" t="s">
        <v>1626</v>
      </c>
      <c r="C219" s="12" t="s">
        <v>1451</v>
      </c>
      <c r="D219" s="18" t="s">
        <v>1522</v>
      </c>
      <c r="E219" s="12">
        <v>272</v>
      </c>
      <c r="F219" s="12">
        <v>0</v>
      </c>
      <c r="G219" s="18"/>
      <c r="H219" s="12">
        <v>0</v>
      </c>
      <c r="I219" s="19">
        <v>46302.365983796299</v>
      </c>
      <c r="J219" s="12"/>
      <c r="K219" s="12" t="s">
        <v>1177</v>
      </c>
    </row>
    <row r="220" spans="1:11" x14ac:dyDescent="0.25">
      <c r="A220" s="15" t="s">
        <v>1838</v>
      </c>
      <c r="B220" s="12" t="s">
        <v>1564</v>
      </c>
      <c r="C220" s="12" t="s">
        <v>1451</v>
      </c>
      <c r="D220" s="18" t="s">
        <v>1530</v>
      </c>
      <c r="E220" s="12">
        <v>46</v>
      </c>
      <c r="F220" s="12">
        <v>0</v>
      </c>
      <c r="G220" s="18"/>
      <c r="H220" s="12">
        <v>0</v>
      </c>
      <c r="I220" s="19">
        <v>46302.366030092591</v>
      </c>
      <c r="J220" s="12"/>
      <c r="K220" s="12" t="s">
        <v>1177</v>
      </c>
    </row>
    <row r="221" spans="1:11" x14ac:dyDescent="0.25">
      <c r="A221" s="15" t="s">
        <v>1839</v>
      </c>
      <c r="B221" s="12" t="s">
        <v>1840</v>
      </c>
      <c r="C221" s="12" t="s">
        <v>1451</v>
      </c>
      <c r="D221" s="18" t="s">
        <v>1841</v>
      </c>
      <c r="E221" s="12">
        <v>12</v>
      </c>
      <c r="F221" s="12">
        <v>0</v>
      </c>
      <c r="G221" s="18"/>
      <c r="H221" s="12">
        <v>0</v>
      </c>
      <c r="I221" s="19">
        <v>46302.366076388891</v>
      </c>
      <c r="J221" s="12"/>
      <c r="K221" s="12" t="s">
        <v>1177</v>
      </c>
    </row>
    <row r="222" spans="1:11" x14ac:dyDescent="0.25">
      <c r="A222" s="15" t="s">
        <v>1842</v>
      </c>
      <c r="B222" s="12" t="s">
        <v>1196</v>
      </c>
      <c r="C222" s="12" t="s">
        <v>1451</v>
      </c>
      <c r="D222" s="18" t="s">
        <v>1784</v>
      </c>
      <c r="E222" s="12">
        <v>2317</v>
      </c>
      <c r="F222" s="12">
        <v>0</v>
      </c>
      <c r="G222" s="18"/>
      <c r="H222" s="12">
        <v>11</v>
      </c>
      <c r="I222" s="19">
        <v>46302.366377314807</v>
      </c>
      <c r="J222" s="12"/>
      <c r="K222" s="12" t="s">
        <v>1191</v>
      </c>
    </row>
    <row r="223" spans="1:11" x14ac:dyDescent="0.25">
      <c r="A223" s="15" t="s">
        <v>1843</v>
      </c>
      <c r="B223" s="12" t="s">
        <v>1626</v>
      </c>
      <c r="C223" s="12" t="s">
        <v>1451</v>
      </c>
      <c r="D223" s="18" t="s">
        <v>1522</v>
      </c>
      <c r="E223" s="12">
        <v>276</v>
      </c>
      <c r="F223" s="12">
        <v>0</v>
      </c>
      <c r="G223" s="18"/>
      <c r="H223" s="12">
        <v>0</v>
      </c>
      <c r="I223" s="19">
        <v>46302.366423611107</v>
      </c>
      <c r="J223" s="12"/>
      <c r="K223" s="12" t="s">
        <v>1191</v>
      </c>
    </row>
    <row r="224" spans="1:11" x14ac:dyDescent="0.25">
      <c r="A224" s="15" t="s">
        <v>1844</v>
      </c>
      <c r="B224" s="12" t="s">
        <v>1564</v>
      </c>
      <c r="C224" s="12" t="s">
        <v>1451</v>
      </c>
      <c r="D224" s="18" t="s">
        <v>1530</v>
      </c>
      <c r="E224" s="12">
        <v>47</v>
      </c>
      <c r="F224" s="12">
        <v>0</v>
      </c>
      <c r="G224" s="18"/>
      <c r="H224" s="12">
        <v>0</v>
      </c>
      <c r="I224" s="19">
        <v>46302.366469907407</v>
      </c>
      <c r="J224" s="12"/>
      <c r="K224" s="12" t="s">
        <v>1191</v>
      </c>
    </row>
    <row r="225" spans="1:11" x14ac:dyDescent="0.25">
      <c r="A225" s="15" t="s">
        <v>1845</v>
      </c>
      <c r="B225" s="12" t="s">
        <v>1846</v>
      </c>
      <c r="C225" s="12" t="s">
        <v>1451</v>
      </c>
      <c r="D225" s="18" t="s">
        <v>1847</v>
      </c>
      <c r="E225" s="12">
        <v>8</v>
      </c>
      <c r="F225" s="12">
        <v>0</v>
      </c>
      <c r="G225" s="18"/>
      <c r="H225" s="12">
        <v>0</v>
      </c>
      <c r="I225" s="19">
        <v>46302.366516203707</v>
      </c>
      <c r="J225" s="12"/>
      <c r="K225" s="12" t="s">
        <v>1191</v>
      </c>
    </row>
    <row r="226" spans="1:11" x14ac:dyDescent="0.25">
      <c r="A226" s="15" t="s">
        <v>1848</v>
      </c>
      <c r="B226" s="12" t="s">
        <v>1196</v>
      </c>
      <c r="C226" s="12" t="s">
        <v>1451</v>
      </c>
      <c r="D226" s="18" t="s">
        <v>1784</v>
      </c>
      <c r="E226" s="12">
        <v>2331</v>
      </c>
      <c r="F226" s="12">
        <v>0</v>
      </c>
      <c r="G226" s="18"/>
      <c r="H226" s="12">
        <v>11</v>
      </c>
      <c r="I226" s="19">
        <v>46302.366782407407</v>
      </c>
      <c r="J226" s="12"/>
      <c r="K226" s="12" t="s">
        <v>1219</v>
      </c>
    </row>
    <row r="227" spans="1:11" x14ac:dyDescent="0.25">
      <c r="A227" s="15" t="s">
        <v>1849</v>
      </c>
      <c r="B227" s="12" t="s">
        <v>1626</v>
      </c>
      <c r="C227" s="12" t="s">
        <v>1451</v>
      </c>
      <c r="D227" s="18" t="s">
        <v>1522</v>
      </c>
      <c r="E227" s="12">
        <v>277</v>
      </c>
      <c r="F227" s="12">
        <v>0</v>
      </c>
      <c r="G227" s="18"/>
      <c r="H227" s="12">
        <v>0</v>
      </c>
      <c r="I227" s="19">
        <v>46302.366828703707</v>
      </c>
      <c r="J227" s="12"/>
      <c r="K227" s="12" t="s">
        <v>1219</v>
      </c>
    </row>
    <row r="228" spans="1:11" x14ac:dyDescent="0.25">
      <c r="A228" s="15" t="s">
        <v>1850</v>
      </c>
      <c r="B228" s="12" t="s">
        <v>1564</v>
      </c>
      <c r="C228" s="12" t="s">
        <v>1451</v>
      </c>
      <c r="D228" s="18" t="s">
        <v>1530</v>
      </c>
      <c r="E228" s="12">
        <v>49</v>
      </c>
      <c r="F228" s="12">
        <v>0</v>
      </c>
      <c r="G228" s="18"/>
      <c r="H228" s="12">
        <v>0</v>
      </c>
      <c r="I228" s="19">
        <v>46302.366875</v>
      </c>
      <c r="J228" s="12"/>
      <c r="K228" s="12" t="s">
        <v>1219</v>
      </c>
    </row>
    <row r="229" spans="1:11" x14ac:dyDescent="0.25">
      <c r="A229" s="15" t="s">
        <v>1851</v>
      </c>
      <c r="B229" s="12" t="s">
        <v>1852</v>
      </c>
      <c r="C229" s="12" t="s">
        <v>1451</v>
      </c>
      <c r="D229" s="18" t="s">
        <v>1853</v>
      </c>
      <c r="E229" s="12">
        <v>11</v>
      </c>
      <c r="F229" s="12">
        <v>0</v>
      </c>
      <c r="G229" s="18"/>
      <c r="H229" s="12">
        <v>0</v>
      </c>
      <c r="I229" s="19">
        <v>46302.3669212963</v>
      </c>
      <c r="J229" s="12"/>
      <c r="K229" s="12" t="s">
        <v>1219</v>
      </c>
    </row>
    <row r="230" spans="1:11" x14ac:dyDescent="0.25">
      <c r="A230" s="15" t="s">
        <v>1854</v>
      </c>
      <c r="B230" s="12" t="s">
        <v>1196</v>
      </c>
      <c r="C230" s="12" t="s">
        <v>1451</v>
      </c>
      <c r="D230" s="18" t="s">
        <v>1784</v>
      </c>
      <c r="E230" s="12">
        <v>2336</v>
      </c>
      <c r="F230" s="12">
        <v>0</v>
      </c>
      <c r="G230" s="18"/>
      <c r="H230" s="12">
        <v>11</v>
      </c>
      <c r="I230" s="19">
        <v>46302.367175925923</v>
      </c>
      <c r="J230" s="12"/>
      <c r="K230" s="12" t="s">
        <v>1258</v>
      </c>
    </row>
    <row r="231" spans="1:11" x14ac:dyDescent="0.25">
      <c r="A231" s="15" t="s">
        <v>1855</v>
      </c>
      <c r="B231" s="12" t="s">
        <v>1564</v>
      </c>
      <c r="C231" s="12" t="s">
        <v>1451</v>
      </c>
      <c r="D231" s="18" t="s">
        <v>1530</v>
      </c>
      <c r="E231" s="12">
        <v>49</v>
      </c>
      <c r="F231" s="12">
        <v>0</v>
      </c>
      <c r="G231" s="18"/>
      <c r="H231" s="12">
        <v>0</v>
      </c>
      <c r="I231" s="19">
        <v>46302.3672337963</v>
      </c>
      <c r="J231" s="12"/>
      <c r="K231" s="12" t="s">
        <v>1258</v>
      </c>
    </row>
    <row r="232" spans="1:11" x14ac:dyDescent="0.25">
      <c r="A232" s="15" t="s">
        <v>1856</v>
      </c>
      <c r="B232" s="12" t="s">
        <v>1857</v>
      </c>
      <c r="C232" s="12" t="s">
        <v>1451</v>
      </c>
      <c r="D232" s="18" t="s">
        <v>1858</v>
      </c>
      <c r="E232" s="12">
        <v>11</v>
      </c>
      <c r="F232" s="12">
        <v>0</v>
      </c>
      <c r="G232" s="18"/>
      <c r="H232" s="12">
        <v>0</v>
      </c>
      <c r="I232" s="19">
        <v>46302.367291666669</v>
      </c>
      <c r="J232" s="12"/>
      <c r="K232" s="12" t="s">
        <v>1258</v>
      </c>
    </row>
    <row r="233" spans="1:11" x14ac:dyDescent="0.25">
      <c r="A233" s="15" t="s">
        <v>1859</v>
      </c>
      <c r="B233" s="12" t="s">
        <v>1196</v>
      </c>
      <c r="C233" s="12" t="s">
        <v>1451</v>
      </c>
      <c r="D233" s="18" t="s">
        <v>1784</v>
      </c>
      <c r="E233" s="12">
        <v>2344</v>
      </c>
      <c r="F233" s="12">
        <v>0</v>
      </c>
      <c r="G233" s="18"/>
      <c r="H233" s="12">
        <v>11</v>
      </c>
      <c r="I233" s="19">
        <v>46302.367650462962</v>
      </c>
      <c r="J233" s="12"/>
      <c r="K233" s="12" t="s">
        <v>1291</v>
      </c>
    </row>
    <row r="234" spans="1:11" x14ac:dyDescent="0.25">
      <c r="A234" s="15" t="s">
        <v>1860</v>
      </c>
      <c r="B234" s="12" t="s">
        <v>1861</v>
      </c>
      <c r="C234" s="12" t="s">
        <v>1451</v>
      </c>
      <c r="D234" s="18" t="s">
        <v>1862</v>
      </c>
      <c r="E234" s="12">
        <v>98</v>
      </c>
      <c r="F234" s="12">
        <v>0</v>
      </c>
      <c r="G234" s="18"/>
      <c r="H234" s="12">
        <v>0</v>
      </c>
      <c r="I234" s="19">
        <v>46302.367696759262</v>
      </c>
      <c r="J234" s="12"/>
      <c r="K234" s="12" t="s">
        <v>1291</v>
      </c>
    </row>
    <row r="235" spans="1:11" x14ac:dyDescent="0.25">
      <c r="A235" s="15" t="s">
        <v>1863</v>
      </c>
      <c r="B235" s="12" t="s">
        <v>1196</v>
      </c>
      <c r="C235" s="12" t="s">
        <v>1451</v>
      </c>
      <c r="D235" s="18" t="s">
        <v>1784</v>
      </c>
      <c r="E235" s="12">
        <v>2346</v>
      </c>
      <c r="F235" s="12">
        <v>0</v>
      </c>
      <c r="G235" s="18"/>
      <c r="H235" s="12">
        <v>11</v>
      </c>
      <c r="I235" s="19">
        <v>46302.368564814817</v>
      </c>
      <c r="J235" s="12"/>
      <c r="K235" s="12" t="s">
        <v>523</v>
      </c>
    </row>
    <row r="236" spans="1:11" x14ac:dyDescent="0.25">
      <c r="A236" s="15" t="s">
        <v>1864</v>
      </c>
      <c r="B236" s="12" t="s">
        <v>1626</v>
      </c>
      <c r="C236" s="12" t="s">
        <v>1451</v>
      </c>
      <c r="D236" s="18" t="s">
        <v>1522</v>
      </c>
      <c r="E236" s="12">
        <v>278</v>
      </c>
      <c r="F236" s="12">
        <v>0</v>
      </c>
      <c r="G236" s="18"/>
      <c r="H236" s="12">
        <v>0</v>
      </c>
      <c r="I236" s="19">
        <v>46302.368611111109</v>
      </c>
      <c r="J236" s="12"/>
      <c r="K236" s="12" t="s">
        <v>523</v>
      </c>
    </row>
    <row r="237" spans="1:11" x14ac:dyDescent="0.25">
      <c r="A237" s="15" t="s">
        <v>1865</v>
      </c>
      <c r="B237" s="12" t="s">
        <v>1564</v>
      </c>
      <c r="C237" s="12" t="s">
        <v>1451</v>
      </c>
      <c r="D237" s="18" t="s">
        <v>1530</v>
      </c>
      <c r="E237" s="12">
        <v>49</v>
      </c>
      <c r="F237" s="12">
        <v>0</v>
      </c>
      <c r="G237" s="18"/>
      <c r="H237" s="12">
        <v>0</v>
      </c>
      <c r="I237" s="19">
        <v>46302.368657407409</v>
      </c>
      <c r="J237" s="12"/>
      <c r="K237" s="12" t="s">
        <v>523</v>
      </c>
    </row>
    <row r="238" spans="1:11" x14ac:dyDescent="0.25">
      <c r="A238" s="15" t="s">
        <v>1866</v>
      </c>
      <c r="B238" s="12" t="s">
        <v>1196</v>
      </c>
      <c r="C238" s="12" t="s">
        <v>1451</v>
      </c>
      <c r="D238" s="18" t="s">
        <v>1784</v>
      </c>
      <c r="E238" s="12">
        <v>2352</v>
      </c>
      <c r="F238" s="12">
        <v>0</v>
      </c>
      <c r="G238" s="18"/>
      <c r="H238" s="12">
        <v>11</v>
      </c>
      <c r="I238" s="19">
        <v>46302.36886574074</v>
      </c>
      <c r="J238" s="12"/>
      <c r="K238" s="12" t="s">
        <v>534</v>
      </c>
    </row>
    <row r="239" spans="1:11" x14ac:dyDescent="0.25">
      <c r="A239" s="15" t="s">
        <v>1867</v>
      </c>
      <c r="B239" s="12" t="s">
        <v>1626</v>
      </c>
      <c r="C239" s="12" t="s">
        <v>1451</v>
      </c>
      <c r="D239" s="18" t="s">
        <v>1522</v>
      </c>
      <c r="E239" s="12">
        <v>280</v>
      </c>
      <c r="F239" s="12">
        <v>0</v>
      </c>
      <c r="G239" s="18"/>
      <c r="H239" s="12">
        <v>0</v>
      </c>
      <c r="I239" s="19">
        <v>46302.36891203704</v>
      </c>
      <c r="J239" s="12"/>
      <c r="K239" s="12" t="s">
        <v>534</v>
      </c>
    </row>
    <row r="240" spans="1:11" x14ac:dyDescent="0.25">
      <c r="A240" s="15" t="s">
        <v>1868</v>
      </c>
      <c r="B240" s="12" t="s">
        <v>1564</v>
      </c>
      <c r="C240" s="12" t="s">
        <v>1451</v>
      </c>
      <c r="D240" s="18" t="s">
        <v>1530</v>
      </c>
      <c r="E240" s="12">
        <v>50</v>
      </c>
      <c r="F240" s="12">
        <v>0</v>
      </c>
      <c r="G240" s="18"/>
      <c r="H240" s="12">
        <v>0</v>
      </c>
      <c r="I240" s="19">
        <v>46302.368958333333</v>
      </c>
      <c r="J240" s="12"/>
      <c r="K240" s="12" t="s">
        <v>534</v>
      </c>
    </row>
    <row r="241" spans="1:11" x14ac:dyDescent="0.25">
      <c r="A241" s="15" t="s">
        <v>1869</v>
      </c>
      <c r="B241" s="12" t="s">
        <v>1196</v>
      </c>
      <c r="C241" s="12" t="s">
        <v>1451</v>
      </c>
      <c r="D241" s="18" t="s">
        <v>1784</v>
      </c>
      <c r="E241" s="12">
        <v>2355</v>
      </c>
      <c r="F241" s="12">
        <v>0</v>
      </c>
      <c r="G241" s="18"/>
      <c r="H241" s="12">
        <v>11</v>
      </c>
      <c r="I241" s="19">
        <v>46302.369108796287</v>
      </c>
      <c r="J241" s="12"/>
      <c r="K241" s="12" t="s">
        <v>565</v>
      </c>
    </row>
    <row r="242" spans="1:11" x14ac:dyDescent="0.25">
      <c r="A242" s="15" t="s">
        <v>1870</v>
      </c>
      <c r="B242" s="12" t="s">
        <v>1626</v>
      </c>
      <c r="C242" s="12" t="s">
        <v>1451</v>
      </c>
      <c r="D242" s="18" t="s">
        <v>1522</v>
      </c>
      <c r="E242" s="12">
        <v>280</v>
      </c>
      <c r="F242" s="12">
        <v>0</v>
      </c>
      <c r="G242" s="18"/>
      <c r="H242" s="12">
        <v>0</v>
      </c>
      <c r="I242" s="19">
        <v>46302.369155092587</v>
      </c>
      <c r="J242" s="12"/>
      <c r="K242" s="12" t="s">
        <v>565</v>
      </c>
    </row>
    <row r="243" spans="1:11" x14ac:dyDescent="0.25">
      <c r="A243" s="15" t="s">
        <v>1871</v>
      </c>
      <c r="B243" s="12" t="s">
        <v>1564</v>
      </c>
      <c r="C243" s="12" t="s">
        <v>1451</v>
      </c>
      <c r="D243" s="18" t="s">
        <v>1530</v>
      </c>
      <c r="E243" s="12">
        <v>50</v>
      </c>
      <c r="F243" s="12">
        <v>0</v>
      </c>
      <c r="G243" s="18"/>
      <c r="H243" s="12">
        <v>0</v>
      </c>
      <c r="I243" s="19">
        <v>46302.369201388887</v>
      </c>
      <c r="J243" s="12"/>
      <c r="K243" s="12" t="s">
        <v>565</v>
      </c>
    </row>
    <row r="244" spans="1:11" x14ac:dyDescent="0.25">
      <c r="A244" s="15" t="s">
        <v>1872</v>
      </c>
      <c r="B244" s="12" t="s">
        <v>1873</v>
      </c>
      <c r="C244" s="12" t="s">
        <v>1451</v>
      </c>
      <c r="D244" s="18" t="s">
        <v>1874</v>
      </c>
      <c r="E244" s="12">
        <v>60</v>
      </c>
      <c r="F244" s="12">
        <v>0</v>
      </c>
      <c r="G244" s="18"/>
      <c r="H244" s="12">
        <v>0</v>
      </c>
      <c r="I244" s="19">
        <v>46302.369513888887</v>
      </c>
      <c r="J244" s="12"/>
      <c r="K244" s="12" t="s">
        <v>1875</v>
      </c>
    </row>
    <row r="245" spans="1:11" ht="25.5" x14ac:dyDescent="0.25">
      <c r="A245" s="15" t="s">
        <v>1876</v>
      </c>
      <c r="B245" s="12" t="s">
        <v>1877</v>
      </c>
      <c r="C245" s="12" t="s">
        <v>1451</v>
      </c>
      <c r="D245" s="18" t="s">
        <v>1878</v>
      </c>
      <c r="E245" s="12">
        <v>3</v>
      </c>
      <c r="F245" s="12">
        <v>0</v>
      </c>
      <c r="G245" s="18"/>
      <c r="H245" s="12">
        <v>0</v>
      </c>
      <c r="I245" s="19">
        <v>46302.369571759264</v>
      </c>
      <c r="J245" s="12"/>
      <c r="K245" s="12" t="s">
        <v>1879</v>
      </c>
    </row>
    <row r="246" spans="1:11" x14ac:dyDescent="0.25">
      <c r="A246" s="15" t="s">
        <v>1880</v>
      </c>
      <c r="B246" s="12" t="s">
        <v>1196</v>
      </c>
      <c r="C246" s="12" t="s">
        <v>1451</v>
      </c>
      <c r="D246" s="18" t="s">
        <v>1784</v>
      </c>
      <c r="E246" s="12">
        <v>2371</v>
      </c>
      <c r="F246" s="12">
        <v>0</v>
      </c>
      <c r="G246" s="18"/>
      <c r="H246" s="12">
        <v>11</v>
      </c>
      <c r="I246" s="19">
        <v>46302.429212962961</v>
      </c>
      <c r="J246" s="12"/>
      <c r="K246" s="12" t="s">
        <v>593</v>
      </c>
    </row>
    <row r="247" spans="1:11" x14ac:dyDescent="0.25">
      <c r="A247" s="15" t="s">
        <v>1881</v>
      </c>
      <c r="B247" s="12" t="s">
        <v>1196</v>
      </c>
      <c r="C247" s="12" t="s">
        <v>1451</v>
      </c>
      <c r="D247" s="18" t="s">
        <v>1784</v>
      </c>
      <c r="E247" s="12">
        <v>2377</v>
      </c>
      <c r="F247" s="12">
        <v>0</v>
      </c>
      <c r="G247" s="18"/>
      <c r="H247" s="12">
        <v>11</v>
      </c>
      <c r="I247" s="19">
        <v>46302.452060185176</v>
      </c>
      <c r="J247" s="12"/>
      <c r="K247" s="12" t="s">
        <v>607</v>
      </c>
    </row>
    <row r="248" spans="1:11" x14ac:dyDescent="0.25">
      <c r="A248" s="15" t="s">
        <v>1882</v>
      </c>
      <c r="B248" s="12" t="s">
        <v>1626</v>
      </c>
      <c r="C248" s="12" t="s">
        <v>1451</v>
      </c>
      <c r="D248" s="18" t="s">
        <v>1522</v>
      </c>
      <c r="E248" s="12">
        <v>284</v>
      </c>
      <c r="F248" s="12">
        <v>0</v>
      </c>
      <c r="G248" s="18"/>
      <c r="H248" s="12">
        <v>0</v>
      </c>
      <c r="I248" s="19">
        <v>46302.452106481483</v>
      </c>
      <c r="J248" s="12"/>
      <c r="K248" s="12" t="s">
        <v>607</v>
      </c>
    </row>
    <row r="249" spans="1:11" x14ac:dyDescent="0.25">
      <c r="A249" s="15" t="s">
        <v>1883</v>
      </c>
      <c r="B249" s="12" t="s">
        <v>1564</v>
      </c>
      <c r="C249" s="12" t="s">
        <v>1451</v>
      </c>
      <c r="D249" s="18" t="s">
        <v>1530</v>
      </c>
      <c r="E249" s="12">
        <v>52</v>
      </c>
      <c r="F249" s="12">
        <v>0</v>
      </c>
      <c r="G249" s="18"/>
      <c r="H249" s="12">
        <v>0</v>
      </c>
      <c r="I249" s="19">
        <v>46302.452152777783</v>
      </c>
      <c r="J249" s="12"/>
      <c r="K249" s="12" t="s">
        <v>607</v>
      </c>
    </row>
    <row r="250" spans="1:11" x14ac:dyDescent="0.25">
      <c r="A250" s="15" t="s">
        <v>1884</v>
      </c>
      <c r="B250" s="12" t="s">
        <v>1873</v>
      </c>
      <c r="C250" s="12" t="s">
        <v>1451</v>
      </c>
      <c r="D250" s="18" t="s">
        <v>1885</v>
      </c>
      <c r="E250" s="12">
        <v>60</v>
      </c>
      <c r="F250" s="12">
        <v>0</v>
      </c>
      <c r="G250" s="18"/>
      <c r="H250" s="12">
        <v>0</v>
      </c>
      <c r="I250" s="19">
        <v>46302.452210648153</v>
      </c>
      <c r="J250" s="12"/>
      <c r="K250" s="12" t="s">
        <v>607</v>
      </c>
    </row>
    <row r="251" spans="1:11" x14ac:dyDescent="0.25">
      <c r="A251" s="15" t="s">
        <v>1886</v>
      </c>
      <c r="B251" s="12" t="s">
        <v>1626</v>
      </c>
      <c r="C251" s="12" t="s">
        <v>1451</v>
      </c>
      <c r="D251" s="18" t="s">
        <v>1522</v>
      </c>
      <c r="E251" s="12">
        <v>286</v>
      </c>
      <c r="F251" s="12">
        <v>0</v>
      </c>
      <c r="G251" s="18" t="s">
        <v>618</v>
      </c>
      <c r="H251" s="12">
        <v>0</v>
      </c>
      <c r="I251" s="19">
        <v>46302.468981481477</v>
      </c>
      <c r="J251" s="12"/>
      <c r="K251" s="12" t="s">
        <v>623</v>
      </c>
    </row>
    <row r="252" spans="1:11" ht="25.5" x14ac:dyDescent="0.25">
      <c r="A252" s="15" t="s">
        <v>1887</v>
      </c>
      <c r="B252" s="12" t="s">
        <v>1873</v>
      </c>
      <c r="C252" s="12" t="s">
        <v>1451</v>
      </c>
      <c r="D252" s="18" t="s">
        <v>1888</v>
      </c>
      <c r="E252" s="12">
        <v>60</v>
      </c>
      <c r="F252" s="12">
        <v>0</v>
      </c>
      <c r="G252" s="18" t="s">
        <v>1889</v>
      </c>
      <c r="H252" s="12">
        <v>0</v>
      </c>
      <c r="I252" s="19">
        <v>46302.469027777777</v>
      </c>
      <c r="J252" s="12"/>
      <c r="K252" s="12" t="s">
        <v>623</v>
      </c>
    </row>
    <row r="253" spans="1:11" x14ac:dyDescent="0.25">
      <c r="A253" s="15" t="s">
        <v>1890</v>
      </c>
      <c r="B253" s="12" t="s">
        <v>1196</v>
      </c>
      <c r="C253" s="12" t="s">
        <v>1451</v>
      </c>
      <c r="D253" s="18" t="s">
        <v>1784</v>
      </c>
      <c r="E253" s="12">
        <v>2383</v>
      </c>
      <c r="F253" s="12">
        <v>0</v>
      </c>
      <c r="G253" s="18" t="s">
        <v>618</v>
      </c>
      <c r="H253" s="12">
        <v>11</v>
      </c>
      <c r="I253" s="19">
        <v>46302.469293981478</v>
      </c>
      <c r="J253" s="12">
        <v>529</v>
      </c>
      <c r="K253" s="12" t="s">
        <v>623</v>
      </c>
    </row>
    <row r="254" spans="1:11" ht="38.25" x14ac:dyDescent="0.25">
      <c r="A254" s="15" t="s">
        <v>1891</v>
      </c>
      <c r="B254" s="12" t="s">
        <v>1564</v>
      </c>
      <c r="C254" s="12" t="s">
        <v>1451</v>
      </c>
      <c r="D254" s="18" t="s">
        <v>1530</v>
      </c>
      <c r="E254" s="12">
        <v>52</v>
      </c>
      <c r="F254" s="12">
        <v>0</v>
      </c>
      <c r="G254" s="18" t="s">
        <v>1892</v>
      </c>
      <c r="H254" s="12">
        <v>0</v>
      </c>
      <c r="I254" s="19">
        <v>46302.476840277777</v>
      </c>
      <c r="J254" s="12"/>
      <c r="K254" s="12" t="s">
        <v>623</v>
      </c>
    </row>
    <row r="255" spans="1:11" x14ac:dyDescent="0.25">
      <c r="A255" s="15" t="s">
        <v>1893</v>
      </c>
      <c r="B255" s="12" t="s">
        <v>1196</v>
      </c>
      <c r="C255" s="12" t="s">
        <v>1451</v>
      </c>
      <c r="D255" s="18" t="s">
        <v>1784</v>
      </c>
      <c r="E255" s="12">
        <v>2389</v>
      </c>
      <c r="F255" s="12">
        <v>0</v>
      </c>
      <c r="G255" s="18" t="s">
        <v>640</v>
      </c>
      <c r="H255" s="12">
        <v>11</v>
      </c>
      <c r="I255" s="19">
        <v>46302.500381944446</v>
      </c>
      <c r="J255" s="12">
        <v>565</v>
      </c>
      <c r="K255" s="12" t="s">
        <v>645</v>
      </c>
    </row>
    <row r="256" spans="1:11" x14ac:dyDescent="0.25">
      <c r="A256" s="15" t="s">
        <v>1894</v>
      </c>
      <c r="B256" s="12" t="s">
        <v>1626</v>
      </c>
      <c r="C256" s="12" t="s">
        <v>1451</v>
      </c>
      <c r="D256" s="18" t="s">
        <v>1522</v>
      </c>
      <c r="E256" s="12">
        <v>290</v>
      </c>
      <c r="F256" s="12">
        <v>0</v>
      </c>
      <c r="G256" s="18" t="s">
        <v>640</v>
      </c>
      <c r="H256" s="12">
        <v>0</v>
      </c>
      <c r="I256" s="19">
        <v>46302.500428240739</v>
      </c>
      <c r="J256" s="12"/>
      <c r="K256" s="12" t="s">
        <v>645</v>
      </c>
    </row>
    <row r="257" spans="1:11" x14ac:dyDescent="0.25">
      <c r="A257" s="15" t="s">
        <v>1895</v>
      </c>
      <c r="B257" s="12" t="s">
        <v>1564</v>
      </c>
      <c r="C257" s="12" t="s">
        <v>1451</v>
      </c>
      <c r="D257" s="18" t="s">
        <v>1530</v>
      </c>
      <c r="E257" s="12">
        <v>53</v>
      </c>
      <c r="F257" s="12">
        <v>0</v>
      </c>
      <c r="G257" s="18" t="s">
        <v>640</v>
      </c>
      <c r="H257" s="12">
        <v>0</v>
      </c>
      <c r="I257" s="19">
        <v>46302.500486111108</v>
      </c>
      <c r="J257" s="12"/>
      <c r="K257" s="12" t="s">
        <v>645</v>
      </c>
    </row>
    <row r="258" spans="1:11" ht="25.5" x14ac:dyDescent="0.25">
      <c r="A258" s="15" t="s">
        <v>1896</v>
      </c>
      <c r="B258" s="12" t="s">
        <v>1873</v>
      </c>
      <c r="C258" s="12" t="s">
        <v>1451</v>
      </c>
      <c r="D258" s="18" t="s">
        <v>1888</v>
      </c>
      <c r="E258" s="12">
        <v>60</v>
      </c>
      <c r="F258" s="12">
        <v>0</v>
      </c>
      <c r="G258" s="18" t="s">
        <v>1897</v>
      </c>
      <c r="H258" s="12">
        <v>0</v>
      </c>
      <c r="I258" s="19">
        <v>46302.500532407408</v>
      </c>
      <c r="J258" s="12"/>
      <c r="K258" s="12" t="s">
        <v>645</v>
      </c>
    </row>
    <row r="259" spans="1:11" x14ac:dyDescent="0.25">
      <c r="A259" s="15" t="s">
        <v>1898</v>
      </c>
      <c r="B259" s="12" t="s">
        <v>1196</v>
      </c>
      <c r="C259" s="12" t="s">
        <v>1451</v>
      </c>
      <c r="D259" s="18" t="s">
        <v>1784</v>
      </c>
      <c r="E259" s="12">
        <v>2395</v>
      </c>
      <c r="F259" s="12">
        <v>0</v>
      </c>
      <c r="G259" s="18" t="s">
        <v>654</v>
      </c>
      <c r="H259" s="12">
        <v>11</v>
      </c>
      <c r="I259" s="19">
        <v>46302.524768518517</v>
      </c>
      <c r="J259" s="12">
        <v>537</v>
      </c>
      <c r="K259" s="12" t="s">
        <v>659</v>
      </c>
    </row>
    <row r="260" spans="1:11" x14ac:dyDescent="0.25">
      <c r="A260" s="15" t="s">
        <v>1899</v>
      </c>
      <c r="B260" s="12" t="s">
        <v>1626</v>
      </c>
      <c r="C260" s="12" t="s">
        <v>1451</v>
      </c>
      <c r="D260" s="18" t="s">
        <v>1522</v>
      </c>
      <c r="E260" s="12">
        <v>290</v>
      </c>
      <c r="F260" s="12">
        <v>0</v>
      </c>
      <c r="G260" s="18" t="s">
        <v>654</v>
      </c>
      <c r="H260" s="12">
        <v>0</v>
      </c>
      <c r="I260" s="19">
        <v>46302.524814814817</v>
      </c>
      <c r="J260" s="12"/>
      <c r="K260" s="12" t="s">
        <v>659</v>
      </c>
    </row>
    <row r="261" spans="1:11" x14ac:dyDescent="0.25">
      <c r="A261" s="15" t="s">
        <v>1900</v>
      </c>
      <c r="B261" s="12" t="s">
        <v>1564</v>
      </c>
      <c r="C261" s="12" t="s">
        <v>1451</v>
      </c>
      <c r="D261" s="18" t="s">
        <v>1530</v>
      </c>
      <c r="E261" s="12">
        <v>53</v>
      </c>
      <c r="F261" s="12">
        <v>0</v>
      </c>
      <c r="G261" s="18" t="s">
        <v>654</v>
      </c>
      <c r="H261" s="12">
        <v>0</v>
      </c>
      <c r="I261" s="19">
        <v>46302.524872685193</v>
      </c>
      <c r="J261" s="12"/>
      <c r="K261" s="12" t="s">
        <v>659</v>
      </c>
    </row>
    <row r="262" spans="1:11" ht="25.5" x14ac:dyDescent="0.25">
      <c r="A262" s="15" t="s">
        <v>1901</v>
      </c>
      <c r="B262" s="12" t="s">
        <v>1873</v>
      </c>
      <c r="C262" s="12" t="s">
        <v>1451</v>
      </c>
      <c r="D262" s="18" t="s">
        <v>1902</v>
      </c>
      <c r="E262" s="12">
        <v>60</v>
      </c>
      <c r="F262" s="12">
        <v>0</v>
      </c>
      <c r="G262" s="18" t="s">
        <v>1903</v>
      </c>
      <c r="H262" s="12">
        <v>0</v>
      </c>
      <c r="I262" s="19">
        <v>46302.524918981479</v>
      </c>
      <c r="J262" s="12"/>
      <c r="K262" s="12" t="s">
        <v>659</v>
      </c>
    </row>
    <row r="263" spans="1:11" x14ac:dyDescent="0.25">
      <c r="A263" s="15" t="s">
        <v>1904</v>
      </c>
      <c r="B263" s="12" t="s">
        <v>1196</v>
      </c>
      <c r="C263" s="12" t="s">
        <v>1451</v>
      </c>
      <c r="D263" s="18" t="s">
        <v>1905</v>
      </c>
      <c r="E263" s="12">
        <v>39</v>
      </c>
      <c r="F263" s="12">
        <v>0</v>
      </c>
      <c r="G263" s="18" t="s">
        <v>703</v>
      </c>
      <c r="H263" s="12">
        <v>0</v>
      </c>
      <c r="I263" s="19">
        <v>46302.527557870373</v>
      </c>
      <c r="J263" s="12"/>
      <c r="K263" s="12" t="s">
        <v>708</v>
      </c>
    </row>
    <row r="264" spans="1:11" x14ac:dyDescent="0.25">
      <c r="A264" s="15" t="s">
        <v>1906</v>
      </c>
      <c r="B264" s="12" t="s">
        <v>1196</v>
      </c>
      <c r="C264" s="12" t="s">
        <v>1451</v>
      </c>
      <c r="D264" s="18" t="s">
        <v>1784</v>
      </c>
      <c r="E264" s="12">
        <v>2404</v>
      </c>
      <c r="F264" s="12">
        <v>0</v>
      </c>
      <c r="G264" s="18" t="s">
        <v>751</v>
      </c>
      <c r="H264" s="12">
        <v>11</v>
      </c>
      <c r="I264" s="19">
        <v>46302.636342592603</v>
      </c>
      <c r="J264" s="12">
        <v>515</v>
      </c>
      <c r="K264" s="12" t="s">
        <v>756</v>
      </c>
    </row>
    <row r="265" spans="1:11" x14ac:dyDescent="0.25">
      <c r="A265" s="15" t="s">
        <v>1907</v>
      </c>
      <c r="B265" s="12" t="s">
        <v>1626</v>
      </c>
      <c r="C265" s="12" t="s">
        <v>1451</v>
      </c>
      <c r="D265" s="18" t="s">
        <v>1522</v>
      </c>
      <c r="E265" s="12">
        <v>290</v>
      </c>
      <c r="F265" s="12">
        <v>0</v>
      </c>
      <c r="G265" s="18" t="s">
        <v>751</v>
      </c>
      <c r="H265" s="12">
        <v>0</v>
      </c>
      <c r="I265" s="19">
        <v>46302.636400462958</v>
      </c>
      <c r="J265" s="12"/>
      <c r="K265" s="12" t="s">
        <v>756</v>
      </c>
    </row>
    <row r="266" spans="1:11" x14ac:dyDescent="0.25">
      <c r="A266" s="15" t="s">
        <v>1908</v>
      </c>
      <c r="B266" s="12" t="s">
        <v>1564</v>
      </c>
      <c r="C266" s="12" t="s">
        <v>1451</v>
      </c>
      <c r="D266" s="18" t="s">
        <v>1530</v>
      </c>
      <c r="E266" s="12">
        <v>53</v>
      </c>
      <c r="F266" s="12">
        <v>0</v>
      </c>
      <c r="G266" s="18" t="s">
        <v>751</v>
      </c>
      <c r="H266" s="12">
        <v>0</v>
      </c>
      <c r="I266" s="19">
        <v>46302.636446759258</v>
      </c>
      <c r="J266" s="12"/>
      <c r="K266" s="12" t="s">
        <v>756</v>
      </c>
    </row>
    <row r="267" spans="1:11" ht="25.5" x14ac:dyDescent="0.25">
      <c r="A267" s="15" t="s">
        <v>1909</v>
      </c>
      <c r="B267" s="12" t="s">
        <v>1873</v>
      </c>
      <c r="C267" s="12" t="s">
        <v>1451</v>
      </c>
      <c r="D267" s="18" t="s">
        <v>1888</v>
      </c>
      <c r="E267" s="12">
        <v>60</v>
      </c>
      <c r="F267" s="12">
        <v>0</v>
      </c>
      <c r="G267" s="18" t="s">
        <v>1910</v>
      </c>
      <c r="H267" s="12">
        <v>0</v>
      </c>
      <c r="I267" s="19">
        <v>46302.636493055557</v>
      </c>
      <c r="J267" s="12"/>
      <c r="K267" s="12" t="s">
        <v>756</v>
      </c>
    </row>
    <row r="268" spans="1:11" x14ac:dyDescent="0.25">
      <c r="A268" s="15" t="s">
        <v>1911</v>
      </c>
      <c r="B268" s="12" t="s">
        <v>1626</v>
      </c>
      <c r="C268" s="12" t="s">
        <v>1451</v>
      </c>
      <c r="D268" s="18" t="s">
        <v>1522</v>
      </c>
      <c r="E268" s="12">
        <v>296</v>
      </c>
      <c r="F268" s="12">
        <v>0</v>
      </c>
      <c r="G268" s="18" t="s">
        <v>893</v>
      </c>
      <c r="H268" s="12">
        <v>0</v>
      </c>
      <c r="I268" s="19">
        <v>46302.662418981483</v>
      </c>
      <c r="J268" s="12"/>
      <c r="K268" s="12" t="s">
        <v>898</v>
      </c>
    </row>
    <row r="269" spans="1:11" x14ac:dyDescent="0.25">
      <c r="A269" s="15" t="s">
        <v>1912</v>
      </c>
      <c r="B269" s="12" t="s">
        <v>1564</v>
      </c>
      <c r="C269" s="12" t="s">
        <v>1451</v>
      </c>
      <c r="D269" s="18" t="s">
        <v>1530</v>
      </c>
      <c r="E269" s="12">
        <v>53</v>
      </c>
      <c r="F269" s="12">
        <v>0</v>
      </c>
      <c r="G269" s="18" t="s">
        <v>1913</v>
      </c>
      <c r="H269" s="12">
        <v>1</v>
      </c>
      <c r="I269" s="19">
        <v>46302.662465277783</v>
      </c>
      <c r="J269" s="12"/>
      <c r="K269" s="12" t="s">
        <v>898</v>
      </c>
    </row>
    <row r="270" spans="1:11" ht="25.5" x14ac:dyDescent="0.25">
      <c r="A270" s="15" t="s">
        <v>1914</v>
      </c>
      <c r="B270" s="12" t="s">
        <v>1196</v>
      </c>
      <c r="C270" s="12" t="s">
        <v>1451</v>
      </c>
      <c r="D270" s="18" t="s">
        <v>1784</v>
      </c>
      <c r="E270" s="12">
        <v>2424</v>
      </c>
      <c r="F270" s="12">
        <v>0</v>
      </c>
      <c r="G270" s="18" t="s">
        <v>1915</v>
      </c>
      <c r="H270" s="12">
        <v>11</v>
      </c>
      <c r="I270" s="19">
        <v>46302.677025462966</v>
      </c>
      <c r="J270" s="12">
        <v>517</v>
      </c>
      <c r="K270" s="12" t="s">
        <v>1081</v>
      </c>
    </row>
    <row r="271" spans="1:11" x14ac:dyDescent="0.25">
      <c r="A271" s="15" t="s">
        <v>1916</v>
      </c>
      <c r="B271" s="12" t="s">
        <v>1196</v>
      </c>
      <c r="C271" s="12" t="s">
        <v>1451</v>
      </c>
      <c r="D271" s="18" t="s">
        <v>1917</v>
      </c>
      <c r="E271" s="12">
        <v>5</v>
      </c>
      <c r="F271" s="12">
        <v>0</v>
      </c>
      <c r="G271" s="18" t="s">
        <v>1065</v>
      </c>
      <c r="H271" s="12">
        <v>0</v>
      </c>
      <c r="I271" s="19">
        <v>46302.680937500001</v>
      </c>
      <c r="J271" s="12"/>
      <c r="K271" s="12" t="s">
        <v>1071</v>
      </c>
    </row>
    <row r="274" spans="1:12" ht="15.75" x14ac:dyDescent="0.25">
      <c r="A274" s="5" t="s">
        <v>1918</v>
      </c>
    </row>
    <row r="275" spans="1:12" x14ac:dyDescent="0.25">
      <c r="A275" s="10" t="s">
        <v>162</v>
      </c>
      <c r="B275" s="10" t="s">
        <v>99</v>
      </c>
      <c r="C275" s="10" t="s">
        <v>43</v>
      </c>
      <c r="D275" s="10" t="s">
        <v>163</v>
      </c>
      <c r="E275" s="10" t="s">
        <v>165</v>
      </c>
      <c r="F275" s="10" t="s">
        <v>57</v>
      </c>
      <c r="G275" s="10" t="s">
        <v>166</v>
      </c>
      <c r="H275" s="10" t="s">
        <v>167</v>
      </c>
      <c r="I275" s="10" t="s">
        <v>15</v>
      </c>
      <c r="J275" s="10" t="s">
        <v>173</v>
      </c>
      <c r="K275" s="10" t="s">
        <v>174</v>
      </c>
      <c r="L275" s="10" t="s">
        <v>175</v>
      </c>
    </row>
    <row r="276" spans="1:12" x14ac:dyDescent="0.25">
      <c r="A276" s="15" t="s">
        <v>199</v>
      </c>
      <c r="B276" s="12" t="str">
        <f>IFERROR(INDEX(MASTER!$C$2:$C$2000,MATCH($A276,MASTER!$A$2:$A$2000,0))&amp;"","")</f>
        <v>TESTING</v>
      </c>
      <c r="C276" s="16">
        <f>IFERROR(INDEX(MASTER!$B$2:$B$2000,MATCH($A276,MASTER!$A$2:$A$2000,0)),"")</f>
        <v>0</v>
      </c>
      <c r="D276" s="12" t="str">
        <f>IFERROR(INDEX(MASTER!$D$2:$D$2000,MATCH($A276,MASTER!$A$2:$A$2000,0))&amp;"","")</f>
        <v>Baseline: backend tests</v>
      </c>
      <c r="E276" s="12" t="str">
        <f>IFERROR(INDEX(MASTER!$F$2:$F$2000,MATCH($A276,MASTER!$A$2:$A$2000,0))&amp;"","")</f>
        <v>P0</v>
      </c>
      <c r="F276" s="12" t="str">
        <f>IFERROR(INDEX(MASTER!$G$2:$G$2000,MATCH($A276,MASTER!$A$2:$A$2000,0))&amp;"","NOT IN MASTER")</f>
        <v>DONE</v>
      </c>
      <c r="G276" s="12" t="str">
        <f>IFERROR(INDEX(MASTER!$H$2:$H$2000,MATCH($A276,MASTER!$A$2:$A$2000,0))&amp;"","")</f>
        <v>docs/architecture/current-baseline.md; TESTING RUN-0001</v>
      </c>
      <c r="H276" s="12" t="str">
        <f>IFERROR(INDEX(MASTER!$I$2:$I$2000,MATCH($A276,MASTER!$A$2:$A$2000,0))&amp;"","")</f>
        <v>backend pytest: 643 passed, 1 skipped, 0 failed (88 s)</v>
      </c>
      <c r="I276" s="19">
        <f>IFERROR(IF(INDEX(MASTER!$O$2:$O$2000,MATCH($A276,MASTER!$A$2:$A$2000,0))="","",INDEX(MASTER!$O$2:$O$2000,MATCH($A276,MASTER!$A$2:$A$2000,0))),"")</f>
        <v>46292.17150462963</v>
      </c>
      <c r="J276" s="12" t="str">
        <f>IFERROR(INDEX(MASTER!$P$2:$P$2000,MATCH($A276,MASTER!$A$2:$A$2000,0))&amp;"","")</f>
        <v>4da4ecb</v>
      </c>
      <c r="K276" s="12" t="str">
        <f>IFERROR(INDEX(MASTER!$Q$2:$Q$2000,MATCH($A276,MASTER!$A$2:$A$2000,0))&amp;"","")</f>
        <v/>
      </c>
      <c r="L276" s="12" t="str">
        <f>IFERROR(INDEX(MASTER!$R$2:$R$2000,MATCH($A276,MASTER!$A$2:$A$2000,0))&amp;"","")</f>
        <v/>
      </c>
    </row>
    <row r="277" spans="1:12" x14ac:dyDescent="0.25">
      <c r="A277" s="15" t="s">
        <v>205</v>
      </c>
      <c r="B277" s="12" t="str">
        <f>IFERROR(INDEX(MASTER!$C$2:$C$2000,MATCH($A277,MASTER!$A$2:$A$2000,0))&amp;"","")</f>
        <v>TESTING</v>
      </c>
      <c r="C277" s="16">
        <f>IFERROR(INDEX(MASTER!$B$2:$B$2000,MATCH($A277,MASTER!$A$2:$A$2000,0)),"")</f>
        <v>0</v>
      </c>
      <c r="D277" s="12" t="str">
        <f>IFERROR(INDEX(MASTER!$D$2:$D$2000,MATCH($A277,MASTER!$A$2:$A$2000,0))&amp;"","")</f>
        <v>Baseline: frontend tests, typecheck, lint, build</v>
      </c>
      <c r="E277" s="12" t="str">
        <f>IFERROR(INDEX(MASTER!$F$2:$F$2000,MATCH($A277,MASTER!$A$2:$A$2000,0))&amp;"","")</f>
        <v>P0</v>
      </c>
      <c r="F277" s="12" t="str">
        <f>IFERROR(INDEX(MASTER!$G$2:$G$2000,MATCH($A277,MASTER!$A$2:$A$2000,0))&amp;"","NOT IN MASTER")</f>
        <v>DONE</v>
      </c>
      <c r="G277" s="12" t="str">
        <f>IFERROR(INDEX(MASTER!$H$2:$H$2000,MATCH($A277,MASTER!$A$2:$A$2000,0))&amp;"","")</f>
        <v>docs/architecture/current-baseline.md; TESTING RUN-0002..0005</v>
      </c>
      <c r="H277" s="12" t="str">
        <f>IFERROR(INDEX(MASTER!$I$2:$I$2000,MATCH($A277,MASTER!$A$2:$A$2000,0))&amp;"","")</f>
        <v>eslint 0 problems; tsc 0 errors; Vitest 46/46; next build OK (11 routes)</v>
      </c>
      <c r="I277" s="19">
        <f>IFERROR(IF(INDEX(MASTER!$O$2:$O$2000,MATCH($A277,MASTER!$A$2:$A$2000,0))="","",INDEX(MASTER!$O$2:$O$2000,MATCH($A277,MASTER!$A$2:$A$2000,0))),"")</f>
        <v>46292.171550925923</v>
      </c>
      <c r="J277" s="12" t="str">
        <f>IFERROR(INDEX(MASTER!$P$2:$P$2000,MATCH($A277,MASTER!$A$2:$A$2000,0))&amp;"","")</f>
        <v>4da4ecb</v>
      </c>
      <c r="K277" s="12" t="str">
        <f>IFERROR(INDEX(MASTER!$Q$2:$Q$2000,MATCH($A277,MASTER!$A$2:$A$2000,0))&amp;"","")</f>
        <v/>
      </c>
      <c r="L277" s="12" t="str">
        <f>IFERROR(INDEX(MASTER!$R$2:$R$2000,MATCH($A277,MASTER!$A$2:$A$2000,0))&amp;"","")</f>
        <v/>
      </c>
    </row>
    <row r="278" spans="1:12" x14ac:dyDescent="0.25">
      <c r="A278" s="15" t="s">
        <v>211</v>
      </c>
      <c r="B278" s="12" t="str">
        <f>IFERROR(INDEX(MASTER!$C$2:$C$2000,MATCH($A278,MASTER!$A$2:$A$2000,0))&amp;"","")</f>
        <v>TESTING</v>
      </c>
      <c r="C278" s="16">
        <f>IFERROR(INDEX(MASTER!$B$2:$B$2000,MATCH($A278,MASTER!$A$2:$A$2000,0)),"")</f>
        <v>0</v>
      </c>
      <c r="D278" s="12" t="str">
        <f>IFERROR(INDEX(MASTER!$D$2:$D$2000,MATCH($A278,MASTER!$A$2:$A$2000,0))&amp;"","")</f>
        <v>Baseline: Playwright E2E</v>
      </c>
      <c r="E278" s="12" t="str">
        <f>IFERROR(INDEX(MASTER!$F$2:$F$2000,MATCH($A278,MASTER!$A$2:$A$2000,0))&amp;"","")</f>
        <v>P0</v>
      </c>
      <c r="F278" s="12" t="str">
        <f>IFERROR(INDEX(MASTER!$G$2:$G$2000,MATCH($A278,MASTER!$A$2:$A$2000,0))&amp;"","NOT IN MASTER")</f>
        <v>DONE</v>
      </c>
      <c r="G278" s="12" t="str">
        <f>IFERROR(INDEX(MASTER!$H$2:$H$2000,MATCH($A278,MASTER!$A$2:$A$2000,0))&amp;"","")</f>
        <v>docs/architecture/current-baseline.md; TESTING RUN-0006</v>
      </c>
      <c r="H278" s="12" t="str">
        <f>IFERROR(INDEX(MASTER!$I$2:$I$2000,MATCH($A278,MASTER!$A$2:$A$2000,0))&amp;"","")</f>
        <v>Playwright (Edge): 16 passed, 0 failed (67 s)</v>
      </c>
      <c r="I278" s="19">
        <f>IFERROR(IF(INDEX(MASTER!$O$2:$O$2000,MATCH($A278,MASTER!$A$2:$A$2000,0))="","",INDEX(MASTER!$O$2:$O$2000,MATCH($A278,MASTER!$A$2:$A$2000,0))),"")</f>
        <v>46292.171585648153</v>
      </c>
      <c r="J278" s="12" t="str">
        <f>IFERROR(INDEX(MASTER!$P$2:$P$2000,MATCH($A278,MASTER!$A$2:$A$2000,0))&amp;"","")</f>
        <v>4da4ecb</v>
      </c>
      <c r="K278" s="12" t="str">
        <f>IFERROR(INDEX(MASTER!$Q$2:$Q$2000,MATCH($A278,MASTER!$A$2:$A$2000,0))&amp;"","")</f>
        <v/>
      </c>
      <c r="L278" s="12" t="str">
        <f>IFERROR(INDEX(MASTER!$R$2:$R$2000,MATCH($A278,MASTER!$A$2:$A$2000,0))&amp;"","")</f>
        <v/>
      </c>
    </row>
    <row r="279" spans="1:12" x14ac:dyDescent="0.25">
      <c r="A279" s="15" t="s">
        <v>217</v>
      </c>
      <c r="B279" s="12" t="str">
        <f>IFERROR(INDEX(MASTER!$C$2:$C$2000,MATCH($A279,MASTER!$A$2:$A$2000,0))&amp;"","")</f>
        <v>TESTING</v>
      </c>
      <c r="C279" s="16">
        <f>IFERROR(INDEX(MASTER!$B$2:$B$2000,MATCH($A279,MASTER!$A$2:$A$2000,0)),"")</f>
        <v>0</v>
      </c>
      <c r="D279" s="12" t="str">
        <f>IFERROR(INDEX(MASTER!$D$2:$D$2000,MATCH($A279,MASTER!$A$2:$A$2000,0))&amp;"","")</f>
        <v>Baseline: migrations and database</v>
      </c>
      <c r="E279" s="12" t="str">
        <f>IFERROR(INDEX(MASTER!$F$2:$F$2000,MATCH($A279,MASTER!$A$2:$A$2000,0))&amp;"","")</f>
        <v>P0</v>
      </c>
      <c r="F279" s="12" t="str">
        <f>IFERROR(INDEX(MASTER!$G$2:$G$2000,MATCH($A279,MASTER!$A$2:$A$2000,0))&amp;"","NOT IN MASTER")</f>
        <v>DONE</v>
      </c>
      <c r="G279" s="12" t="str">
        <f>IFERROR(INDEX(MASTER!$H$2:$H$2000,MATCH($A279,MASTER!$A$2:$A$2000,0))&amp;"","")</f>
        <v>docs/architecture/current-baseline.md; TESTING RUN-0007, RUN-0008</v>
      </c>
      <c r="H279" s="12" t="str">
        <f>IFERROR(INDEX(MASTER!$I$2:$I$2000,MATCH($A279,MASTER!$A$2:$A$2000,0))&amp;"","")</f>
        <v>alembic upgrade/check/downgrade/upgrade on scratch SQLite; offline PostgreSQL SQL; Supabase list_migrations 8/8 + advisors</v>
      </c>
      <c r="I279" s="19">
        <f>IFERROR(IF(INDEX(MASTER!$O$2:$O$2000,MATCH($A279,MASTER!$A$2:$A$2000,0))="","",INDEX(MASTER!$O$2:$O$2000,MATCH($A279,MASTER!$A$2:$A$2000,0))),"")</f>
        <v>46292.171620370369</v>
      </c>
      <c r="J279" s="12" t="str">
        <f>IFERROR(INDEX(MASTER!$P$2:$P$2000,MATCH($A279,MASTER!$A$2:$A$2000,0))&amp;"","")</f>
        <v>4da4ecb</v>
      </c>
      <c r="K279" s="12" t="str">
        <f>IFERROR(INDEX(MASTER!$Q$2:$Q$2000,MATCH($A279,MASTER!$A$2:$A$2000,0))&amp;"","")</f>
        <v/>
      </c>
      <c r="L279" s="12" t="str">
        <f>IFERROR(INDEX(MASTER!$R$2:$R$2000,MATCH($A279,MASTER!$A$2:$A$2000,0))&amp;"","")</f>
        <v/>
      </c>
    </row>
    <row r="280" spans="1:12" x14ac:dyDescent="0.25">
      <c r="A280" s="15" t="s">
        <v>236</v>
      </c>
      <c r="B280" s="12" t="str">
        <f>IFERROR(INDEX(MASTER!$C$2:$C$2000,MATCH($A280,MASTER!$A$2:$A$2000,0))&amp;"","")</f>
        <v>TESTING</v>
      </c>
      <c r="C280" s="16">
        <f>IFERROR(INDEX(MASTER!$B$2:$B$2000,MATCH($A280,MASTER!$A$2:$A$2000,0)),"")</f>
        <v>0</v>
      </c>
      <c r="D280" s="12" t="str">
        <f>IFERROR(INDEX(MASTER!$D$2:$D$2000,MATCH($A280,MASTER!$A$2:$A$2000,0))&amp;"","")</f>
        <v>Baseline: fixture inventory</v>
      </c>
      <c r="E280" s="12" t="str">
        <f>IFERROR(INDEX(MASTER!$F$2:$F$2000,MATCH($A280,MASTER!$A$2:$A$2000,0))&amp;"","")</f>
        <v>P1</v>
      </c>
      <c r="F280" s="12" t="str">
        <f>IFERROR(INDEX(MASTER!$G$2:$G$2000,MATCH($A280,MASTER!$A$2:$A$2000,0))&amp;"","NOT IN MASTER")</f>
        <v>DONE</v>
      </c>
      <c r="G280" s="12" t="str">
        <f>IFERROR(INDEX(MASTER!$H$2:$H$2000,MATCH($A280,MASTER!$A$2:$A$2000,0))&amp;"","")</f>
        <v>docs/architecture/current-baseline.md (fixture inventory)</v>
      </c>
      <c r="H280" s="12" t="str">
        <f>IFERROR(INDEX(MASTER!$I$2:$I$2000,MATCH($A280,MASTER!$A$2:$A$2000,0))&amp;"","")</f>
        <v>backend/tests/fixtures: 12 generated DOCX + sample.pdf; 17 Word-authored audit fixtures (a01-a12, r01-r05) outside the repo</v>
      </c>
      <c r="I280" s="19">
        <f>IFERROR(IF(INDEX(MASTER!$O$2:$O$2000,MATCH($A280,MASTER!$A$2:$A$2000,0))="","",INDEX(MASTER!$O$2:$O$2000,MATCH($A280,MASTER!$A$2:$A$2000,0))),"")</f>
        <v>46292.171655092592</v>
      </c>
      <c r="J280" s="12" t="str">
        <f>IFERROR(INDEX(MASTER!$P$2:$P$2000,MATCH($A280,MASTER!$A$2:$A$2000,0))&amp;"","")</f>
        <v>4da4ecb</v>
      </c>
      <c r="K280" s="12" t="str">
        <f>IFERROR(INDEX(MASTER!$Q$2:$Q$2000,MATCH($A280,MASTER!$A$2:$A$2000,0))&amp;"","")</f>
        <v/>
      </c>
      <c r="L280" s="12" t="str">
        <f>IFERROR(INDEX(MASTER!$R$2:$R$2000,MATCH($A280,MASTER!$A$2:$A$2000,0))&amp;"","")</f>
        <v/>
      </c>
    </row>
    <row r="281" spans="1:12" x14ac:dyDescent="0.25">
      <c r="A281" s="15" t="s">
        <v>389</v>
      </c>
      <c r="B281" s="12" t="str">
        <f>IFERROR(INDEX(MASTER!$C$2:$C$2000,MATCH($A281,MASTER!$A$2:$A$2000,0))&amp;"","")</f>
        <v>TESTING</v>
      </c>
      <c r="C281" s="16">
        <f>IFERROR(INDEX(MASTER!$B$2:$B$2000,MATCH($A281,MASTER!$A$2:$A$2000,0)),"")</f>
        <v>1</v>
      </c>
      <c r="D281" s="12" t="str">
        <f>IFERROR(INDEX(MASTER!$D$2:$D$2000,MATCH($A281,MASTER!$A$2:$A$2000,0))&amp;"","")</f>
        <v>Regression tests for nested structures</v>
      </c>
      <c r="E281" s="12" t="str">
        <f>IFERROR(INDEX(MASTER!$F$2:$F$2000,MATCH($A281,MASTER!$A$2:$A$2000,0))&amp;"","")</f>
        <v>P0</v>
      </c>
      <c r="F281" s="12" t="str">
        <f>IFERROR(INDEX(MASTER!$G$2:$G$2000,MATCH($A281,MASTER!$A$2:$A$2000,0))&amp;"","NOT IN MASTER")</f>
        <v>DONE</v>
      </c>
      <c r="G281" s="12" t="str">
        <f>IFERROR(INDEX(MASTER!$H$2:$H$2000,MATCH($A281,MASTER!$A$2:$A$2000,0))&amp;"","")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81" s="12" t="str">
        <f>IFERROR(INDEX(MASTER!$I$2:$I$2000,MATCH($A281,MASTER!$A$2:$A$2000,0))&amp;"","")</f>
        <v>backend 753 passed; Vitest 113; Playwright 19</v>
      </c>
      <c r="I281" s="19">
        <f>IFERROR(IF(INDEX(MASTER!$O$2:$O$2000,MATCH($A281,MASTER!$A$2:$A$2000,0))="","",INDEX(MASTER!$O$2:$O$2000,MATCH($A281,MASTER!$A$2:$A$2000,0))),"")</f>
        <v>46292.416215277779</v>
      </c>
      <c r="J281" s="12" t="str">
        <f>IFERROR(INDEX(MASTER!$P$2:$P$2000,MATCH($A281,MASTER!$A$2:$A$2000,0))&amp;"","")</f>
        <v>66bbdf1</v>
      </c>
      <c r="K281" s="12" t="str">
        <f>IFERROR(INDEX(MASTER!$Q$2:$Q$2000,MATCH($A281,MASTER!$A$2:$A$2000,0))&amp;"","")</f>
        <v/>
      </c>
      <c r="L281" s="12" t="str">
        <f>IFERROR(INDEX(MASTER!$R$2:$R$2000,MATCH($A281,MASTER!$A$2:$A$2000,0))&amp;"","")</f>
        <v/>
      </c>
    </row>
    <row r="282" spans="1:12" x14ac:dyDescent="0.25">
      <c r="A282" s="15" t="s">
        <v>690</v>
      </c>
      <c r="B282" s="12" t="str">
        <f>IFERROR(INDEX(MASTER!$C$2:$C$2000,MATCH($A282,MASTER!$A$2:$A$2000,0))&amp;"","")</f>
        <v>TESTING</v>
      </c>
      <c r="C282" s="16">
        <f>IFERROR(INDEX(MASTER!$B$2:$B$2000,MATCH($A282,MASTER!$A$2:$A$2000,0)),"")</f>
        <v>3</v>
      </c>
      <c r="D282" s="12" t="str">
        <f>IFERROR(INDEX(MASTER!$D$2:$D$2000,MATCH($A282,MASTER!$A$2:$A$2000,0))&amp;"","")</f>
        <v>Word-authored fixtures in the repository</v>
      </c>
      <c r="E282" s="12" t="str">
        <f>IFERROR(INDEX(MASTER!$F$2:$F$2000,MATCH($A282,MASTER!$A$2:$A$2000,0))&amp;"","")</f>
        <v>P0</v>
      </c>
      <c r="F282" s="12" t="str">
        <f>IFERROR(INDEX(MASTER!$G$2:$G$2000,MATCH($A282,MASTER!$A$2:$A$2000,0))&amp;"","NOT IN MASTER")</f>
        <v>DONE</v>
      </c>
      <c r="G282" s="12" t="str">
        <f>IFERROR(INDEX(MASTER!$H$2:$H$2000,MATCH($A282,MASTER!$A$2:$A$2000,0))&amp;"","")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82" s="12" t="str">
        <f>IFERROR(INDEX(MASTER!$I$2:$I$2000,MATCH($A282,MASTER!$A$2:$A$2000,0))&amp;"","")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82" s="19">
        <f>IFERROR(IF(INDEX(MASTER!$O$2:$O$2000,MATCH($A282,MASTER!$A$2:$A$2000,0))="","",INDEX(MASTER!$O$2:$O$2000,MATCH($A282,MASTER!$A$2:$A$2000,0))),"")</f>
        <v>46295.122604166667</v>
      </c>
      <c r="J282" s="12" t="str">
        <f>IFERROR(INDEX(MASTER!$P$2:$P$2000,MATCH($A282,MASTER!$A$2:$A$2000,0))&amp;"","")</f>
        <v>505d97f</v>
      </c>
      <c r="K282" s="12" t="str">
        <f>IFERROR(INDEX(MASTER!$Q$2:$Q$2000,MATCH($A282,MASTER!$A$2:$A$2000,0))&amp;"","")</f>
        <v/>
      </c>
      <c r="L282" s="12" t="str">
        <f>IFERROR(INDEX(MASTER!$R$2:$R$2000,MATCH($A282,MASTER!$A$2:$A$2000,0))&amp;"","")</f>
        <v/>
      </c>
    </row>
    <row r="283" spans="1:12" x14ac:dyDescent="0.25">
      <c r="A283" s="15" t="s">
        <v>697</v>
      </c>
      <c r="B283" s="12" t="str">
        <f>IFERROR(INDEX(MASTER!$C$2:$C$2000,MATCH($A283,MASTER!$A$2:$A$2000,0))&amp;"","")</f>
        <v>TESTING</v>
      </c>
      <c r="C283" s="16">
        <f>IFERROR(INDEX(MASTER!$B$2:$B$2000,MATCH($A283,MASTER!$A$2:$A$2000,0)),"")</f>
        <v>3</v>
      </c>
      <c r="D283" s="12" t="str">
        <f>IFERROR(INDEX(MASTER!$D$2:$D$2000,MATCH($A283,MASTER!$A$2:$A$2000,0))&amp;"","")</f>
        <v>Expected-loss manifests in CI</v>
      </c>
      <c r="E283" s="12" t="str">
        <f>IFERROR(INDEX(MASTER!$F$2:$F$2000,MATCH($A283,MASTER!$A$2:$A$2000,0))&amp;"","")</f>
        <v>P0</v>
      </c>
      <c r="F283" s="12" t="str">
        <f>IFERROR(INDEX(MASTER!$G$2:$G$2000,MATCH($A283,MASTER!$A$2:$A$2000,0))&amp;"","NOT IN MASTER")</f>
        <v>DONE</v>
      </c>
      <c r="G283" s="12" t="str">
        <f>IFERROR(INDEX(MASTER!$H$2:$H$2000,MATCH($A283,MASTER!$A$2:$A$2000,0))&amp;"","")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83" s="12" t="str">
        <f>IFERROR(INDEX(MASTER!$I$2:$I$2000,MATCH($A283,MASTER!$A$2:$A$2000,0))&amp;"","")</f>
        <v>backend 1075 passed/1 skipped (tests/test_expected_losses.py 38: every fixture has a manifest; each fixture loses what its manifest says - deterministic over two runs; a mutated manifest fails naming the new item and the content change)</v>
      </c>
      <c r="I283" s="19">
        <f>IFERROR(IF(INDEX(MASTER!$O$2:$O$2000,MATCH($A283,MASTER!$A$2:$A$2000,0))="","",INDEX(MASTER!$O$2:$O$2000,MATCH($A283,MASTER!$A$2:$A$2000,0))),"")</f>
        <v>46295.127291666657</v>
      </c>
      <c r="J283" s="12" t="str">
        <f>IFERROR(INDEX(MASTER!$P$2:$P$2000,MATCH($A283,MASTER!$A$2:$A$2000,0))&amp;"","")</f>
        <v>05c6c69</v>
      </c>
      <c r="K283" s="12" t="str">
        <f>IFERROR(INDEX(MASTER!$Q$2:$Q$2000,MATCH($A283,MASTER!$A$2:$A$2000,0))&amp;"","")</f>
        <v/>
      </c>
      <c r="L283" s="12" t="str">
        <f>IFERROR(INDEX(MASTER!$R$2:$R$2000,MATCH($A283,MASTER!$A$2:$A$2000,0))&amp;"","")</f>
        <v>TEST-020</v>
      </c>
    </row>
    <row r="284" spans="1:12" x14ac:dyDescent="0.25">
      <c r="A284" s="15" t="s">
        <v>703</v>
      </c>
      <c r="B284" s="12" t="str">
        <f>IFERROR(INDEX(MASTER!$C$2:$C$2000,MATCH($A284,MASTER!$A$2:$A$2000,0))&amp;"","")</f>
        <v>TESTING</v>
      </c>
      <c r="C284" s="16">
        <f>IFERROR(INDEX(MASTER!$B$2:$B$2000,MATCH($A284,MASTER!$A$2:$A$2000,0)),"")</f>
        <v>3</v>
      </c>
      <c r="D284" s="12" t="str">
        <f>IFERROR(INDEX(MASTER!$D$2:$D$2000,MATCH($A284,MASTER!$A$2:$A$2000,0))&amp;"","")</f>
        <v>PDF expected losses on the CI platform</v>
      </c>
      <c r="E284" s="12" t="str">
        <f>IFERROR(INDEX(MASTER!$F$2:$F$2000,MATCH($A284,MASTER!$A$2:$A$2000,0))&amp;"","")</f>
        <v>P2</v>
      </c>
      <c r="F284" s="12" t="str">
        <f>IFERROR(INDEX(MASTER!$G$2:$G$2000,MATCH($A284,MASTER!$A$2:$A$2000,0))&amp;"","NOT IN MASTER")</f>
        <v>BLOCKED</v>
      </c>
      <c r="G284" s="12" t="str">
        <f>IFERROR(INDEX(MASTER!$H$2:$H$2000,MATCH($A284,MASTER!$A$2:$A$2000,0))&amp;"","")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84" s="12" t="str">
        <f>IFERROR(INDEX(MASTER!$I$2:$I$2000,MATCH($A284,MASTER!$A$2:$A$2000,0))&amp;"","")</f>
        <v>backend/tests/test_expected_losses.py::test_another_platforms_pdf_claims_are_merged_in_and_nothing_else</v>
      </c>
      <c r="I284" s="19" t="str">
        <f>IFERROR(IF(INDEX(MASTER!$O$2:$O$2000,MATCH($A284,MASTER!$A$2:$A$2000,0))="","",INDEX(MASTER!$O$2:$O$2000,MATCH($A284,MASTER!$A$2:$A$2000,0))),"")</f>
        <v/>
      </c>
      <c r="J284" s="12" t="str">
        <f>IFERROR(INDEX(MASTER!$P$2:$P$2000,MATCH($A284,MASTER!$A$2:$A$2000,0))&amp;"","")</f>
        <v>9760557</v>
      </c>
      <c r="K284" s="12" t="str">
        <f>IFERROR(INDEX(MASTER!$Q$2:$Q$2000,MATCH($A284,MASTER!$A$2:$A$2000,0))&amp;"","")</f>
        <v>BLOCKED: needs the CI artifact from GitHub (no Linux here: no Docker, no WSL distro; GitHub API not used from this machine). Boril: download expected-loss-linux from a CI run, run python -m scripts.merge_expected_losses DIR, commit.</v>
      </c>
      <c r="L284" s="12" t="str">
        <f>IFERROR(INDEX(MASTER!$R$2:$R$2000,MATCH($A284,MASTER!$A$2:$A$2000,0))&amp;"","")</f>
        <v>TEST-021</v>
      </c>
    </row>
    <row r="285" spans="1:12" x14ac:dyDescent="0.25">
      <c r="A285" s="15" t="s">
        <v>710</v>
      </c>
      <c r="B285" s="12" t="str">
        <f>IFERROR(INDEX(MASTER!$C$2:$C$2000,MATCH($A285,MASTER!$A$2:$A$2000,0))&amp;"","")</f>
        <v>TESTING</v>
      </c>
      <c r="C285" s="16">
        <f>IFERROR(INDEX(MASTER!$B$2:$B$2000,MATCH($A285,MASTER!$A$2:$A$2000,0)),"")</f>
        <v>3</v>
      </c>
      <c r="D285" s="12" t="str">
        <f>IFERROR(INDEX(MASTER!$D$2:$D$2000,MATCH($A285,MASTER!$A$2:$A$2000,0))&amp;"","")</f>
        <v>True fidelity test</v>
      </c>
      <c r="E285" s="12" t="str">
        <f>IFERROR(INDEX(MASTER!$F$2:$F$2000,MATCH($A285,MASTER!$A$2:$A$2000,0))&amp;"","")</f>
        <v>P0</v>
      </c>
      <c r="F285" s="12" t="str">
        <f>IFERROR(INDEX(MASTER!$G$2:$G$2000,MATCH($A285,MASTER!$A$2:$A$2000,0))&amp;"","NOT IN MASTER")</f>
        <v>DONE</v>
      </c>
      <c r="G285" s="12" t="str">
        <f>IFERROR(INDEX(MASTER!$H$2:$H$2000,MATCH($A285,MASTER!$A$2:$A$2000,0))&amp;"","")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85" s="12" t="str">
        <f>IFERROR(INDEX(MASTER!$I$2:$I$2000,MATCH($A285,MASTER!$A$2:$A$2000,0))&amp;"","")</f>
        <v>backend 1224 passed/1 skipped (tests/test_true_fidelity.py 149: 37 fixtures x 4 axes + manifest check; test_docx_detect title case updated incl. a rename); Vitest 166; Playwright 28 (visual baseline regenerated and reviewed); tsc + eslint clean</v>
      </c>
      <c r="I285" s="19">
        <f>IFERROR(IF(INDEX(MASTER!$O$2:$O$2000,MATCH($A285,MASTER!$A$2:$A$2000,0))="","",INDEX(MASTER!$O$2:$O$2000,MATCH($A285,MASTER!$A$2:$A$2000,0))),"")</f>
        <v>46295.137418981481</v>
      </c>
      <c r="J285" s="12" t="str">
        <f>IFERROR(INDEX(MASTER!$P$2:$P$2000,MATCH($A285,MASTER!$A$2:$A$2000,0))&amp;"","")</f>
        <v>6869d5c</v>
      </c>
      <c r="K285" s="12" t="str">
        <f>IFERROR(INDEX(MASTER!$Q$2:$Q$2000,MATCH($A285,MASTER!$A$2:$A$2000,0))&amp;"","")</f>
        <v/>
      </c>
      <c r="L285" s="12" t="str">
        <f>IFERROR(INDEX(MASTER!$R$2:$R$2000,MATCH($A285,MASTER!$A$2:$A$2000,0))&amp;"","")</f>
        <v>TEST-020</v>
      </c>
    </row>
    <row r="286" spans="1:12" x14ac:dyDescent="0.25">
      <c r="A286" s="15" t="s">
        <v>716</v>
      </c>
      <c r="B286" s="12" t="str">
        <f>IFERROR(INDEX(MASTER!$C$2:$C$2000,MATCH($A286,MASTER!$A$2:$A$2000,0))&amp;"","")</f>
        <v>TESTING</v>
      </c>
      <c r="C286" s="16">
        <f>IFERROR(INDEX(MASTER!$B$2:$B$2000,MATCH($A286,MASTER!$A$2:$A$2000,0)),"")</f>
        <v>3</v>
      </c>
      <c r="D286" s="12" t="str">
        <f>IFERROR(INDEX(MASTER!$D$2:$D$2000,MATCH($A286,MASTER!$A$2:$A$2000,0))&amp;"","")</f>
        <v>Independent validation</v>
      </c>
      <c r="E286" s="12" t="str">
        <f>IFERROR(INDEX(MASTER!$F$2:$F$2000,MATCH($A286,MASTER!$A$2:$A$2000,0))&amp;"","")</f>
        <v>P1</v>
      </c>
      <c r="F286" s="12" t="str">
        <f>IFERROR(INDEX(MASTER!$G$2:$G$2000,MATCH($A286,MASTER!$A$2:$A$2000,0))&amp;"","NOT IN MASTER")</f>
        <v>DONE</v>
      </c>
      <c r="G286" s="12" t="str">
        <f>IFERROR(INDEX(MASTER!$H$2:$H$2000,MATCH($A286,MASTER!$A$2:$A$2000,0))&amp;"","")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86" s="12" t="str">
        <f>IFERROR(INDEX(MASTER!$I$2:$I$2000,MATCH($A286,MASTER!$A$2:$A$2000,0))&amp;"","")</f>
        <v>tests/test_package_check.py (13)</v>
      </c>
      <c r="I286" s="19">
        <f>IFERROR(IF(INDEX(MASTER!$O$2:$O$2000,MATCH($A286,MASTER!$A$2:$A$2000,0))="","",INDEX(MASTER!$O$2:$O$2000,MATCH($A286,MASTER!$A$2:$A$2000,0))),"")</f>
        <v>46292.607662037037</v>
      </c>
      <c r="J286" s="12" t="str">
        <f>IFERROR(INDEX(MASTER!$P$2:$P$2000,MATCH($A286,MASTER!$A$2:$A$2000,0))&amp;"","")</f>
        <v>de23961</v>
      </c>
      <c r="K286" s="12" t="str">
        <f>IFERROR(INDEX(MASTER!$Q$2:$Q$2000,MATCH($A286,MASTER!$A$2:$A$2000,0))&amp;"","")</f>
        <v>The docx skill's XSD validator needs defusedxml (not installed; installing needs a download) - schema-level validation remains open.</v>
      </c>
      <c r="L286" s="12" t="str">
        <f>IFERROR(INDEX(MASTER!$R$2:$R$2000,MATCH($A286,MASTER!$A$2:$A$2000,0))&amp;"","")</f>
        <v/>
      </c>
    </row>
    <row r="287" spans="1:12" x14ac:dyDescent="0.25">
      <c r="A287" s="15" t="s">
        <v>840</v>
      </c>
      <c r="B287" s="12" t="str">
        <f>IFERROR(INDEX(MASTER!$C$2:$C$2000,MATCH($A287,MASTER!$A$2:$A$2000,0))&amp;"","")</f>
        <v>TESTING</v>
      </c>
      <c r="C287" s="16">
        <f>IFERROR(INDEX(MASTER!$B$2:$B$2000,MATCH($A287,MASTER!$A$2:$A$2000,0)),"")</f>
        <v>4</v>
      </c>
      <c r="D287" s="12" t="str">
        <f>IFERROR(INDEX(MASTER!$D$2:$D$2000,MATCH($A287,MASTER!$A$2:$A$2000,0))&amp;"","")</f>
        <v>Security regression suite</v>
      </c>
      <c r="E287" s="12" t="str">
        <f>IFERROR(INDEX(MASTER!$F$2:$F$2000,MATCH($A287,MASTER!$A$2:$A$2000,0))&amp;"","")</f>
        <v>P0</v>
      </c>
      <c r="F287" s="12" t="str">
        <f>IFERROR(INDEX(MASTER!$G$2:$G$2000,MATCH($A287,MASTER!$A$2:$A$2000,0))&amp;"","NOT IN MASTER")</f>
        <v>DONE</v>
      </c>
      <c r="G287" s="12" t="str">
        <f>IFERROR(INDEX(MASTER!$H$2:$H$2000,MATCH($A287,MASTER!$A$2:$A$2000,0))&amp;"","")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87" s="12" t="str">
        <f>IFERROR(INDEX(MASTER!$I$2:$I$2000,MATCH($A287,MASTER!$A$2:$A$2000,0))&amp;"","")</f>
        <v>backend/tests/test_security_suite.py (106); pytest -m security (433)</v>
      </c>
      <c r="I287" s="19">
        <f>IFERROR(IF(INDEX(MASTER!$O$2:$O$2000,MATCH($A287,MASTER!$A$2:$A$2000,0))="","",INDEX(MASTER!$O$2:$O$2000,MATCH($A287,MASTER!$A$2:$A$2000,0))),"")</f>
        <v>46295.975891203707</v>
      </c>
      <c r="J287" s="12" t="str">
        <f>IFERROR(INDEX(MASTER!$P$2:$P$2000,MATCH($A287,MASTER!$A$2:$A$2000,0))&amp;"","")</f>
        <v>d15574f</v>
      </c>
      <c r="K287" s="12" t="str">
        <f>IFERROR(INDEX(MASTER!$Q$2:$Q$2000,MATCH($A287,MASTER!$A$2:$A$2000,0))&amp;"","")</f>
        <v/>
      </c>
      <c r="L287" s="12" t="str">
        <f>IFERROR(INDEX(MASTER!$R$2:$R$2000,MATCH($A287,MASTER!$A$2:$A$2000,0))&amp;"","")</f>
        <v/>
      </c>
    </row>
    <row r="288" spans="1:12" x14ac:dyDescent="0.25">
      <c r="A288" s="15" t="s">
        <v>1246</v>
      </c>
      <c r="B288" s="12" t="str">
        <f>IFERROR(INDEX(MASTER!$C$2:$C$2000,MATCH($A288,MASTER!$A$2:$A$2000,0))&amp;"","")</f>
        <v>TESTING</v>
      </c>
      <c r="C288" s="16">
        <f>IFERROR(INDEX(MASTER!$B$2:$B$2000,MATCH($A288,MASTER!$A$2:$A$2000,0)),"")</f>
        <v>6</v>
      </c>
      <c r="D288" s="12" t="str">
        <f>IFERROR(INDEX(MASTER!$D$2:$D$2000,MATCH($A288,MASTER!$A$2:$A$2000,0))&amp;"","")</f>
        <v>Concurrency tests on PostgreSQL in CI</v>
      </c>
      <c r="E288" s="12" t="str">
        <f>IFERROR(INDEX(MASTER!$F$2:$F$2000,MATCH($A288,MASTER!$A$2:$A$2000,0))&amp;"","")</f>
        <v>P2</v>
      </c>
      <c r="F288" s="12" t="str">
        <f>IFERROR(INDEX(MASTER!$G$2:$G$2000,MATCH($A288,MASTER!$A$2:$A$2000,0))&amp;"","NOT IN MASTER")</f>
        <v>DONE</v>
      </c>
      <c r="G288" s="12" t="str">
        <f>IFERROR(INDEX(MASTER!$H$2:$H$2000,MATCH($A288,MASTER!$A$2:$A$2000,0))&amp;"","")</f>
        <v>backend/tests/conftest.py postgres_sessions, pytest marker postgres, CI migrations job</v>
      </c>
      <c r="H288" s="12" t="str">
        <f>IFERROR(INDEX(MASTER!$I$2:$I$2000,MATCH($A288,MASTER!$A$2:$A$2000,0))&amp;"","")</f>
        <v>tests/test_plan_limits_atomic.py on SQLite and PostgreSQL</v>
      </c>
      <c r="I288" s="19">
        <f>IFERROR(IF(INDEX(MASTER!$O$2:$O$2000,MATCH($A288,MASTER!$A$2:$A$2000,0))="","",INDEX(MASTER!$O$2:$O$2000,MATCH($A288,MASTER!$A$2:$A$2000,0))),"")</f>
        <v>46301.615254629629</v>
      </c>
      <c r="J288" s="12" t="str">
        <f>IFERROR(INDEX(MASTER!$P$2:$P$2000,MATCH($A288,MASTER!$A$2:$A$2000,0))&amp;"","")</f>
        <v>8966ec7</v>
      </c>
      <c r="K288" s="12" t="str">
        <f>IFERROR(INDEX(MASTER!$Q$2:$Q$2000,MATCH($A288,MASTER!$A$2:$A$2000,0))&amp;"","")</f>
        <v>PLAN-003's hold is a row lock on PostgreSQL; verified here only on SQLite (no PostgreSQL on this machine). CI runs only for pull requests and main.</v>
      </c>
      <c r="L288" s="12" t="str">
        <f>IFERROR(INDEX(MASTER!$R$2:$R$2000,MATCH($A288,MASTER!$A$2:$A$2000,0))&amp;"","")</f>
        <v/>
      </c>
    </row>
    <row r="289" spans="1:12" x14ac:dyDescent="0.25">
      <c r="A289" s="15" t="s">
        <v>1280</v>
      </c>
      <c r="B289" s="12" t="str">
        <f>IFERROR(INDEX(MASTER!$C$2:$C$2000,MATCH($A289,MASTER!$A$2:$A$2000,0))&amp;"","")</f>
        <v>TESTING</v>
      </c>
      <c r="C289" s="16">
        <f>IFERROR(INDEX(MASTER!$B$2:$B$2000,MATCH($A289,MASTER!$A$2:$A$2000,0)),"")</f>
        <v>17</v>
      </c>
      <c r="D289" s="12" t="str">
        <f>IFERROR(INDEX(MASTER!$D$2:$D$2000,MATCH($A289,MASTER!$A$2:$A$2000,0))&amp;"","")</f>
        <v>Playwright workflow coverage</v>
      </c>
      <c r="E289" s="12" t="str">
        <f>IFERROR(INDEX(MASTER!$F$2:$F$2000,MATCH($A289,MASTER!$A$2:$A$2000,0))&amp;"","")</f>
        <v>P0</v>
      </c>
      <c r="F289" s="12" t="str">
        <f>IFERROR(INDEX(MASTER!$G$2:$G$2000,MATCH($A289,MASTER!$A$2:$A$2000,0))&amp;"","NOT IN MASTER")</f>
        <v>DONE</v>
      </c>
      <c r="G289" s="12" t="str">
        <f>IFERROR(INDEX(MASTER!$H$2:$H$2000,MATCH($A289,MASTER!$A$2:$A$2000,0))&amp;"","")</f>
        <v>docs/testing/README.md (the 24 workflows mapped), frontend/e2e/workflows.spec.ts</v>
      </c>
      <c r="H289" s="12" t="str">
        <f>IFERROR(INDEX(MASTER!$I$2:$I$2000,MATCH($A289,MASTER!$A$2:$A$2000,0))&amp;"","")</f>
        <v>frontend/e2e/workflows.spec.ts (4); Playwright 42 passed</v>
      </c>
      <c r="I289" s="19">
        <f>IFERROR(IF(INDEX(MASTER!$O$2:$O$2000,MATCH($A289,MASTER!$A$2:$A$2000,0))="","",INDEX(MASTER!$O$2:$O$2000,MATCH($A289,MASTER!$A$2:$A$2000,0))),"")</f>
        <v>46301.640289351853</v>
      </c>
      <c r="J289" s="12" t="str">
        <f>IFERROR(INDEX(MASTER!$P$2:$P$2000,MATCH($A289,MASTER!$A$2:$A$2000,0))&amp;"","")</f>
        <v>a00632e</v>
      </c>
      <c r="K289" s="12" t="str">
        <f>IFERROR(INDEX(MASTER!$Q$2:$Q$2000,MATCH($A289,MASTER!$A$2:$A$2000,0))&amp;"","")</f>
        <v/>
      </c>
      <c r="L289" s="12" t="str">
        <f>IFERROR(INDEX(MASTER!$R$2:$R$2000,MATCH($A289,MASTER!$A$2:$A$2000,0))&amp;"","")</f>
        <v/>
      </c>
    </row>
    <row r="290" spans="1:12" x14ac:dyDescent="0.25">
      <c r="A290" s="15" t="s">
        <v>1286</v>
      </c>
      <c r="B290" s="12" t="str">
        <f>IFERROR(INDEX(MASTER!$C$2:$C$2000,MATCH($A290,MASTER!$A$2:$A$2000,0))&amp;"","")</f>
        <v>TESTING</v>
      </c>
      <c r="C290" s="16">
        <f>IFERROR(INDEX(MASTER!$B$2:$B$2000,MATCH($A290,MASTER!$A$2:$A$2000,0)),"")</f>
        <v>17</v>
      </c>
      <c r="D290" s="12" t="str">
        <f>IFERROR(INDEX(MASTER!$D$2:$D$2000,MATCH($A290,MASTER!$A$2:$A$2000,0))&amp;"","")</f>
        <v>Performance gates</v>
      </c>
      <c r="E290" s="12" t="str">
        <f>IFERROR(INDEX(MASTER!$F$2:$F$2000,MATCH($A290,MASTER!$A$2:$A$2000,0))&amp;"","")</f>
        <v>P1</v>
      </c>
      <c r="F290" s="12" t="str">
        <f>IFERROR(INDEX(MASTER!$G$2:$G$2000,MATCH($A290,MASTER!$A$2:$A$2000,0))&amp;"","NOT IN MASTER")</f>
        <v>DONE</v>
      </c>
      <c r="G290" s="12" t="str">
        <f>IFERROR(INDEX(MASTER!$H$2:$H$2000,MATCH($A290,MASTER!$A$2:$A$2000,0))&amp;"","")</f>
        <v>backend/scripts/perf_gate.py, docs/performance/gates.json, .github/workflows/ci.yml (Performance gate job), docs/performance/README.md + gate-2026-10-07.md; fix in translation/language.py + export/font_resolver.py</v>
      </c>
      <c r="H290" s="12" t="str">
        <f>IFERROR(INDEX(MASTER!$I$2:$I$2000,MATCH($A290,MASTER!$A$2:$A$2000,0))&amp;"","")</f>
        <v>tests/test_perf_gate.py (7), test_multilingual.py fast path; gate run 23b6c56 vs branch: failed (PDF export 500 blocks +66%), fixed, passed (0.377 vs 0.385 s)</v>
      </c>
      <c r="I290" s="19">
        <f>IFERROR(IF(INDEX(MASTER!$O$2:$O$2000,MATCH($A290,MASTER!$A$2:$A$2000,0))="","",INDEX(MASTER!$O$2:$O$2000,MATCH($A290,MASTER!$A$2:$A$2000,0))),"")</f>
        <v>46302.367442129631</v>
      </c>
      <c r="J290" s="12" t="str">
        <f>IFERROR(INDEX(MASTER!$P$2:$P$2000,MATCH($A290,MASTER!$A$2:$A$2000,0))&amp;"","")</f>
        <v>570a2da</v>
      </c>
      <c r="K290" s="12" t="str">
        <f>IFERROR(INDEX(MASTER!$Q$2:$Q$2000,MATCH($A290,MASTER!$A$2:$A$2000,0))&amp;"","")</f>
        <v>2026-10-07: gates against a same-machine baseline (CI: base and head on one runner); another machine's numbers refused. Found and fixed a real Phase 11 regression.</v>
      </c>
      <c r="L290" s="12" t="str">
        <f>IFERROR(INDEX(MASTER!$R$2:$R$2000,MATCH($A290,MASTER!$A$2:$A$2000,0))&amp;"","")</f>
        <v/>
      </c>
    </row>
    <row r="291" spans="1:12" x14ac:dyDescent="0.25">
      <c r="A291" s="15" t="s">
        <v>1293</v>
      </c>
      <c r="B291" s="12" t="str">
        <f>IFERROR(INDEX(MASTER!$C$2:$C$2000,MATCH($A291,MASTER!$A$2:$A$2000,0))&amp;"","")</f>
        <v>TESTING</v>
      </c>
      <c r="C291" s="16">
        <f>IFERROR(INDEX(MASTER!$B$2:$B$2000,MATCH($A291,MASTER!$A$2:$A$2000,0)),"")</f>
        <v>17</v>
      </c>
      <c r="D291" s="12" t="str">
        <f>IFERROR(INDEX(MASTER!$D$2:$D$2000,MATCH($A291,MASTER!$A$2:$A$2000,0))&amp;"","")</f>
        <v>Browser matrix</v>
      </c>
      <c r="E291" s="12" t="str">
        <f>IFERROR(INDEX(MASTER!$F$2:$F$2000,MATCH($A291,MASTER!$A$2:$A$2000,0))&amp;"","")</f>
        <v>P2</v>
      </c>
      <c r="F291" s="12" t="str">
        <f>IFERROR(INDEX(MASTER!$G$2:$G$2000,MATCH($A291,MASTER!$A$2:$A$2000,0))&amp;"","NOT IN MASTER")</f>
        <v>NOT_STARTED</v>
      </c>
      <c r="G291" s="12" t="str">
        <f>IFERROR(INDEX(MASTER!$H$2:$H$2000,MATCH($A291,MASTER!$A$2:$A$2000,0))&amp;"","")</f>
        <v/>
      </c>
      <c r="H291" s="12" t="str">
        <f>IFERROR(INDEX(MASTER!$I$2:$I$2000,MATCH($A291,MASTER!$A$2:$A$2000,0))&amp;"","")</f>
        <v/>
      </c>
      <c r="I291" s="19" t="str">
        <f>IFERROR(IF(INDEX(MASTER!$O$2:$O$2000,MATCH($A291,MASTER!$A$2:$A$2000,0))="","",INDEX(MASTER!$O$2:$O$2000,MATCH($A291,MASTER!$A$2:$A$2000,0))),"")</f>
        <v/>
      </c>
      <c r="J291" s="12" t="str">
        <f>IFERROR(INDEX(MASTER!$P$2:$P$2000,MATCH($A291,MASTER!$A$2:$A$2000,0))&amp;"","")</f>
        <v/>
      </c>
      <c r="K291" s="12" t="str">
        <f>IFERROR(INDEX(MASTER!$Q$2:$Q$2000,MATCH($A291,MASTER!$A$2:$A$2000,0))&amp;"","")</f>
        <v/>
      </c>
      <c r="L291" s="12" t="str">
        <f>IFERROR(INDEX(MASTER!$R$2:$R$2000,MATCH($A291,MASTER!$A$2:$A$2000,0))&amp;"","")</f>
        <v/>
      </c>
    </row>
    <row r="292" spans="1:12" x14ac:dyDescent="0.25">
      <c r="A292" s="15" t="s">
        <v>1296</v>
      </c>
      <c r="B292" s="12" t="str">
        <f>IFERROR(INDEX(MASTER!$C$2:$C$2000,MATCH($A292,MASTER!$A$2:$A$2000,0))&amp;"","")</f>
        <v>TESTING</v>
      </c>
      <c r="C292" s="16">
        <f>IFERROR(INDEX(MASTER!$B$2:$B$2000,MATCH($A292,MASTER!$A$2:$A$2000,0)),"")</f>
        <v>17</v>
      </c>
      <c r="D292" s="12" t="str">
        <f>IFERROR(INDEX(MASTER!$D$2:$D$2000,MATCH($A292,MASTER!$A$2:$A$2000,0))&amp;"","")</f>
        <v>E2E backend removes its temp directory</v>
      </c>
      <c r="E292" s="12" t="str">
        <f>IFERROR(INDEX(MASTER!$F$2:$F$2000,MATCH($A292,MASTER!$A$2:$A$2000,0))&amp;"","")</f>
        <v>P3</v>
      </c>
      <c r="F292" s="12" t="str">
        <f>IFERROR(INDEX(MASTER!$G$2:$G$2000,MATCH($A292,MASTER!$A$2:$A$2000,0))&amp;"","NOT IN MASTER")</f>
        <v>NOT_STARTED</v>
      </c>
      <c r="G292" s="12" t="str">
        <f>IFERROR(INDEX(MASTER!$H$2:$H$2000,MATCH($A292,MASTER!$A$2:$A$2000,0))&amp;"","")</f>
        <v/>
      </c>
      <c r="H292" s="12" t="str">
        <f>IFERROR(INDEX(MASTER!$I$2:$I$2000,MATCH($A292,MASTER!$A$2:$A$2000,0))&amp;"","")</f>
        <v/>
      </c>
      <c r="I292" s="19" t="str">
        <f>IFERROR(IF(INDEX(MASTER!$O$2:$O$2000,MATCH($A292,MASTER!$A$2:$A$2000,0))="","",INDEX(MASTER!$O$2:$O$2000,MATCH($A292,MASTER!$A$2:$A$2000,0))),"")</f>
        <v/>
      </c>
      <c r="J292" s="12" t="str">
        <f>IFERROR(INDEX(MASTER!$P$2:$P$2000,MATCH($A292,MASTER!$A$2:$A$2000,0))&amp;"","")</f>
        <v/>
      </c>
      <c r="K292" s="12" t="str">
        <f>IFERROR(INDEX(MASTER!$Q$2:$Q$2000,MATCH($A292,MASTER!$A$2:$A$2000,0))&amp;"","")</f>
        <v/>
      </c>
      <c r="L292" s="12" t="str">
        <f>IFERROR(INDEX(MASTER!$R$2:$R$2000,MATCH($A292,MASTER!$A$2:$A$2000,0))&amp;"","")</f>
        <v/>
      </c>
    </row>
  </sheetData>
  <autoFilter ref="A275:L292" xr:uid="{00000000-0009-0000-0000-00000B000000}"/>
  <conditionalFormatting sqref="C8:C27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76:E292">
    <cfRule type="cellIs" dxfId="125" priority="22" operator="equal">
      <formula>"P0"</formula>
    </cfRule>
    <cfRule type="cellIs" dxfId="124" priority="23" operator="equal">
      <formula>"P1"</formula>
    </cfRule>
  </conditionalFormatting>
  <conditionalFormatting sqref="F276:F29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7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1919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1920</v>
      </c>
    </row>
    <row r="7" spans="1:8" ht="25.5" x14ac:dyDescent="0.25">
      <c r="A7" s="10" t="s">
        <v>1921</v>
      </c>
      <c r="B7" s="10" t="s">
        <v>1922</v>
      </c>
      <c r="C7" s="10" t="s">
        <v>1923</v>
      </c>
      <c r="D7" s="10" t="s">
        <v>1924</v>
      </c>
      <c r="E7" s="10" t="s">
        <v>1925</v>
      </c>
      <c r="F7" s="10" t="s">
        <v>174</v>
      </c>
    </row>
    <row r="8" spans="1:8" x14ac:dyDescent="0.25">
      <c r="A8" s="15" t="s">
        <v>1926</v>
      </c>
      <c r="B8" s="12" t="s">
        <v>1927</v>
      </c>
      <c r="C8" s="18" t="s">
        <v>1928</v>
      </c>
      <c r="D8" s="16">
        <f>SUMPRODUCT(ISNUMBER(SEARCH(","&amp;MASTER!$A$2:$A$2000&amp;",",","&amp;SUBSTITUTE($C8," ","")&amp;","))*((MASTER!$G$2:$G$2000="DONE")))</f>
        <v>3</v>
      </c>
      <c r="E8" s="16">
        <f t="shared" ref="E8:E39" si="0">IF(LEN(SUBSTITUTE($C8," ",""))=0,0,LEN(SUBSTITUTE($C8," ",""))-LEN(SUBSTITUTE(SUBSTITUTE($C8," ",""),",",""))+1)</f>
        <v>3</v>
      </c>
      <c r="F8" s="18" t="s">
        <v>1929</v>
      </c>
    </row>
    <row r="9" spans="1:8" x14ac:dyDescent="0.25">
      <c r="A9" s="15" t="s">
        <v>1930</v>
      </c>
      <c r="B9" s="12" t="s">
        <v>1927</v>
      </c>
      <c r="C9" s="18" t="s">
        <v>1931</v>
      </c>
      <c r="D9" s="16">
        <f>SUMPRODUCT(ISNUMBER(SEARCH(","&amp;MASTER!$A$2:$A$2000&amp;",",","&amp;SUBSTITUTE($C9," ","")&amp;","))*((MASTER!$G$2:$G$2000="DONE")))</f>
        <v>2</v>
      </c>
      <c r="E9" s="16">
        <f t="shared" si="0"/>
        <v>2</v>
      </c>
      <c r="F9" s="18" t="s">
        <v>1932</v>
      </c>
    </row>
    <row r="10" spans="1:8" x14ac:dyDescent="0.25">
      <c r="A10" s="15" t="s">
        <v>1933</v>
      </c>
      <c r="B10" s="12" t="s">
        <v>1927</v>
      </c>
      <c r="C10" s="18" t="s">
        <v>1934</v>
      </c>
      <c r="D10" s="16">
        <f>SUMPRODUCT(ISNUMBER(SEARCH(","&amp;MASTER!$A$2:$A$2000&amp;",",","&amp;SUBSTITUTE($C10," ","")&amp;","))*((MASTER!$G$2:$G$2000="DONE")))</f>
        <v>3</v>
      </c>
      <c r="E10" s="16">
        <f t="shared" si="0"/>
        <v>3</v>
      </c>
      <c r="F10" s="18" t="s">
        <v>1935</v>
      </c>
    </row>
    <row r="11" spans="1:8" x14ac:dyDescent="0.25">
      <c r="A11" s="15" t="s">
        <v>1936</v>
      </c>
      <c r="B11" s="12" t="s">
        <v>1927</v>
      </c>
      <c r="C11" s="18" t="s">
        <v>1937</v>
      </c>
      <c r="D11" s="16">
        <f>SUMPRODUCT(ISNUMBER(SEARCH(","&amp;MASTER!$A$2:$A$2000&amp;",",","&amp;SUBSTITUTE($C11," ","")&amp;","))*((MASTER!$G$2:$G$2000="DONE")))</f>
        <v>3</v>
      </c>
      <c r="E11" s="16">
        <f t="shared" si="0"/>
        <v>3</v>
      </c>
      <c r="F11" s="18" t="s">
        <v>1938</v>
      </c>
    </row>
    <row r="12" spans="1:8" x14ac:dyDescent="0.25">
      <c r="A12" s="15" t="s">
        <v>1939</v>
      </c>
      <c r="B12" s="12" t="s">
        <v>1927</v>
      </c>
      <c r="C12" s="18" t="s">
        <v>1940</v>
      </c>
      <c r="D12" s="16">
        <f>SUMPRODUCT(ISNUMBER(SEARCH(","&amp;MASTER!$A$2:$A$2000&amp;",",","&amp;SUBSTITUTE($C12," ","")&amp;","))*((MASTER!$G$2:$G$2000="DONE")))</f>
        <v>2</v>
      </c>
      <c r="E12" s="16">
        <f t="shared" si="0"/>
        <v>2</v>
      </c>
      <c r="F12" s="18" t="s">
        <v>1941</v>
      </c>
    </row>
    <row r="13" spans="1:8" x14ac:dyDescent="0.25">
      <c r="A13" s="15" t="s">
        <v>77</v>
      </c>
      <c r="B13" s="12" t="s">
        <v>1927</v>
      </c>
      <c r="C13" s="18" t="s">
        <v>1942</v>
      </c>
      <c r="D13" s="16">
        <f>SUMPRODUCT(ISNUMBER(SEARCH(","&amp;MASTER!$A$2:$A$2000&amp;",",","&amp;SUBSTITUTE($C13," ","")&amp;","))*((MASTER!$G$2:$G$2000="DONE")))</f>
        <v>2</v>
      </c>
      <c r="E13" s="16">
        <f t="shared" si="0"/>
        <v>2</v>
      </c>
      <c r="F13" s="18" t="s">
        <v>1943</v>
      </c>
    </row>
    <row r="14" spans="1:8" x14ac:dyDescent="0.25">
      <c r="A14" s="15" t="s">
        <v>1134</v>
      </c>
      <c r="B14" s="12" t="s">
        <v>1927</v>
      </c>
      <c r="C14" s="18" t="s">
        <v>1944</v>
      </c>
      <c r="D14" s="16">
        <f>SUMPRODUCT(ISNUMBER(SEARCH(","&amp;MASTER!$A$2:$A$2000&amp;",",","&amp;SUBSTITUTE($C14," ","")&amp;","))*((MASTER!$G$2:$G$2000="DONE")))</f>
        <v>2</v>
      </c>
      <c r="E14" s="16">
        <f t="shared" si="0"/>
        <v>2</v>
      </c>
      <c r="F14" s="18" t="s">
        <v>1945</v>
      </c>
    </row>
    <row r="15" spans="1:8" x14ac:dyDescent="0.25">
      <c r="A15" s="15" t="s">
        <v>1946</v>
      </c>
      <c r="B15" s="12" t="s">
        <v>1927</v>
      </c>
      <c r="C15" s="18" t="s">
        <v>1947</v>
      </c>
      <c r="D15" s="16">
        <f>SUMPRODUCT(ISNUMBER(SEARCH(","&amp;MASTER!$A$2:$A$2000&amp;",",","&amp;SUBSTITUTE($C15," ","")&amp;","))*((MASTER!$G$2:$G$2000="DONE")))</f>
        <v>2</v>
      </c>
      <c r="E15" s="16">
        <f t="shared" si="0"/>
        <v>2</v>
      </c>
      <c r="F15" s="18" t="s">
        <v>1948</v>
      </c>
    </row>
    <row r="16" spans="1:8" x14ac:dyDescent="0.25">
      <c r="A16" s="15" t="s">
        <v>86</v>
      </c>
      <c r="B16" s="12" t="s">
        <v>1927</v>
      </c>
      <c r="C16" s="18" t="s">
        <v>1949</v>
      </c>
      <c r="D16" s="16">
        <f>SUMPRODUCT(ISNUMBER(SEARCH(","&amp;MASTER!$A$2:$A$2000&amp;",",","&amp;SUBSTITUTE($C16," ","")&amp;","))*((MASTER!$G$2:$G$2000="DONE")))</f>
        <v>2</v>
      </c>
      <c r="E16" s="16">
        <f t="shared" si="0"/>
        <v>2</v>
      </c>
      <c r="F16" s="18" t="s">
        <v>1950</v>
      </c>
    </row>
    <row r="17" spans="1:6" x14ac:dyDescent="0.25">
      <c r="A17" s="15" t="s">
        <v>83</v>
      </c>
      <c r="B17" s="12" t="s">
        <v>1927</v>
      </c>
      <c r="C17" s="18" t="s">
        <v>1951</v>
      </c>
      <c r="D17" s="16">
        <f>SUMPRODUCT(ISNUMBER(SEARCH(","&amp;MASTER!$A$2:$A$2000&amp;",",","&amp;SUBSTITUTE($C17," ","")&amp;","))*((MASTER!$G$2:$G$2000="DONE")))</f>
        <v>3</v>
      </c>
      <c r="E17" s="16">
        <f t="shared" si="0"/>
        <v>3</v>
      </c>
      <c r="F17" s="18" t="s">
        <v>1952</v>
      </c>
    </row>
    <row r="18" spans="1:6" x14ac:dyDescent="0.25">
      <c r="A18" s="15" t="s">
        <v>1953</v>
      </c>
      <c r="B18" s="12" t="s">
        <v>1927</v>
      </c>
      <c r="C18" s="18" t="s">
        <v>1043</v>
      </c>
      <c r="D18" s="16">
        <f>SUMPRODUCT(ISNUMBER(SEARCH(","&amp;MASTER!$A$2:$A$2000&amp;",",","&amp;SUBSTITUTE($C18," ","")&amp;","))*((MASTER!$G$2:$G$2000="DONE")))</f>
        <v>1</v>
      </c>
      <c r="E18" s="16">
        <f t="shared" si="0"/>
        <v>1</v>
      </c>
      <c r="F18" s="18" t="s">
        <v>1954</v>
      </c>
    </row>
    <row r="19" spans="1:6" x14ac:dyDescent="0.25">
      <c r="A19" s="15" t="s">
        <v>1955</v>
      </c>
      <c r="B19" s="12" t="s">
        <v>1927</v>
      </c>
      <c r="C19" s="18" t="s">
        <v>1956</v>
      </c>
      <c r="D19" s="16">
        <f>SUMPRODUCT(ISNUMBER(SEARCH(","&amp;MASTER!$A$2:$A$2000&amp;",",","&amp;SUBSTITUTE($C19," ","")&amp;","))*((MASTER!$G$2:$G$2000="DONE")))</f>
        <v>2</v>
      </c>
      <c r="E19" s="16">
        <f t="shared" si="0"/>
        <v>2</v>
      </c>
      <c r="F19" s="18" t="s">
        <v>1957</v>
      </c>
    </row>
    <row r="20" spans="1:6" x14ac:dyDescent="0.25">
      <c r="A20" s="15" t="s">
        <v>1958</v>
      </c>
      <c r="B20" s="12" t="s">
        <v>1927</v>
      </c>
      <c r="C20" s="18" t="s">
        <v>1959</v>
      </c>
      <c r="D20" s="16">
        <f>SUMPRODUCT(ISNUMBER(SEARCH(","&amp;MASTER!$A$2:$A$2000&amp;",",","&amp;SUBSTITUTE($C20," ","")&amp;","))*((MASTER!$G$2:$G$2000="DONE")))</f>
        <v>2</v>
      </c>
      <c r="E20" s="16">
        <f t="shared" si="0"/>
        <v>2</v>
      </c>
      <c r="F20" s="18" t="s">
        <v>1960</v>
      </c>
    </row>
    <row r="21" spans="1:6" x14ac:dyDescent="0.25">
      <c r="A21" s="15" t="s">
        <v>1961</v>
      </c>
      <c r="B21" s="12" t="s">
        <v>1927</v>
      </c>
      <c r="C21" s="18" t="s">
        <v>1137</v>
      </c>
      <c r="D21" s="16">
        <f>SUMPRODUCT(ISNUMBER(SEARCH(","&amp;MASTER!$A$2:$A$2000&amp;",",","&amp;SUBSTITUTE($C21," ","")&amp;","))*((MASTER!$G$2:$G$2000="DONE")))</f>
        <v>1</v>
      </c>
      <c r="E21" s="16">
        <f t="shared" si="0"/>
        <v>1</v>
      </c>
      <c r="F21" s="18" t="s">
        <v>1960</v>
      </c>
    </row>
    <row r="22" spans="1:6" x14ac:dyDescent="0.25">
      <c r="A22" s="15" t="s">
        <v>1962</v>
      </c>
      <c r="B22" s="12" t="s">
        <v>1927</v>
      </c>
      <c r="C22" s="18" t="s">
        <v>1097</v>
      </c>
      <c r="D22" s="16">
        <f>SUMPRODUCT(ISNUMBER(SEARCH(","&amp;MASTER!$A$2:$A$2000&amp;",",","&amp;SUBSTITUTE($C22," ","")&amp;","))*((MASTER!$G$2:$G$2000="DONE")))</f>
        <v>1</v>
      </c>
      <c r="E22" s="16">
        <f t="shared" si="0"/>
        <v>1</v>
      </c>
      <c r="F22" s="18" t="s">
        <v>1963</v>
      </c>
    </row>
    <row r="23" spans="1:6" x14ac:dyDescent="0.25">
      <c r="A23" s="15" t="s">
        <v>1964</v>
      </c>
      <c r="B23" s="12" t="s">
        <v>1927</v>
      </c>
      <c r="C23" s="18" t="s">
        <v>1097</v>
      </c>
      <c r="D23" s="16">
        <f>SUMPRODUCT(ISNUMBER(SEARCH(","&amp;MASTER!$A$2:$A$2000&amp;",",","&amp;SUBSTITUTE($C23," ","")&amp;","))*((MASTER!$G$2:$G$2000="DONE")))</f>
        <v>1</v>
      </c>
      <c r="E23" s="16">
        <f t="shared" si="0"/>
        <v>1</v>
      </c>
      <c r="F23" s="18" t="s">
        <v>1963</v>
      </c>
    </row>
    <row r="24" spans="1:6" x14ac:dyDescent="0.25">
      <c r="A24" s="15" t="s">
        <v>1965</v>
      </c>
      <c r="B24" s="12" t="s">
        <v>1927</v>
      </c>
      <c r="C24" s="18" t="s">
        <v>609</v>
      </c>
      <c r="D24" s="16">
        <f>SUMPRODUCT(ISNUMBER(SEARCH(","&amp;MASTER!$A$2:$A$2000&amp;",",","&amp;SUBSTITUTE($C24," ","")&amp;","))*((MASTER!$G$2:$G$2000="DONE")))</f>
        <v>1</v>
      </c>
      <c r="E24" s="16">
        <f t="shared" si="0"/>
        <v>1</v>
      </c>
      <c r="F24" s="18" t="s">
        <v>1966</v>
      </c>
    </row>
    <row r="25" spans="1:6" x14ac:dyDescent="0.25">
      <c r="A25" s="15" t="s">
        <v>1967</v>
      </c>
      <c r="B25" s="12" t="s">
        <v>1927</v>
      </c>
      <c r="C25" s="18" t="s">
        <v>609</v>
      </c>
      <c r="D25" s="16">
        <f>SUMPRODUCT(ISNUMBER(SEARCH(","&amp;MASTER!$A$2:$A$2000&amp;",",","&amp;SUBSTITUTE($C25," ","")&amp;","))*((MASTER!$G$2:$G$2000="DONE")))</f>
        <v>1</v>
      </c>
      <c r="E25" s="16">
        <f t="shared" si="0"/>
        <v>1</v>
      </c>
      <c r="F25" s="18" t="s">
        <v>1968</v>
      </c>
    </row>
    <row r="26" spans="1:6" x14ac:dyDescent="0.25">
      <c r="A26" s="15" t="s">
        <v>1969</v>
      </c>
      <c r="B26" s="12" t="s">
        <v>1927</v>
      </c>
      <c r="C26" s="18" t="s">
        <v>647</v>
      </c>
      <c r="D26" s="16">
        <f>SUMPRODUCT(ISNUMBER(SEARCH(","&amp;MASTER!$A$2:$A$2000&amp;",",","&amp;SUBSTITUTE($C26," ","")&amp;","))*((MASTER!$G$2:$G$2000="DONE")))</f>
        <v>1</v>
      </c>
      <c r="E26" s="16">
        <f t="shared" si="0"/>
        <v>1</v>
      </c>
      <c r="F26" s="18" t="s">
        <v>1970</v>
      </c>
    </row>
    <row r="27" spans="1:6" ht="25.5" x14ac:dyDescent="0.25">
      <c r="A27" s="15" t="s">
        <v>1971</v>
      </c>
      <c r="B27" s="12" t="s">
        <v>1927</v>
      </c>
      <c r="C27" s="18" t="s">
        <v>1361</v>
      </c>
      <c r="D27" s="16">
        <f>SUMPRODUCT(ISNUMBER(SEARCH(","&amp;MASTER!$A$2:$A$2000&amp;",",","&amp;SUBSTITUTE($C27," ","")&amp;","))*((MASTER!$G$2:$G$2000="DONE")))</f>
        <v>2</v>
      </c>
      <c r="E27" s="16">
        <f t="shared" si="0"/>
        <v>2</v>
      </c>
      <c r="F27" s="18" t="s">
        <v>1972</v>
      </c>
    </row>
    <row r="28" spans="1:6" x14ac:dyDescent="0.25">
      <c r="A28" s="15" t="s">
        <v>1973</v>
      </c>
      <c r="B28" s="12" t="s">
        <v>1974</v>
      </c>
      <c r="C28" s="18"/>
      <c r="D28" s="16">
        <f>SUMPRODUCT(ISNUMBER(SEARCH(","&amp;MASTER!$A$2:$A$2000&amp;",",","&amp;SUBSTITUTE($C28," ","")&amp;","))*((MASTER!$G$2:$G$2000="DONE")))</f>
        <v>0</v>
      </c>
      <c r="E28" s="16">
        <f t="shared" si="0"/>
        <v>0</v>
      </c>
      <c r="F28" s="18" t="s">
        <v>1975</v>
      </c>
    </row>
    <row r="29" spans="1:6" x14ac:dyDescent="0.25">
      <c r="A29" s="15" t="s">
        <v>1976</v>
      </c>
      <c r="B29" s="12" t="s">
        <v>1974</v>
      </c>
      <c r="C29" s="18"/>
      <c r="D29" s="16">
        <f>SUMPRODUCT(ISNUMBER(SEARCH(","&amp;MASTER!$A$2:$A$2000&amp;",",","&amp;SUBSTITUTE($C29," ","")&amp;","))*((MASTER!$G$2:$G$2000="DONE")))</f>
        <v>0</v>
      </c>
      <c r="E29" s="16">
        <f t="shared" si="0"/>
        <v>0</v>
      </c>
      <c r="F29" s="18"/>
    </row>
    <row r="30" spans="1:6" x14ac:dyDescent="0.25">
      <c r="A30" s="15" t="s">
        <v>1205</v>
      </c>
      <c r="B30" s="12" t="s">
        <v>1974</v>
      </c>
      <c r="C30" s="18" t="s">
        <v>1204</v>
      </c>
      <c r="D30" s="16">
        <f>SUMPRODUCT(ISNUMBER(SEARCH(","&amp;MASTER!$A$2:$A$2000&amp;",",","&amp;SUBSTITUTE($C30," ","")&amp;","))*((MASTER!$G$2:$G$2000="DONE")))</f>
        <v>0</v>
      </c>
      <c r="E30" s="16">
        <f t="shared" si="0"/>
        <v>1</v>
      </c>
      <c r="F30" s="18" t="s">
        <v>1977</v>
      </c>
    </row>
    <row r="31" spans="1:6" x14ac:dyDescent="0.25">
      <c r="A31" s="15" t="s">
        <v>1209</v>
      </c>
      <c r="B31" s="12" t="s">
        <v>1974</v>
      </c>
      <c r="C31" s="18" t="s">
        <v>1208</v>
      </c>
      <c r="D31" s="16">
        <f>SUMPRODUCT(ISNUMBER(SEARCH(","&amp;MASTER!$A$2:$A$2000&amp;",",","&amp;SUBSTITUTE($C31," ","")&amp;","))*((MASTER!$G$2:$G$2000="DONE")))</f>
        <v>0</v>
      </c>
      <c r="E31" s="16">
        <f t="shared" si="0"/>
        <v>1</v>
      </c>
      <c r="F31" s="18" t="s">
        <v>1977</v>
      </c>
    </row>
    <row r="32" spans="1:6" x14ac:dyDescent="0.25">
      <c r="A32" s="15" t="s">
        <v>1212</v>
      </c>
      <c r="B32" s="12" t="s">
        <v>1974</v>
      </c>
      <c r="C32" s="18" t="s">
        <v>1211</v>
      </c>
      <c r="D32" s="16">
        <f>SUMPRODUCT(ISNUMBER(SEARCH(","&amp;MASTER!$A$2:$A$2000&amp;",",","&amp;SUBSTITUTE($C32," ","")&amp;","))*((MASTER!$G$2:$G$2000="DONE")))</f>
        <v>0</v>
      </c>
      <c r="E32" s="16">
        <f t="shared" si="0"/>
        <v>1</v>
      </c>
      <c r="F32" s="18" t="s">
        <v>1978</v>
      </c>
    </row>
    <row r="33" spans="1:6" x14ac:dyDescent="0.25">
      <c r="A33" s="15" t="s">
        <v>1199</v>
      </c>
      <c r="B33" s="12" t="s">
        <v>1974</v>
      </c>
      <c r="C33" s="18" t="s">
        <v>1198</v>
      </c>
      <c r="D33" s="16">
        <f>SUMPRODUCT(ISNUMBER(SEARCH(","&amp;MASTER!$A$2:$A$2000&amp;",",","&amp;SUBSTITUTE($C33," ","")&amp;","))*((MASTER!$G$2:$G$2000="DONE")))</f>
        <v>0</v>
      </c>
      <c r="E33" s="16">
        <f t="shared" si="0"/>
        <v>1</v>
      </c>
      <c r="F33" s="18" t="s">
        <v>1975</v>
      </c>
    </row>
    <row r="34" spans="1:6" x14ac:dyDescent="0.25">
      <c r="A34" s="15" t="s">
        <v>1979</v>
      </c>
      <c r="B34" s="12" t="s">
        <v>1974</v>
      </c>
      <c r="C34" s="18" t="s">
        <v>1198</v>
      </c>
      <c r="D34" s="16">
        <f>SUMPRODUCT(ISNUMBER(SEARCH(","&amp;MASTER!$A$2:$A$2000&amp;",",","&amp;SUBSTITUTE($C34," ","")&amp;","))*((MASTER!$G$2:$G$2000="DONE")))</f>
        <v>0</v>
      </c>
      <c r="E34" s="16">
        <f t="shared" si="0"/>
        <v>1</v>
      </c>
      <c r="F34" s="18"/>
    </row>
    <row r="35" spans="1:6" x14ac:dyDescent="0.25">
      <c r="A35" s="15" t="s">
        <v>1980</v>
      </c>
      <c r="B35" s="12" t="s">
        <v>1974</v>
      </c>
      <c r="C35" s="18" t="s">
        <v>1198</v>
      </c>
      <c r="D35" s="16">
        <f>SUMPRODUCT(ISNUMBER(SEARCH(","&amp;MASTER!$A$2:$A$2000&amp;",",","&amp;SUBSTITUTE($C35," ","")&amp;","))*((MASTER!$G$2:$G$2000="DONE")))</f>
        <v>0</v>
      </c>
      <c r="E35" s="16">
        <f t="shared" si="0"/>
        <v>1</v>
      </c>
      <c r="F35" s="18"/>
    </row>
    <row r="36" spans="1:6" x14ac:dyDescent="0.25">
      <c r="A36" s="15" t="s">
        <v>1215</v>
      </c>
      <c r="B36" s="12" t="s">
        <v>1974</v>
      </c>
      <c r="C36" s="18" t="s">
        <v>1214</v>
      </c>
      <c r="D36" s="16">
        <f>SUMPRODUCT(ISNUMBER(SEARCH(","&amp;MASTER!$A$2:$A$2000&amp;",",","&amp;SUBSTITUTE($C36," ","")&amp;","))*((MASTER!$G$2:$G$2000="DONE")))</f>
        <v>1</v>
      </c>
      <c r="E36" s="16">
        <f t="shared" si="0"/>
        <v>1</v>
      </c>
      <c r="F36" s="18" t="s">
        <v>1981</v>
      </c>
    </row>
    <row r="37" spans="1:6" x14ac:dyDescent="0.25">
      <c r="A37" s="15" t="s">
        <v>1982</v>
      </c>
      <c r="B37" s="12" t="s">
        <v>1974</v>
      </c>
      <c r="C37" s="18" t="s">
        <v>1214</v>
      </c>
      <c r="D37" s="16">
        <f>SUMPRODUCT(ISNUMBER(SEARCH(","&amp;MASTER!$A$2:$A$2000&amp;",",","&amp;SUBSTITUTE($C37," ","")&amp;","))*((MASTER!$G$2:$G$2000="DONE")))</f>
        <v>1</v>
      </c>
      <c r="E37" s="16">
        <f t="shared" si="0"/>
        <v>1</v>
      </c>
      <c r="F37" s="18"/>
    </row>
    <row r="38" spans="1:6" x14ac:dyDescent="0.25">
      <c r="A38" s="15" t="s">
        <v>1983</v>
      </c>
      <c r="B38" s="12" t="s">
        <v>1974</v>
      </c>
      <c r="C38" s="18" t="s">
        <v>1172</v>
      </c>
      <c r="D38" s="16">
        <f>SUMPRODUCT(ISNUMBER(SEARCH(","&amp;MASTER!$A$2:$A$2000&amp;",",","&amp;SUBSTITUTE($C38," ","")&amp;","))*((MASTER!$G$2:$G$2000="DONE")))</f>
        <v>1</v>
      </c>
      <c r="E38" s="16">
        <f t="shared" si="0"/>
        <v>1</v>
      </c>
      <c r="F38" s="18"/>
    </row>
    <row r="39" spans="1:6" x14ac:dyDescent="0.25">
      <c r="A39" s="15" t="s">
        <v>1984</v>
      </c>
      <c r="B39" s="12" t="s">
        <v>1974</v>
      </c>
      <c r="C39" s="18" t="s">
        <v>1985</v>
      </c>
      <c r="D39" s="16">
        <f>SUMPRODUCT(ISNUMBER(SEARCH(","&amp;MASTER!$A$2:$A$2000&amp;",",","&amp;SUBSTITUTE($C39," ","")&amp;","))*((MASTER!$G$2:$G$2000="DONE")))</f>
        <v>2</v>
      </c>
      <c r="E39" s="16">
        <f t="shared" si="0"/>
        <v>2</v>
      </c>
      <c r="F39" s="18"/>
    </row>
    <row r="40" spans="1:6" x14ac:dyDescent="0.25">
      <c r="A40" s="15" t="s">
        <v>1986</v>
      </c>
      <c r="B40" s="12" t="s">
        <v>1974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1987</v>
      </c>
      <c r="B41" s="12" t="s">
        <v>1974</v>
      </c>
      <c r="C41" s="18"/>
      <c r="D41" s="16">
        <f>SUMPRODUCT(ISNUMBER(SEARCH(","&amp;MASTER!$A$2:$A$2000&amp;",",","&amp;SUBSTITUTE($C41," ","")&amp;","))*((MASTER!$G$2:$G$2000="DONE")))</f>
        <v>0</v>
      </c>
      <c r="E41" s="16">
        <f t="shared" si="1"/>
        <v>0</v>
      </c>
      <c r="F41" s="18"/>
    </row>
    <row r="42" spans="1:6" x14ac:dyDescent="0.25">
      <c r="A42" s="15" t="s">
        <v>1988</v>
      </c>
      <c r="B42" s="12" t="s">
        <v>1974</v>
      </c>
      <c r="C42" s="18"/>
      <c r="D42" s="16">
        <f>SUMPRODUCT(ISNUMBER(SEARCH(","&amp;MASTER!$A$2:$A$2000&amp;",",","&amp;SUBSTITUTE($C42," ","")&amp;","))*((MASTER!$G$2:$G$2000="DONE")))</f>
        <v>0</v>
      </c>
      <c r="E42" s="16">
        <f t="shared" si="1"/>
        <v>0</v>
      </c>
      <c r="F42" s="18"/>
    </row>
    <row r="43" spans="1:6" x14ac:dyDescent="0.25">
      <c r="A43" s="15" t="s">
        <v>1202</v>
      </c>
      <c r="B43" s="12" t="s">
        <v>1974</v>
      </c>
      <c r="C43" s="18" t="s">
        <v>1201</v>
      </c>
      <c r="D43" s="16">
        <f>SUMPRODUCT(ISNUMBER(SEARCH(","&amp;MASTER!$A$2:$A$2000&amp;",",","&amp;SUBSTITUTE($C43," ","")&amp;","))*((MASTER!$G$2:$G$2000="DONE")))</f>
        <v>0</v>
      </c>
      <c r="E43" s="16">
        <f t="shared" si="1"/>
        <v>1</v>
      </c>
      <c r="F43" s="18"/>
    </row>
    <row r="44" spans="1:6" x14ac:dyDescent="0.25">
      <c r="A44" s="15" t="s">
        <v>1989</v>
      </c>
      <c r="B44" s="12" t="s">
        <v>1974</v>
      </c>
      <c r="C44" s="18" t="s">
        <v>1201</v>
      </c>
      <c r="D44" s="16">
        <f>SUMPRODUCT(ISNUMBER(SEARCH(","&amp;MASTER!$A$2:$A$2000&amp;",",","&amp;SUBSTITUTE($C44," ","")&amp;","))*((MASTER!$G$2:$G$2000="DONE")))</f>
        <v>0</v>
      </c>
      <c r="E44" s="16">
        <f t="shared" si="1"/>
        <v>1</v>
      </c>
      <c r="F44" s="18"/>
    </row>
    <row r="45" spans="1:6" x14ac:dyDescent="0.25">
      <c r="A45" s="15" t="s">
        <v>1990</v>
      </c>
      <c r="B45" s="12" t="s">
        <v>1974</v>
      </c>
      <c r="C45" s="18" t="s">
        <v>1152</v>
      </c>
      <c r="D45" s="16">
        <f>SUMPRODUCT(ISNUMBER(SEARCH(","&amp;MASTER!$A$2:$A$2000&amp;",",","&amp;SUBSTITUTE($C45," ","")&amp;","))*((MASTER!$G$2:$G$2000="DONE")))</f>
        <v>1</v>
      </c>
      <c r="E45" s="16">
        <f t="shared" si="1"/>
        <v>1</v>
      </c>
      <c r="F45" s="18"/>
    </row>
    <row r="46" spans="1:6" x14ac:dyDescent="0.25">
      <c r="A46" s="15" t="s">
        <v>1991</v>
      </c>
      <c r="B46" s="12" t="s">
        <v>1974</v>
      </c>
      <c r="C46" s="18" t="s">
        <v>1152</v>
      </c>
      <c r="D46" s="16">
        <f>SUMPRODUCT(ISNUMBER(SEARCH(","&amp;MASTER!$A$2:$A$2000&amp;",",","&amp;SUBSTITUTE($C46," ","")&amp;","))*((MASTER!$G$2:$G$2000="DONE")))</f>
        <v>1</v>
      </c>
      <c r="E46" s="16">
        <f t="shared" si="1"/>
        <v>1</v>
      </c>
      <c r="F46" s="18"/>
    </row>
    <row r="47" spans="1:6" x14ac:dyDescent="0.25">
      <c r="A47" s="15" t="s">
        <v>1992</v>
      </c>
      <c r="B47" s="12" t="s">
        <v>1974</v>
      </c>
      <c r="C47" s="18"/>
      <c r="D47" s="16">
        <f>SUMPRODUCT(ISNUMBER(SEARCH(","&amp;MASTER!$A$2:$A$2000&amp;",",","&amp;SUBSTITUTE($C47," ","")&amp;","))*((MASTER!$G$2:$G$2000="DONE")))</f>
        <v>0</v>
      </c>
      <c r="E47" s="16">
        <f t="shared" si="1"/>
        <v>0</v>
      </c>
      <c r="F47" s="18"/>
    </row>
    <row r="48" spans="1:6" x14ac:dyDescent="0.25">
      <c r="A48" s="15" t="s">
        <v>1993</v>
      </c>
      <c r="B48" s="12" t="s">
        <v>1974</v>
      </c>
      <c r="C48" s="18"/>
      <c r="D48" s="16">
        <f>SUMPRODUCT(ISNUMBER(SEARCH(","&amp;MASTER!$A$2:$A$2000&amp;",",","&amp;SUBSTITUTE($C48," ","")&amp;","))*((MASTER!$G$2:$G$2000="DONE")))</f>
        <v>0</v>
      </c>
      <c r="E48" s="16">
        <f t="shared" si="1"/>
        <v>0</v>
      </c>
      <c r="F48" s="18" t="s">
        <v>1975</v>
      </c>
    </row>
    <row r="49" spans="1:6" x14ac:dyDescent="0.25">
      <c r="A49" s="15" t="s">
        <v>1994</v>
      </c>
      <c r="B49" s="12" t="s">
        <v>1974</v>
      </c>
      <c r="C49" s="18"/>
      <c r="D49" s="16">
        <f>SUMPRODUCT(ISNUMBER(SEARCH(","&amp;MASTER!$A$2:$A$2000&amp;",",","&amp;SUBSTITUTE($C49," ","")&amp;","))*((MASTER!$G$2:$G$2000="DONE")))</f>
        <v>0</v>
      </c>
      <c r="E49" s="16">
        <f t="shared" si="1"/>
        <v>0</v>
      </c>
      <c r="F49" s="18" t="s">
        <v>1975</v>
      </c>
    </row>
    <row r="50" spans="1:6" x14ac:dyDescent="0.25">
      <c r="A50" s="15" t="s">
        <v>1995</v>
      </c>
      <c r="B50" s="12" t="s">
        <v>1974</v>
      </c>
      <c r="C50" s="18"/>
      <c r="D50" s="16">
        <f>SUMPRODUCT(ISNUMBER(SEARCH(","&amp;MASTER!$A$2:$A$2000&amp;",",","&amp;SUBSTITUTE($C50," ","")&amp;","))*((MASTER!$G$2:$G$2000="DONE")))</f>
        <v>0</v>
      </c>
      <c r="E50" s="16">
        <f t="shared" si="1"/>
        <v>0</v>
      </c>
      <c r="F50" s="18" t="s">
        <v>1975</v>
      </c>
    </row>
    <row r="51" spans="1:6" x14ac:dyDescent="0.25">
      <c r="A51" s="15" t="s">
        <v>1996</v>
      </c>
      <c r="B51" s="12" t="s">
        <v>1974</v>
      </c>
      <c r="C51" s="18" t="s">
        <v>1076</v>
      </c>
      <c r="D51" s="16">
        <f>SUMPRODUCT(ISNUMBER(SEARCH(","&amp;MASTER!$A$2:$A$2000&amp;",",","&amp;SUBSTITUTE($C51," ","")&amp;","))*((MASTER!$G$2:$G$2000="DONE")))</f>
        <v>1</v>
      </c>
      <c r="E51" s="16">
        <f t="shared" si="1"/>
        <v>1</v>
      </c>
      <c r="F51" s="18"/>
    </row>
    <row r="52" spans="1:6" x14ac:dyDescent="0.25">
      <c r="A52" s="15" t="s">
        <v>1997</v>
      </c>
      <c r="B52" s="12" t="s">
        <v>1974</v>
      </c>
      <c r="C52" s="18" t="s">
        <v>1076</v>
      </c>
      <c r="D52" s="16">
        <f>SUMPRODUCT(ISNUMBER(SEARCH(","&amp;MASTER!$A$2:$A$2000&amp;",",","&amp;SUBSTITUTE($C52," ","")&amp;","))*((MASTER!$G$2:$G$2000="DONE")))</f>
        <v>1</v>
      </c>
      <c r="E52" s="16">
        <f t="shared" si="1"/>
        <v>1</v>
      </c>
      <c r="F52" s="18"/>
    </row>
    <row r="53" spans="1:6" x14ac:dyDescent="0.25">
      <c r="A53" s="15" t="s">
        <v>1998</v>
      </c>
      <c r="B53" s="12" t="s">
        <v>1974</v>
      </c>
      <c r="C53" s="18" t="s">
        <v>1076</v>
      </c>
      <c r="D53" s="16">
        <f>SUMPRODUCT(ISNUMBER(SEARCH(","&amp;MASTER!$A$2:$A$2000&amp;",",","&amp;SUBSTITUTE($C53," ","")&amp;","))*((MASTER!$G$2:$G$2000="DONE")))</f>
        <v>1</v>
      </c>
      <c r="E53" s="16">
        <f t="shared" si="1"/>
        <v>1</v>
      </c>
      <c r="F53" s="18"/>
    </row>
    <row r="54" spans="1:6" x14ac:dyDescent="0.25">
      <c r="A54" s="15" t="s">
        <v>1999</v>
      </c>
      <c r="B54" s="12" t="s">
        <v>1974</v>
      </c>
      <c r="C54" s="18" t="s">
        <v>1076</v>
      </c>
      <c r="D54" s="16">
        <f>SUMPRODUCT(ISNUMBER(SEARCH(","&amp;MASTER!$A$2:$A$2000&amp;",",","&amp;SUBSTITUTE($C54," ","")&amp;","))*((MASTER!$G$2:$G$2000="DONE")))</f>
        <v>1</v>
      </c>
      <c r="E54" s="16">
        <f t="shared" si="1"/>
        <v>1</v>
      </c>
      <c r="F54" s="18"/>
    </row>
    <row r="55" spans="1:6" x14ac:dyDescent="0.25">
      <c r="A55" s="15" t="s">
        <v>2000</v>
      </c>
      <c r="B55" s="12" t="s">
        <v>1974</v>
      </c>
      <c r="C55" s="18" t="s">
        <v>1076</v>
      </c>
      <c r="D55" s="16">
        <f>SUMPRODUCT(ISNUMBER(SEARCH(","&amp;MASTER!$A$2:$A$2000&amp;",",","&amp;SUBSTITUTE($C55," ","")&amp;","))*((MASTER!$G$2:$G$2000="DONE")))</f>
        <v>1</v>
      </c>
      <c r="E55" s="16">
        <f t="shared" si="1"/>
        <v>1</v>
      </c>
      <c r="F55" s="18"/>
    </row>
    <row r="56" spans="1:6" x14ac:dyDescent="0.25">
      <c r="A56" s="15" t="s">
        <v>2001</v>
      </c>
      <c r="B56" s="12" t="s">
        <v>2002</v>
      </c>
      <c r="C56" s="18"/>
      <c r="D56" s="16">
        <f>SUMPRODUCT(ISNUMBER(SEARCH(","&amp;MASTER!$A$2:$A$2000&amp;",",","&amp;SUBSTITUTE($C56," ","")&amp;","))*((MASTER!$G$2:$G$2000="DONE")))</f>
        <v>0</v>
      </c>
      <c r="E56" s="16">
        <f t="shared" si="1"/>
        <v>0</v>
      </c>
      <c r="F56" s="18"/>
    </row>
    <row r="57" spans="1:6" x14ac:dyDescent="0.25">
      <c r="A57" s="15" t="s">
        <v>2003</v>
      </c>
      <c r="B57" s="12" t="s">
        <v>2002</v>
      </c>
      <c r="C57" s="18"/>
      <c r="D57" s="16">
        <f>SUMPRODUCT(ISNUMBER(SEARCH(","&amp;MASTER!$A$2:$A$2000&amp;",",","&amp;SUBSTITUTE($C57," ","")&amp;","))*((MASTER!$G$2:$G$2000="DONE")))</f>
        <v>0</v>
      </c>
      <c r="E57" s="16">
        <f t="shared" si="1"/>
        <v>0</v>
      </c>
      <c r="F57" s="18"/>
    </row>
    <row r="58" spans="1:6" x14ac:dyDescent="0.25">
      <c r="A58" s="15" t="s">
        <v>2004</v>
      </c>
      <c r="B58" s="12" t="s">
        <v>2002</v>
      </c>
      <c r="C58" s="18"/>
      <c r="D58" s="16">
        <f>SUMPRODUCT(ISNUMBER(SEARCH(","&amp;MASTER!$A$2:$A$2000&amp;",",","&amp;SUBSTITUTE($C58," ","")&amp;","))*((MASTER!$G$2:$G$2000="DONE")))</f>
        <v>0</v>
      </c>
      <c r="E58" s="16">
        <f t="shared" si="1"/>
        <v>0</v>
      </c>
      <c r="F58" s="18"/>
    </row>
    <row r="59" spans="1:6" x14ac:dyDescent="0.25">
      <c r="A59" s="15" t="s">
        <v>2005</v>
      </c>
      <c r="B59" s="12" t="s">
        <v>2002</v>
      </c>
      <c r="C59" s="18"/>
      <c r="D59" s="16">
        <f>SUMPRODUCT(ISNUMBER(SEARCH(","&amp;MASTER!$A$2:$A$2000&amp;",",","&amp;SUBSTITUTE($C59," ","")&amp;","))*((MASTER!$G$2:$G$2000="DONE")))</f>
        <v>0</v>
      </c>
      <c r="E59" s="16">
        <f t="shared" si="1"/>
        <v>0</v>
      </c>
      <c r="F59" s="18" t="s">
        <v>2006</v>
      </c>
    </row>
    <row r="60" spans="1:6" x14ac:dyDescent="0.25">
      <c r="A60" s="15" t="s">
        <v>2007</v>
      </c>
      <c r="B60" s="12" t="s">
        <v>2002</v>
      </c>
      <c r="C60" s="18"/>
      <c r="D60" s="16">
        <f>SUMPRODUCT(ISNUMBER(SEARCH(","&amp;MASTER!$A$2:$A$2000&amp;",",","&amp;SUBSTITUTE($C60," ","")&amp;","))*((MASTER!$G$2:$G$2000="DONE")))</f>
        <v>0</v>
      </c>
      <c r="E60" s="16">
        <f t="shared" si="1"/>
        <v>0</v>
      </c>
      <c r="F60" s="18" t="s">
        <v>2008</v>
      </c>
    </row>
    <row r="61" spans="1:6" x14ac:dyDescent="0.25">
      <c r="A61" s="15" t="s">
        <v>2009</v>
      </c>
      <c r="B61" s="12" t="s">
        <v>2002</v>
      </c>
      <c r="C61" s="18"/>
      <c r="D61" s="16">
        <f>SUMPRODUCT(ISNUMBER(SEARCH(","&amp;MASTER!$A$2:$A$2000&amp;",",","&amp;SUBSTITUTE($C61," ","")&amp;","))*((MASTER!$G$2:$G$2000="DONE")))</f>
        <v>0</v>
      </c>
      <c r="E61" s="16">
        <f t="shared" si="1"/>
        <v>0</v>
      </c>
      <c r="F61" s="18" t="s">
        <v>2010</v>
      </c>
    </row>
    <row r="62" spans="1:6" x14ac:dyDescent="0.25">
      <c r="A62" s="15" t="s">
        <v>2011</v>
      </c>
      <c r="B62" s="12" t="s">
        <v>2002</v>
      </c>
      <c r="C62" s="18"/>
      <c r="D62" s="16">
        <f>SUMPRODUCT(ISNUMBER(SEARCH(","&amp;MASTER!$A$2:$A$2000&amp;",",","&amp;SUBSTITUTE($C62," ","")&amp;","))*((MASTER!$G$2:$G$2000="DONE")))</f>
        <v>0</v>
      </c>
      <c r="E62" s="16">
        <f t="shared" si="1"/>
        <v>0</v>
      </c>
      <c r="F62" s="18" t="s">
        <v>2006</v>
      </c>
    </row>
    <row r="63" spans="1:6" x14ac:dyDescent="0.25">
      <c r="A63" s="15" t="s">
        <v>2012</v>
      </c>
      <c r="B63" s="12" t="s">
        <v>2002</v>
      </c>
      <c r="C63" s="18"/>
      <c r="D63" s="16">
        <f>SUMPRODUCT(ISNUMBER(SEARCH(","&amp;MASTER!$A$2:$A$2000&amp;",",","&amp;SUBSTITUTE($C63," ","")&amp;","))*((MASTER!$G$2:$G$2000="DONE")))</f>
        <v>0</v>
      </c>
      <c r="E63" s="16">
        <f t="shared" si="1"/>
        <v>0</v>
      </c>
      <c r="F63" s="18" t="s">
        <v>2006</v>
      </c>
    </row>
    <row r="64" spans="1:6" x14ac:dyDescent="0.25">
      <c r="A64" s="15" t="s">
        <v>2013</v>
      </c>
      <c r="B64" s="12" t="s">
        <v>2002</v>
      </c>
      <c r="C64" s="18"/>
      <c r="D64" s="16">
        <f>SUMPRODUCT(ISNUMBER(SEARCH(","&amp;MASTER!$A$2:$A$2000&amp;",",","&amp;SUBSTITUTE($C64," ","")&amp;","))*((MASTER!$G$2:$G$2000="DONE")))</f>
        <v>0</v>
      </c>
      <c r="E64" s="16">
        <f t="shared" si="1"/>
        <v>0</v>
      </c>
      <c r="F64" s="18" t="s">
        <v>2006</v>
      </c>
    </row>
    <row r="65" spans="1:12" x14ac:dyDescent="0.25">
      <c r="A65" s="15" t="s">
        <v>2014</v>
      </c>
      <c r="B65" s="12" t="s">
        <v>2015</v>
      </c>
      <c r="C65" s="18" t="s">
        <v>1065</v>
      </c>
      <c r="D65" s="16">
        <f>SUMPRODUCT(ISNUMBER(SEARCH(","&amp;MASTER!$A$2:$A$2000&amp;",",","&amp;SUBSTITUTE($C65," ","")&amp;","))*((MASTER!$G$2:$G$2000="DONE")))</f>
        <v>1</v>
      </c>
      <c r="E65" s="16">
        <f t="shared" si="1"/>
        <v>1</v>
      </c>
      <c r="F65" s="18" t="s">
        <v>2016</v>
      </c>
    </row>
    <row r="68" spans="1:12" ht="15.75" x14ac:dyDescent="0.25">
      <c r="A68" s="5" t="s">
        <v>2017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1204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1208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1211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1214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1221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2018</v>
      </c>
    </row>
    <row r="2" spans="1:12" x14ac:dyDescent="0.25">
      <c r="A2" s="4" t="s">
        <v>2019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1148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2020</v>
      </c>
    </row>
    <row r="2" spans="1:12" x14ac:dyDescent="0.25">
      <c r="A2" s="4" t="s">
        <v>2021</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2022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2023</v>
      </c>
    </row>
    <row r="7" spans="1:8" x14ac:dyDescent="0.25">
      <c r="A7" s="10" t="s">
        <v>2024</v>
      </c>
      <c r="B7" s="10" t="s">
        <v>2025</v>
      </c>
      <c r="C7" s="10" t="s">
        <v>2026</v>
      </c>
      <c r="D7" s="10" t="s">
        <v>2027</v>
      </c>
      <c r="E7" s="10" t="s">
        <v>174</v>
      </c>
    </row>
    <row r="8" spans="1:8" x14ac:dyDescent="0.25">
      <c r="A8" s="15" t="s">
        <v>2028</v>
      </c>
      <c r="B8" s="20">
        <v>5</v>
      </c>
      <c r="C8" s="20">
        <v>100</v>
      </c>
      <c r="D8" s="20">
        <v>1000</v>
      </c>
      <c r="E8" s="18" t="s">
        <v>2029</v>
      </c>
    </row>
    <row r="9" spans="1:8" x14ac:dyDescent="0.25">
      <c r="A9" s="15" t="s">
        <v>2030</v>
      </c>
      <c r="B9" s="20">
        <v>20</v>
      </c>
      <c r="C9" s="20">
        <v>500</v>
      </c>
      <c r="D9" s="20">
        <v>5000</v>
      </c>
      <c r="E9" s="18"/>
    </row>
    <row r="10" spans="1:8" x14ac:dyDescent="0.25">
      <c r="A10" s="15" t="s">
        <v>2031</v>
      </c>
      <c r="B10" s="20">
        <v>5</v>
      </c>
      <c r="C10" s="20">
        <v>100</v>
      </c>
      <c r="D10" s="20">
        <v>1000</v>
      </c>
      <c r="E10" s="18"/>
    </row>
    <row r="11" spans="1:8" x14ac:dyDescent="0.25">
      <c r="A11" s="15" t="s">
        <v>2032</v>
      </c>
      <c r="B11" s="20">
        <v>10000</v>
      </c>
      <c r="C11" s="20">
        <v>500000</v>
      </c>
      <c r="D11" s="20">
        <v>5000000</v>
      </c>
      <c r="E11" s="18"/>
    </row>
    <row r="12" spans="1:8" x14ac:dyDescent="0.25">
      <c r="A12" s="15" t="s">
        <v>2033</v>
      </c>
      <c r="B12" s="20">
        <v>10</v>
      </c>
      <c r="C12" s="20">
        <v>300</v>
      </c>
      <c r="D12" s="20">
        <v>2000</v>
      </c>
      <c r="E12" s="18"/>
    </row>
    <row r="13" spans="1:8" ht="25.5" x14ac:dyDescent="0.25">
      <c r="A13" s="15" t="s">
        <v>2034</v>
      </c>
      <c r="B13" s="20">
        <v>25</v>
      </c>
      <c r="C13" s="20">
        <v>500</v>
      </c>
      <c r="D13" s="21" t="s">
        <v>2035</v>
      </c>
      <c r="E13" s="18" t="s">
        <v>2036</v>
      </c>
    </row>
    <row r="14" spans="1:8" x14ac:dyDescent="0.25">
      <c r="A14" s="15" t="s">
        <v>2037</v>
      </c>
      <c r="B14" s="21" t="s">
        <v>2038</v>
      </c>
      <c r="C14" s="21" t="s">
        <v>2039</v>
      </c>
      <c r="D14" s="21" t="s">
        <v>2040</v>
      </c>
      <c r="E14" s="18"/>
    </row>
    <row r="15" spans="1:8" x14ac:dyDescent="0.25">
      <c r="A15" s="15" t="s">
        <v>2041</v>
      </c>
      <c r="B15" s="21" t="s">
        <v>2038</v>
      </c>
      <c r="C15" s="21" t="s">
        <v>2042</v>
      </c>
      <c r="D15" s="21" t="s">
        <v>2043</v>
      </c>
      <c r="E15" s="18"/>
    </row>
    <row r="16" spans="1:8" x14ac:dyDescent="0.25">
      <c r="A16" s="15" t="s">
        <v>2044</v>
      </c>
      <c r="B16" s="21" t="s">
        <v>2043</v>
      </c>
      <c r="C16" s="21" t="s">
        <v>2045</v>
      </c>
      <c r="D16" s="21" t="s">
        <v>2043</v>
      </c>
      <c r="E16" s="18"/>
    </row>
    <row r="17" spans="1:12" x14ac:dyDescent="0.25">
      <c r="A17" s="15" t="s">
        <v>2046</v>
      </c>
      <c r="B17" s="21" t="s">
        <v>2043</v>
      </c>
      <c r="C17" s="21" t="s">
        <v>2045</v>
      </c>
      <c r="D17" s="21" t="s">
        <v>2043</v>
      </c>
      <c r="E17" s="18"/>
    </row>
    <row r="18" spans="1:12" x14ac:dyDescent="0.25">
      <c r="A18" s="15" t="s">
        <v>90</v>
      </c>
      <c r="B18" s="21" t="s">
        <v>2047</v>
      </c>
      <c r="C18" s="21" t="s">
        <v>2048</v>
      </c>
      <c r="D18" s="21" t="s">
        <v>2045</v>
      </c>
      <c r="E18" s="18"/>
    </row>
    <row r="19" spans="1:12" x14ac:dyDescent="0.25">
      <c r="A19" s="15" t="s">
        <v>2049</v>
      </c>
      <c r="B19" s="21" t="s">
        <v>2047</v>
      </c>
      <c r="C19" s="21" t="s">
        <v>2043</v>
      </c>
      <c r="D19" s="21" t="s">
        <v>2045</v>
      </c>
      <c r="E19" s="18"/>
    </row>
    <row r="20" spans="1:12" x14ac:dyDescent="0.25">
      <c r="A20" s="15" t="s">
        <v>2050</v>
      </c>
      <c r="B20" s="21" t="s">
        <v>2043</v>
      </c>
      <c r="C20" s="21" t="s">
        <v>2043</v>
      </c>
      <c r="D20" s="21" t="s">
        <v>2045</v>
      </c>
      <c r="E20" s="18"/>
    </row>
    <row r="21" spans="1:12" x14ac:dyDescent="0.25">
      <c r="A21" s="15" t="s">
        <v>2051</v>
      </c>
      <c r="B21" s="21" t="s">
        <v>2043</v>
      </c>
      <c r="C21" s="21" t="s">
        <v>2043</v>
      </c>
      <c r="D21" s="21" t="s">
        <v>2045</v>
      </c>
      <c r="E21" s="18"/>
    </row>
    <row r="24" spans="1:12" ht="15.75" x14ac:dyDescent="0.25">
      <c r="A24" s="5" t="s">
        <v>2052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2053</v>
      </c>
    </row>
    <row r="2" spans="1:12" x14ac:dyDescent="0.25">
      <c r="A2" s="4" t="s">
        <v>2054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1371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1227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1241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1253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1261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1265</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1268</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1273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1300</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1307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2055</v>
      </c>
      <c r="B1" s="10" t="s">
        <v>2056</v>
      </c>
      <c r="C1" s="10" t="s">
        <v>43</v>
      </c>
      <c r="D1" s="10" t="s">
        <v>2057</v>
      </c>
      <c r="E1" s="10" t="s">
        <v>2058</v>
      </c>
      <c r="F1" s="10" t="s">
        <v>167</v>
      </c>
      <c r="G1" s="10" t="s">
        <v>94</v>
      </c>
      <c r="H1" s="10" t="s">
        <v>173</v>
      </c>
      <c r="I1" s="10" t="s">
        <v>174</v>
      </c>
    </row>
    <row r="2" spans="1:9" ht="25.5" x14ac:dyDescent="0.25">
      <c r="A2" s="19">
        <v>46292.158703703702</v>
      </c>
      <c r="B2" s="12" t="s">
        <v>177</v>
      </c>
      <c r="C2" s="12">
        <v>0</v>
      </c>
      <c r="D2" s="18" t="s">
        <v>2059</v>
      </c>
      <c r="E2" s="18" t="s">
        <v>2060</v>
      </c>
      <c r="F2" s="18"/>
      <c r="G2" s="12" t="s">
        <v>2061</v>
      </c>
      <c r="H2" s="12"/>
      <c r="I2" s="18"/>
    </row>
    <row r="3" spans="1:9" ht="76.5" x14ac:dyDescent="0.25">
      <c r="A3" s="19">
        <v>46292.160995370366</v>
      </c>
      <c r="B3" s="12" t="s">
        <v>177</v>
      </c>
      <c r="C3" s="12">
        <v>0</v>
      </c>
      <c r="D3" s="18" t="s">
        <v>2062</v>
      </c>
      <c r="E3" s="18" t="s">
        <v>2063</v>
      </c>
      <c r="F3" s="18" t="s">
        <v>182</v>
      </c>
      <c r="G3" s="12" t="s">
        <v>1451</v>
      </c>
      <c r="H3" s="12"/>
      <c r="I3" s="18"/>
    </row>
    <row r="4" spans="1:9" ht="38.25" x14ac:dyDescent="0.25">
      <c r="A4" s="19">
        <v>46292.161030092589</v>
      </c>
      <c r="B4" s="12" t="s">
        <v>192</v>
      </c>
      <c r="C4" s="12">
        <v>0</v>
      </c>
      <c r="D4" s="18" t="s">
        <v>2064</v>
      </c>
      <c r="E4" s="18"/>
      <c r="F4" s="18" t="s">
        <v>197</v>
      </c>
      <c r="G4" s="12" t="s">
        <v>1451</v>
      </c>
      <c r="H4" s="12"/>
      <c r="I4" s="18"/>
    </row>
    <row r="5" spans="1:9" ht="63.75" x14ac:dyDescent="0.25">
      <c r="A5" s="19">
        <v>46292.161874999998</v>
      </c>
      <c r="B5" s="12" t="s">
        <v>186</v>
      </c>
      <c r="C5" s="12">
        <v>0</v>
      </c>
      <c r="D5" s="18" t="s">
        <v>2065</v>
      </c>
      <c r="E5" s="18" t="s">
        <v>2066</v>
      </c>
      <c r="F5" s="18" t="s">
        <v>190</v>
      </c>
      <c r="G5" s="12" t="s">
        <v>1451</v>
      </c>
      <c r="H5" s="12"/>
      <c r="I5" s="18"/>
    </row>
    <row r="6" spans="1:9" ht="25.5" x14ac:dyDescent="0.25">
      <c r="A6" s="19">
        <v>46292.167349537027</v>
      </c>
      <c r="B6" s="12" t="s">
        <v>199</v>
      </c>
      <c r="C6" s="12">
        <v>0</v>
      </c>
      <c r="D6" s="18" t="s">
        <v>2067</v>
      </c>
      <c r="E6" s="18" t="s">
        <v>245</v>
      </c>
      <c r="F6" s="18" t="s">
        <v>203</v>
      </c>
      <c r="G6" s="12" t="s">
        <v>1451</v>
      </c>
      <c r="H6" s="12"/>
      <c r="I6" s="18"/>
    </row>
    <row r="7" spans="1:9" ht="25.5" x14ac:dyDescent="0.25">
      <c r="A7" s="19">
        <v>46292.167395833327</v>
      </c>
      <c r="B7" s="12" t="s">
        <v>205</v>
      </c>
      <c r="C7" s="12">
        <v>0</v>
      </c>
      <c r="D7" s="18" t="s">
        <v>2068</v>
      </c>
      <c r="E7" s="18" t="s">
        <v>245</v>
      </c>
      <c r="F7" s="18" t="s">
        <v>209</v>
      </c>
      <c r="G7" s="12" t="s">
        <v>1451</v>
      </c>
      <c r="H7" s="12"/>
      <c r="I7" s="18"/>
    </row>
    <row r="8" spans="1:9" ht="38.25" x14ac:dyDescent="0.25">
      <c r="A8" s="19">
        <v>46292.167430555557</v>
      </c>
      <c r="B8" s="12" t="s">
        <v>211</v>
      </c>
      <c r="C8" s="12">
        <v>0</v>
      </c>
      <c r="D8" s="18" t="s">
        <v>2069</v>
      </c>
      <c r="E8" s="18" t="s">
        <v>245</v>
      </c>
      <c r="F8" s="18" t="s">
        <v>215</v>
      </c>
      <c r="G8" s="12" t="s">
        <v>1451</v>
      </c>
      <c r="H8" s="12"/>
      <c r="I8" s="18"/>
    </row>
    <row r="9" spans="1:9" ht="38.25" x14ac:dyDescent="0.25">
      <c r="A9" s="19">
        <v>46292.16746527778</v>
      </c>
      <c r="B9" s="12" t="s">
        <v>217</v>
      </c>
      <c r="C9" s="12">
        <v>0</v>
      </c>
      <c r="D9" s="18" t="s">
        <v>2070</v>
      </c>
      <c r="E9" s="18" t="s">
        <v>245</v>
      </c>
      <c r="F9" s="18" t="s">
        <v>221</v>
      </c>
      <c r="G9" s="12" t="s">
        <v>1451</v>
      </c>
      <c r="H9" s="12"/>
      <c r="I9" s="18"/>
    </row>
    <row r="10" spans="1:9" ht="38.25" x14ac:dyDescent="0.25">
      <c r="A10" s="19">
        <v>46292.167500000003</v>
      </c>
      <c r="B10" s="12" t="s">
        <v>223</v>
      </c>
      <c r="C10" s="12">
        <v>0</v>
      </c>
      <c r="D10" s="18" t="s">
        <v>2071</v>
      </c>
      <c r="E10" s="18" t="s">
        <v>245</v>
      </c>
      <c r="F10" s="18" t="s">
        <v>227</v>
      </c>
      <c r="G10" s="12" t="s">
        <v>1451</v>
      </c>
      <c r="H10" s="12"/>
      <c r="I10" s="18"/>
    </row>
    <row r="11" spans="1:9" ht="51" x14ac:dyDescent="0.25">
      <c r="A11" s="19">
        <v>46292.167534722219</v>
      </c>
      <c r="B11" s="12" t="s">
        <v>229</v>
      </c>
      <c r="C11" s="12">
        <v>0</v>
      </c>
      <c r="D11" s="18" t="s">
        <v>2072</v>
      </c>
      <c r="E11" s="18" t="s">
        <v>245</v>
      </c>
      <c r="F11" s="18" t="s">
        <v>233</v>
      </c>
      <c r="G11" s="12" t="s">
        <v>1451</v>
      </c>
      <c r="H11" s="12"/>
      <c r="I11" s="18"/>
    </row>
    <row r="12" spans="1:9" ht="38.25" x14ac:dyDescent="0.25">
      <c r="A12" s="19">
        <v>46292.167569444442</v>
      </c>
      <c r="B12" s="12" t="s">
        <v>236</v>
      </c>
      <c r="C12" s="12">
        <v>0</v>
      </c>
      <c r="D12" s="18" t="s">
        <v>2073</v>
      </c>
      <c r="E12" s="18" t="s">
        <v>245</v>
      </c>
      <c r="F12" s="18" t="s">
        <v>240</v>
      </c>
      <c r="G12" s="12" t="s">
        <v>1451</v>
      </c>
      <c r="H12" s="12"/>
      <c r="I12" s="18"/>
    </row>
    <row r="13" spans="1:9" ht="51" x14ac:dyDescent="0.25">
      <c r="A13" s="19">
        <v>46292.16815972222</v>
      </c>
      <c r="B13" s="12" t="s">
        <v>242</v>
      </c>
      <c r="C13" s="12">
        <v>0</v>
      </c>
      <c r="D13" s="18" t="s">
        <v>2074</v>
      </c>
      <c r="E13" s="18" t="s">
        <v>245</v>
      </c>
      <c r="F13" s="18" t="s">
        <v>246</v>
      </c>
      <c r="G13" s="12" t="s">
        <v>1451</v>
      </c>
      <c r="H13" s="12"/>
      <c r="I13" s="18"/>
    </row>
    <row r="14" spans="1:9" ht="38.25" x14ac:dyDescent="0.25">
      <c r="A14" s="19">
        <v>46292.171805555547</v>
      </c>
      <c r="B14" s="12" t="s">
        <v>2075</v>
      </c>
      <c r="C14" s="12">
        <v>0</v>
      </c>
      <c r="D14" s="18" t="s">
        <v>2076</v>
      </c>
      <c r="E14" s="18" t="s">
        <v>2077</v>
      </c>
      <c r="F14" s="18"/>
      <c r="G14" s="12" t="s">
        <v>1451</v>
      </c>
      <c r="H14" s="12" t="s">
        <v>185</v>
      </c>
      <c r="I14" s="18"/>
    </row>
    <row r="15" spans="1:9" ht="51" x14ac:dyDescent="0.25">
      <c r="A15" s="19">
        <v>46292.189722222232</v>
      </c>
      <c r="B15" s="12" t="s">
        <v>248</v>
      </c>
      <c r="C15" s="12">
        <v>1</v>
      </c>
      <c r="D15" s="18" t="s">
        <v>2078</v>
      </c>
      <c r="E15" s="18" t="s">
        <v>2079</v>
      </c>
      <c r="F15" s="18" t="s">
        <v>252</v>
      </c>
      <c r="G15" s="12" t="s">
        <v>1451</v>
      </c>
      <c r="H15" s="12"/>
      <c r="I15" s="18"/>
    </row>
    <row r="16" spans="1:9" ht="25.5" x14ac:dyDescent="0.25">
      <c r="A16" s="19">
        <v>46292.189768518518</v>
      </c>
      <c r="B16" s="12" t="s">
        <v>258</v>
      </c>
      <c r="C16" s="12">
        <v>1</v>
      </c>
      <c r="D16" s="18" t="s">
        <v>2080</v>
      </c>
      <c r="E16" s="18" t="s">
        <v>2081</v>
      </c>
      <c r="F16" s="18" t="s">
        <v>262</v>
      </c>
      <c r="G16" s="12" t="s">
        <v>1451</v>
      </c>
      <c r="H16" s="12"/>
      <c r="I16" s="18"/>
    </row>
    <row r="17" spans="1:9" ht="51" x14ac:dyDescent="0.25">
      <c r="A17" s="19">
        <v>46292.189803240741</v>
      </c>
      <c r="B17" s="12" t="s">
        <v>266</v>
      </c>
      <c r="C17" s="12">
        <v>1</v>
      </c>
      <c r="D17" s="18" t="s">
        <v>2082</v>
      </c>
      <c r="E17" s="18" t="s">
        <v>2083</v>
      </c>
      <c r="F17" s="18" t="s">
        <v>270</v>
      </c>
      <c r="G17" s="12" t="s">
        <v>1451</v>
      </c>
      <c r="H17" s="12"/>
      <c r="I17" s="18"/>
    </row>
    <row r="18" spans="1:9" ht="63.75" x14ac:dyDescent="0.25">
      <c r="A18" s="19">
        <v>46292.189837962957</v>
      </c>
      <c r="B18" s="12" t="s">
        <v>337</v>
      </c>
      <c r="C18" s="12">
        <v>1</v>
      </c>
      <c r="D18" s="18" t="s">
        <v>2084</v>
      </c>
      <c r="E18" s="18" t="s">
        <v>2085</v>
      </c>
      <c r="F18" s="18" t="s">
        <v>341</v>
      </c>
      <c r="G18" s="12" t="s">
        <v>1451</v>
      </c>
      <c r="H18" s="12"/>
      <c r="I18" s="18"/>
    </row>
    <row r="19" spans="1:9" ht="38.25" x14ac:dyDescent="0.25">
      <c r="A19" s="19">
        <v>46292.189872685187</v>
      </c>
      <c r="B19" s="12" t="s">
        <v>343</v>
      </c>
      <c r="C19" s="12">
        <v>1</v>
      </c>
      <c r="D19" s="18" t="s">
        <v>2086</v>
      </c>
      <c r="E19" s="18" t="s">
        <v>2087</v>
      </c>
      <c r="F19" s="18" t="s">
        <v>347</v>
      </c>
      <c r="G19" s="12" t="s">
        <v>1451</v>
      </c>
      <c r="H19" s="12"/>
      <c r="I19" s="18"/>
    </row>
    <row r="20" spans="1:9" ht="51" x14ac:dyDescent="0.25">
      <c r="A20" s="19">
        <v>46292.190057870372</v>
      </c>
      <c r="B20" s="12" t="s">
        <v>288</v>
      </c>
      <c r="C20" s="12">
        <v>1</v>
      </c>
      <c r="D20" s="18" t="s">
        <v>2088</v>
      </c>
      <c r="E20" s="18" t="s">
        <v>2089</v>
      </c>
      <c r="F20" s="18" t="s">
        <v>2090</v>
      </c>
      <c r="G20" s="12" t="s">
        <v>2061</v>
      </c>
      <c r="H20" s="12"/>
      <c r="I20" s="18"/>
    </row>
    <row r="21" spans="1:9" ht="38.25" x14ac:dyDescent="0.25">
      <c r="A21" s="19">
        <v>46292.193043981482</v>
      </c>
      <c r="B21" s="12" t="s">
        <v>326</v>
      </c>
      <c r="C21" s="12">
        <v>1</v>
      </c>
      <c r="D21" s="18" t="s">
        <v>2091</v>
      </c>
      <c r="E21" s="18" t="s">
        <v>2092</v>
      </c>
      <c r="F21" s="18" t="s">
        <v>330</v>
      </c>
      <c r="G21" s="12" t="s">
        <v>1451</v>
      </c>
      <c r="H21" s="12"/>
      <c r="I21" s="18"/>
    </row>
    <row r="22" spans="1:9" ht="38.25" x14ac:dyDescent="0.25">
      <c r="A22" s="19">
        <v>46292.196898148148</v>
      </c>
      <c r="B22" s="12" t="s">
        <v>2093</v>
      </c>
      <c r="C22" s="12">
        <v>1</v>
      </c>
      <c r="D22" s="18" t="s">
        <v>2094</v>
      </c>
      <c r="E22" s="18"/>
      <c r="F22" s="18"/>
      <c r="G22" s="12" t="s">
        <v>1451</v>
      </c>
      <c r="H22" s="12" t="s">
        <v>255</v>
      </c>
      <c r="I22" s="18"/>
    </row>
    <row r="23" spans="1:9" ht="63.75" x14ac:dyDescent="0.25">
      <c r="A23" s="19">
        <v>46292.217905092592</v>
      </c>
      <c r="B23" s="12" t="s">
        <v>348</v>
      </c>
      <c r="C23" s="12">
        <v>1</v>
      </c>
      <c r="D23" s="18" t="s">
        <v>2095</v>
      </c>
      <c r="E23" s="18" t="s">
        <v>2096</v>
      </c>
      <c r="F23" s="18" t="s">
        <v>352</v>
      </c>
      <c r="G23" s="12" t="s">
        <v>1451</v>
      </c>
      <c r="H23" s="12"/>
      <c r="I23" s="18"/>
    </row>
    <row r="24" spans="1:9" ht="25.5" x14ac:dyDescent="0.25">
      <c r="A24" s="19">
        <v>46292.217939814807</v>
      </c>
      <c r="B24" s="12" t="s">
        <v>375</v>
      </c>
      <c r="C24" s="12">
        <v>1</v>
      </c>
      <c r="D24" s="18" t="s">
        <v>2097</v>
      </c>
      <c r="E24" s="18"/>
      <c r="F24" s="18" t="s">
        <v>379</v>
      </c>
      <c r="G24" s="12" t="s">
        <v>1451</v>
      </c>
      <c r="H24" s="12"/>
      <c r="I24" s="18"/>
    </row>
    <row r="25" spans="1:9" ht="51" x14ac:dyDescent="0.25">
      <c r="A25" s="19">
        <v>46292.217986111107</v>
      </c>
      <c r="B25" s="12" t="s">
        <v>370</v>
      </c>
      <c r="C25" s="12">
        <v>1</v>
      </c>
      <c r="D25" s="18" t="s">
        <v>2098</v>
      </c>
      <c r="E25" s="18" t="s">
        <v>2099</v>
      </c>
      <c r="F25" s="18" t="s">
        <v>374</v>
      </c>
      <c r="G25" s="12" t="s">
        <v>1451</v>
      </c>
      <c r="H25" s="12"/>
      <c r="I25" s="18"/>
    </row>
    <row r="26" spans="1:9" ht="38.25" x14ac:dyDescent="0.25">
      <c r="A26" s="19">
        <v>46292.219421296293</v>
      </c>
      <c r="B26" s="12" t="s">
        <v>2100</v>
      </c>
      <c r="C26" s="12">
        <v>1</v>
      </c>
      <c r="D26" s="18" t="s">
        <v>2101</v>
      </c>
      <c r="E26" s="18"/>
      <c r="F26" s="18"/>
      <c r="G26" s="12" t="s">
        <v>1451</v>
      </c>
      <c r="H26" s="12" t="s">
        <v>353</v>
      </c>
      <c r="I26" s="18"/>
    </row>
    <row r="27" spans="1:9" ht="89.25" x14ac:dyDescent="0.25">
      <c r="A27" s="19">
        <v>46292.350648148153</v>
      </c>
      <c r="B27" s="12" t="s">
        <v>363</v>
      </c>
      <c r="C27" s="12">
        <v>1</v>
      </c>
      <c r="D27" s="18" t="s">
        <v>2102</v>
      </c>
      <c r="E27" s="18"/>
      <c r="F27" s="18" t="s">
        <v>367</v>
      </c>
      <c r="G27" s="12" t="s">
        <v>1451</v>
      </c>
      <c r="H27" s="12"/>
      <c r="I27" s="18"/>
    </row>
    <row r="28" spans="1:9" ht="25.5" x14ac:dyDescent="0.25">
      <c r="A28" s="19">
        <v>46292.351168981477</v>
      </c>
      <c r="B28" s="12" t="s">
        <v>363</v>
      </c>
      <c r="C28" s="12">
        <v>1</v>
      </c>
      <c r="D28" s="18" t="s">
        <v>2103</v>
      </c>
      <c r="E28" s="18"/>
      <c r="F28" s="18"/>
      <c r="G28" s="12" t="s">
        <v>1451</v>
      </c>
      <c r="H28" s="12" t="s">
        <v>368</v>
      </c>
      <c r="I28" s="18"/>
    </row>
    <row r="29" spans="1:9" ht="63.75" x14ac:dyDescent="0.25">
      <c r="A29" s="19">
        <v>46292.356574074067</v>
      </c>
      <c r="B29" s="12" t="s">
        <v>380</v>
      </c>
      <c r="C29" s="12">
        <v>1</v>
      </c>
      <c r="D29" s="18" t="s">
        <v>2104</v>
      </c>
      <c r="E29" s="18" t="s">
        <v>2105</v>
      </c>
      <c r="F29" s="18" t="s">
        <v>384</v>
      </c>
      <c r="G29" s="12" t="s">
        <v>1451</v>
      </c>
      <c r="H29" s="12"/>
      <c r="I29" s="18"/>
    </row>
    <row r="30" spans="1:9" x14ac:dyDescent="0.25">
      <c r="A30" s="19">
        <v>46292.357893518521</v>
      </c>
      <c r="B30" s="12" t="s">
        <v>380</v>
      </c>
      <c r="C30" s="12">
        <v>1</v>
      </c>
      <c r="D30" s="18" t="s">
        <v>2106</v>
      </c>
      <c r="E30" s="18"/>
      <c r="F30" s="18"/>
      <c r="G30" s="12" t="s">
        <v>1451</v>
      </c>
      <c r="H30" s="12" t="s">
        <v>386</v>
      </c>
      <c r="I30" s="18"/>
    </row>
    <row r="31" spans="1:9" ht="76.5" x14ac:dyDescent="0.25">
      <c r="A31" s="19">
        <v>46292.373900462961</v>
      </c>
      <c r="B31" s="12" t="s">
        <v>354</v>
      </c>
      <c r="C31" s="12">
        <v>1</v>
      </c>
      <c r="D31" s="18" t="s">
        <v>2107</v>
      </c>
      <c r="E31" s="18" t="s">
        <v>2108</v>
      </c>
      <c r="F31" s="18" t="s">
        <v>358</v>
      </c>
      <c r="G31" s="12" t="s">
        <v>1451</v>
      </c>
      <c r="H31" s="12"/>
      <c r="I31" s="18"/>
    </row>
    <row r="32" spans="1:9" ht="38.25" x14ac:dyDescent="0.25">
      <c r="A32" s="19">
        <v>46292.373935185176</v>
      </c>
      <c r="B32" s="12" t="s">
        <v>510</v>
      </c>
      <c r="C32" s="12">
        <v>3</v>
      </c>
      <c r="D32" s="18" t="s">
        <v>2109</v>
      </c>
      <c r="E32" s="18"/>
      <c r="F32" s="18" t="s">
        <v>2110</v>
      </c>
      <c r="G32" s="12" t="s">
        <v>1451</v>
      </c>
      <c r="H32" s="12"/>
      <c r="I32" s="18"/>
    </row>
    <row r="33" spans="1:9" ht="25.5" x14ac:dyDescent="0.25">
      <c r="A33" s="19">
        <v>46292.373981481483</v>
      </c>
      <c r="B33" s="12" t="s">
        <v>536</v>
      </c>
      <c r="C33" s="12">
        <v>3</v>
      </c>
      <c r="D33" s="18" t="s">
        <v>2111</v>
      </c>
      <c r="E33" s="18"/>
      <c r="F33" s="18" t="s">
        <v>2112</v>
      </c>
      <c r="G33" s="12" t="s">
        <v>1451</v>
      </c>
      <c r="H33" s="12"/>
      <c r="I33" s="18"/>
    </row>
    <row r="34" spans="1:9" ht="76.5" x14ac:dyDescent="0.25">
      <c r="A34" s="19">
        <v>46292.374016203707</v>
      </c>
      <c r="B34" s="12" t="s">
        <v>488</v>
      </c>
      <c r="C34" s="12">
        <v>3</v>
      </c>
      <c r="D34" s="18" t="s">
        <v>2113</v>
      </c>
      <c r="E34" s="18"/>
      <c r="F34" s="18" t="s">
        <v>2114</v>
      </c>
      <c r="G34" s="12" t="s">
        <v>1451</v>
      </c>
      <c r="H34" s="12"/>
      <c r="I34" s="18"/>
    </row>
    <row r="35" spans="1:9" ht="25.5" x14ac:dyDescent="0.25">
      <c r="A35" s="19">
        <v>46292.374050925922</v>
      </c>
      <c r="B35" s="12" t="s">
        <v>675</v>
      </c>
      <c r="C35" s="12">
        <v>3</v>
      </c>
      <c r="D35" s="18" t="s">
        <v>2115</v>
      </c>
      <c r="E35" s="18"/>
      <c r="F35" s="18" t="s">
        <v>2116</v>
      </c>
      <c r="G35" s="12" t="s">
        <v>1451</v>
      </c>
      <c r="H35" s="12"/>
      <c r="I35" s="18"/>
    </row>
    <row r="36" spans="1:9" ht="38.25" x14ac:dyDescent="0.25">
      <c r="A36" s="19">
        <v>46292.374340277784</v>
      </c>
      <c r="B36" s="12" t="s">
        <v>389</v>
      </c>
      <c r="C36" s="12">
        <v>1</v>
      </c>
      <c r="D36" s="18" t="s">
        <v>2117</v>
      </c>
      <c r="E36" s="18" t="s">
        <v>2118</v>
      </c>
      <c r="F36" s="18" t="s">
        <v>2119</v>
      </c>
      <c r="G36" s="12" t="s">
        <v>1451</v>
      </c>
      <c r="H36" s="12"/>
      <c r="I36" s="18"/>
    </row>
    <row r="37" spans="1:9" ht="76.5" x14ac:dyDescent="0.25">
      <c r="A37" s="19">
        <v>46292.376377314817</v>
      </c>
      <c r="B37" s="12" t="s">
        <v>354</v>
      </c>
      <c r="C37" s="12">
        <v>1</v>
      </c>
      <c r="D37" s="18" t="s">
        <v>2120</v>
      </c>
      <c r="E37" s="18"/>
      <c r="F37" s="18" t="s">
        <v>358</v>
      </c>
      <c r="G37" s="12" t="s">
        <v>1451</v>
      </c>
      <c r="H37" s="12" t="s">
        <v>360</v>
      </c>
      <c r="I37" s="18"/>
    </row>
    <row r="38" spans="1:9" ht="76.5" x14ac:dyDescent="0.25">
      <c r="A38" s="19">
        <v>46292.397314814807</v>
      </c>
      <c r="B38" s="12" t="s">
        <v>853</v>
      </c>
      <c r="C38" s="12">
        <v>4</v>
      </c>
      <c r="D38" s="18" t="s">
        <v>2121</v>
      </c>
      <c r="E38" s="18" t="s">
        <v>2122</v>
      </c>
      <c r="F38" s="18" t="s">
        <v>857</v>
      </c>
      <c r="G38" s="12" t="s">
        <v>1451</v>
      </c>
      <c r="H38" s="12"/>
      <c r="I38" s="18"/>
    </row>
    <row r="39" spans="1:9" ht="25.5" x14ac:dyDescent="0.25">
      <c r="A39" s="19">
        <v>46292.397361111107</v>
      </c>
      <c r="B39" s="12" t="s">
        <v>1167</v>
      </c>
      <c r="C39" s="12">
        <v>12</v>
      </c>
      <c r="D39" s="18" t="s">
        <v>2123</v>
      </c>
      <c r="E39" s="18"/>
      <c r="F39" s="18" t="s">
        <v>1171</v>
      </c>
      <c r="G39" s="12" t="s">
        <v>1451</v>
      </c>
      <c r="H39" s="12"/>
      <c r="I39" s="18"/>
    </row>
    <row r="40" spans="1:9" ht="127.5" x14ac:dyDescent="0.25">
      <c r="A40" s="19">
        <v>46292.397581018522</v>
      </c>
      <c r="B40" s="12" t="s">
        <v>293</v>
      </c>
      <c r="C40" s="12">
        <v>1</v>
      </c>
      <c r="D40" s="18" t="s">
        <v>2124</v>
      </c>
      <c r="E40" s="18" t="s">
        <v>2125</v>
      </c>
      <c r="F40" s="18" t="s">
        <v>297</v>
      </c>
      <c r="G40" s="12" t="s">
        <v>1451</v>
      </c>
      <c r="H40" s="12"/>
      <c r="I40" s="18"/>
    </row>
    <row r="41" spans="1:9" ht="51" x14ac:dyDescent="0.25">
      <c r="A41" s="19">
        <v>46292.397627314807</v>
      </c>
      <c r="B41" s="12" t="s">
        <v>300</v>
      </c>
      <c r="C41" s="12">
        <v>1</v>
      </c>
      <c r="D41" s="18" t="s">
        <v>2126</v>
      </c>
      <c r="E41" s="18"/>
      <c r="F41" s="18" t="s">
        <v>304</v>
      </c>
      <c r="G41" s="12" t="s">
        <v>1451</v>
      </c>
      <c r="H41" s="12"/>
      <c r="I41" s="18"/>
    </row>
    <row r="42" spans="1:9" ht="76.5" x14ac:dyDescent="0.25">
      <c r="A42" s="19">
        <v>46292.397662037038</v>
      </c>
      <c r="B42" s="12" t="s">
        <v>320</v>
      </c>
      <c r="C42" s="12">
        <v>1</v>
      </c>
      <c r="D42" s="18" t="s">
        <v>2127</v>
      </c>
      <c r="E42" s="18"/>
      <c r="F42" s="18" t="s">
        <v>325</v>
      </c>
      <c r="G42" s="12" t="s">
        <v>1451</v>
      </c>
      <c r="H42" s="12"/>
      <c r="I42" s="18"/>
    </row>
    <row r="43" spans="1:9" ht="25.5" x14ac:dyDescent="0.25">
      <c r="A43" s="19">
        <v>46292.397696759261</v>
      </c>
      <c r="B43" s="12" t="s">
        <v>313</v>
      </c>
      <c r="C43" s="12">
        <v>1</v>
      </c>
      <c r="D43" s="18" t="s">
        <v>2128</v>
      </c>
      <c r="E43" s="18"/>
      <c r="F43" s="18" t="s">
        <v>317</v>
      </c>
      <c r="G43" s="12" t="s">
        <v>1451</v>
      </c>
      <c r="H43" s="12"/>
      <c r="I43" s="18"/>
    </row>
    <row r="44" spans="1:9" x14ac:dyDescent="0.25">
      <c r="A44" s="19">
        <v>46292.39912037037</v>
      </c>
      <c r="B44" s="12" t="s">
        <v>2129</v>
      </c>
      <c r="C44" s="12">
        <v>1</v>
      </c>
      <c r="D44" s="18" t="s">
        <v>2130</v>
      </c>
      <c r="E44" s="18"/>
      <c r="F44" s="18"/>
      <c r="G44" s="12" t="s">
        <v>1451</v>
      </c>
      <c r="H44" s="12" t="s">
        <v>298</v>
      </c>
      <c r="I44" s="18"/>
    </row>
    <row r="45" spans="1:9" ht="89.25" x14ac:dyDescent="0.25">
      <c r="A45" s="19">
        <v>46292.406631944446</v>
      </c>
      <c r="B45" s="12" t="s">
        <v>306</v>
      </c>
      <c r="C45" s="12">
        <v>1</v>
      </c>
      <c r="D45" s="18" t="s">
        <v>2131</v>
      </c>
      <c r="E45" s="18" t="s">
        <v>2132</v>
      </c>
      <c r="F45" s="18" t="s">
        <v>311</v>
      </c>
      <c r="G45" s="12" t="s">
        <v>1451</v>
      </c>
      <c r="H45" s="12"/>
      <c r="I45" s="18"/>
    </row>
    <row r="46" spans="1:9" ht="63.75" x14ac:dyDescent="0.25">
      <c r="A46" s="19">
        <v>46292.406701388893</v>
      </c>
      <c r="B46" s="12" t="s">
        <v>402</v>
      </c>
      <c r="C46" s="12">
        <v>1</v>
      </c>
      <c r="D46" s="18" t="s">
        <v>2133</v>
      </c>
      <c r="E46" s="18" t="s">
        <v>2134</v>
      </c>
      <c r="F46" s="18" t="s">
        <v>406</v>
      </c>
      <c r="G46" s="12" t="s">
        <v>1451</v>
      </c>
      <c r="H46" s="12"/>
      <c r="I46" s="18"/>
    </row>
    <row r="47" spans="1:9" ht="25.5" x14ac:dyDescent="0.25">
      <c r="A47" s="19">
        <v>46292.406851851847</v>
      </c>
      <c r="B47" s="12" t="s">
        <v>313</v>
      </c>
      <c r="C47" s="12">
        <v>1</v>
      </c>
      <c r="D47" s="18" t="s">
        <v>2135</v>
      </c>
      <c r="E47" s="18"/>
      <c r="F47" s="18" t="s">
        <v>317</v>
      </c>
      <c r="G47" s="12" t="s">
        <v>1451</v>
      </c>
      <c r="H47" s="12" t="s">
        <v>298</v>
      </c>
      <c r="I47" s="18"/>
    </row>
    <row r="48" spans="1:9" ht="63.75" x14ac:dyDescent="0.25">
      <c r="A48" s="19">
        <v>46292.408773148149</v>
      </c>
      <c r="B48" s="12" t="s">
        <v>331</v>
      </c>
      <c r="C48" s="12">
        <v>1</v>
      </c>
      <c r="D48" s="18" t="s">
        <v>2136</v>
      </c>
      <c r="E48" s="18" t="s">
        <v>2137</v>
      </c>
      <c r="F48" s="18" t="s">
        <v>335</v>
      </c>
      <c r="G48" s="12" t="s">
        <v>1451</v>
      </c>
      <c r="H48" s="12"/>
      <c r="I48" s="18"/>
    </row>
    <row r="49" spans="1:9" ht="25.5" x14ac:dyDescent="0.25">
      <c r="A49" s="19">
        <v>46292.408819444441</v>
      </c>
      <c r="B49" s="12" t="s">
        <v>389</v>
      </c>
      <c r="C49" s="12">
        <v>1</v>
      </c>
      <c r="D49" s="18" t="s">
        <v>2138</v>
      </c>
      <c r="E49" s="18"/>
      <c r="F49" s="18" t="s">
        <v>393</v>
      </c>
      <c r="G49" s="12" t="s">
        <v>1451</v>
      </c>
      <c r="H49" s="12"/>
      <c r="I49" s="18"/>
    </row>
    <row r="50" spans="1:9" ht="76.5" x14ac:dyDescent="0.25">
      <c r="A50" s="19">
        <v>46292.4140625</v>
      </c>
      <c r="B50" s="12" t="s">
        <v>2139</v>
      </c>
      <c r="C50" s="12">
        <v>1</v>
      </c>
      <c r="D50" s="18" t="s">
        <v>2140</v>
      </c>
      <c r="E50" s="18"/>
      <c r="F50" s="18" t="s">
        <v>2141</v>
      </c>
      <c r="G50" s="12" t="s">
        <v>1451</v>
      </c>
      <c r="H50" s="12"/>
      <c r="I50" s="18"/>
    </row>
    <row r="51" spans="1:9" ht="25.5" x14ac:dyDescent="0.25">
      <c r="A51" s="19">
        <v>46292.414097222223</v>
      </c>
      <c r="B51" s="12" t="s">
        <v>1307</v>
      </c>
      <c r="C51" s="12">
        <v>18</v>
      </c>
      <c r="D51" s="18" t="s">
        <v>2142</v>
      </c>
      <c r="E51" s="18"/>
      <c r="F51" s="18"/>
      <c r="G51" s="12" t="s">
        <v>1451</v>
      </c>
      <c r="H51" s="12"/>
      <c r="I51" s="18"/>
    </row>
    <row r="52" spans="1:9" x14ac:dyDescent="0.25">
      <c r="A52" s="19">
        <v>46292.416261574072</v>
      </c>
      <c r="B52" s="12" t="s">
        <v>2143</v>
      </c>
      <c r="C52" s="12">
        <v>1</v>
      </c>
      <c r="D52" s="18" t="s">
        <v>2144</v>
      </c>
      <c r="E52" s="18"/>
      <c r="F52" s="18"/>
      <c r="G52" s="12" t="s">
        <v>1451</v>
      </c>
      <c r="H52" s="12" t="s">
        <v>312</v>
      </c>
      <c r="I52" s="18"/>
    </row>
    <row r="53" spans="1:9" ht="25.5" x14ac:dyDescent="0.25">
      <c r="A53" s="19">
        <v>46292.60565972222</v>
      </c>
      <c r="B53" s="12" t="s">
        <v>408</v>
      </c>
      <c r="C53" s="12">
        <v>2</v>
      </c>
      <c r="D53" s="18" t="s">
        <v>2145</v>
      </c>
      <c r="E53" s="18" t="s">
        <v>2146</v>
      </c>
      <c r="F53" s="18" t="s">
        <v>412</v>
      </c>
      <c r="G53" s="12" t="s">
        <v>1451</v>
      </c>
      <c r="H53" s="12"/>
      <c r="I53" s="18"/>
    </row>
    <row r="54" spans="1:9" ht="51" x14ac:dyDescent="0.25">
      <c r="A54" s="19">
        <v>46292.605706018519</v>
      </c>
      <c r="B54" s="12" t="s">
        <v>417</v>
      </c>
      <c r="C54" s="12">
        <v>2</v>
      </c>
      <c r="D54" s="18" t="s">
        <v>2147</v>
      </c>
      <c r="E54" s="18"/>
      <c r="F54" s="18" t="s">
        <v>421</v>
      </c>
      <c r="G54" s="12" t="s">
        <v>1451</v>
      </c>
      <c r="H54" s="12"/>
      <c r="I54" s="18"/>
    </row>
    <row r="55" spans="1:9" ht="127.5" x14ac:dyDescent="0.25">
      <c r="A55" s="19">
        <v>46292.605740740742</v>
      </c>
      <c r="B55" s="12" t="s">
        <v>423</v>
      </c>
      <c r="C55" s="12">
        <v>2</v>
      </c>
      <c r="D55" s="18" t="s">
        <v>2148</v>
      </c>
      <c r="E55" s="18" t="s">
        <v>2149</v>
      </c>
      <c r="F55" s="18" t="s">
        <v>427</v>
      </c>
      <c r="G55" s="12" t="s">
        <v>1451</v>
      </c>
      <c r="H55" s="12"/>
      <c r="I55" s="18"/>
    </row>
    <row r="56" spans="1:9" ht="25.5" x14ac:dyDescent="0.25">
      <c r="A56" s="19">
        <v>46292.605787037042</v>
      </c>
      <c r="B56" s="12" t="s">
        <v>428</v>
      </c>
      <c r="C56" s="12">
        <v>2</v>
      </c>
      <c r="D56" s="18" t="s">
        <v>2150</v>
      </c>
      <c r="E56" s="18"/>
      <c r="F56" s="18" t="s">
        <v>432</v>
      </c>
      <c r="G56" s="12" t="s">
        <v>1451</v>
      </c>
      <c r="H56" s="12"/>
      <c r="I56" s="18"/>
    </row>
    <row r="57" spans="1:9" x14ac:dyDescent="0.25">
      <c r="A57" s="19">
        <v>46292.606099537043</v>
      </c>
      <c r="B57" s="12" t="s">
        <v>2151</v>
      </c>
      <c r="C57" s="12">
        <v>2</v>
      </c>
      <c r="D57" s="18" t="s">
        <v>2152</v>
      </c>
      <c r="E57" s="18"/>
      <c r="F57" s="18"/>
      <c r="G57" s="12" t="s">
        <v>1451</v>
      </c>
      <c r="H57" s="12" t="s">
        <v>414</v>
      </c>
      <c r="I57" s="18"/>
    </row>
    <row r="58" spans="1:9" ht="51" x14ac:dyDescent="0.25">
      <c r="A58" s="19">
        <v>46292.606134259258</v>
      </c>
      <c r="B58" s="12" t="s">
        <v>433</v>
      </c>
      <c r="C58" s="12">
        <v>2</v>
      </c>
      <c r="D58" s="18" t="s">
        <v>2153</v>
      </c>
      <c r="E58" s="18" t="s">
        <v>2154</v>
      </c>
      <c r="F58" s="18" t="s">
        <v>437</v>
      </c>
      <c r="G58" s="12" t="s">
        <v>1451</v>
      </c>
      <c r="H58" s="12"/>
      <c r="I58" s="18"/>
    </row>
    <row r="59" spans="1:9" ht="25.5" x14ac:dyDescent="0.25">
      <c r="A59" s="19">
        <v>46292.606180555558</v>
      </c>
      <c r="B59" s="12" t="s">
        <v>464</v>
      </c>
      <c r="C59" s="12">
        <v>2</v>
      </c>
      <c r="D59" s="18" t="s">
        <v>2155</v>
      </c>
      <c r="E59" s="18" t="s">
        <v>2156</v>
      </c>
      <c r="F59" s="18" t="s">
        <v>468</v>
      </c>
      <c r="G59" s="12" t="s">
        <v>1451</v>
      </c>
      <c r="H59" s="12"/>
      <c r="I59" s="18"/>
    </row>
    <row r="60" spans="1:9" ht="76.5" x14ac:dyDescent="0.25">
      <c r="A60" s="19">
        <v>46292.606215277781</v>
      </c>
      <c r="B60" s="12" t="s">
        <v>440</v>
      </c>
      <c r="C60" s="12">
        <v>2</v>
      </c>
      <c r="D60" s="18" t="s">
        <v>2157</v>
      </c>
      <c r="E60" s="18" t="s">
        <v>2158</v>
      </c>
      <c r="F60" s="18" t="s">
        <v>444</v>
      </c>
      <c r="G60" s="12" t="s">
        <v>1451</v>
      </c>
      <c r="H60" s="12"/>
      <c r="I60" s="18"/>
    </row>
    <row r="61" spans="1:9" ht="102" x14ac:dyDescent="0.25">
      <c r="A61" s="19">
        <v>46292.606261574067</v>
      </c>
      <c r="B61" s="12" t="s">
        <v>447</v>
      </c>
      <c r="C61" s="12">
        <v>2</v>
      </c>
      <c r="D61" s="18" t="s">
        <v>2159</v>
      </c>
      <c r="E61" s="18" t="s">
        <v>2160</v>
      </c>
      <c r="F61" s="18" t="s">
        <v>451</v>
      </c>
      <c r="G61" s="12" t="s">
        <v>1451</v>
      </c>
      <c r="H61" s="12"/>
      <c r="I61" s="18"/>
    </row>
    <row r="62" spans="1:9" x14ac:dyDescent="0.25">
      <c r="A62" s="19">
        <v>46292.60665509259</v>
      </c>
      <c r="B62" s="12" t="s">
        <v>2161</v>
      </c>
      <c r="C62" s="12">
        <v>2</v>
      </c>
      <c r="D62" s="18" t="s">
        <v>2162</v>
      </c>
      <c r="E62" s="18"/>
      <c r="F62" s="18"/>
      <c r="G62" s="12" t="s">
        <v>1451</v>
      </c>
      <c r="H62" s="12" t="s">
        <v>438</v>
      </c>
      <c r="I62" s="18"/>
    </row>
    <row r="63" spans="1:9" ht="51" x14ac:dyDescent="0.25">
      <c r="A63" s="19">
        <v>46292.60670138889</v>
      </c>
      <c r="B63" s="12" t="s">
        <v>452</v>
      </c>
      <c r="C63" s="12">
        <v>2</v>
      </c>
      <c r="D63" s="18" t="s">
        <v>2163</v>
      </c>
      <c r="E63" s="18" t="s">
        <v>2164</v>
      </c>
      <c r="F63" s="18" t="s">
        <v>456</v>
      </c>
      <c r="G63" s="12" t="s">
        <v>1451</v>
      </c>
      <c r="H63" s="12"/>
      <c r="I63" s="18"/>
    </row>
    <row r="64" spans="1:9" x14ac:dyDescent="0.25">
      <c r="A64" s="19">
        <v>46292.606817129628</v>
      </c>
      <c r="B64" s="12" t="s">
        <v>452</v>
      </c>
      <c r="C64" s="12">
        <v>2</v>
      </c>
      <c r="D64" s="18" t="s">
        <v>2165</v>
      </c>
      <c r="E64" s="18"/>
      <c r="F64" s="18"/>
      <c r="G64" s="12" t="s">
        <v>1451</v>
      </c>
      <c r="H64" s="12" t="s">
        <v>457</v>
      </c>
      <c r="I64" s="18"/>
    </row>
    <row r="65" spans="1:9" ht="38.25" x14ac:dyDescent="0.25">
      <c r="A65" s="19">
        <v>46292.606863425928</v>
      </c>
      <c r="B65" s="12" t="s">
        <v>458</v>
      </c>
      <c r="C65" s="12">
        <v>2</v>
      </c>
      <c r="D65" s="18" t="s">
        <v>2166</v>
      </c>
      <c r="E65" s="18" t="s">
        <v>2167</v>
      </c>
      <c r="F65" s="18" t="s">
        <v>462</v>
      </c>
      <c r="G65" s="12" t="s">
        <v>1451</v>
      </c>
      <c r="H65" s="12"/>
      <c r="I65" s="18"/>
    </row>
    <row r="66" spans="1:9" x14ac:dyDescent="0.25">
      <c r="A66" s="19">
        <v>46292.606898148151</v>
      </c>
      <c r="B66" s="12" t="s">
        <v>822</v>
      </c>
      <c r="C66" s="12">
        <v>4</v>
      </c>
      <c r="D66" s="18" t="s">
        <v>2168</v>
      </c>
      <c r="E66" s="18"/>
      <c r="F66" s="18" t="s">
        <v>826</v>
      </c>
      <c r="G66" s="12" t="s">
        <v>1451</v>
      </c>
      <c r="H66" s="12"/>
      <c r="I66" s="18"/>
    </row>
    <row r="67" spans="1:9" ht="63.75" x14ac:dyDescent="0.25">
      <c r="A67" s="19">
        <v>46292.607094907413</v>
      </c>
      <c r="B67" s="12" t="s">
        <v>2169</v>
      </c>
      <c r="C67" s="12">
        <v>2</v>
      </c>
      <c r="D67" s="18" t="s">
        <v>2170</v>
      </c>
      <c r="E67" s="18"/>
      <c r="F67" s="18" t="s">
        <v>2171</v>
      </c>
      <c r="G67" s="12" t="s">
        <v>1451</v>
      </c>
      <c r="H67" s="12"/>
      <c r="I67" s="18"/>
    </row>
    <row r="68" spans="1:9" ht="76.5" x14ac:dyDescent="0.25">
      <c r="A68" s="19">
        <v>46292.607222222221</v>
      </c>
      <c r="B68" s="12" t="s">
        <v>473</v>
      </c>
      <c r="C68" s="12">
        <v>3</v>
      </c>
      <c r="D68" s="18" t="s">
        <v>2172</v>
      </c>
      <c r="E68" s="18" t="s">
        <v>2173</v>
      </c>
      <c r="F68" s="18" t="s">
        <v>477</v>
      </c>
      <c r="G68" s="12" t="s">
        <v>1451</v>
      </c>
      <c r="H68" s="12"/>
      <c r="I68" s="18"/>
    </row>
    <row r="69" spans="1:9" ht="102" x14ac:dyDescent="0.25">
      <c r="A69" s="19">
        <v>46292.607268518521</v>
      </c>
      <c r="B69" s="12" t="s">
        <v>482</v>
      </c>
      <c r="C69" s="12">
        <v>3</v>
      </c>
      <c r="D69" s="18" t="s">
        <v>2174</v>
      </c>
      <c r="E69" s="18" t="s">
        <v>2175</v>
      </c>
      <c r="F69" s="18" t="s">
        <v>486</v>
      </c>
      <c r="G69" s="12" t="s">
        <v>1451</v>
      </c>
      <c r="H69" s="12"/>
      <c r="I69" s="18"/>
    </row>
    <row r="70" spans="1:9" ht="25.5" x14ac:dyDescent="0.25">
      <c r="A70" s="19">
        <v>46292.607303240737</v>
      </c>
      <c r="B70" s="12" t="s">
        <v>716</v>
      </c>
      <c r="C70" s="12">
        <v>3</v>
      </c>
      <c r="D70" s="18" t="s">
        <v>2176</v>
      </c>
      <c r="E70" s="18" t="s">
        <v>2177</v>
      </c>
      <c r="F70" s="18" t="s">
        <v>720</v>
      </c>
      <c r="G70" s="12" t="s">
        <v>1451</v>
      </c>
      <c r="H70" s="12"/>
      <c r="I70" s="18"/>
    </row>
    <row r="71" spans="1:9" ht="76.5" x14ac:dyDescent="0.25">
      <c r="A71" s="19">
        <v>46292.607349537036</v>
      </c>
      <c r="B71" s="12" t="s">
        <v>488</v>
      </c>
      <c r="C71" s="12">
        <v>3</v>
      </c>
      <c r="D71" s="18" t="s">
        <v>2178</v>
      </c>
      <c r="E71" s="18"/>
      <c r="F71" s="18" t="s">
        <v>492</v>
      </c>
      <c r="G71" s="12" t="s">
        <v>1451</v>
      </c>
      <c r="H71" s="12" t="s">
        <v>360</v>
      </c>
      <c r="I71" s="18"/>
    </row>
    <row r="72" spans="1:9" ht="140.25" x14ac:dyDescent="0.25">
      <c r="A72" s="19">
        <v>46292.77983796296</v>
      </c>
      <c r="B72" s="12" t="s">
        <v>732</v>
      </c>
      <c r="C72" s="12">
        <v>3</v>
      </c>
      <c r="D72" s="18" t="s">
        <v>2179</v>
      </c>
      <c r="E72" s="18" t="s">
        <v>2180</v>
      </c>
      <c r="F72" s="18" t="s">
        <v>736</v>
      </c>
      <c r="G72" s="12" t="s">
        <v>1451</v>
      </c>
      <c r="H72" s="12"/>
      <c r="I72" s="18"/>
    </row>
    <row r="73" spans="1:9" ht="127.5" x14ac:dyDescent="0.25">
      <c r="A73" s="19">
        <v>46292.781261574077</v>
      </c>
      <c r="B73" s="12" t="s">
        <v>732</v>
      </c>
      <c r="C73" s="12">
        <v>3</v>
      </c>
      <c r="D73" s="18" t="s">
        <v>2181</v>
      </c>
      <c r="E73" s="18"/>
      <c r="F73" s="18" t="s">
        <v>736</v>
      </c>
      <c r="G73" s="12" t="s">
        <v>1451</v>
      </c>
      <c r="H73" s="12" t="s">
        <v>737</v>
      </c>
      <c r="I73" s="18"/>
    </row>
    <row r="74" spans="1:9" ht="165.75" x14ac:dyDescent="0.25">
      <c r="A74" s="19">
        <v>46292.792407407411</v>
      </c>
      <c r="B74" s="12" t="s">
        <v>667</v>
      </c>
      <c r="C74" s="12">
        <v>3</v>
      </c>
      <c r="D74" s="18" t="s">
        <v>2182</v>
      </c>
      <c r="E74" s="18" t="s">
        <v>2183</v>
      </c>
      <c r="F74" s="18" t="s">
        <v>671</v>
      </c>
      <c r="G74" s="12" t="s">
        <v>1451</v>
      </c>
      <c r="H74" s="12"/>
      <c r="I74" s="18"/>
    </row>
    <row r="75" spans="1:9" ht="127.5" x14ac:dyDescent="0.25">
      <c r="A75" s="19">
        <v>46292.793113425927</v>
      </c>
      <c r="B75" s="12" t="s">
        <v>667</v>
      </c>
      <c r="C75" s="12">
        <v>3</v>
      </c>
      <c r="D75" s="18" t="s">
        <v>2184</v>
      </c>
      <c r="E75" s="18"/>
      <c r="F75" s="18" t="s">
        <v>671</v>
      </c>
      <c r="G75" s="12" t="s">
        <v>1451</v>
      </c>
      <c r="H75" s="12" t="s">
        <v>673</v>
      </c>
      <c r="I75" s="18"/>
    </row>
    <row r="76" spans="1:9" ht="114.75" x14ac:dyDescent="0.25">
      <c r="A76" s="19">
        <v>46292.807187500002</v>
      </c>
      <c r="B76" s="12" t="s">
        <v>495</v>
      </c>
      <c r="C76" s="12">
        <v>3</v>
      </c>
      <c r="D76" s="18" t="s">
        <v>2185</v>
      </c>
      <c r="E76" s="18" t="s">
        <v>2186</v>
      </c>
      <c r="F76" s="18" t="s">
        <v>2187</v>
      </c>
      <c r="G76" s="12" t="s">
        <v>1451</v>
      </c>
      <c r="H76" s="12"/>
      <c r="I76" s="18"/>
    </row>
    <row r="77" spans="1:9" ht="63.75" x14ac:dyDescent="0.25">
      <c r="A77" s="19">
        <v>46292.807824074072</v>
      </c>
      <c r="B77" s="12" t="s">
        <v>495</v>
      </c>
      <c r="C77" s="12">
        <v>3</v>
      </c>
      <c r="D77" s="18" t="s">
        <v>2188</v>
      </c>
      <c r="E77" s="18"/>
      <c r="F77" s="18" t="s">
        <v>2187</v>
      </c>
      <c r="G77" s="12" t="s">
        <v>1451</v>
      </c>
      <c r="H77" s="12" t="s">
        <v>2189</v>
      </c>
      <c r="I77" s="18"/>
    </row>
    <row r="78" spans="1:9" ht="76.5" x14ac:dyDescent="0.25">
      <c r="A78" s="19">
        <v>46292.817372685182</v>
      </c>
      <c r="B78" s="12" t="s">
        <v>758</v>
      </c>
      <c r="C78" s="12">
        <v>3</v>
      </c>
      <c r="D78" s="18" t="s">
        <v>2190</v>
      </c>
      <c r="E78" s="18" t="s">
        <v>2191</v>
      </c>
      <c r="F78" s="18" t="s">
        <v>762</v>
      </c>
      <c r="G78" s="12" t="s">
        <v>1451</v>
      </c>
      <c r="H78" s="12"/>
      <c r="I78" s="18"/>
    </row>
    <row r="79" spans="1:9" ht="102" x14ac:dyDescent="0.25">
      <c r="A79" s="19">
        <v>46292.817407407398</v>
      </c>
      <c r="B79" s="12" t="s">
        <v>495</v>
      </c>
      <c r="C79" s="12">
        <v>3</v>
      </c>
      <c r="D79" s="18" t="s">
        <v>2192</v>
      </c>
      <c r="E79" s="18" t="s">
        <v>2193</v>
      </c>
      <c r="F79" s="18" t="s">
        <v>499</v>
      </c>
      <c r="G79" s="12" t="s">
        <v>1451</v>
      </c>
      <c r="H79" s="12" t="s">
        <v>2189</v>
      </c>
      <c r="I79" s="18"/>
    </row>
    <row r="80" spans="1:9" ht="102" x14ac:dyDescent="0.25">
      <c r="A80" s="19">
        <v>46292.818067129629</v>
      </c>
      <c r="B80" s="12" t="s">
        <v>495</v>
      </c>
      <c r="C80" s="12">
        <v>3</v>
      </c>
      <c r="D80" s="18" t="s">
        <v>2194</v>
      </c>
      <c r="E80" s="18"/>
      <c r="F80" s="18" t="s">
        <v>499</v>
      </c>
      <c r="G80" s="12" t="s">
        <v>1451</v>
      </c>
      <c r="H80" s="12" t="s">
        <v>501</v>
      </c>
      <c r="I80" s="18"/>
    </row>
    <row r="81" spans="1:9" ht="76.5" x14ac:dyDescent="0.25">
      <c r="A81" s="19">
        <v>46292.818101851852</v>
      </c>
      <c r="B81" s="12" t="s">
        <v>758</v>
      </c>
      <c r="C81" s="12">
        <v>3</v>
      </c>
      <c r="D81" s="18" t="s">
        <v>2195</v>
      </c>
      <c r="E81" s="18"/>
      <c r="F81" s="18" t="s">
        <v>762</v>
      </c>
      <c r="G81" s="12" t="s">
        <v>1451</v>
      </c>
      <c r="H81" s="12" t="s">
        <v>501</v>
      </c>
      <c r="I81" s="18"/>
    </row>
    <row r="82" spans="1:9" ht="76.5" x14ac:dyDescent="0.25">
      <c r="A82" s="19">
        <v>46292.826909722222</v>
      </c>
      <c r="B82" s="12" t="s">
        <v>503</v>
      </c>
      <c r="C82" s="12">
        <v>3</v>
      </c>
      <c r="D82" s="18" t="s">
        <v>2196</v>
      </c>
      <c r="E82" s="18" t="s">
        <v>2197</v>
      </c>
      <c r="F82" s="18" t="s">
        <v>2198</v>
      </c>
      <c r="G82" s="12" t="s">
        <v>1451</v>
      </c>
      <c r="H82" s="12"/>
      <c r="I82" s="18"/>
    </row>
    <row r="83" spans="1:9" ht="38.25" x14ac:dyDescent="0.25">
      <c r="A83" s="19">
        <v>46292.827546296299</v>
      </c>
      <c r="B83" s="12" t="s">
        <v>503</v>
      </c>
      <c r="C83" s="12">
        <v>3</v>
      </c>
      <c r="D83" s="18" t="s">
        <v>2199</v>
      </c>
      <c r="E83" s="18"/>
      <c r="F83" s="18" t="s">
        <v>2198</v>
      </c>
      <c r="G83" s="12" t="s">
        <v>1451</v>
      </c>
      <c r="H83" s="12" t="s">
        <v>2200</v>
      </c>
      <c r="I83" s="18"/>
    </row>
    <row r="84" spans="1:9" ht="76.5" x14ac:dyDescent="0.25">
      <c r="A84" s="19">
        <v>46292.833958333344</v>
      </c>
      <c r="B84" s="12" t="s">
        <v>503</v>
      </c>
      <c r="C84" s="12">
        <v>3</v>
      </c>
      <c r="D84" s="18" t="s">
        <v>2201</v>
      </c>
      <c r="E84" s="18" t="s">
        <v>2202</v>
      </c>
      <c r="F84" s="18" t="s">
        <v>507</v>
      </c>
      <c r="G84" s="12" t="s">
        <v>1451</v>
      </c>
      <c r="H84" s="12" t="s">
        <v>2200</v>
      </c>
      <c r="I84" s="18"/>
    </row>
    <row r="85" spans="1:9" ht="76.5" x14ac:dyDescent="0.25">
      <c r="A85" s="19">
        <v>46292.834537037037</v>
      </c>
      <c r="B85" s="12" t="s">
        <v>503</v>
      </c>
      <c r="C85" s="12">
        <v>3</v>
      </c>
      <c r="D85" s="18" t="s">
        <v>2203</v>
      </c>
      <c r="E85" s="18"/>
      <c r="F85" s="18" t="s">
        <v>507</v>
      </c>
      <c r="G85" s="12" t="s">
        <v>1451</v>
      </c>
      <c r="H85" s="12" t="s">
        <v>508</v>
      </c>
      <c r="I85" s="18"/>
    </row>
    <row r="86" spans="1:9" ht="76.5" x14ac:dyDescent="0.25">
      <c r="A86" s="19">
        <v>46292.846956018519</v>
      </c>
      <c r="B86" s="12" t="s">
        <v>510</v>
      </c>
      <c r="C86" s="12">
        <v>3</v>
      </c>
      <c r="D86" s="18" t="s">
        <v>2204</v>
      </c>
      <c r="E86" s="18" t="s">
        <v>2205</v>
      </c>
      <c r="F86" s="18" t="s">
        <v>2206</v>
      </c>
      <c r="G86" s="12" t="s">
        <v>1451</v>
      </c>
      <c r="H86" s="12" t="s">
        <v>360</v>
      </c>
      <c r="I86" s="18"/>
    </row>
    <row r="87" spans="1:9" ht="76.5" x14ac:dyDescent="0.25">
      <c r="A87" s="19">
        <v>46292.980775462973</v>
      </c>
      <c r="B87" s="12" t="s">
        <v>510</v>
      </c>
      <c r="C87" s="12">
        <v>3</v>
      </c>
      <c r="D87" s="18" t="s">
        <v>2207</v>
      </c>
      <c r="E87" s="18"/>
      <c r="F87" s="18" t="s">
        <v>2206</v>
      </c>
      <c r="G87" s="12" t="s">
        <v>1451</v>
      </c>
      <c r="H87" s="12" t="s">
        <v>2208</v>
      </c>
      <c r="I87" s="18"/>
    </row>
    <row r="88" spans="1:9" ht="114.75" x14ac:dyDescent="0.25">
      <c r="A88" s="19">
        <v>46292.980810185189</v>
      </c>
      <c r="B88" s="12" t="s">
        <v>510</v>
      </c>
      <c r="C88" s="12">
        <v>3</v>
      </c>
      <c r="D88" s="18" t="s">
        <v>2209</v>
      </c>
      <c r="E88" s="18" t="s">
        <v>2210</v>
      </c>
      <c r="F88" s="18" t="s">
        <v>2211</v>
      </c>
      <c r="G88" s="12" t="s">
        <v>1451</v>
      </c>
      <c r="H88" s="12" t="s">
        <v>2208</v>
      </c>
      <c r="I88" s="18"/>
    </row>
    <row r="89" spans="1:9" ht="114.75" x14ac:dyDescent="0.25">
      <c r="A89" s="19">
        <v>46292.981423611112</v>
      </c>
      <c r="B89" s="12" t="s">
        <v>510</v>
      </c>
      <c r="C89" s="12">
        <v>3</v>
      </c>
      <c r="D89" s="18" t="s">
        <v>2212</v>
      </c>
      <c r="E89" s="18"/>
      <c r="F89" s="18" t="s">
        <v>2211</v>
      </c>
      <c r="G89" s="12" t="s">
        <v>1451</v>
      </c>
      <c r="H89" s="12" t="s">
        <v>2213</v>
      </c>
      <c r="I89" s="18"/>
    </row>
    <row r="90" spans="1:9" ht="165.75" x14ac:dyDescent="0.25">
      <c r="A90" s="19">
        <v>46294.632870370369</v>
      </c>
      <c r="B90" s="12" t="s">
        <v>510</v>
      </c>
      <c r="C90" s="12">
        <v>3</v>
      </c>
      <c r="D90" s="18" t="s">
        <v>2214</v>
      </c>
      <c r="E90" s="18"/>
      <c r="F90" s="18" t="s">
        <v>2215</v>
      </c>
      <c r="G90" s="12" t="s">
        <v>2061</v>
      </c>
      <c r="H90" s="12" t="s">
        <v>2213</v>
      </c>
      <c r="I90" s="18"/>
    </row>
    <row r="91" spans="1:9" ht="165.75" x14ac:dyDescent="0.25">
      <c r="A91" s="19">
        <v>46294.63385416667</v>
      </c>
      <c r="B91" s="12" t="s">
        <v>510</v>
      </c>
      <c r="C91" s="12">
        <v>3</v>
      </c>
      <c r="D91" s="18" t="s">
        <v>2216</v>
      </c>
      <c r="E91" s="18"/>
      <c r="F91" s="18" t="s">
        <v>2215</v>
      </c>
      <c r="G91" s="12" t="s">
        <v>2061</v>
      </c>
      <c r="H91" s="12" t="s">
        <v>2217</v>
      </c>
      <c r="I91" s="18"/>
    </row>
    <row r="92" spans="1:9" ht="76.5" x14ac:dyDescent="0.25">
      <c r="A92" s="19">
        <v>46294.640011574083</v>
      </c>
      <c r="B92" s="12" t="s">
        <v>510</v>
      </c>
      <c r="C92" s="12">
        <v>3</v>
      </c>
      <c r="D92" s="18" t="s">
        <v>2218</v>
      </c>
      <c r="E92" s="18"/>
      <c r="F92" s="18" t="s">
        <v>2219</v>
      </c>
      <c r="G92" s="12" t="s">
        <v>2061</v>
      </c>
      <c r="H92" s="12" t="s">
        <v>2217</v>
      </c>
      <c r="I92" s="18"/>
    </row>
    <row r="93" spans="1:9" ht="76.5" x14ac:dyDescent="0.25">
      <c r="A93" s="19">
        <v>46294.651689814818</v>
      </c>
      <c r="B93" s="12" t="s">
        <v>510</v>
      </c>
      <c r="C93" s="12">
        <v>3</v>
      </c>
      <c r="D93" s="18" t="s">
        <v>2220</v>
      </c>
      <c r="E93" s="18"/>
      <c r="F93" s="18" t="s">
        <v>514</v>
      </c>
      <c r="G93" s="12" t="s">
        <v>1451</v>
      </c>
      <c r="H93" s="12" t="s">
        <v>2217</v>
      </c>
      <c r="I93" s="18"/>
    </row>
    <row r="94" spans="1:9" x14ac:dyDescent="0.25">
      <c r="A94" s="19">
        <v>46294.652326388888</v>
      </c>
      <c r="B94" s="12" t="s">
        <v>510</v>
      </c>
      <c r="C94" s="12">
        <v>3</v>
      </c>
      <c r="D94" s="18" t="s">
        <v>2221</v>
      </c>
      <c r="E94" s="18"/>
      <c r="F94" s="18"/>
      <c r="G94" s="12" t="s">
        <v>1451</v>
      </c>
      <c r="H94" s="12"/>
      <c r="I94" s="18"/>
    </row>
    <row r="95" spans="1:9" ht="76.5" x14ac:dyDescent="0.25">
      <c r="A95" s="19">
        <v>46294.65284722222</v>
      </c>
      <c r="B95" s="12" t="s">
        <v>510</v>
      </c>
      <c r="C95" s="12">
        <v>3</v>
      </c>
      <c r="D95" s="18" t="s">
        <v>2222</v>
      </c>
      <c r="E95" s="18"/>
      <c r="F95" s="18" t="s">
        <v>514</v>
      </c>
      <c r="G95" s="12" t="s">
        <v>1451</v>
      </c>
      <c r="H95" s="12" t="s">
        <v>516</v>
      </c>
      <c r="I95" s="18"/>
    </row>
    <row r="96" spans="1:9" ht="89.25" x14ac:dyDescent="0.25">
      <c r="A96" s="19">
        <v>46294.675335648149</v>
      </c>
      <c r="B96" s="12" t="s">
        <v>536</v>
      </c>
      <c r="C96" s="12">
        <v>3</v>
      </c>
      <c r="D96" s="18" t="s">
        <v>2223</v>
      </c>
      <c r="E96" s="18"/>
      <c r="F96" s="18" t="s">
        <v>2224</v>
      </c>
      <c r="G96" s="12" t="s">
        <v>2061</v>
      </c>
      <c r="H96" s="12" t="s">
        <v>360</v>
      </c>
      <c r="I96" s="18"/>
    </row>
    <row r="97" spans="1:9" ht="51" x14ac:dyDescent="0.25">
      <c r="A97" s="19">
        <v>46294.68273148148</v>
      </c>
      <c r="B97" s="12" t="s">
        <v>536</v>
      </c>
      <c r="C97" s="12">
        <v>3</v>
      </c>
      <c r="D97" s="18" t="s">
        <v>2225</v>
      </c>
      <c r="E97" s="18"/>
      <c r="F97" s="18" t="s">
        <v>2226</v>
      </c>
      <c r="G97" s="12" t="s">
        <v>2061</v>
      </c>
      <c r="H97" s="12" t="s">
        <v>360</v>
      </c>
      <c r="I97" s="18"/>
    </row>
    <row r="98" spans="1:9" ht="89.25" x14ac:dyDescent="0.25">
      <c r="A98" s="19">
        <v>46294.694965277777</v>
      </c>
      <c r="B98" s="12" t="s">
        <v>536</v>
      </c>
      <c r="C98" s="12">
        <v>3</v>
      </c>
      <c r="D98" s="18" t="s">
        <v>2227</v>
      </c>
      <c r="E98" s="18"/>
      <c r="F98" s="18" t="s">
        <v>540</v>
      </c>
      <c r="G98" s="12" t="s">
        <v>1451</v>
      </c>
      <c r="H98" s="12" t="s">
        <v>360</v>
      </c>
      <c r="I98" s="18"/>
    </row>
    <row r="99" spans="1:9" ht="89.25" x14ac:dyDescent="0.25">
      <c r="A99" s="19">
        <v>46294.696053240739</v>
      </c>
      <c r="B99" s="12" t="s">
        <v>536</v>
      </c>
      <c r="C99" s="12">
        <v>3</v>
      </c>
      <c r="D99" s="18" t="s">
        <v>2228</v>
      </c>
      <c r="E99" s="18"/>
      <c r="F99" s="18" t="s">
        <v>540</v>
      </c>
      <c r="G99" s="12" t="s">
        <v>1451</v>
      </c>
      <c r="H99" s="12" t="s">
        <v>541</v>
      </c>
      <c r="I99" s="18"/>
    </row>
    <row r="100" spans="1:9" ht="63.75" x14ac:dyDescent="0.25">
      <c r="A100" s="19">
        <v>46294.906423611108</v>
      </c>
      <c r="B100" s="12" t="s">
        <v>553</v>
      </c>
      <c r="C100" s="12">
        <v>3</v>
      </c>
      <c r="D100" s="18" t="s">
        <v>2229</v>
      </c>
      <c r="E100" s="18"/>
      <c r="F100" s="18" t="s">
        <v>2230</v>
      </c>
      <c r="G100" s="12" t="s">
        <v>2061</v>
      </c>
      <c r="H100" s="12"/>
      <c r="I100" s="18"/>
    </row>
    <row r="101" spans="1:9" ht="114.75" x14ac:dyDescent="0.25">
      <c r="A101" s="19">
        <v>46294.923136574071</v>
      </c>
      <c r="B101" s="12" t="s">
        <v>553</v>
      </c>
      <c r="C101" s="12">
        <v>3</v>
      </c>
      <c r="D101" s="18" t="s">
        <v>2231</v>
      </c>
      <c r="E101" s="18"/>
      <c r="F101" s="18" t="s">
        <v>557</v>
      </c>
      <c r="G101" s="12" t="s">
        <v>1451</v>
      </c>
      <c r="H101" s="12"/>
      <c r="I101" s="18"/>
    </row>
    <row r="102" spans="1:9" ht="114.75" x14ac:dyDescent="0.25">
      <c r="A102" s="19">
        <v>46294.923842592587</v>
      </c>
      <c r="B102" s="12" t="s">
        <v>553</v>
      </c>
      <c r="C102" s="12">
        <v>3</v>
      </c>
      <c r="D102" s="18" t="s">
        <v>2232</v>
      </c>
      <c r="E102" s="18"/>
      <c r="F102" s="18" t="s">
        <v>557</v>
      </c>
      <c r="G102" s="12" t="s">
        <v>1451</v>
      </c>
      <c r="H102" s="12" t="s">
        <v>558</v>
      </c>
      <c r="I102" s="18"/>
    </row>
    <row r="103" spans="1:9" ht="114.75" x14ac:dyDescent="0.25">
      <c r="A103" s="19">
        <v>46294.955821759257</v>
      </c>
      <c r="B103" s="12" t="s">
        <v>570</v>
      </c>
      <c r="C103" s="12">
        <v>3</v>
      </c>
      <c r="D103" s="18" t="s">
        <v>2233</v>
      </c>
      <c r="E103" s="18"/>
      <c r="F103" s="18" t="s">
        <v>574</v>
      </c>
      <c r="G103" s="12" t="s">
        <v>1451</v>
      </c>
      <c r="H103" s="12"/>
      <c r="I103" s="18"/>
    </row>
    <row r="104" spans="1:9" ht="102" x14ac:dyDescent="0.25">
      <c r="A104" s="19">
        <v>46294.956192129634</v>
      </c>
      <c r="B104" s="12" t="s">
        <v>739</v>
      </c>
      <c r="C104" s="12">
        <v>3</v>
      </c>
      <c r="D104" s="18" t="s">
        <v>2234</v>
      </c>
      <c r="E104" s="18"/>
      <c r="F104" s="18" t="s">
        <v>743</v>
      </c>
      <c r="G104" s="12" t="s">
        <v>1451</v>
      </c>
      <c r="H104" s="12"/>
      <c r="I104" s="18"/>
    </row>
    <row r="105" spans="1:9" ht="51" x14ac:dyDescent="0.25">
      <c r="A105" s="19">
        <v>46294.956238425933</v>
      </c>
      <c r="B105" s="12" t="s">
        <v>764</v>
      </c>
      <c r="C105" s="12">
        <v>3</v>
      </c>
      <c r="D105" s="18" t="s">
        <v>2235</v>
      </c>
      <c r="E105" s="18"/>
      <c r="F105" s="18" t="s">
        <v>768</v>
      </c>
      <c r="G105" s="12" t="s">
        <v>1451</v>
      </c>
      <c r="H105" s="12"/>
      <c r="I105" s="18"/>
    </row>
    <row r="106" spans="1:9" ht="114.75" x14ac:dyDescent="0.25">
      <c r="A106" s="19">
        <v>46294.965115740742</v>
      </c>
      <c r="B106" s="12" t="s">
        <v>722</v>
      </c>
      <c r="C106" s="12">
        <v>3</v>
      </c>
      <c r="D106" s="18" t="s">
        <v>2236</v>
      </c>
      <c r="E106" s="18"/>
      <c r="F106" s="18" t="s">
        <v>726</v>
      </c>
      <c r="G106" s="12" t="s">
        <v>1451</v>
      </c>
      <c r="H106" s="12"/>
      <c r="I106" s="18"/>
    </row>
    <row r="107" spans="1:9" ht="102" x14ac:dyDescent="0.25">
      <c r="A107" s="19">
        <v>46295.105879629627</v>
      </c>
      <c r="B107" s="12" t="s">
        <v>683</v>
      </c>
      <c r="C107" s="12">
        <v>3</v>
      </c>
      <c r="D107" s="18" t="s">
        <v>2237</v>
      </c>
      <c r="E107" s="18"/>
      <c r="F107" s="18" t="s">
        <v>687</v>
      </c>
      <c r="G107" s="12" t="s">
        <v>1451</v>
      </c>
      <c r="H107" s="12"/>
      <c r="I107" s="18"/>
    </row>
    <row r="108" spans="1:9" ht="114.75" x14ac:dyDescent="0.25">
      <c r="A108" s="19">
        <v>46295.114583333343</v>
      </c>
      <c r="B108" s="12" t="s">
        <v>675</v>
      </c>
      <c r="C108" s="12">
        <v>3</v>
      </c>
      <c r="D108" s="18" t="s">
        <v>2238</v>
      </c>
      <c r="E108" s="18"/>
      <c r="F108" s="18" t="s">
        <v>679</v>
      </c>
      <c r="G108" s="12" t="s">
        <v>1451</v>
      </c>
      <c r="H108" s="12" t="s">
        <v>360</v>
      </c>
      <c r="I108" s="18"/>
    </row>
    <row r="109" spans="1:9" ht="89.25" x14ac:dyDescent="0.25">
      <c r="A109" s="19">
        <v>46295.121990740743</v>
      </c>
      <c r="B109" s="12" t="s">
        <v>690</v>
      </c>
      <c r="C109" s="12">
        <v>3</v>
      </c>
      <c r="D109" s="18" t="s">
        <v>2239</v>
      </c>
      <c r="E109" s="18"/>
      <c r="F109" s="18" t="s">
        <v>694</v>
      </c>
      <c r="G109" s="12" t="s">
        <v>1451</v>
      </c>
      <c r="H109" s="12"/>
      <c r="I109" s="18"/>
    </row>
    <row r="110" spans="1:9" ht="76.5" x14ac:dyDescent="0.25">
      <c r="A110" s="19">
        <v>46295.126597222217</v>
      </c>
      <c r="B110" s="12" t="s">
        <v>697</v>
      </c>
      <c r="C110" s="12">
        <v>3</v>
      </c>
      <c r="D110" s="18" t="s">
        <v>2240</v>
      </c>
      <c r="E110" s="18"/>
      <c r="F110" s="18" t="s">
        <v>701</v>
      </c>
      <c r="G110" s="12" t="s">
        <v>1451</v>
      </c>
      <c r="H110" s="12"/>
      <c r="I110" s="18"/>
    </row>
    <row r="111" spans="1:9" ht="76.5" x14ac:dyDescent="0.25">
      <c r="A111" s="19">
        <v>46295.136481481481</v>
      </c>
      <c r="B111" s="12" t="s">
        <v>710</v>
      </c>
      <c r="C111" s="12">
        <v>3</v>
      </c>
      <c r="D111" s="18" t="s">
        <v>2241</v>
      </c>
      <c r="E111" s="18"/>
      <c r="F111" s="18" t="s">
        <v>714</v>
      </c>
      <c r="G111" s="12" t="s">
        <v>1451</v>
      </c>
      <c r="H111" s="12"/>
      <c r="I111" s="18"/>
    </row>
    <row r="112" spans="1:9" ht="140.25" x14ac:dyDescent="0.25">
      <c r="A112" s="19">
        <v>46295.148645833331</v>
      </c>
      <c r="B112" s="12" t="s">
        <v>595</v>
      </c>
      <c r="C112" s="12">
        <v>3</v>
      </c>
      <c r="D112" s="18" t="s">
        <v>2242</v>
      </c>
      <c r="E112" s="18"/>
      <c r="F112" s="18" t="s">
        <v>599</v>
      </c>
      <c r="G112" s="12" t="s">
        <v>1451</v>
      </c>
      <c r="H112" s="12"/>
      <c r="I112" s="18"/>
    </row>
    <row r="113" spans="1:9" ht="178.5" x14ac:dyDescent="0.25">
      <c r="A113" s="19">
        <v>46295.31453703704</v>
      </c>
      <c r="B113" s="12" t="s">
        <v>609</v>
      </c>
      <c r="C113" s="12">
        <v>3</v>
      </c>
      <c r="D113" s="18" t="s">
        <v>2243</v>
      </c>
      <c r="E113" s="18"/>
      <c r="F113" s="18" t="s">
        <v>613</v>
      </c>
      <c r="G113" s="12" t="s">
        <v>1451</v>
      </c>
      <c r="H113" s="12"/>
      <c r="I113" s="18"/>
    </row>
    <row r="114" spans="1:9" ht="229.5" x14ac:dyDescent="0.25">
      <c r="A114" s="19">
        <v>46295.344085648147</v>
      </c>
      <c r="B114" s="12" t="s">
        <v>625</v>
      </c>
      <c r="C114" s="12">
        <v>3</v>
      </c>
      <c r="D114" s="18" t="s">
        <v>2244</v>
      </c>
      <c r="E114" s="18" t="s">
        <v>2245</v>
      </c>
      <c r="F114" s="18" t="s">
        <v>629</v>
      </c>
      <c r="G114" s="12" t="s">
        <v>1451</v>
      </c>
      <c r="H114" s="12"/>
      <c r="I114" s="18"/>
    </row>
    <row r="115" spans="1:9" ht="165.75" x14ac:dyDescent="0.25">
      <c r="A115" s="19">
        <v>46295.353587962964</v>
      </c>
      <c r="B115" s="12" t="s">
        <v>744</v>
      </c>
      <c r="C115" s="12">
        <v>3</v>
      </c>
      <c r="D115" s="18" t="s">
        <v>2246</v>
      </c>
      <c r="E115" s="18" t="s">
        <v>2247</v>
      </c>
      <c r="F115" s="18" t="s">
        <v>748</v>
      </c>
      <c r="G115" s="12" t="s">
        <v>1451</v>
      </c>
      <c r="H115" s="12"/>
      <c r="I115" s="18"/>
    </row>
    <row r="116" spans="1:9" ht="267.75" x14ac:dyDescent="0.25">
      <c r="A116" s="19">
        <v>46295.373136574082</v>
      </c>
      <c r="B116" s="12" t="s">
        <v>633</v>
      </c>
      <c r="C116" s="12">
        <v>3</v>
      </c>
      <c r="D116" s="18" t="s">
        <v>2248</v>
      </c>
      <c r="E116" s="18" t="s">
        <v>2249</v>
      </c>
      <c r="F116" s="18" t="s">
        <v>637</v>
      </c>
      <c r="G116" s="12" t="s">
        <v>1451</v>
      </c>
      <c r="H116" s="12"/>
      <c r="I116" s="18"/>
    </row>
    <row r="117" spans="1:9" ht="229.5" x14ac:dyDescent="0.25">
      <c r="A117" s="19">
        <v>46295.549432870372</v>
      </c>
      <c r="B117" s="12" t="s">
        <v>647</v>
      </c>
      <c r="C117" s="12">
        <v>3</v>
      </c>
      <c r="D117" s="18" t="s">
        <v>2250</v>
      </c>
      <c r="E117" s="18" t="s">
        <v>2251</v>
      </c>
      <c r="F117" s="18" t="s">
        <v>651</v>
      </c>
      <c r="G117" s="12" t="s">
        <v>1451</v>
      </c>
      <c r="H117" s="12"/>
      <c r="I117" s="18"/>
    </row>
    <row r="118" spans="1:9" ht="229.5" x14ac:dyDescent="0.25">
      <c r="A118" s="19">
        <v>46295.565578703703</v>
      </c>
      <c r="B118" s="12" t="s">
        <v>661</v>
      </c>
      <c r="C118" s="12">
        <v>3</v>
      </c>
      <c r="D118" s="18" t="s">
        <v>2252</v>
      </c>
      <c r="E118" s="18" t="s">
        <v>2253</v>
      </c>
      <c r="F118" s="18" t="s">
        <v>665</v>
      </c>
      <c r="G118" s="12" t="s">
        <v>1451</v>
      </c>
      <c r="H118" s="12"/>
      <c r="I118" s="18"/>
    </row>
    <row r="119" spans="1:9" ht="229.5" x14ac:dyDescent="0.25">
      <c r="A119" s="19">
        <v>46295.589004629634</v>
      </c>
      <c r="B119" s="12" t="s">
        <v>544</v>
      </c>
      <c r="C119" s="12">
        <v>3</v>
      </c>
      <c r="D119" s="18" t="s">
        <v>2254</v>
      </c>
      <c r="E119" s="18" t="s">
        <v>2255</v>
      </c>
      <c r="F119" s="18" t="s">
        <v>548</v>
      </c>
      <c r="G119" s="12" t="s">
        <v>1451</v>
      </c>
      <c r="H119" s="12"/>
      <c r="I119" s="18"/>
    </row>
    <row r="120" spans="1:9" ht="38.25" x14ac:dyDescent="0.25">
      <c r="A120" s="19">
        <v>46295.598414351851</v>
      </c>
      <c r="B120" s="12" t="s">
        <v>647</v>
      </c>
      <c r="C120" s="12">
        <v>3</v>
      </c>
      <c r="D120" s="18" t="s">
        <v>2256</v>
      </c>
      <c r="E120" s="18" t="s">
        <v>2257</v>
      </c>
      <c r="F120" s="18" t="s">
        <v>2258</v>
      </c>
      <c r="G120" s="12" t="s">
        <v>1451</v>
      </c>
      <c r="H120" s="12"/>
      <c r="I120" s="18"/>
    </row>
    <row r="121" spans="1:9" ht="127.5" x14ac:dyDescent="0.25">
      <c r="A121" s="19">
        <v>46295.625150462962</v>
      </c>
      <c r="B121" s="12" t="s">
        <v>769</v>
      </c>
      <c r="C121" s="12">
        <v>4</v>
      </c>
      <c r="D121" s="18" t="s">
        <v>2259</v>
      </c>
      <c r="E121" s="18" t="s">
        <v>2260</v>
      </c>
      <c r="F121" s="18" t="s">
        <v>773</v>
      </c>
      <c r="G121" s="12" t="s">
        <v>1451</v>
      </c>
      <c r="H121" s="12"/>
      <c r="I121" s="18"/>
    </row>
    <row r="122" spans="1:9" ht="76.5" x14ac:dyDescent="0.25">
      <c r="A122" s="19">
        <v>46295.62641203704</v>
      </c>
      <c r="B122" s="12" t="s">
        <v>2043</v>
      </c>
      <c r="C122" s="12"/>
      <c r="D122" s="18" t="s">
        <v>2261</v>
      </c>
      <c r="E122" s="18" t="s">
        <v>2262</v>
      </c>
      <c r="F122" s="18" t="s">
        <v>2263</v>
      </c>
      <c r="G122" s="12" t="s">
        <v>1451</v>
      </c>
      <c r="H122" s="12"/>
      <c r="I122" s="18"/>
    </row>
    <row r="123" spans="1:9" ht="165.75" x14ac:dyDescent="0.25">
      <c r="A123" s="19">
        <v>46295.914097222223</v>
      </c>
      <c r="B123" s="12" t="s">
        <v>776</v>
      </c>
      <c r="C123" s="12">
        <v>4</v>
      </c>
      <c r="D123" s="18" t="s">
        <v>2264</v>
      </c>
      <c r="E123" s="18" t="s">
        <v>2265</v>
      </c>
      <c r="F123" s="18" t="s">
        <v>780</v>
      </c>
      <c r="G123" s="12" t="s">
        <v>1451</v>
      </c>
      <c r="H123" s="12"/>
      <c r="I123" s="18"/>
    </row>
    <row r="124" spans="1:9" ht="63.75" x14ac:dyDescent="0.25">
      <c r="A124" s="19">
        <v>46295.914340277777</v>
      </c>
      <c r="B124" s="12" t="s">
        <v>859</v>
      </c>
      <c r="C124" s="12">
        <v>4</v>
      </c>
      <c r="D124" s="18" t="s">
        <v>2266</v>
      </c>
      <c r="E124" s="18" t="s">
        <v>2267</v>
      </c>
      <c r="F124" s="18" t="s">
        <v>863</v>
      </c>
      <c r="G124" s="12" t="s">
        <v>1451</v>
      </c>
      <c r="H124" s="12"/>
      <c r="I124" s="18"/>
    </row>
    <row r="125" spans="1:9" ht="178.5" x14ac:dyDescent="0.25">
      <c r="A125" s="19">
        <v>46295.935115740736</v>
      </c>
      <c r="B125" s="12" t="s">
        <v>782</v>
      </c>
      <c r="C125" s="12">
        <v>4</v>
      </c>
      <c r="D125" s="18" t="s">
        <v>2268</v>
      </c>
      <c r="E125" s="18" t="s">
        <v>2269</v>
      </c>
      <c r="F125" s="18" t="s">
        <v>786</v>
      </c>
      <c r="G125" s="12" t="s">
        <v>1451</v>
      </c>
      <c r="H125" s="12"/>
      <c r="I125" s="18"/>
    </row>
    <row r="126" spans="1:9" ht="216.75" x14ac:dyDescent="0.25">
      <c r="A126" s="19">
        <v>46295.949259259258</v>
      </c>
      <c r="B126" s="12" t="s">
        <v>796</v>
      </c>
      <c r="C126" s="12">
        <v>4</v>
      </c>
      <c r="D126" s="18" t="s">
        <v>2270</v>
      </c>
      <c r="E126" s="18" t="s">
        <v>2271</v>
      </c>
      <c r="F126" s="18" t="s">
        <v>800</v>
      </c>
      <c r="G126" s="12" t="s">
        <v>1451</v>
      </c>
      <c r="H126" s="12"/>
      <c r="I126" s="18"/>
    </row>
    <row r="127" spans="1:9" ht="140.25" x14ac:dyDescent="0.25">
      <c r="A127" s="19">
        <v>46295.965289351851</v>
      </c>
      <c r="B127" s="12" t="s">
        <v>804</v>
      </c>
      <c r="C127" s="12">
        <v>4</v>
      </c>
      <c r="D127" s="18" t="s">
        <v>2272</v>
      </c>
      <c r="E127" s="18" t="s">
        <v>2273</v>
      </c>
      <c r="F127" s="18" t="s">
        <v>808</v>
      </c>
      <c r="G127" s="12" t="s">
        <v>1451</v>
      </c>
      <c r="H127" s="12"/>
      <c r="I127" s="18"/>
    </row>
    <row r="128" spans="1:9" ht="165.75" x14ac:dyDescent="0.25">
      <c r="A128" s="19">
        <v>46295.975208333337</v>
      </c>
      <c r="B128" s="12" t="s">
        <v>840</v>
      </c>
      <c r="C128" s="12">
        <v>4</v>
      </c>
      <c r="D128" s="18" t="s">
        <v>2274</v>
      </c>
      <c r="E128" s="18" t="s">
        <v>2275</v>
      </c>
      <c r="F128" s="18" t="s">
        <v>844</v>
      </c>
      <c r="G128" s="12" t="s">
        <v>1451</v>
      </c>
      <c r="H128" s="12"/>
      <c r="I128" s="18"/>
    </row>
    <row r="129" spans="1:9" ht="127.5" x14ac:dyDescent="0.25">
      <c r="A129" s="19">
        <v>46295.985347222217</v>
      </c>
      <c r="B129" s="12" t="s">
        <v>810</v>
      </c>
      <c r="C129" s="12">
        <v>4</v>
      </c>
      <c r="D129" s="18" t="s">
        <v>2276</v>
      </c>
      <c r="E129" s="18" t="s">
        <v>2277</v>
      </c>
      <c r="F129" s="18" t="s">
        <v>814</v>
      </c>
      <c r="G129" s="12" t="s">
        <v>1451</v>
      </c>
      <c r="H129" s="12"/>
      <c r="I129" s="18"/>
    </row>
    <row r="130" spans="1:9" ht="38.25" x14ac:dyDescent="0.25">
      <c r="A130" s="19">
        <v>46295.990624999999</v>
      </c>
      <c r="B130" s="12" t="s">
        <v>816</v>
      </c>
      <c r="C130" s="12">
        <v>4</v>
      </c>
      <c r="D130" s="18" t="s">
        <v>2278</v>
      </c>
      <c r="E130" s="18" t="s">
        <v>2279</v>
      </c>
      <c r="F130" s="18" t="s">
        <v>820</v>
      </c>
      <c r="G130" s="12" t="s">
        <v>1451</v>
      </c>
      <c r="H130" s="12"/>
      <c r="I130" s="18"/>
    </row>
    <row r="131" spans="1:9" ht="38.25" x14ac:dyDescent="0.25">
      <c r="A131" s="19">
        <v>46296.425092592603</v>
      </c>
      <c r="B131" s="12" t="s">
        <v>827</v>
      </c>
      <c r="C131" s="12">
        <v>4</v>
      </c>
      <c r="D131" s="18" t="s">
        <v>2280</v>
      </c>
      <c r="E131" s="18" t="s">
        <v>2281</v>
      </c>
      <c r="F131" s="18" t="s">
        <v>831</v>
      </c>
      <c r="G131" s="12" t="s">
        <v>1451</v>
      </c>
      <c r="H131" s="12"/>
      <c r="I131" s="18"/>
    </row>
    <row r="132" spans="1:9" ht="51" x14ac:dyDescent="0.25">
      <c r="A132" s="19">
        <v>46296.447638888887</v>
      </c>
      <c r="B132" s="12" t="s">
        <v>790</v>
      </c>
      <c r="C132" s="12">
        <v>4</v>
      </c>
      <c r="D132" s="18" t="s">
        <v>2282</v>
      </c>
      <c r="E132" s="18" t="s">
        <v>2283</v>
      </c>
      <c r="F132" s="18" t="s">
        <v>794</v>
      </c>
      <c r="G132" s="12" t="s">
        <v>1451</v>
      </c>
      <c r="H132" s="12"/>
      <c r="I132" s="18"/>
    </row>
    <row r="133" spans="1:9" ht="63.75" x14ac:dyDescent="0.25">
      <c r="A133" s="19">
        <v>46296.462013888893</v>
      </c>
      <c r="B133" s="12" t="s">
        <v>804</v>
      </c>
      <c r="C133" s="12">
        <v>4</v>
      </c>
      <c r="D133" s="18" t="s">
        <v>2284</v>
      </c>
      <c r="E133" s="18" t="s">
        <v>2285</v>
      </c>
      <c r="F133" s="18" t="s">
        <v>2286</v>
      </c>
      <c r="G133" s="12" t="s">
        <v>1451</v>
      </c>
      <c r="H133" s="12"/>
      <c r="I133" s="18"/>
    </row>
    <row r="134" spans="1:9" ht="102" x14ac:dyDescent="0.25">
      <c r="A134" s="19">
        <v>46296.494606481479</v>
      </c>
      <c r="B134" s="12" t="s">
        <v>880</v>
      </c>
      <c r="C134" s="12">
        <v>5</v>
      </c>
      <c r="D134" s="18" t="s">
        <v>2287</v>
      </c>
      <c r="E134" s="18" t="s">
        <v>2288</v>
      </c>
      <c r="F134" s="18" t="s">
        <v>884</v>
      </c>
      <c r="G134" s="12" t="s">
        <v>1451</v>
      </c>
      <c r="H134" s="12" t="s">
        <v>886</v>
      </c>
      <c r="I134" s="18"/>
    </row>
    <row r="135" spans="1:9" ht="51" x14ac:dyDescent="0.25">
      <c r="A135" s="19">
        <v>46296.63181712963</v>
      </c>
      <c r="B135" s="12" t="s">
        <v>974</v>
      </c>
      <c r="C135" s="12">
        <v>6</v>
      </c>
      <c r="D135" s="18" t="s">
        <v>2289</v>
      </c>
      <c r="E135" s="18" t="s">
        <v>2290</v>
      </c>
      <c r="F135" s="18" t="s">
        <v>2291</v>
      </c>
      <c r="G135" s="12" t="s">
        <v>1451</v>
      </c>
      <c r="H135" s="12" t="s">
        <v>1737</v>
      </c>
      <c r="I135" s="18"/>
    </row>
    <row r="136" spans="1:9" ht="51" x14ac:dyDescent="0.25">
      <c r="A136" s="19">
        <v>46296.64025462963</v>
      </c>
      <c r="B136" s="12" t="s">
        <v>918</v>
      </c>
      <c r="C136" s="12">
        <v>6</v>
      </c>
      <c r="D136" s="18" t="s">
        <v>2292</v>
      </c>
      <c r="E136" s="18" t="s">
        <v>2293</v>
      </c>
      <c r="F136" s="18" t="s">
        <v>922</v>
      </c>
      <c r="G136" s="12" t="s">
        <v>1451</v>
      </c>
      <c r="H136" s="12" t="s">
        <v>923</v>
      </c>
      <c r="I136" s="18"/>
    </row>
    <row r="137" spans="1:9" ht="89.25" x14ac:dyDescent="0.25">
      <c r="A137" s="19">
        <v>46296.657175925917</v>
      </c>
      <c r="B137" s="12" t="s">
        <v>925</v>
      </c>
      <c r="C137" s="12">
        <v>6</v>
      </c>
      <c r="D137" s="18" t="s">
        <v>2294</v>
      </c>
      <c r="E137" s="18" t="s">
        <v>2295</v>
      </c>
      <c r="F137" s="18" t="s">
        <v>2296</v>
      </c>
      <c r="G137" s="12" t="s">
        <v>1451</v>
      </c>
      <c r="H137" s="12" t="s">
        <v>931</v>
      </c>
      <c r="I137" s="18"/>
    </row>
    <row r="138" spans="1:9" ht="63.75" x14ac:dyDescent="0.25">
      <c r="A138" s="19">
        <v>46296.673958333333</v>
      </c>
      <c r="B138" s="12" t="s">
        <v>925</v>
      </c>
      <c r="C138" s="12">
        <v>6</v>
      </c>
      <c r="D138" s="18" t="s">
        <v>2297</v>
      </c>
      <c r="E138" s="18" t="s">
        <v>2043</v>
      </c>
      <c r="F138" s="18" t="s">
        <v>929</v>
      </c>
      <c r="G138" s="12" t="s">
        <v>2061</v>
      </c>
      <c r="H138" s="12" t="s">
        <v>931</v>
      </c>
      <c r="I138" s="18"/>
    </row>
    <row r="139" spans="1:9" ht="76.5" x14ac:dyDescent="0.25">
      <c r="A139" s="19">
        <v>46296.673993055563</v>
      </c>
      <c r="B139" s="12" t="s">
        <v>932</v>
      </c>
      <c r="C139" s="12">
        <v>6</v>
      </c>
      <c r="D139" s="18" t="s">
        <v>2298</v>
      </c>
      <c r="E139" s="18" t="s">
        <v>2299</v>
      </c>
      <c r="F139" s="18" t="s">
        <v>936</v>
      </c>
      <c r="G139" s="12" t="s">
        <v>1451</v>
      </c>
      <c r="H139" s="12" t="s">
        <v>937</v>
      </c>
      <c r="I139" s="18"/>
    </row>
    <row r="140" spans="1:9" ht="63.75" x14ac:dyDescent="0.25">
      <c r="A140" s="19">
        <v>46296.683622685188</v>
      </c>
      <c r="B140" s="12" t="s">
        <v>938</v>
      </c>
      <c r="C140" s="12">
        <v>6</v>
      </c>
      <c r="D140" s="18" t="s">
        <v>2300</v>
      </c>
      <c r="E140" s="18" t="s">
        <v>2301</v>
      </c>
      <c r="F140" s="18" t="s">
        <v>942</v>
      </c>
      <c r="G140" s="12" t="s">
        <v>1451</v>
      </c>
      <c r="H140" s="12" t="s">
        <v>943</v>
      </c>
      <c r="I140" s="18"/>
    </row>
    <row r="141" spans="1:9" ht="38.25" x14ac:dyDescent="0.25">
      <c r="A141" s="19">
        <v>46301.614942129629</v>
      </c>
      <c r="B141" s="12" t="s">
        <v>865</v>
      </c>
      <c r="C141" s="12">
        <v>5</v>
      </c>
      <c r="D141" s="18" t="s">
        <v>2302</v>
      </c>
      <c r="E141" s="18"/>
      <c r="F141" s="18" t="s">
        <v>869</v>
      </c>
      <c r="G141" s="12" t="s">
        <v>1451</v>
      </c>
      <c r="H141" s="12" t="s">
        <v>870</v>
      </c>
      <c r="I141" s="18"/>
    </row>
    <row r="142" spans="1:9" ht="38.25" x14ac:dyDescent="0.25">
      <c r="A142" s="19">
        <v>46301.614988425928</v>
      </c>
      <c r="B142" s="12" t="s">
        <v>873</v>
      </c>
      <c r="C142" s="12">
        <v>5</v>
      </c>
      <c r="D142" s="18" t="s">
        <v>2303</v>
      </c>
      <c r="E142" s="18"/>
      <c r="F142" s="18" t="s">
        <v>877</v>
      </c>
      <c r="G142" s="12" t="s">
        <v>1451</v>
      </c>
      <c r="H142" s="12" t="s">
        <v>870</v>
      </c>
      <c r="I142" s="18"/>
    </row>
    <row r="143" spans="1:9" ht="38.25" x14ac:dyDescent="0.25">
      <c r="A143" s="19">
        <v>46301.615023148152</v>
      </c>
      <c r="B143" s="12" t="s">
        <v>887</v>
      </c>
      <c r="C143" s="12">
        <v>5</v>
      </c>
      <c r="D143" s="18" t="s">
        <v>2304</v>
      </c>
      <c r="E143" s="18"/>
      <c r="F143" s="18" t="s">
        <v>891</v>
      </c>
      <c r="G143" s="12" t="s">
        <v>1451</v>
      </c>
      <c r="H143" s="12" t="s">
        <v>870</v>
      </c>
      <c r="I143" s="18"/>
    </row>
    <row r="144" spans="1:9" ht="38.25" x14ac:dyDescent="0.25">
      <c r="A144" s="19">
        <v>46301.615069444437</v>
      </c>
      <c r="B144" s="12" t="s">
        <v>903</v>
      </c>
      <c r="C144" s="12">
        <v>5</v>
      </c>
      <c r="D144" s="18" t="s">
        <v>2305</v>
      </c>
      <c r="E144" s="18"/>
      <c r="F144" s="18" t="s">
        <v>907</v>
      </c>
      <c r="G144" s="12" t="s">
        <v>1451</v>
      </c>
      <c r="H144" s="12" t="s">
        <v>870</v>
      </c>
      <c r="I144" s="18"/>
    </row>
    <row r="145" spans="1:9" ht="38.25" x14ac:dyDescent="0.25">
      <c r="A145" s="19">
        <v>46301.615115740737</v>
      </c>
      <c r="B145" s="12" t="s">
        <v>1227</v>
      </c>
      <c r="C145" s="12">
        <v>5</v>
      </c>
      <c r="D145" s="18" t="s">
        <v>2306</v>
      </c>
      <c r="E145" s="18"/>
      <c r="F145" s="18" t="s">
        <v>1231</v>
      </c>
      <c r="G145" s="12" t="s">
        <v>1451</v>
      </c>
      <c r="H145" s="12" t="s">
        <v>870</v>
      </c>
      <c r="I145" s="18"/>
    </row>
    <row r="146" spans="1:9" ht="38.25" x14ac:dyDescent="0.25">
      <c r="A146" s="19">
        <v>46301.615162037036</v>
      </c>
      <c r="B146" s="12" t="s">
        <v>910</v>
      </c>
      <c r="C146" s="12">
        <v>5</v>
      </c>
      <c r="D146" s="18" t="s">
        <v>2307</v>
      </c>
      <c r="E146" s="18"/>
      <c r="F146" s="18" t="s">
        <v>914</v>
      </c>
      <c r="G146" s="12" t="s">
        <v>1451</v>
      </c>
      <c r="H146" s="12" t="s">
        <v>870</v>
      </c>
      <c r="I146" s="18"/>
    </row>
    <row r="147" spans="1:9" ht="51" x14ac:dyDescent="0.25">
      <c r="A147" s="19">
        <v>46301.615208333344</v>
      </c>
      <c r="B147" s="12" t="s">
        <v>1273</v>
      </c>
      <c r="C147" s="12">
        <v>17</v>
      </c>
      <c r="D147" s="18" t="s">
        <v>2308</v>
      </c>
      <c r="E147" s="18"/>
      <c r="F147" s="18" t="s">
        <v>1277</v>
      </c>
      <c r="G147" s="12" t="s">
        <v>1451</v>
      </c>
      <c r="H147" s="12" t="s">
        <v>870</v>
      </c>
      <c r="I147" s="18"/>
    </row>
    <row r="148" spans="1:9" ht="38.25" x14ac:dyDescent="0.25">
      <c r="A148" s="19">
        <v>46301.615254629629</v>
      </c>
      <c r="B148" s="12" t="s">
        <v>1246</v>
      </c>
      <c r="C148" s="12">
        <v>6</v>
      </c>
      <c r="D148" s="18" t="s">
        <v>2309</v>
      </c>
      <c r="E148" s="18"/>
      <c r="F148" s="18" t="s">
        <v>1250</v>
      </c>
      <c r="G148" s="12" t="s">
        <v>1451</v>
      </c>
      <c r="H148" s="12" t="s">
        <v>870</v>
      </c>
      <c r="I148" s="18"/>
    </row>
    <row r="149" spans="1:9" ht="38.25" x14ac:dyDescent="0.25">
      <c r="A149" s="19">
        <v>46301.615300925929</v>
      </c>
      <c r="B149" s="12" t="s">
        <v>974</v>
      </c>
      <c r="C149" s="12">
        <v>6</v>
      </c>
      <c r="D149" s="18" t="s">
        <v>2310</v>
      </c>
      <c r="E149" s="18"/>
      <c r="F149" s="18" t="s">
        <v>978</v>
      </c>
      <c r="G149" s="12" t="s">
        <v>1451</v>
      </c>
      <c r="H149" s="12" t="s">
        <v>967</v>
      </c>
      <c r="I149" s="18"/>
    </row>
    <row r="150" spans="1:9" ht="38.25" x14ac:dyDescent="0.25">
      <c r="A150" s="19">
        <v>46301.615335648137</v>
      </c>
      <c r="B150" s="12" t="s">
        <v>961</v>
      </c>
      <c r="C150" s="12">
        <v>6</v>
      </c>
      <c r="D150" s="18" t="s">
        <v>2311</v>
      </c>
      <c r="E150" s="18"/>
      <c r="F150" s="18" t="s">
        <v>965</v>
      </c>
      <c r="G150" s="12" t="s">
        <v>1451</v>
      </c>
      <c r="H150" s="12" t="s">
        <v>967</v>
      </c>
      <c r="I150" s="18"/>
    </row>
    <row r="151" spans="1:9" ht="38.25" x14ac:dyDescent="0.25">
      <c r="A151" s="19">
        <v>46301.615381944437</v>
      </c>
      <c r="B151" s="12" t="s">
        <v>969</v>
      </c>
      <c r="C151" s="12">
        <v>6</v>
      </c>
      <c r="D151" s="18" t="s">
        <v>2312</v>
      </c>
      <c r="E151" s="18"/>
      <c r="F151" s="18" t="s">
        <v>973</v>
      </c>
      <c r="G151" s="12" t="s">
        <v>1451</v>
      </c>
      <c r="H151" s="12" t="s">
        <v>967</v>
      </c>
      <c r="I151" s="18"/>
    </row>
    <row r="152" spans="1:9" ht="38.25" x14ac:dyDescent="0.25">
      <c r="A152" s="19">
        <v>46301.615428240737</v>
      </c>
      <c r="B152" s="12" t="s">
        <v>986</v>
      </c>
      <c r="C152" s="12">
        <v>6</v>
      </c>
      <c r="D152" s="18" t="s">
        <v>2313</v>
      </c>
      <c r="E152" s="18"/>
      <c r="F152" s="18" t="s">
        <v>990</v>
      </c>
      <c r="G152" s="12" t="s">
        <v>1451</v>
      </c>
      <c r="H152" s="12" t="s">
        <v>967</v>
      </c>
      <c r="I152" s="18"/>
    </row>
    <row r="153" spans="1:9" ht="51" x14ac:dyDescent="0.25">
      <c r="A153" s="19">
        <v>46301.615474537037</v>
      </c>
      <c r="B153" s="12" t="s">
        <v>980</v>
      </c>
      <c r="C153" s="12">
        <v>6</v>
      </c>
      <c r="D153" s="18" t="s">
        <v>2314</v>
      </c>
      <c r="E153" s="18"/>
      <c r="F153" s="18" t="s">
        <v>984</v>
      </c>
      <c r="G153" s="12" t="s">
        <v>1451</v>
      </c>
      <c r="H153" s="12" t="s">
        <v>985</v>
      </c>
      <c r="I153" s="18"/>
    </row>
    <row r="154" spans="1:9" ht="38.25" x14ac:dyDescent="0.25">
      <c r="A154" s="19">
        <v>46301.615520833337</v>
      </c>
      <c r="B154" s="12" t="s">
        <v>944</v>
      </c>
      <c r="C154" s="12">
        <v>6</v>
      </c>
      <c r="D154" s="18" t="s">
        <v>2315</v>
      </c>
      <c r="E154" s="18"/>
      <c r="F154" s="18" t="s">
        <v>948</v>
      </c>
      <c r="G154" s="12" t="s">
        <v>1451</v>
      </c>
      <c r="H154" s="12" t="s">
        <v>949</v>
      </c>
      <c r="I154" s="18"/>
    </row>
    <row r="155" spans="1:9" ht="38.25" x14ac:dyDescent="0.25">
      <c r="A155" s="19">
        <v>46301.615567129629</v>
      </c>
      <c r="B155" s="12" t="s">
        <v>950</v>
      </c>
      <c r="C155" s="12">
        <v>6</v>
      </c>
      <c r="D155" s="18" t="s">
        <v>2316</v>
      </c>
      <c r="E155" s="18"/>
      <c r="F155" s="18" t="s">
        <v>954</v>
      </c>
      <c r="G155" s="12" t="s">
        <v>1451</v>
      </c>
      <c r="H155" s="12" t="s">
        <v>955</v>
      </c>
      <c r="I155" s="18"/>
    </row>
    <row r="156" spans="1:9" ht="38.25" x14ac:dyDescent="0.25">
      <c r="A156" s="19">
        <v>46301.615613425929</v>
      </c>
      <c r="B156" s="12" t="s">
        <v>956</v>
      </c>
      <c r="C156" s="12">
        <v>6</v>
      </c>
      <c r="D156" s="18" t="s">
        <v>2317</v>
      </c>
      <c r="E156" s="18"/>
      <c r="F156" s="18" t="s">
        <v>960</v>
      </c>
      <c r="G156" s="12" t="s">
        <v>1451</v>
      </c>
      <c r="H156" s="12" t="s">
        <v>949</v>
      </c>
      <c r="I156" s="18"/>
    </row>
    <row r="157" spans="1:9" ht="38.25" x14ac:dyDescent="0.25">
      <c r="A157" s="19">
        <v>46301.615659722222</v>
      </c>
      <c r="B157" s="12" t="s">
        <v>992</v>
      </c>
      <c r="C157" s="12">
        <v>7</v>
      </c>
      <c r="D157" s="18" t="s">
        <v>2318</v>
      </c>
      <c r="E157" s="18"/>
      <c r="F157" s="18" t="s">
        <v>996</v>
      </c>
      <c r="G157" s="12" t="s">
        <v>1451</v>
      </c>
      <c r="H157" s="12" t="s">
        <v>998</v>
      </c>
      <c r="I157" s="18"/>
    </row>
    <row r="158" spans="1:9" ht="38.25" x14ac:dyDescent="0.25">
      <c r="A158" s="19">
        <v>46301.615706018521</v>
      </c>
      <c r="B158" s="12" t="s">
        <v>999</v>
      </c>
      <c r="C158" s="12">
        <v>7</v>
      </c>
      <c r="D158" s="18" t="s">
        <v>2319</v>
      </c>
      <c r="E158" s="18"/>
      <c r="F158" s="18" t="s">
        <v>1003</v>
      </c>
      <c r="G158" s="12" t="s">
        <v>1451</v>
      </c>
      <c r="H158" s="12" t="s">
        <v>998</v>
      </c>
      <c r="I158" s="18"/>
    </row>
    <row r="159" spans="1:9" ht="38.25" x14ac:dyDescent="0.25">
      <c r="A159" s="19">
        <v>46301.615752314807</v>
      </c>
      <c r="B159" s="12" t="s">
        <v>1004</v>
      </c>
      <c r="C159" s="12">
        <v>7</v>
      </c>
      <c r="D159" s="18" t="s">
        <v>2320</v>
      </c>
      <c r="E159" s="18"/>
      <c r="F159" s="18" t="s">
        <v>1003</v>
      </c>
      <c r="G159" s="12" t="s">
        <v>1451</v>
      </c>
      <c r="H159" s="12" t="s">
        <v>998</v>
      </c>
      <c r="I159" s="18"/>
    </row>
    <row r="160" spans="1:9" ht="38.25" x14ac:dyDescent="0.25">
      <c r="A160" s="19">
        <v>46301.615798611107</v>
      </c>
      <c r="B160" s="12" t="s">
        <v>834</v>
      </c>
      <c r="C160" s="12">
        <v>4</v>
      </c>
      <c r="D160" s="18" t="s">
        <v>2321</v>
      </c>
      <c r="E160" s="18"/>
      <c r="F160" s="18" t="s">
        <v>838</v>
      </c>
      <c r="G160" s="12" t="s">
        <v>1451</v>
      </c>
      <c r="H160" s="12" t="s">
        <v>839</v>
      </c>
      <c r="I160" s="18"/>
    </row>
    <row r="161" spans="1:9" ht="38.25" x14ac:dyDescent="0.25">
      <c r="A161" s="19">
        <v>46301.615844907406</v>
      </c>
      <c r="B161" s="12" t="s">
        <v>1241</v>
      </c>
      <c r="C161" s="12">
        <v>6</v>
      </c>
      <c r="D161" s="18" t="s">
        <v>2322</v>
      </c>
      <c r="E161" s="18"/>
      <c r="F161" s="18" t="s">
        <v>1245</v>
      </c>
      <c r="G161" s="12" t="s">
        <v>1451</v>
      </c>
      <c r="H161" s="12" t="s">
        <v>839</v>
      </c>
      <c r="I161" s="18"/>
    </row>
    <row r="162" spans="1:9" ht="76.5" x14ac:dyDescent="0.25">
      <c r="A162" s="19">
        <v>46301.615972222222</v>
      </c>
      <c r="B162" s="12" t="s">
        <v>2323</v>
      </c>
      <c r="C162" s="12">
        <v>6</v>
      </c>
      <c r="D162" s="18" t="s">
        <v>2324</v>
      </c>
      <c r="E162" s="18" t="s">
        <v>2325</v>
      </c>
      <c r="F162" s="18" t="s">
        <v>2326</v>
      </c>
      <c r="G162" s="12" t="s">
        <v>1451</v>
      </c>
      <c r="H162" s="12"/>
      <c r="I162" s="18"/>
    </row>
    <row r="163" spans="1:9" ht="38.25" x14ac:dyDescent="0.25">
      <c r="A163" s="19">
        <v>46301.640243055554</v>
      </c>
      <c r="B163" s="12" t="s">
        <v>1233</v>
      </c>
      <c r="C163" s="12">
        <v>5</v>
      </c>
      <c r="D163" s="18" t="s">
        <v>2327</v>
      </c>
      <c r="E163" s="18" t="s">
        <v>2328</v>
      </c>
      <c r="F163" s="18" t="s">
        <v>1237</v>
      </c>
      <c r="G163" s="12" t="s">
        <v>1451</v>
      </c>
      <c r="H163" s="12" t="s">
        <v>1239</v>
      </c>
      <c r="I163" s="18"/>
    </row>
    <row r="164" spans="1:9" ht="38.25" x14ac:dyDescent="0.25">
      <c r="A164" s="19">
        <v>46301.640289351853</v>
      </c>
      <c r="B164" s="12" t="s">
        <v>1280</v>
      </c>
      <c r="C164" s="12">
        <v>17</v>
      </c>
      <c r="D164" s="18" t="s">
        <v>2329</v>
      </c>
      <c r="E164" s="18" t="s">
        <v>2330</v>
      </c>
      <c r="F164" s="18" t="s">
        <v>1284</v>
      </c>
      <c r="G164" s="12" t="s">
        <v>1451</v>
      </c>
      <c r="H164" s="12" t="s">
        <v>1285</v>
      </c>
      <c r="I164" s="18"/>
    </row>
    <row r="165" spans="1:9" ht="38.25" x14ac:dyDescent="0.25">
      <c r="A165" s="19">
        <v>46301.6408912037</v>
      </c>
      <c r="B165" s="12" t="s">
        <v>2331</v>
      </c>
      <c r="C165" s="12">
        <v>7</v>
      </c>
      <c r="D165" s="18" t="s">
        <v>2332</v>
      </c>
      <c r="E165" s="18"/>
      <c r="F165" s="18" t="s">
        <v>2333</v>
      </c>
      <c r="G165" s="12" t="s">
        <v>1451</v>
      </c>
      <c r="H165" s="12"/>
      <c r="I165" s="18"/>
    </row>
    <row r="166" spans="1:9" ht="25.5" x14ac:dyDescent="0.25">
      <c r="A166" s="19">
        <v>46301.88385416667</v>
      </c>
      <c r="B166" s="12" t="s">
        <v>2334</v>
      </c>
      <c r="C166" s="12">
        <v>8</v>
      </c>
      <c r="D166" s="18" t="s">
        <v>2335</v>
      </c>
      <c r="E166" s="18"/>
      <c r="F166" s="18" t="s">
        <v>2336</v>
      </c>
      <c r="G166" s="12" t="s">
        <v>1451</v>
      </c>
      <c r="H166" s="12"/>
      <c r="I166" s="18"/>
    </row>
    <row r="167" spans="1:9" ht="25.5" x14ac:dyDescent="0.25">
      <c r="A167" s="19">
        <v>46301.92359953704</v>
      </c>
      <c r="B167" s="12" t="s">
        <v>2337</v>
      </c>
      <c r="C167" s="12">
        <v>10</v>
      </c>
      <c r="D167" s="18" t="s">
        <v>2338</v>
      </c>
      <c r="E167" s="18"/>
      <c r="F167" s="18" t="s">
        <v>2336</v>
      </c>
      <c r="G167" s="12" t="s">
        <v>1451</v>
      </c>
      <c r="H167" s="12"/>
      <c r="I167" s="18"/>
    </row>
    <row r="168" spans="1:9" ht="25.5" x14ac:dyDescent="0.25">
      <c r="A168" s="19">
        <v>46302.365069444437</v>
      </c>
      <c r="B168" s="12" t="s">
        <v>2339</v>
      </c>
      <c r="C168" s="12">
        <v>11</v>
      </c>
      <c r="D168" s="18" t="s">
        <v>2340</v>
      </c>
      <c r="E168" s="18"/>
      <c r="F168" s="18" t="s">
        <v>2336</v>
      </c>
      <c r="G168" s="12" t="s">
        <v>1451</v>
      </c>
      <c r="H168" s="12"/>
      <c r="I168" s="18"/>
    </row>
    <row r="169" spans="1:9" ht="25.5" x14ac:dyDescent="0.25">
      <c r="A169" s="19">
        <v>46302.36550925926</v>
      </c>
      <c r="B169" s="12" t="s">
        <v>2341</v>
      </c>
      <c r="C169" s="12">
        <v>12</v>
      </c>
      <c r="D169" s="18" t="s">
        <v>2342</v>
      </c>
      <c r="E169" s="18"/>
      <c r="F169" s="18" t="s">
        <v>2336</v>
      </c>
      <c r="G169" s="12" t="s">
        <v>1451</v>
      </c>
      <c r="H169" s="12"/>
      <c r="I169" s="18"/>
    </row>
    <row r="170" spans="1:9" ht="25.5" x14ac:dyDescent="0.25">
      <c r="A170" s="19">
        <v>46302.365891203714</v>
      </c>
      <c r="B170" s="12" t="s">
        <v>2343</v>
      </c>
      <c r="C170" s="12">
        <v>13</v>
      </c>
      <c r="D170" s="18" t="s">
        <v>2344</v>
      </c>
      <c r="E170" s="18"/>
      <c r="F170" s="18" t="s">
        <v>2336</v>
      </c>
      <c r="G170" s="12" t="s">
        <v>1451</v>
      </c>
      <c r="H170" s="12"/>
      <c r="I170" s="18"/>
    </row>
    <row r="171" spans="1:9" ht="25.5" x14ac:dyDescent="0.25">
      <c r="A171" s="19">
        <v>46302.366319444453</v>
      </c>
      <c r="B171" s="12" t="s">
        <v>2345</v>
      </c>
      <c r="C171" s="12">
        <v>14</v>
      </c>
      <c r="D171" s="18" t="s">
        <v>2346</v>
      </c>
      <c r="E171" s="18"/>
      <c r="F171" s="18" t="s">
        <v>2336</v>
      </c>
      <c r="G171" s="12" t="s">
        <v>1451</v>
      </c>
      <c r="H171" s="12"/>
      <c r="I171" s="18"/>
    </row>
    <row r="172" spans="1:9" ht="25.5" x14ac:dyDescent="0.25">
      <c r="A172" s="19">
        <v>46302.366724537038</v>
      </c>
      <c r="B172" s="12" t="s">
        <v>2347</v>
      </c>
      <c r="C172" s="12">
        <v>16</v>
      </c>
      <c r="D172" s="18" t="s">
        <v>2348</v>
      </c>
      <c r="E172" s="18"/>
      <c r="F172" s="18" t="s">
        <v>2336</v>
      </c>
      <c r="G172" s="12" t="s">
        <v>1451</v>
      </c>
      <c r="H172" s="12"/>
      <c r="I172" s="18"/>
    </row>
    <row r="173" spans="1:9" ht="25.5" x14ac:dyDescent="0.25">
      <c r="A173" s="19">
        <v>46302.367129629631</v>
      </c>
      <c r="B173" s="12" t="s">
        <v>2349</v>
      </c>
      <c r="C173" s="12">
        <v>16</v>
      </c>
      <c r="D173" s="18" t="s">
        <v>2350</v>
      </c>
      <c r="E173" s="18"/>
      <c r="F173" s="18" t="s">
        <v>2336</v>
      </c>
      <c r="G173" s="12" t="s">
        <v>1451</v>
      </c>
      <c r="H173" s="12"/>
      <c r="I173" s="18"/>
    </row>
    <row r="174" spans="1:9" ht="38.25" x14ac:dyDescent="0.25">
      <c r="A174" s="19">
        <v>46302.367604166669</v>
      </c>
      <c r="B174" s="12" t="s">
        <v>2351</v>
      </c>
      <c r="C174" s="12">
        <v>17</v>
      </c>
      <c r="D174" s="18" t="s">
        <v>2352</v>
      </c>
      <c r="E174" s="18"/>
      <c r="F174" s="18" t="s">
        <v>2353</v>
      </c>
      <c r="G174" s="12" t="s">
        <v>1451</v>
      </c>
      <c r="H174" s="12"/>
      <c r="I174" s="18"/>
    </row>
    <row r="175" spans="1:9" ht="25.5" x14ac:dyDescent="0.25">
      <c r="A175" s="19">
        <v>46302.367858796293</v>
      </c>
      <c r="B175" s="12" t="s">
        <v>1300</v>
      </c>
      <c r="C175" s="12">
        <v>18</v>
      </c>
      <c r="D175" s="18" t="s">
        <v>2354</v>
      </c>
      <c r="E175" s="18"/>
      <c r="F175" s="18" t="s">
        <v>2355</v>
      </c>
      <c r="G175" s="12" t="s">
        <v>1451</v>
      </c>
      <c r="H175" s="12"/>
      <c r="I175" s="18"/>
    </row>
    <row r="176" spans="1:9" ht="38.25" x14ac:dyDescent="0.25">
      <c r="A176" s="19">
        <v>46302.369467592587</v>
      </c>
      <c r="B176" s="12" t="s">
        <v>2356</v>
      </c>
      <c r="C176" s="12">
        <v>18</v>
      </c>
      <c r="D176" s="18" t="s">
        <v>2357</v>
      </c>
      <c r="E176" s="18"/>
      <c r="F176" s="18" t="s">
        <v>2358</v>
      </c>
      <c r="G176" s="12" t="s">
        <v>1451</v>
      </c>
      <c r="H176" s="12"/>
      <c r="I176" s="18"/>
    </row>
    <row r="177" spans="1:9" ht="102" x14ac:dyDescent="0.25">
      <c r="A177" s="19">
        <v>46302.468935185178</v>
      </c>
      <c r="B177" s="12" t="s">
        <v>618</v>
      </c>
      <c r="C177" s="12">
        <v>3</v>
      </c>
      <c r="D177" s="18" t="s">
        <v>2359</v>
      </c>
      <c r="E177" s="18" t="s">
        <v>2360</v>
      </c>
      <c r="F177" s="18" t="s">
        <v>622</v>
      </c>
      <c r="G177" s="12" t="s">
        <v>1451</v>
      </c>
      <c r="H177" s="12" t="s">
        <v>623</v>
      </c>
      <c r="I177" s="18"/>
    </row>
    <row r="178" spans="1:9" ht="127.5" x14ac:dyDescent="0.25">
      <c r="A178" s="19">
        <v>46302.500347222223</v>
      </c>
      <c r="B178" s="12" t="s">
        <v>640</v>
      </c>
      <c r="C178" s="12">
        <v>3</v>
      </c>
      <c r="D178" s="18" t="s">
        <v>2361</v>
      </c>
      <c r="E178" s="18" t="s">
        <v>2362</v>
      </c>
      <c r="F178" s="18" t="s">
        <v>644</v>
      </c>
      <c r="G178" s="12" t="s">
        <v>1451</v>
      </c>
      <c r="H178" s="12" t="s">
        <v>645</v>
      </c>
      <c r="I178" s="18"/>
    </row>
    <row r="179" spans="1:9" ht="89.25" x14ac:dyDescent="0.25">
      <c r="A179" s="19">
        <v>46302.524733796286</v>
      </c>
      <c r="B179" s="12" t="s">
        <v>654</v>
      </c>
      <c r="C179" s="12">
        <v>3</v>
      </c>
      <c r="D179" s="18" t="s">
        <v>2363</v>
      </c>
      <c r="E179" s="18" t="s">
        <v>2364</v>
      </c>
      <c r="F179" s="18" t="s">
        <v>658</v>
      </c>
      <c r="G179" s="12" t="s">
        <v>1451</v>
      </c>
      <c r="H179" s="12" t="s">
        <v>659</v>
      </c>
      <c r="I179" s="18"/>
    </row>
    <row r="180" spans="1:9" ht="38.25" x14ac:dyDescent="0.25">
      <c r="A180" s="19">
        <v>46302.52752314815</v>
      </c>
      <c r="B180" s="12" t="s">
        <v>703</v>
      </c>
      <c r="C180" s="12">
        <v>3</v>
      </c>
      <c r="D180" s="18" t="s">
        <v>2365</v>
      </c>
      <c r="E180" s="18"/>
      <c r="F180" s="18" t="s">
        <v>707</v>
      </c>
      <c r="G180" s="12" t="s">
        <v>2061</v>
      </c>
      <c r="H180" s="12" t="s">
        <v>708</v>
      </c>
      <c r="I180" s="18"/>
    </row>
    <row r="181" spans="1:9" ht="51" x14ac:dyDescent="0.25">
      <c r="A181" s="19">
        <v>46302.636307870373</v>
      </c>
      <c r="B181" s="12" t="s">
        <v>751</v>
      </c>
      <c r="C181" s="12">
        <v>3</v>
      </c>
      <c r="D181" s="18" t="s">
        <v>2366</v>
      </c>
      <c r="E181" s="18" t="s">
        <v>2367</v>
      </c>
      <c r="F181" s="18" t="s">
        <v>755</v>
      </c>
      <c r="G181" s="12" t="s">
        <v>1451</v>
      </c>
      <c r="H181" s="12" t="s">
        <v>756</v>
      </c>
      <c r="I181" s="18"/>
    </row>
    <row r="182" spans="1:9" ht="114.75" x14ac:dyDescent="0.25">
      <c r="A182" s="19">
        <v>46302.662361111114</v>
      </c>
      <c r="B182" s="12" t="s">
        <v>893</v>
      </c>
      <c r="C182" s="12">
        <v>5</v>
      </c>
      <c r="D182" s="18" t="s">
        <v>2368</v>
      </c>
      <c r="E182" s="18" t="s">
        <v>2369</v>
      </c>
      <c r="F182" s="18" t="s">
        <v>897</v>
      </c>
      <c r="G182" s="12" t="s">
        <v>1451</v>
      </c>
      <c r="H182" s="12" t="s">
        <v>898</v>
      </c>
      <c r="I182" s="18"/>
    </row>
    <row r="183" spans="1:9" ht="38.25" x14ac:dyDescent="0.25">
      <c r="A183" s="19">
        <v>46302.676979166667</v>
      </c>
      <c r="B183" s="12" t="s">
        <v>1076</v>
      </c>
      <c r="C183" s="12">
        <v>9</v>
      </c>
      <c r="D183" s="18" t="s">
        <v>2370</v>
      </c>
      <c r="E183" s="18" t="s">
        <v>2371</v>
      </c>
      <c r="F183" s="18" t="s">
        <v>1080</v>
      </c>
      <c r="G183" s="12" t="s">
        <v>1451</v>
      </c>
      <c r="H183" s="12" t="s">
        <v>1081</v>
      </c>
      <c r="I183" s="18"/>
    </row>
    <row r="184" spans="1:9" ht="25.5" x14ac:dyDescent="0.25">
      <c r="A184" s="19">
        <v>46302.680891203701</v>
      </c>
      <c r="B184" s="12" t="s">
        <v>1065</v>
      </c>
      <c r="C184" s="12">
        <v>9</v>
      </c>
      <c r="D184" s="18" t="s">
        <v>2372</v>
      </c>
      <c r="E184" s="18" t="s">
        <v>2373</v>
      </c>
      <c r="F184" s="18" t="s">
        <v>1069</v>
      </c>
      <c r="G184" s="12" t="s">
        <v>1451</v>
      </c>
      <c r="H184" s="12" t="s">
        <v>1071</v>
      </c>
      <c r="I184" s="18"/>
    </row>
  </sheetData>
  <autoFilter ref="A1:I18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2374</v>
      </c>
    </row>
    <row r="2" spans="1:2" x14ac:dyDescent="0.25">
      <c r="A2" s="4" t="s">
        <v>151</v>
      </c>
    </row>
    <row r="3" spans="1:2" x14ac:dyDescent="0.25">
      <c r="A3" s="2" t="s">
        <v>2375</v>
      </c>
    </row>
    <row r="4" spans="1:2" x14ac:dyDescent="0.25">
      <c r="A4" s="10" t="s">
        <v>2376</v>
      </c>
      <c r="B4" s="10" t="s">
        <v>2377</v>
      </c>
    </row>
    <row r="5" spans="1:2" x14ac:dyDescent="0.25">
      <c r="A5" s="6" t="s">
        <v>6</v>
      </c>
      <c r="B5" s="18" t="s">
        <v>2378</v>
      </c>
    </row>
    <row r="6" spans="1:2" x14ac:dyDescent="0.25">
      <c r="A6" s="6" t="s">
        <v>9</v>
      </c>
      <c r="B6" s="18" t="s">
        <v>2379</v>
      </c>
    </row>
    <row r="7" spans="1:2" x14ac:dyDescent="0.25">
      <c r="A7" s="6" t="s">
        <v>12</v>
      </c>
      <c r="B7" s="18" t="s">
        <v>2380</v>
      </c>
    </row>
    <row r="8" spans="1:2" x14ac:dyDescent="0.25">
      <c r="A8" s="6" t="s">
        <v>15</v>
      </c>
      <c r="B8" s="18" t="s">
        <v>2381</v>
      </c>
    </row>
    <row r="9" spans="1:2" x14ac:dyDescent="0.25">
      <c r="A9" s="6" t="s">
        <v>2382</v>
      </c>
      <c r="B9" s="18" t="s">
        <v>2383</v>
      </c>
    </row>
    <row r="10" spans="1:2" x14ac:dyDescent="0.25">
      <c r="A10" s="6" t="s">
        <v>2384</v>
      </c>
      <c r="B10" s="18" t="s">
        <v>2385</v>
      </c>
    </row>
    <row r="11" spans="1:2" x14ac:dyDescent="0.25">
      <c r="A11" s="6" t="s">
        <v>26</v>
      </c>
      <c r="B11" s="18" t="s">
        <v>2386</v>
      </c>
    </row>
    <row r="12" spans="1:2" x14ac:dyDescent="0.25">
      <c r="A12" s="6" t="s">
        <v>29</v>
      </c>
      <c r="B12" s="18" t="s">
        <v>2387</v>
      </c>
    </row>
    <row r="13" spans="1:2" ht="25.5" x14ac:dyDescent="0.25">
      <c r="A13" s="6" t="s">
        <v>32</v>
      </c>
      <c r="B13" s="18" t="s">
        <v>2388</v>
      </c>
    </row>
    <row r="14" spans="1:2" x14ac:dyDescent="0.25">
      <c r="A14" s="6" t="s">
        <v>18</v>
      </c>
      <c r="B14" s="18" t="s">
        <v>2389</v>
      </c>
    </row>
    <row r="15" spans="1:2" x14ac:dyDescent="0.25">
      <c r="A15" s="6" t="s">
        <v>21</v>
      </c>
      <c r="B15" s="18"/>
    </row>
    <row r="16" spans="1:2" x14ac:dyDescent="0.25">
      <c r="A16" s="6" t="s">
        <v>24</v>
      </c>
      <c r="B16" s="18"/>
    </row>
    <row r="17" spans="1:2" x14ac:dyDescent="0.25">
      <c r="A17" s="6" t="s">
        <v>35</v>
      </c>
      <c r="B17" s="18" t="s">
        <v>2390</v>
      </c>
    </row>
    <row r="18" spans="1:2" x14ac:dyDescent="0.25">
      <c r="A18" s="6" t="s">
        <v>2391</v>
      </c>
      <c r="B18" s="18" t="s">
        <v>2392</v>
      </c>
    </row>
    <row r="19" spans="1:2" x14ac:dyDescent="0.25">
      <c r="A19" s="6" t="s">
        <v>2393</v>
      </c>
      <c r="B19" s="18" t="str">
        <f>"Tasks "&amp;DASHBOARD!B5&amp;" · done "&amp;DASHBOARD!B6&amp;" · verified "&amp;DASHBOARD!B7&amp;" · in progress "&amp;DASHBOARD!B8&amp;" · blocked "&amp;DASHBOARD!B9&amp;" · failed "&amp;DASHBOARD!B10&amp;" · P0 open "&amp;DASHBOARD!B16&amp;" · P1 open "&amp;DASHBOARD!B17</f>
        <v>Tasks 189 · done 168 · verified 168 · in progress 0 · blocked 3 · failed 0 · P0 open 0 · P1 open 2</v>
      </c>
    </row>
    <row r="20" spans="1:2" x14ac:dyDescent="0.25">
      <c r="A20" s="6" t="s">
        <v>2394</v>
      </c>
      <c r="B20" s="18" t="s">
        <v>2045</v>
      </c>
    </row>
    <row r="21" spans="1:2" x14ac:dyDescent="0.25">
      <c r="A21" s="6" t="s">
        <v>2395</v>
      </c>
      <c r="B21" s="18" t="s">
        <v>2045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2396</v>
      </c>
    </row>
    <row r="2" spans="1:9" x14ac:dyDescent="0.25">
      <c r="A2" s="4" t="s">
        <v>154</v>
      </c>
    </row>
    <row r="3" spans="1:9" x14ac:dyDescent="0.25">
      <c r="A3" s="6" t="s">
        <v>2397</v>
      </c>
      <c r="B3" s="6" t="s">
        <v>1451</v>
      </c>
      <c r="C3" s="6" t="s">
        <v>2398</v>
      </c>
      <c r="D3" s="6" t="s">
        <v>2399</v>
      </c>
    </row>
    <row r="4" spans="1:9" x14ac:dyDescent="0.25">
      <c r="A4" s="7">
        <f>COUNTA(A7:A21)</f>
        <v>15</v>
      </c>
      <c r="B4" s="7">
        <f>COUNTIF(C7:C21,"PASS")</f>
        <v>13</v>
      </c>
      <c r="C4" s="7">
        <f>COUNTIF(C7:C21,"FAIL")</f>
        <v>0</v>
      </c>
      <c r="D4" s="7">
        <f>COUNTIF(C7:C21,"NOT_EVALUATED")</f>
        <v>2</v>
      </c>
    </row>
    <row r="6" spans="1:9" ht="25.5" x14ac:dyDescent="0.25">
      <c r="A6" s="10" t="s">
        <v>2400</v>
      </c>
      <c r="B6" s="10" t="s">
        <v>2401</v>
      </c>
      <c r="C6" s="10" t="s">
        <v>57</v>
      </c>
      <c r="D6" s="10" t="s">
        <v>1923</v>
      </c>
      <c r="E6" s="10" t="s">
        <v>1924</v>
      </c>
      <c r="F6" s="10" t="s">
        <v>1925</v>
      </c>
      <c r="G6" s="10" t="s">
        <v>166</v>
      </c>
      <c r="H6" s="10" t="s">
        <v>15</v>
      </c>
      <c r="I6" s="10" t="s">
        <v>174</v>
      </c>
    </row>
    <row r="7" spans="1:9" ht="51" x14ac:dyDescent="0.25">
      <c r="A7" s="15" t="s">
        <v>2402</v>
      </c>
      <c r="B7" s="18" t="s">
        <v>2403</v>
      </c>
      <c r="C7" s="12" t="s">
        <v>1451</v>
      </c>
      <c r="D7" s="18" t="s">
        <v>2404</v>
      </c>
      <c r="E7" s="16">
        <f>SUMPRODUCT(ISNUMBER(SEARCH(","&amp;MASTER!$A$2:$A$2000&amp;",",","&amp;SUBSTITUTE($D7," ","")&amp;","))*((MASTER!$G$2:$G$2000="DONE")))</f>
        <v>3</v>
      </c>
      <c r="F7" s="16">
        <f t="shared" ref="F7:F21" si="0">IF(LEN(SUBSTITUTE($D7," ",""))=0,0,LEN(SUBSTITUTE($D7," ",""))-LEN(SUBSTITUTE(SUBSTITUTE($D7," ",""),",",""))+1)</f>
        <v>3</v>
      </c>
      <c r="G7" s="18" t="s">
        <v>2405</v>
      </c>
      <c r="H7" s="19">
        <v>46302.367951388893</v>
      </c>
      <c r="I7" s="18"/>
    </row>
    <row r="8" spans="1:9" ht="38.25" x14ac:dyDescent="0.25">
      <c r="A8" s="15" t="s">
        <v>2406</v>
      </c>
      <c r="B8" s="18" t="s">
        <v>2407</v>
      </c>
      <c r="C8" s="12" t="s">
        <v>1451</v>
      </c>
      <c r="D8" s="18" t="s">
        <v>840</v>
      </c>
      <c r="E8" s="16">
        <f>SUMPRODUCT(ISNUMBER(SEARCH(","&amp;MASTER!$A$2:$A$2000&amp;",",","&amp;SUBSTITUTE($D8," ","")&amp;","))*((MASTER!$G$2:$G$2000="DONE")))</f>
        <v>1</v>
      </c>
      <c r="F8" s="16">
        <f t="shared" si="0"/>
        <v>1</v>
      </c>
      <c r="G8" s="18" t="s">
        <v>2408</v>
      </c>
      <c r="H8" s="19">
        <v>46302.368009259262</v>
      </c>
      <c r="I8" s="18"/>
    </row>
    <row r="9" spans="1:9" ht="63.75" x14ac:dyDescent="0.25">
      <c r="A9" s="15" t="s">
        <v>2409</v>
      </c>
      <c r="B9" s="18" t="s">
        <v>2410</v>
      </c>
      <c r="C9" s="12" t="s">
        <v>1451</v>
      </c>
      <c r="D9" s="18" t="s">
        <v>2411</v>
      </c>
      <c r="E9" s="16">
        <f>SUMPRODUCT(ISNUMBER(SEARCH(","&amp;MASTER!$A$2:$A$2000&amp;",",","&amp;SUBSTITUTE($D9," ","")&amp;","))*((MASTER!$G$2:$G$2000="DONE")))</f>
        <v>2</v>
      </c>
      <c r="F9" s="16">
        <f t="shared" si="0"/>
        <v>2</v>
      </c>
      <c r="G9" s="18" t="s">
        <v>2412</v>
      </c>
      <c r="H9" s="19">
        <v>46302.368055555547</v>
      </c>
      <c r="I9" s="18"/>
    </row>
    <row r="10" spans="1:9" ht="63.75" x14ac:dyDescent="0.25">
      <c r="A10" s="15" t="s">
        <v>2413</v>
      </c>
      <c r="B10" s="18" t="s">
        <v>2414</v>
      </c>
      <c r="C10" s="12" t="s">
        <v>2399</v>
      </c>
      <c r="D10" s="18" t="s">
        <v>974</v>
      </c>
      <c r="E10" s="16">
        <f>SUMPRODUCT(ISNUMBER(SEARCH(","&amp;MASTER!$A$2:$A$2000&amp;",",","&amp;SUBSTITUTE($D10," ","")&amp;","))*((MASTER!$G$2:$G$2000="DONE")))</f>
        <v>1</v>
      </c>
      <c r="F10" s="16">
        <f t="shared" si="0"/>
        <v>1</v>
      </c>
      <c r="G10" s="18"/>
      <c r="H10" s="19">
        <v>46302.368101851847</v>
      </c>
      <c r="I10" s="18" t="s">
        <v>2415</v>
      </c>
    </row>
    <row r="11" spans="1:9" ht="51" x14ac:dyDescent="0.25">
      <c r="A11" s="15" t="s">
        <v>2416</v>
      </c>
      <c r="B11" s="18" t="s">
        <v>2417</v>
      </c>
      <c r="C11" s="12" t="s">
        <v>1451</v>
      </c>
      <c r="D11" s="18" t="s">
        <v>2418</v>
      </c>
      <c r="E11" s="16">
        <f>SUMPRODUCT(ISNUMBER(SEARCH(","&amp;MASTER!$A$2:$A$2000&amp;",",","&amp;SUBSTITUTE($D11," ","")&amp;","))*((MASTER!$G$2:$G$2000="DONE")))</f>
        <v>3</v>
      </c>
      <c r="F11" s="16">
        <f t="shared" si="0"/>
        <v>3</v>
      </c>
      <c r="G11" s="18" t="s">
        <v>2419</v>
      </c>
      <c r="H11" s="19">
        <v>46302.368148148147</v>
      </c>
      <c r="I11" s="18"/>
    </row>
    <row r="12" spans="1:9" ht="51" x14ac:dyDescent="0.25">
      <c r="A12" s="15" t="s">
        <v>2420</v>
      </c>
      <c r="B12" s="18" t="s">
        <v>2421</v>
      </c>
      <c r="C12" s="12" t="s">
        <v>1451</v>
      </c>
      <c r="D12" s="18" t="s">
        <v>716</v>
      </c>
      <c r="E12" s="16">
        <f>SUMPRODUCT(ISNUMBER(SEARCH(","&amp;MASTER!$A$2:$A$2000&amp;",",","&amp;SUBSTITUTE($D12," ","")&amp;","))*((MASTER!$G$2:$G$2000="DONE")))</f>
        <v>1</v>
      </c>
      <c r="F12" s="16">
        <f t="shared" si="0"/>
        <v>1</v>
      </c>
      <c r="G12" s="18" t="s">
        <v>2422</v>
      </c>
      <c r="H12" s="19">
        <v>46302.368206018517</v>
      </c>
      <c r="I12" s="18"/>
    </row>
    <row r="13" spans="1:9" ht="51" x14ac:dyDescent="0.25">
      <c r="A13" s="15" t="s">
        <v>2423</v>
      </c>
      <c r="B13" s="18" t="s">
        <v>2424</v>
      </c>
      <c r="C13" s="12" t="s">
        <v>1451</v>
      </c>
      <c r="D13" s="18" t="s">
        <v>716</v>
      </c>
      <c r="E13" s="16">
        <f>SUMPRODUCT(ISNUMBER(SEARCH(","&amp;MASTER!$A$2:$A$2000&amp;",",","&amp;SUBSTITUTE($D13," ","")&amp;","))*((MASTER!$G$2:$G$2000="DONE")))</f>
        <v>1</v>
      </c>
      <c r="F13" s="16">
        <f t="shared" si="0"/>
        <v>1</v>
      </c>
      <c r="G13" s="18" t="s">
        <v>2425</v>
      </c>
      <c r="H13" s="19">
        <v>46302.368252314824</v>
      </c>
      <c r="I13" s="18"/>
    </row>
    <row r="14" spans="1:9" ht="51" x14ac:dyDescent="0.25">
      <c r="A14" s="15" t="s">
        <v>2426</v>
      </c>
      <c r="B14" s="18" t="s">
        <v>2427</v>
      </c>
      <c r="C14" s="12" t="s">
        <v>1451</v>
      </c>
      <c r="D14" s="18" t="s">
        <v>1148</v>
      </c>
      <c r="E14" s="16">
        <f>SUMPRODUCT(ISNUMBER(SEARCH(","&amp;MASTER!$A$2:$A$2000&amp;",",","&amp;SUBSTITUTE($D14," ","")&amp;","))*((MASTER!$G$2:$G$2000="DONE")))</f>
        <v>1</v>
      </c>
      <c r="F14" s="16">
        <f t="shared" si="0"/>
        <v>1</v>
      </c>
      <c r="G14" s="18" t="s">
        <v>2428</v>
      </c>
      <c r="H14" s="19">
        <v>46302.365023148152</v>
      </c>
      <c r="I14" s="18" t="s">
        <v>2429</v>
      </c>
    </row>
    <row r="15" spans="1:9" ht="51" x14ac:dyDescent="0.25">
      <c r="A15" s="15" t="s">
        <v>2430</v>
      </c>
      <c r="B15" s="18" t="s">
        <v>2431</v>
      </c>
      <c r="C15" s="12" t="s">
        <v>1451</v>
      </c>
      <c r="D15" s="18" t="s">
        <v>1036</v>
      </c>
      <c r="E15" s="16">
        <f>SUMPRODUCT(ISNUMBER(SEARCH(","&amp;MASTER!$A$2:$A$2000&amp;",",","&amp;SUBSTITUTE($D15," ","")&amp;","))*((MASTER!$G$2:$G$2000="DONE")))</f>
        <v>1</v>
      </c>
      <c r="F15" s="16">
        <f t="shared" si="0"/>
        <v>1</v>
      </c>
      <c r="G15" s="18" t="s">
        <v>2432</v>
      </c>
      <c r="H15" s="19">
        <v>46301.883796296293</v>
      </c>
      <c r="I15" s="18" t="s">
        <v>2433</v>
      </c>
    </row>
    <row r="16" spans="1:9" ht="51" x14ac:dyDescent="0.25">
      <c r="A16" s="15" t="s">
        <v>2434</v>
      </c>
      <c r="B16" s="18" t="s">
        <v>2435</v>
      </c>
      <c r="C16" s="12" t="s">
        <v>1451</v>
      </c>
      <c r="D16" s="18" t="s">
        <v>1121</v>
      </c>
      <c r="E16" s="16">
        <f>SUMPRODUCT(ISNUMBER(SEARCH(","&amp;MASTER!$A$2:$A$2000&amp;",",","&amp;SUBSTITUTE($D16," ","")&amp;","))*((MASTER!$G$2:$G$2000="DONE")))</f>
        <v>1</v>
      </c>
      <c r="F16" s="16">
        <f t="shared" si="0"/>
        <v>1</v>
      </c>
      <c r="G16" s="18" t="s">
        <v>2436</v>
      </c>
      <c r="H16" s="19">
        <v>46301.923506944448</v>
      </c>
      <c r="I16" s="18" t="s">
        <v>2437</v>
      </c>
    </row>
    <row r="17" spans="1:9" ht="51" x14ac:dyDescent="0.25">
      <c r="A17" s="15" t="s">
        <v>2438</v>
      </c>
      <c r="B17" s="18" t="s">
        <v>2439</v>
      </c>
      <c r="C17" s="12" t="s">
        <v>1451</v>
      </c>
      <c r="D17" s="18" t="s">
        <v>1109</v>
      </c>
      <c r="E17" s="16">
        <f>SUMPRODUCT(ISNUMBER(SEARCH(","&amp;MASTER!$A$2:$A$2000&amp;",",","&amp;SUBSTITUTE($D17," ","")&amp;","))*((MASTER!$G$2:$G$2000="DONE")))</f>
        <v>1</v>
      </c>
      <c r="F17" s="16">
        <f t="shared" si="0"/>
        <v>1</v>
      </c>
      <c r="G17" s="18" t="s">
        <v>2440</v>
      </c>
      <c r="H17" s="19">
        <v>46301.92355324074</v>
      </c>
      <c r="I17" s="18" t="s">
        <v>2437</v>
      </c>
    </row>
    <row r="18" spans="1:9" ht="25.5" x14ac:dyDescent="0.25">
      <c r="A18" s="15" t="s">
        <v>2441</v>
      </c>
      <c r="B18" s="18" t="s">
        <v>2442</v>
      </c>
      <c r="C18" s="12" t="s">
        <v>1451</v>
      </c>
      <c r="D18" s="18" t="s">
        <v>1280</v>
      </c>
      <c r="E18" s="16">
        <f>SUMPRODUCT(ISNUMBER(SEARCH(","&amp;MASTER!$A$2:$A$2000&amp;",",","&amp;SUBSTITUTE($D18," ","")&amp;","))*((MASTER!$G$2:$G$2000="DONE")))</f>
        <v>1</v>
      </c>
      <c r="F18" s="16">
        <f t="shared" si="0"/>
        <v>1</v>
      </c>
      <c r="G18" s="18" t="s">
        <v>2443</v>
      </c>
      <c r="H18" s="19">
        <v>46302.368298611109</v>
      </c>
      <c r="I18" s="18"/>
    </row>
    <row r="19" spans="1:9" ht="76.5" x14ac:dyDescent="0.25">
      <c r="A19" s="15" t="s">
        <v>2444</v>
      </c>
      <c r="B19" s="18" t="s">
        <v>2445</v>
      </c>
      <c r="C19" s="12" t="s">
        <v>2399</v>
      </c>
      <c r="D19" s="18" t="s">
        <v>217</v>
      </c>
      <c r="E19" s="16">
        <f>SUMPRODUCT(ISNUMBER(SEARCH(","&amp;MASTER!$A$2:$A$2000&amp;",",","&amp;SUBSTITUTE($D19," ","")&amp;","))*((MASTER!$G$2:$G$2000="DONE")))</f>
        <v>1</v>
      </c>
      <c r="F19" s="16">
        <f t="shared" si="0"/>
        <v>1</v>
      </c>
      <c r="G19" s="18"/>
      <c r="H19" s="19">
        <v>46302.368356481478</v>
      </c>
      <c r="I19" s="18" t="s">
        <v>2446</v>
      </c>
    </row>
    <row r="20" spans="1:9" ht="51" x14ac:dyDescent="0.25">
      <c r="A20" s="15" t="s">
        <v>2447</v>
      </c>
      <c r="B20" s="18" t="s">
        <v>2448</v>
      </c>
      <c r="C20" s="12" t="s">
        <v>1451</v>
      </c>
      <c r="D20" s="18" t="s">
        <v>2449</v>
      </c>
      <c r="E20" s="16">
        <f>SUMPRODUCT(ISNUMBER(SEARCH(","&amp;MASTER!$A$2:$A$2000&amp;",",","&amp;SUBSTITUTE($D20," ","")&amp;","))*((MASTER!$G$2:$G$2000="DONE")))</f>
        <v>2</v>
      </c>
      <c r="F20" s="16">
        <f t="shared" si="0"/>
        <v>2</v>
      </c>
      <c r="G20" s="18" t="s">
        <v>2450</v>
      </c>
      <c r="H20" s="19">
        <v>46302.368402777778</v>
      </c>
      <c r="I20" s="18"/>
    </row>
    <row r="21" spans="1:9" ht="38.25" x14ac:dyDescent="0.25">
      <c r="A21" s="15" t="s">
        <v>2451</v>
      </c>
      <c r="B21" s="18" t="s">
        <v>2452</v>
      </c>
      <c r="C21" s="12" t="s">
        <v>1451</v>
      </c>
      <c r="D21" s="18" t="s">
        <v>1253</v>
      </c>
      <c r="E21" s="16">
        <f>SUMPRODUCT(ISNUMBER(SEARCH(","&amp;MASTER!$A$2:$A$2000&amp;",",","&amp;SUBSTITUTE($D21," ","")&amp;","))*((MASTER!$G$2:$G$2000="DONE")))</f>
        <v>1</v>
      </c>
      <c r="F21" s="16">
        <f t="shared" si="0"/>
        <v>1</v>
      </c>
      <c r="G21" s="18" t="s">
        <v>2453</v>
      </c>
      <c r="H21" s="19">
        <v>46302.368449074071</v>
      </c>
      <c r="I21" s="18" t="s">
        <v>2454</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2026-10-07T13:20:43Z</dcterms:modified>
</cp:coreProperties>
</file>

<file path=docProps/custom.xml><?xml version="1.0" encoding="utf-8"?>
<Properties xmlns="http://schemas.openxmlformats.org/officeDocument/2006/custom-properties" xmlns:vt="http://schemas.openxmlformats.org/officeDocument/2006/docPropsVTypes"/>
</file>