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speed\Desktop\Claude - ПРОЕКТ\"/>
    </mc:Choice>
  </mc:AlternateContent>
  <xr:revisionPtr revIDLastSave="0" documentId="13_ncr:1_{AF07E030-9A37-4801-A051-B95620521EC1}" xr6:coauthVersionLast="47" xr6:coauthVersionMax="47" xr10:uidLastSave="{00000000-0000-0000-0000-000000000000}"/>
  <bookViews>
    <workbookView xWindow="-120" yWindow="-120" windowWidth="29040" windowHeight="15840" xr2:uid="{00000000-000D-0000-FFFF-FFFF00000000}"/>
  </bookViews>
  <sheets>
    <sheet name="DASHBOARD" sheetId="1" r:id="rId1"/>
    <sheet name="MASTER" sheetId="2" r:id="rId2"/>
    <sheet name="CRITICAL_FIXES" sheetId="3" r:id="rId3"/>
    <sheet name="DOCUMENT_FIDELITY" sheetId="4" r:id="rId4"/>
    <sheet name="DOCX_OOXML" sheetId="5" r:id="rId5"/>
    <sheet name="PDF" sheetId="6" r:id="rId6"/>
    <sheet name="EDITOR" sheetId="7" r:id="rId7"/>
    <sheet name="FORMATTING" sheetId="8" r:id="rId8"/>
    <sheet name="AI" sheetId="9" r:id="rId9"/>
    <sheet name="SECURITY" sheetId="10" r:id="rId10"/>
    <sheet name="PERFORMANCE" sheetId="11" r:id="rId11"/>
    <sheet name="TESTING" sheetId="12" r:id="rId12"/>
    <sheet name="PRODUCT_FEATURES" sheetId="13" r:id="rId13"/>
    <sheet name="TRANSLATION" sheetId="14" r:id="rId14"/>
    <sheet name="PDF_TO_EDITABLE" sheetId="15" r:id="rId15"/>
    <sheet name="BILLING_PLANS" sheetId="16" r:id="rId16"/>
    <sheet name="INFRA" sheetId="17" r:id="rId17"/>
    <sheet name="FIRST_RELEASE" sheetId="18" r:id="rId18"/>
    <sheet name="CHANGE_LOG" sheetId="19" r:id="rId19"/>
    <sheet name="SESSION_STATE" sheetId="20" r:id="rId20"/>
    <sheet name="RELEASE_GATES" sheetId="21" r:id="rId21"/>
  </sheets>
  <definedNames>
    <definedName name="_xlnm._FilterDatabase" localSheetId="8" hidden="1">AI!$A$7:$L$16</definedName>
    <definedName name="_xlnm._FilterDatabase" localSheetId="15" hidden="1">BILLING_PLANS!$A$25:$L$30</definedName>
    <definedName name="_xlnm._FilterDatabase" localSheetId="18" hidden="1">CHANGE_LOG!$A$1:$I$218</definedName>
    <definedName name="_xlnm._FilterDatabase" localSheetId="2" hidden="1">CRITICAL_FIXES!$A$31:$L$128</definedName>
    <definedName name="_xlnm._FilterDatabase" localSheetId="3" hidden="1">DOCUMENT_FIDELITY!$A$7:$L$24</definedName>
    <definedName name="_xlnm._FilterDatabase" localSheetId="4" hidden="1">DOCX_OOXML!$A$7:$L$44</definedName>
    <definedName name="_xlnm._FilterDatabase" localSheetId="6" hidden="1">EDITOR!$A$7:$L$21</definedName>
    <definedName name="_xlnm._FilterDatabase" localSheetId="17" hidden="1">FIRST_RELEASE!$A$7:$L$31</definedName>
    <definedName name="_xlnm._FilterDatabase" localSheetId="7" hidden="1">FORMATTING!$A$7:$L$15</definedName>
    <definedName name="_xlnm._FilterDatabase" localSheetId="16" hidden="1">INFRA!$A$7:$L$22</definedName>
    <definedName name="_xlnm._FilterDatabase" localSheetId="1" hidden="1">MASTER!$A$1:$S$218</definedName>
    <definedName name="_xlnm._FilterDatabase" localSheetId="5" hidden="1">PDF!$A$7:$L$14</definedName>
    <definedName name="_xlnm._FilterDatabase" localSheetId="14" hidden="1">PDF_TO_EDITABLE!$A$7:$L$18</definedName>
    <definedName name="_xlnm._FilterDatabase" localSheetId="10" hidden="1">PERFORMANCE!$A$24:$L$34</definedName>
    <definedName name="_xlnm._FilterDatabase" localSheetId="12" hidden="1">PRODUCT_FEATURES!$A$69:$L$74</definedName>
    <definedName name="_xlnm._FilterDatabase" localSheetId="9" hidden="1">SECURITY!$A$7:$L$29</definedName>
    <definedName name="_xlnm._FilterDatabase" localSheetId="11" hidden="1">TESTING!$A$318:$L$335</definedName>
    <definedName name="_xlnm._FilterDatabase" localSheetId="13" hidden="1">TRANSLATION!$A$7:$L$23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21" i="21" l="1"/>
  <c r="E21" i="21"/>
  <c r="F20" i="21"/>
  <c r="E20" i="21"/>
  <c r="F19" i="21"/>
  <c r="E19" i="21"/>
  <c r="F18" i="21"/>
  <c r="E18" i="21"/>
  <c r="F17" i="21"/>
  <c r="E17" i="21"/>
  <c r="F16" i="21"/>
  <c r="E16" i="21"/>
  <c r="F15" i="21"/>
  <c r="E15" i="21"/>
  <c r="F14" i="21"/>
  <c r="E14" i="21"/>
  <c r="F13" i="21"/>
  <c r="E13" i="21"/>
  <c r="F12" i="21"/>
  <c r="E12" i="21"/>
  <c r="F11" i="21"/>
  <c r="E11" i="21"/>
  <c r="F10" i="21"/>
  <c r="E10" i="21"/>
  <c r="F9" i="21"/>
  <c r="E9" i="21"/>
  <c r="F8" i="21"/>
  <c r="E8" i="21"/>
  <c r="F7" i="21"/>
  <c r="E7" i="21"/>
  <c r="D4" i="21"/>
  <c r="C4" i="21"/>
  <c r="B4" i="21"/>
  <c r="A4" i="21"/>
  <c r="L31" i="18"/>
  <c r="K31" i="18"/>
  <c r="J31" i="18"/>
  <c r="I31" i="18"/>
  <c r="H31" i="18"/>
  <c r="G31" i="18"/>
  <c r="F31" i="18"/>
  <c r="E31" i="18"/>
  <c r="D31" i="18"/>
  <c r="C31" i="18"/>
  <c r="B31" i="18"/>
  <c r="L30" i="18"/>
  <c r="K30" i="18"/>
  <c r="J30" i="18"/>
  <c r="I30" i="18"/>
  <c r="H30" i="18"/>
  <c r="G30" i="18"/>
  <c r="F30" i="18"/>
  <c r="E30" i="18"/>
  <c r="D30" i="18"/>
  <c r="C30" i="18"/>
  <c r="B30" i="18"/>
  <c r="L29" i="18"/>
  <c r="K29" i="18"/>
  <c r="J29" i="18"/>
  <c r="I29" i="18"/>
  <c r="H29" i="18"/>
  <c r="G29" i="18"/>
  <c r="F29" i="18"/>
  <c r="E29" i="18"/>
  <c r="D29" i="18"/>
  <c r="C29" i="18"/>
  <c r="B29" i="18"/>
  <c r="L28" i="18"/>
  <c r="K28" i="18"/>
  <c r="J28" i="18"/>
  <c r="I28" i="18"/>
  <c r="H28" i="18"/>
  <c r="G28" i="18"/>
  <c r="F28" i="18"/>
  <c r="E28" i="18"/>
  <c r="D28" i="18"/>
  <c r="C28" i="18"/>
  <c r="B28" i="18"/>
  <c r="L27" i="18"/>
  <c r="K27" i="18"/>
  <c r="J27" i="18"/>
  <c r="I27" i="18"/>
  <c r="H27" i="18"/>
  <c r="G27" i="18"/>
  <c r="F27" i="18"/>
  <c r="E27" i="18"/>
  <c r="D27" i="18"/>
  <c r="C27" i="18"/>
  <c r="B27" i="18"/>
  <c r="L26" i="18"/>
  <c r="K26" i="18"/>
  <c r="J26" i="18"/>
  <c r="I26" i="18"/>
  <c r="H26" i="18"/>
  <c r="G26" i="18"/>
  <c r="F26" i="18"/>
  <c r="E26" i="18"/>
  <c r="D26" i="18"/>
  <c r="C26" i="18"/>
  <c r="B26" i="18"/>
  <c r="L25" i="18"/>
  <c r="K25" i="18"/>
  <c r="J25" i="18"/>
  <c r="I25" i="18"/>
  <c r="H25" i="18"/>
  <c r="G25" i="18"/>
  <c r="F25" i="18"/>
  <c r="E25" i="18"/>
  <c r="D25" i="18"/>
  <c r="C25" i="18"/>
  <c r="B25" i="18"/>
  <c r="L24" i="18"/>
  <c r="K24" i="18"/>
  <c r="J24" i="18"/>
  <c r="I24" i="18"/>
  <c r="H24" i="18"/>
  <c r="G24" i="18"/>
  <c r="F24" i="18"/>
  <c r="E24" i="18"/>
  <c r="D24" i="18"/>
  <c r="C24" i="18"/>
  <c r="B24" i="18"/>
  <c r="L23" i="18"/>
  <c r="K23" i="18"/>
  <c r="J23" i="18"/>
  <c r="I23" i="18"/>
  <c r="H23" i="18"/>
  <c r="G23" i="18"/>
  <c r="F23" i="18"/>
  <c r="E23" i="18"/>
  <c r="D23" i="18"/>
  <c r="C23" i="18"/>
  <c r="B23" i="18"/>
  <c r="L22" i="18"/>
  <c r="K22" i="18"/>
  <c r="J22" i="18"/>
  <c r="I22" i="18"/>
  <c r="H22" i="18"/>
  <c r="G22" i="18"/>
  <c r="F22" i="18"/>
  <c r="E22" i="18"/>
  <c r="D22" i="18"/>
  <c r="C22" i="18"/>
  <c r="B22" i="18"/>
  <c r="L21" i="18"/>
  <c r="K21" i="18"/>
  <c r="J21" i="18"/>
  <c r="I21" i="18"/>
  <c r="H21" i="18"/>
  <c r="G21" i="18"/>
  <c r="F21" i="18"/>
  <c r="E21" i="18"/>
  <c r="D21" i="18"/>
  <c r="C21" i="18"/>
  <c r="B21" i="18"/>
  <c r="L20" i="18"/>
  <c r="K20" i="18"/>
  <c r="J20" i="18"/>
  <c r="I20" i="18"/>
  <c r="H20" i="18"/>
  <c r="G20" i="18"/>
  <c r="F20" i="18"/>
  <c r="E20" i="18"/>
  <c r="D20" i="18"/>
  <c r="C20" i="18"/>
  <c r="B20" i="18"/>
  <c r="L19" i="18"/>
  <c r="K19" i="18"/>
  <c r="J19" i="18"/>
  <c r="I19" i="18"/>
  <c r="H19" i="18"/>
  <c r="G19" i="18"/>
  <c r="F19" i="18"/>
  <c r="E19" i="18"/>
  <c r="D19" i="18"/>
  <c r="C19" i="18"/>
  <c r="B19" i="18"/>
  <c r="L18" i="18"/>
  <c r="K18" i="18"/>
  <c r="J18" i="18"/>
  <c r="I18" i="18"/>
  <c r="H18" i="18"/>
  <c r="G18" i="18"/>
  <c r="F18" i="18"/>
  <c r="E18" i="18"/>
  <c r="D18" i="18"/>
  <c r="C18" i="18"/>
  <c r="B18" i="18"/>
  <c r="L17" i="18"/>
  <c r="K17" i="18"/>
  <c r="J17" i="18"/>
  <c r="I17" i="18"/>
  <c r="H17" i="18"/>
  <c r="G17" i="18"/>
  <c r="F17" i="18"/>
  <c r="E17" i="18"/>
  <c r="D17" i="18"/>
  <c r="C17" i="18"/>
  <c r="B17" i="18"/>
  <c r="L16" i="18"/>
  <c r="K16" i="18"/>
  <c r="J16" i="18"/>
  <c r="I16" i="18"/>
  <c r="H16" i="18"/>
  <c r="G16" i="18"/>
  <c r="F16" i="18"/>
  <c r="E16" i="18"/>
  <c r="D16" i="18"/>
  <c r="C16" i="18"/>
  <c r="B16" i="18"/>
  <c r="L15" i="18"/>
  <c r="K15" i="18"/>
  <c r="J15" i="18"/>
  <c r="I15" i="18"/>
  <c r="H15" i="18"/>
  <c r="G15" i="18"/>
  <c r="F15" i="18"/>
  <c r="E15" i="18"/>
  <c r="D15" i="18"/>
  <c r="C15" i="18"/>
  <c r="B15" i="18"/>
  <c r="L14" i="18"/>
  <c r="K14" i="18"/>
  <c r="J14" i="18"/>
  <c r="I14" i="18"/>
  <c r="H14" i="18"/>
  <c r="G14" i="18"/>
  <c r="F14" i="18"/>
  <c r="E14" i="18"/>
  <c r="D14" i="18"/>
  <c r="C14" i="18"/>
  <c r="B14" i="18"/>
  <c r="L13" i="18"/>
  <c r="K13" i="18"/>
  <c r="J13" i="18"/>
  <c r="I13" i="18"/>
  <c r="H13" i="18"/>
  <c r="G13" i="18"/>
  <c r="F13" i="18"/>
  <c r="E13" i="18"/>
  <c r="D13" i="18"/>
  <c r="C13" i="18"/>
  <c r="B13" i="18"/>
  <c r="L12" i="18"/>
  <c r="K12" i="18"/>
  <c r="J12" i="18"/>
  <c r="I12" i="18"/>
  <c r="H12" i="18"/>
  <c r="G12" i="18"/>
  <c r="F12" i="18"/>
  <c r="E12" i="18"/>
  <c r="D12" i="18"/>
  <c r="C12" i="18"/>
  <c r="B12" i="18"/>
  <c r="L11" i="18"/>
  <c r="K11" i="18"/>
  <c r="J11" i="18"/>
  <c r="I11" i="18"/>
  <c r="H11" i="18"/>
  <c r="G11" i="18"/>
  <c r="F11" i="18"/>
  <c r="E11" i="18"/>
  <c r="D11" i="18"/>
  <c r="C11" i="18"/>
  <c r="B11" i="18"/>
  <c r="L10" i="18"/>
  <c r="K10" i="18"/>
  <c r="J10" i="18"/>
  <c r="I10" i="18"/>
  <c r="H10" i="18"/>
  <c r="G10" i="18"/>
  <c r="F10" i="18"/>
  <c r="E10" i="18"/>
  <c r="D10" i="18"/>
  <c r="C10" i="18"/>
  <c r="B10" i="18"/>
  <c r="L9" i="18"/>
  <c r="K9" i="18"/>
  <c r="J9" i="18"/>
  <c r="I9" i="18"/>
  <c r="H9" i="18"/>
  <c r="G9" i="18"/>
  <c r="F9" i="18"/>
  <c r="E9" i="18"/>
  <c r="D9" i="18"/>
  <c r="C9" i="18"/>
  <c r="B9" i="18"/>
  <c r="L8" i="18"/>
  <c r="K8" i="18"/>
  <c r="J8" i="18"/>
  <c r="I8" i="18"/>
  <c r="H8" i="18"/>
  <c r="G8" i="18"/>
  <c r="F8" i="18"/>
  <c r="E8" i="18"/>
  <c r="D8" i="18"/>
  <c r="C8" i="18"/>
  <c r="B8" i="18"/>
  <c r="F4" i="18"/>
  <c r="E4" i="18"/>
  <c r="D4" i="18"/>
  <c r="B4" i="18"/>
  <c r="C4" i="18" s="1"/>
  <c r="A4" i="18"/>
  <c r="L22" i="17"/>
  <c r="K22" i="17"/>
  <c r="J22" i="17"/>
  <c r="I22" i="17"/>
  <c r="H22" i="17"/>
  <c r="G22" i="17"/>
  <c r="F22" i="17"/>
  <c r="E22" i="17"/>
  <c r="D22" i="17"/>
  <c r="C22" i="17"/>
  <c r="B22" i="17"/>
  <c r="L21" i="17"/>
  <c r="K21" i="17"/>
  <c r="J21" i="17"/>
  <c r="I21" i="17"/>
  <c r="H21" i="17"/>
  <c r="G21" i="17"/>
  <c r="F21" i="17"/>
  <c r="E21" i="17"/>
  <c r="D21" i="17"/>
  <c r="C21" i="17"/>
  <c r="B21" i="17"/>
  <c r="L20" i="17"/>
  <c r="K20" i="17"/>
  <c r="J20" i="17"/>
  <c r="I20" i="17"/>
  <c r="H20" i="17"/>
  <c r="G20" i="17"/>
  <c r="F20" i="17"/>
  <c r="E20" i="17"/>
  <c r="D20" i="17"/>
  <c r="C20" i="17"/>
  <c r="B20" i="17"/>
  <c r="L19" i="17"/>
  <c r="K19" i="17"/>
  <c r="J19" i="17"/>
  <c r="I19" i="17"/>
  <c r="H19" i="17"/>
  <c r="G19" i="17"/>
  <c r="F19" i="17"/>
  <c r="E19" i="17"/>
  <c r="D19" i="17"/>
  <c r="C19" i="17"/>
  <c r="B19" i="17"/>
  <c r="L18" i="17"/>
  <c r="K18" i="17"/>
  <c r="J18" i="17"/>
  <c r="I18" i="17"/>
  <c r="H18" i="17"/>
  <c r="G18" i="17"/>
  <c r="F18" i="17"/>
  <c r="E18" i="17"/>
  <c r="D18" i="17"/>
  <c r="C18" i="17"/>
  <c r="B18" i="17"/>
  <c r="L17" i="17"/>
  <c r="K17" i="17"/>
  <c r="J17" i="17"/>
  <c r="I17" i="17"/>
  <c r="H17" i="17"/>
  <c r="G17" i="17"/>
  <c r="F17" i="17"/>
  <c r="E17" i="17"/>
  <c r="D17" i="17"/>
  <c r="C17" i="17"/>
  <c r="B17" i="17"/>
  <c r="L16" i="17"/>
  <c r="K16" i="17"/>
  <c r="J16" i="17"/>
  <c r="I16" i="17"/>
  <c r="H16" i="17"/>
  <c r="G16" i="17"/>
  <c r="F16" i="17"/>
  <c r="E16" i="17"/>
  <c r="D16" i="17"/>
  <c r="C16" i="17"/>
  <c r="B16" i="17"/>
  <c r="L15" i="17"/>
  <c r="K15" i="17"/>
  <c r="J15" i="17"/>
  <c r="I15" i="17"/>
  <c r="H15" i="17"/>
  <c r="G15" i="17"/>
  <c r="F15" i="17"/>
  <c r="E15" i="17"/>
  <c r="D15" i="17"/>
  <c r="C15" i="17"/>
  <c r="B15" i="17"/>
  <c r="L14" i="17"/>
  <c r="K14" i="17"/>
  <c r="J14" i="17"/>
  <c r="I14" i="17"/>
  <c r="H14" i="17"/>
  <c r="G14" i="17"/>
  <c r="F14" i="17"/>
  <c r="E14" i="17"/>
  <c r="D14" i="17"/>
  <c r="C14" i="17"/>
  <c r="B14" i="17"/>
  <c r="L13" i="17"/>
  <c r="K13" i="17"/>
  <c r="J13" i="17"/>
  <c r="I13" i="17"/>
  <c r="H13" i="17"/>
  <c r="G13" i="17"/>
  <c r="F13" i="17"/>
  <c r="E13" i="17"/>
  <c r="D13" i="17"/>
  <c r="C13" i="17"/>
  <c r="B13" i="17"/>
  <c r="L12" i="17"/>
  <c r="K12" i="17"/>
  <c r="J12" i="17"/>
  <c r="I12" i="17"/>
  <c r="H12" i="17"/>
  <c r="G12" i="17"/>
  <c r="F12" i="17"/>
  <c r="E12" i="17"/>
  <c r="D12" i="17"/>
  <c r="C12" i="17"/>
  <c r="B12" i="17"/>
  <c r="L11" i="17"/>
  <c r="K11" i="17"/>
  <c r="J11" i="17"/>
  <c r="I11" i="17"/>
  <c r="H11" i="17"/>
  <c r="G11" i="17"/>
  <c r="F11" i="17"/>
  <c r="E11" i="17"/>
  <c r="D11" i="17"/>
  <c r="C11" i="17"/>
  <c r="B11" i="17"/>
  <c r="L10" i="17"/>
  <c r="K10" i="17"/>
  <c r="J10" i="17"/>
  <c r="I10" i="17"/>
  <c r="H10" i="17"/>
  <c r="G10" i="17"/>
  <c r="F10" i="17"/>
  <c r="E10" i="17"/>
  <c r="D10" i="17"/>
  <c r="C10" i="17"/>
  <c r="B10" i="17"/>
  <c r="L9" i="17"/>
  <c r="K9" i="17"/>
  <c r="J9" i="17"/>
  <c r="I9" i="17"/>
  <c r="H9" i="17"/>
  <c r="G9" i="17"/>
  <c r="F9" i="17"/>
  <c r="E9" i="17"/>
  <c r="D9" i="17"/>
  <c r="C9" i="17"/>
  <c r="B9" i="17"/>
  <c r="L8" i="17"/>
  <c r="K8" i="17"/>
  <c r="J8" i="17"/>
  <c r="I8" i="17"/>
  <c r="H8" i="17"/>
  <c r="G8" i="17"/>
  <c r="F8" i="17"/>
  <c r="E8" i="17"/>
  <c r="D8" i="17"/>
  <c r="C8" i="17"/>
  <c r="B8" i="17"/>
  <c r="F4" i="17"/>
  <c r="E4" i="17"/>
  <c r="D4" i="17"/>
  <c r="B4" i="17"/>
  <c r="G4" i="17" s="1"/>
  <c r="A4" i="17"/>
  <c r="L30" i="16"/>
  <c r="K30" i="16"/>
  <c r="J30" i="16"/>
  <c r="I30" i="16"/>
  <c r="H30" i="16"/>
  <c r="G30" i="16"/>
  <c r="F30" i="16"/>
  <c r="E30" i="16"/>
  <c r="D30" i="16"/>
  <c r="C30" i="16"/>
  <c r="B30" i="16"/>
  <c r="L29" i="16"/>
  <c r="K29" i="16"/>
  <c r="J29" i="16"/>
  <c r="I29" i="16"/>
  <c r="H29" i="16"/>
  <c r="G29" i="16"/>
  <c r="F29" i="16"/>
  <c r="E29" i="16"/>
  <c r="D29" i="16"/>
  <c r="C29" i="16"/>
  <c r="B29" i="16"/>
  <c r="L28" i="16"/>
  <c r="K28" i="16"/>
  <c r="J28" i="16"/>
  <c r="I28" i="16"/>
  <c r="H28" i="16"/>
  <c r="G28" i="16"/>
  <c r="F28" i="16"/>
  <c r="E28" i="16"/>
  <c r="D28" i="16"/>
  <c r="C28" i="16"/>
  <c r="B28" i="16"/>
  <c r="L27" i="16"/>
  <c r="K27" i="16"/>
  <c r="J27" i="16"/>
  <c r="I27" i="16"/>
  <c r="H27" i="16"/>
  <c r="G27" i="16"/>
  <c r="F27" i="16"/>
  <c r="E27" i="16"/>
  <c r="D27" i="16"/>
  <c r="C27" i="16"/>
  <c r="B27" i="16"/>
  <c r="L26" i="16"/>
  <c r="K26" i="16"/>
  <c r="J26" i="16"/>
  <c r="I26" i="16"/>
  <c r="H26" i="16"/>
  <c r="G26" i="16"/>
  <c r="F26" i="16"/>
  <c r="E26" i="16"/>
  <c r="D26" i="16"/>
  <c r="C26" i="16"/>
  <c r="B26" i="16"/>
  <c r="F4" i="16"/>
  <c r="E4" i="16"/>
  <c r="D4" i="16"/>
  <c r="B4" i="16"/>
  <c r="C4" i="16" s="1"/>
  <c r="H4" i="16" s="1"/>
  <c r="A4" i="16"/>
  <c r="L18" i="15"/>
  <c r="K18" i="15"/>
  <c r="J18" i="15"/>
  <c r="I18" i="15"/>
  <c r="H18" i="15"/>
  <c r="G18" i="15"/>
  <c r="F18" i="15"/>
  <c r="E18" i="15"/>
  <c r="D18" i="15"/>
  <c r="C18" i="15"/>
  <c r="B18" i="15"/>
  <c r="L17" i="15"/>
  <c r="K17" i="15"/>
  <c r="J17" i="15"/>
  <c r="I17" i="15"/>
  <c r="H17" i="15"/>
  <c r="G17" i="15"/>
  <c r="F17" i="15"/>
  <c r="E17" i="15"/>
  <c r="D17" i="15"/>
  <c r="C17" i="15"/>
  <c r="B17" i="15"/>
  <c r="L16" i="15"/>
  <c r="K16" i="15"/>
  <c r="J16" i="15"/>
  <c r="I16" i="15"/>
  <c r="H16" i="15"/>
  <c r="G16" i="15"/>
  <c r="F16" i="15"/>
  <c r="E16" i="15"/>
  <c r="D16" i="15"/>
  <c r="C16" i="15"/>
  <c r="B16" i="15"/>
  <c r="L15" i="15"/>
  <c r="K15" i="15"/>
  <c r="J15" i="15"/>
  <c r="I15" i="15"/>
  <c r="H15" i="15"/>
  <c r="G15" i="15"/>
  <c r="F15" i="15"/>
  <c r="E15" i="15"/>
  <c r="D15" i="15"/>
  <c r="C15" i="15"/>
  <c r="B15" i="15"/>
  <c r="L14" i="15"/>
  <c r="K14" i="15"/>
  <c r="J14" i="15"/>
  <c r="I14" i="15"/>
  <c r="H14" i="15"/>
  <c r="G14" i="15"/>
  <c r="F14" i="15"/>
  <c r="E14" i="15"/>
  <c r="D14" i="15"/>
  <c r="C14" i="15"/>
  <c r="B14" i="15"/>
  <c r="L13" i="15"/>
  <c r="K13" i="15"/>
  <c r="J13" i="15"/>
  <c r="I13" i="15"/>
  <c r="H13" i="15"/>
  <c r="G13" i="15"/>
  <c r="F13" i="15"/>
  <c r="E13" i="15"/>
  <c r="D13" i="15"/>
  <c r="C13" i="15"/>
  <c r="B13" i="15"/>
  <c r="L12" i="15"/>
  <c r="K12" i="15"/>
  <c r="J12" i="15"/>
  <c r="I12" i="15"/>
  <c r="H12" i="15"/>
  <c r="G12" i="15"/>
  <c r="F12" i="15"/>
  <c r="E12" i="15"/>
  <c r="D12" i="15"/>
  <c r="C12" i="15"/>
  <c r="B12" i="15"/>
  <c r="L11" i="15"/>
  <c r="K11" i="15"/>
  <c r="J11" i="15"/>
  <c r="I11" i="15"/>
  <c r="H11" i="15"/>
  <c r="G11" i="15"/>
  <c r="F11" i="15"/>
  <c r="E11" i="15"/>
  <c r="D11" i="15"/>
  <c r="C11" i="15"/>
  <c r="B11" i="15"/>
  <c r="L10" i="15"/>
  <c r="K10" i="15"/>
  <c r="J10" i="15"/>
  <c r="I10" i="15"/>
  <c r="H10" i="15"/>
  <c r="G10" i="15"/>
  <c r="F10" i="15"/>
  <c r="E10" i="15"/>
  <c r="D10" i="15"/>
  <c r="C10" i="15"/>
  <c r="B10" i="15"/>
  <c r="L9" i="15"/>
  <c r="K9" i="15"/>
  <c r="J9" i="15"/>
  <c r="I9" i="15"/>
  <c r="H9" i="15"/>
  <c r="G9" i="15"/>
  <c r="F9" i="15"/>
  <c r="E9" i="15"/>
  <c r="D9" i="15"/>
  <c r="C9" i="15"/>
  <c r="B9" i="15"/>
  <c r="L8" i="15"/>
  <c r="K8" i="15"/>
  <c r="J8" i="15"/>
  <c r="I8" i="15"/>
  <c r="H8" i="15"/>
  <c r="G8" i="15"/>
  <c r="F8" i="15"/>
  <c r="E8" i="15"/>
  <c r="D8" i="15"/>
  <c r="C8" i="15"/>
  <c r="B8" i="15"/>
  <c r="F4" i="15"/>
  <c r="E4" i="15"/>
  <c r="D4" i="15"/>
  <c r="B4" i="15"/>
  <c r="C4" i="15" s="1"/>
  <c r="A4" i="15"/>
  <c r="G4" i="15" s="1"/>
  <c r="L23" i="14"/>
  <c r="K23" i="14"/>
  <c r="J23" i="14"/>
  <c r="I23" i="14"/>
  <c r="H23" i="14"/>
  <c r="G23" i="14"/>
  <c r="F23" i="14"/>
  <c r="E23" i="14"/>
  <c r="D23" i="14"/>
  <c r="C23" i="14"/>
  <c r="B23" i="14"/>
  <c r="L22" i="14"/>
  <c r="K22" i="14"/>
  <c r="J22" i="14"/>
  <c r="I22" i="14"/>
  <c r="H22" i="14"/>
  <c r="G22" i="14"/>
  <c r="F22" i="14"/>
  <c r="E22" i="14"/>
  <c r="D22" i="14"/>
  <c r="C22" i="14"/>
  <c r="B22" i="14"/>
  <c r="L21" i="14"/>
  <c r="K21" i="14"/>
  <c r="J21" i="14"/>
  <c r="I21" i="14"/>
  <c r="H21" i="14"/>
  <c r="G21" i="14"/>
  <c r="F21" i="14"/>
  <c r="E21" i="14"/>
  <c r="D21" i="14"/>
  <c r="C21" i="14"/>
  <c r="B21" i="14"/>
  <c r="L20" i="14"/>
  <c r="K20" i="14"/>
  <c r="J20" i="14"/>
  <c r="I20" i="14"/>
  <c r="H20" i="14"/>
  <c r="G20" i="14"/>
  <c r="F20" i="14"/>
  <c r="E20" i="14"/>
  <c r="D20" i="14"/>
  <c r="C20" i="14"/>
  <c r="B20" i="14"/>
  <c r="L19" i="14"/>
  <c r="K19" i="14"/>
  <c r="J19" i="14"/>
  <c r="I19" i="14"/>
  <c r="H19" i="14"/>
  <c r="G19" i="14"/>
  <c r="F19" i="14"/>
  <c r="E19" i="14"/>
  <c r="D19" i="14"/>
  <c r="C19" i="14"/>
  <c r="B19" i="14"/>
  <c r="L18" i="14"/>
  <c r="K18" i="14"/>
  <c r="J18" i="14"/>
  <c r="I18" i="14"/>
  <c r="H18" i="14"/>
  <c r="G18" i="14"/>
  <c r="F18" i="14"/>
  <c r="E18" i="14"/>
  <c r="D18" i="14"/>
  <c r="C18" i="14"/>
  <c r="B18" i="14"/>
  <c r="L17" i="14"/>
  <c r="K17" i="14"/>
  <c r="J17" i="14"/>
  <c r="I17" i="14"/>
  <c r="H17" i="14"/>
  <c r="G17" i="14"/>
  <c r="F17" i="14"/>
  <c r="E17" i="14"/>
  <c r="D17" i="14"/>
  <c r="C17" i="14"/>
  <c r="B17" i="14"/>
  <c r="L16" i="14"/>
  <c r="K16" i="14"/>
  <c r="J16" i="14"/>
  <c r="I16" i="14"/>
  <c r="H16" i="14"/>
  <c r="G16" i="14"/>
  <c r="F16" i="14"/>
  <c r="E16" i="14"/>
  <c r="D16" i="14"/>
  <c r="C16" i="14"/>
  <c r="B16" i="14"/>
  <c r="L15" i="14"/>
  <c r="K15" i="14"/>
  <c r="J15" i="14"/>
  <c r="I15" i="14"/>
  <c r="H15" i="14"/>
  <c r="G15" i="14"/>
  <c r="F15" i="14"/>
  <c r="E15" i="14"/>
  <c r="D15" i="14"/>
  <c r="C15" i="14"/>
  <c r="B15" i="14"/>
  <c r="L14" i="14"/>
  <c r="K14" i="14"/>
  <c r="J14" i="14"/>
  <c r="I14" i="14"/>
  <c r="H14" i="14"/>
  <c r="G14" i="14"/>
  <c r="F14" i="14"/>
  <c r="E14" i="14"/>
  <c r="D14" i="14"/>
  <c r="C14" i="14"/>
  <c r="B14" i="14"/>
  <c r="L13" i="14"/>
  <c r="K13" i="14"/>
  <c r="J13" i="14"/>
  <c r="I13" i="14"/>
  <c r="H13" i="14"/>
  <c r="G13" i="14"/>
  <c r="F13" i="14"/>
  <c r="E13" i="14"/>
  <c r="D13" i="14"/>
  <c r="C13" i="14"/>
  <c r="B13" i="14"/>
  <c r="L12" i="14"/>
  <c r="K12" i="14"/>
  <c r="J12" i="14"/>
  <c r="I12" i="14"/>
  <c r="H12" i="14"/>
  <c r="G12" i="14"/>
  <c r="F12" i="14"/>
  <c r="E12" i="14"/>
  <c r="D12" i="14"/>
  <c r="C12" i="14"/>
  <c r="B12" i="14"/>
  <c r="L11" i="14"/>
  <c r="K11" i="14"/>
  <c r="J11" i="14"/>
  <c r="I11" i="14"/>
  <c r="H11" i="14"/>
  <c r="G11" i="14"/>
  <c r="F11" i="14"/>
  <c r="E11" i="14"/>
  <c r="D11" i="14"/>
  <c r="C11" i="14"/>
  <c r="B11" i="14"/>
  <c r="L10" i="14"/>
  <c r="K10" i="14"/>
  <c r="J10" i="14"/>
  <c r="I10" i="14"/>
  <c r="H10" i="14"/>
  <c r="G10" i="14"/>
  <c r="F10" i="14"/>
  <c r="E10" i="14"/>
  <c r="D10" i="14"/>
  <c r="C10" i="14"/>
  <c r="B10" i="14"/>
  <c r="L9" i="14"/>
  <c r="K9" i="14"/>
  <c r="J9" i="14"/>
  <c r="I9" i="14"/>
  <c r="H9" i="14"/>
  <c r="G9" i="14"/>
  <c r="F9" i="14"/>
  <c r="E9" i="14"/>
  <c r="D9" i="14"/>
  <c r="C9" i="14"/>
  <c r="B9" i="14"/>
  <c r="L8" i="14"/>
  <c r="K8" i="14"/>
  <c r="J8" i="14"/>
  <c r="I8" i="14"/>
  <c r="H8" i="14"/>
  <c r="G8" i="14"/>
  <c r="F8" i="14"/>
  <c r="E8" i="14"/>
  <c r="D8" i="14"/>
  <c r="C8" i="14"/>
  <c r="B8" i="14"/>
  <c r="F4" i="14"/>
  <c r="E4" i="14"/>
  <c r="D4" i="14"/>
  <c r="B4" i="14"/>
  <c r="C4" i="14" s="1"/>
  <c r="A4" i="14"/>
  <c r="L74" i="13"/>
  <c r="K74" i="13"/>
  <c r="J74" i="13"/>
  <c r="I74" i="13"/>
  <c r="H74" i="13"/>
  <c r="G74" i="13"/>
  <c r="F74" i="13"/>
  <c r="E74" i="13"/>
  <c r="D74" i="13"/>
  <c r="C74" i="13"/>
  <c r="B74" i="13"/>
  <c r="L73" i="13"/>
  <c r="K73" i="13"/>
  <c r="J73" i="13"/>
  <c r="I73" i="13"/>
  <c r="H73" i="13"/>
  <c r="G73" i="13"/>
  <c r="F73" i="13"/>
  <c r="E73" i="13"/>
  <c r="D73" i="13"/>
  <c r="C73" i="13"/>
  <c r="B73" i="13"/>
  <c r="L72" i="13"/>
  <c r="K72" i="13"/>
  <c r="J72" i="13"/>
  <c r="I72" i="13"/>
  <c r="H72" i="13"/>
  <c r="G72" i="13"/>
  <c r="F72" i="13"/>
  <c r="E72" i="13"/>
  <c r="D72" i="13"/>
  <c r="C72" i="13"/>
  <c r="B72" i="13"/>
  <c r="L71" i="13"/>
  <c r="K71" i="13"/>
  <c r="J71" i="13"/>
  <c r="I71" i="13"/>
  <c r="H71" i="13"/>
  <c r="G71" i="13"/>
  <c r="F71" i="13"/>
  <c r="E71" i="13"/>
  <c r="D71" i="13"/>
  <c r="C71" i="13"/>
  <c r="B71" i="13"/>
  <c r="L70" i="13"/>
  <c r="K70" i="13"/>
  <c r="J70" i="13"/>
  <c r="I70" i="13"/>
  <c r="H70" i="13"/>
  <c r="G70" i="13"/>
  <c r="F70" i="13"/>
  <c r="E70" i="13"/>
  <c r="D70" i="13"/>
  <c r="C70" i="13"/>
  <c r="B70" i="13"/>
  <c r="E65" i="13"/>
  <c r="D65" i="13"/>
  <c r="E64" i="13"/>
  <c r="D64" i="13"/>
  <c r="E63" i="13"/>
  <c r="D63" i="13"/>
  <c r="E62" i="13"/>
  <c r="D62" i="13"/>
  <c r="E61" i="13"/>
  <c r="D61" i="13"/>
  <c r="E60" i="13"/>
  <c r="D60" i="13"/>
  <c r="E59" i="13"/>
  <c r="D59" i="13"/>
  <c r="E58" i="13"/>
  <c r="D58" i="13"/>
  <c r="E57" i="13"/>
  <c r="D57" i="13"/>
  <c r="E56" i="13"/>
  <c r="D56" i="13"/>
  <c r="E55" i="13"/>
  <c r="D55" i="13"/>
  <c r="E54" i="13"/>
  <c r="D54" i="13"/>
  <c r="E53" i="13"/>
  <c r="D53" i="13"/>
  <c r="E52" i="13"/>
  <c r="D52" i="13"/>
  <c r="E51" i="13"/>
  <c r="D51" i="13"/>
  <c r="E50" i="13"/>
  <c r="D50" i="13"/>
  <c r="E49" i="13"/>
  <c r="D49" i="13"/>
  <c r="E48" i="13"/>
  <c r="D48" i="13"/>
  <c r="E47" i="13"/>
  <c r="D47" i="13"/>
  <c r="E46" i="13"/>
  <c r="D46" i="13"/>
  <c r="E45" i="13"/>
  <c r="D45" i="13"/>
  <c r="E44" i="13"/>
  <c r="D44" i="13"/>
  <c r="E43" i="13"/>
  <c r="D43" i="13"/>
  <c r="E42" i="13"/>
  <c r="D42" i="13"/>
  <c r="E41" i="13"/>
  <c r="D41" i="13"/>
  <c r="E40" i="13"/>
  <c r="D40" i="13"/>
  <c r="E39" i="13"/>
  <c r="D39" i="13"/>
  <c r="E38" i="13"/>
  <c r="D38" i="13"/>
  <c r="E37" i="13"/>
  <c r="D37" i="13"/>
  <c r="E36" i="13"/>
  <c r="D36" i="13"/>
  <c r="E35" i="13"/>
  <c r="D35" i="13"/>
  <c r="E34" i="13"/>
  <c r="D34" i="13"/>
  <c r="E33" i="13"/>
  <c r="D33" i="13"/>
  <c r="E32" i="13"/>
  <c r="D32" i="13"/>
  <c r="E31" i="13"/>
  <c r="D31" i="13"/>
  <c r="E30" i="13"/>
  <c r="D30" i="13"/>
  <c r="E29" i="13"/>
  <c r="D29" i="13"/>
  <c r="E28" i="13"/>
  <c r="D28" i="13"/>
  <c r="E27" i="13"/>
  <c r="D27" i="13"/>
  <c r="E26" i="13"/>
  <c r="D26" i="13"/>
  <c r="E25" i="13"/>
  <c r="D25" i="13"/>
  <c r="E24" i="13"/>
  <c r="D24" i="13"/>
  <c r="E23" i="13"/>
  <c r="D23" i="13"/>
  <c r="E22" i="13"/>
  <c r="D22" i="13"/>
  <c r="E21" i="13"/>
  <c r="D21" i="13"/>
  <c r="E20" i="13"/>
  <c r="D20" i="13"/>
  <c r="E19" i="13"/>
  <c r="D19" i="13"/>
  <c r="E18" i="13"/>
  <c r="D18" i="13"/>
  <c r="E17" i="13"/>
  <c r="D17" i="13"/>
  <c r="E16" i="13"/>
  <c r="D16" i="13"/>
  <c r="E15" i="13"/>
  <c r="D15" i="13"/>
  <c r="E14" i="13"/>
  <c r="D14" i="13"/>
  <c r="E13" i="13"/>
  <c r="D13" i="13"/>
  <c r="E12" i="13"/>
  <c r="D12" i="13"/>
  <c r="E11" i="13"/>
  <c r="D11" i="13"/>
  <c r="E10" i="13"/>
  <c r="D10" i="13"/>
  <c r="E9" i="13"/>
  <c r="D9" i="13"/>
  <c r="E8" i="13"/>
  <c r="D8" i="13"/>
  <c r="F4" i="13"/>
  <c r="E4" i="13"/>
  <c r="D4" i="13"/>
  <c r="C4" i="13"/>
  <c r="B4" i="13"/>
  <c r="A4" i="13"/>
  <c r="H4" i="13" s="1"/>
  <c r="L335" i="12"/>
  <c r="K335" i="12"/>
  <c r="J335" i="12"/>
  <c r="I335" i="12"/>
  <c r="H335" i="12"/>
  <c r="G335" i="12"/>
  <c r="F335" i="12"/>
  <c r="E335" i="12"/>
  <c r="D335" i="12"/>
  <c r="C335" i="12"/>
  <c r="B335" i="12"/>
  <c r="L334" i="12"/>
  <c r="K334" i="12"/>
  <c r="J334" i="12"/>
  <c r="I334" i="12"/>
  <c r="H334" i="12"/>
  <c r="G334" i="12"/>
  <c r="F334" i="12"/>
  <c r="E334" i="12"/>
  <c r="D334" i="12"/>
  <c r="C334" i="12"/>
  <c r="B334" i="12"/>
  <c r="L333" i="12"/>
  <c r="K333" i="12"/>
  <c r="J333" i="12"/>
  <c r="I333" i="12"/>
  <c r="H333" i="12"/>
  <c r="G333" i="12"/>
  <c r="F333" i="12"/>
  <c r="E333" i="12"/>
  <c r="D333" i="12"/>
  <c r="C333" i="12"/>
  <c r="B333" i="12"/>
  <c r="L332" i="12"/>
  <c r="K332" i="12"/>
  <c r="J332" i="12"/>
  <c r="I332" i="12"/>
  <c r="H332" i="12"/>
  <c r="G332" i="12"/>
  <c r="F332" i="12"/>
  <c r="E332" i="12"/>
  <c r="D332" i="12"/>
  <c r="C332" i="12"/>
  <c r="B332" i="12"/>
  <c r="L331" i="12"/>
  <c r="K331" i="12"/>
  <c r="J331" i="12"/>
  <c r="I331" i="12"/>
  <c r="H331" i="12"/>
  <c r="G331" i="12"/>
  <c r="F331" i="12"/>
  <c r="E331" i="12"/>
  <c r="D331" i="12"/>
  <c r="C331" i="12"/>
  <c r="B331" i="12"/>
  <c r="L330" i="12"/>
  <c r="K330" i="12"/>
  <c r="J330" i="12"/>
  <c r="I330" i="12"/>
  <c r="H330" i="12"/>
  <c r="G330" i="12"/>
  <c r="F330" i="12"/>
  <c r="E330" i="12"/>
  <c r="D330" i="12"/>
  <c r="C330" i="12"/>
  <c r="B330" i="12"/>
  <c r="L329" i="12"/>
  <c r="K329" i="12"/>
  <c r="J329" i="12"/>
  <c r="I329" i="12"/>
  <c r="H329" i="12"/>
  <c r="G329" i="12"/>
  <c r="F329" i="12"/>
  <c r="E329" i="12"/>
  <c r="D329" i="12"/>
  <c r="C329" i="12"/>
  <c r="B329" i="12"/>
  <c r="L328" i="12"/>
  <c r="K328" i="12"/>
  <c r="J328" i="12"/>
  <c r="I328" i="12"/>
  <c r="H328" i="12"/>
  <c r="G328" i="12"/>
  <c r="F328" i="12"/>
  <c r="E328" i="12"/>
  <c r="D328" i="12"/>
  <c r="C328" i="12"/>
  <c r="B328" i="12"/>
  <c r="L327" i="12"/>
  <c r="K327" i="12"/>
  <c r="J327" i="12"/>
  <c r="I327" i="12"/>
  <c r="H327" i="12"/>
  <c r="G327" i="12"/>
  <c r="F327" i="12"/>
  <c r="E327" i="12"/>
  <c r="D327" i="12"/>
  <c r="C327" i="12"/>
  <c r="B327" i="12"/>
  <c r="L326" i="12"/>
  <c r="K326" i="12"/>
  <c r="J326" i="12"/>
  <c r="I326" i="12"/>
  <c r="H326" i="12"/>
  <c r="G326" i="12"/>
  <c r="F326" i="12"/>
  <c r="E326" i="12"/>
  <c r="D326" i="12"/>
  <c r="C326" i="12"/>
  <c r="B326" i="12"/>
  <c r="L325" i="12"/>
  <c r="K325" i="12"/>
  <c r="J325" i="12"/>
  <c r="I325" i="12"/>
  <c r="H325" i="12"/>
  <c r="G325" i="12"/>
  <c r="F325" i="12"/>
  <c r="E325" i="12"/>
  <c r="D325" i="12"/>
  <c r="C325" i="12"/>
  <c r="B325" i="12"/>
  <c r="L324" i="12"/>
  <c r="K324" i="12"/>
  <c r="J324" i="12"/>
  <c r="I324" i="12"/>
  <c r="H324" i="12"/>
  <c r="G324" i="12"/>
  <c r="F324" i="12"/>
  <c r="E324" i="12"/>
  <c r="D324" i="12"/>
  <c r="C324" i="12"/>
  <c r="B324" i="12"/>
  <c r="L323" i="12"/>
  <c r="K323" i="12"/>
  <c r="J323" i="12"/>
  <c r="I323" i="12"/>
  <c r="H323" i="12"/>
  <c r="G323" i="12"/>
  <c r="F323" i="12"/>
  <c r="E323" i="12"/>
  <c r="D323" i="12"/>
  <c r="C323" i="12"/>
  <c r="B323" i="12"/>
  <c r="L322" i="12"/>
  <c r="K322" i="12"/>
  <c r="J322" i="12"/>
  <c r="I322" i="12"/>
  <c r="H322" i="12"/>
  <c r="G322" i="12"/>
  <c r="F322" i="12"/>
  <c r="E322" i="12"/>
  <c r="D322" i="12"/>
  <c r="C322" i="12"/>
  <c r="B322" i="12"/>
  <c r="L321" i="12"/>
  <c r="K321" i="12"/>
  <c r="J321" i="12"/>
  <c r="I321" i="12"/>
  <c r="H321" i="12"/>
  <c r="G321" i="12"/>
  <c r="F321" i="12"/>
  <c r="E321" i="12"/>
  <c r="D321" i="12"/>
  <c r="C321" i="12"/>
  <c r="B321" i="12"/>
  <c r="L320" i="12"/>
  <c r="K320" i="12"/>
  <c r="J320" i="12"/>
  <c r="I320" i="12"/>
  <c r="H320" i="12"/>
  <c r="G320" i="12"/>
  <c r="F320" i="12"/>
  <c r="E320" i="12"/>
  <c r="D320" i="12"/>
  <c r="C320" i="12"/>
  <c r="B320" i="12"/>
  <c r="L319" i="12"/>
  <c r="K319" i="12"/>
  <c r="J319" i="12"/>
  <c r="I319" i="12"/>
  <c r="H319" i="12"/>
  <c r="G319" i="12"/>
  <c r="F319" i="12"/>
  <c r="E319" i="12"/>
  <c r="D319" i="12"/>
  <c r="C319" i="12"/>
  <c r="B319" i="12"/>
  <c r="F4" i="12"/>
  <c r="E4" i="12"/>
  <c r="D4" i="12"/>
  <c r="B4" i="12"/>
  <c r="C4" i="12" s="1"/>
  <c r="A4" i="12"/>
  <c r="H4" i="12" s="1"/>
  <c r="L34" i="11"/>
  <c r="K34" i="11"/>
  <c r="J34" i="11"/>
  <c r="I34" i="11"/>
  <c r="H34" i="11"/>
  <c r="G34" i="11"/>
  <c r="F34" i="11"/>
  <c r="E34" i="11"/>
  <c r="D34" i="11"/>
  <c r="C34" i="11"/>
  <c r="B34" i="11"/>
  <c r="L33" i="11"/>
  <c r="K33" i="11"/>
  <c r="J33" i="11"/>
  <c r="I33" i="11"/>
  <c r="H33" i="11"/>
  <c r="G33" i="11"/>
  <c r="F33" i="11"/>
  <c r="E33" i="11"/>
  <c r="D33" i="11"/>
  <c r="C33" i="11"/>
  <c r="B33" i="11"/>
  <c r="L32" i="11"/>
  <c r="K32" i="11"/>
  <c r="J32" i="11"/>
  <c r="I32" i="11"/>
  <c r="H32" i="11"/>
  <c r="G32" i="11"/>
  <c r="F32" i="11"/>
  <c r="E32" i="11"/>
  <c r="D32" i="11"/>
  <c r="C32" i="11"/>
  <c r="B32" i="11"/>
  <c r="L31" i="11"/>
  <c r="K31" i="11"/>
  <c r="J31" i="11"/>
  <c r="I31" i="11"/>
  <c r="H31" i="11"/>
  <c r="G31" i="11"/>
  <c r="F31" i="11"/>
  <c r="E31" i="11"/>
  <c r="D31" i="11"/>
  <c r="C31" i="11"/>
  <c r="B31" i="11"/>
  <c r="L30" i="11"/>
  <c r="K30" i="11"/>
  <c r="J30" i="11"/>
  <c r="I30" i="11"/>
  <c r="H30" i="11"/>
  <c r="G30" i="11"/>
  <c r="F30" i="11"/>
  <c r="E30" i="11"/>
  <c r="D30" i="11"/>
  <c r="C30" i="11"/>
  <c r="B30" i="11"/>
  <c r="L29" i="11"/>
  <c r="K29" i="11"/>
  <c r="J29" i="11"/>
  <c r="I29" i="11"/>
  <c r="H29" i="11"/>
  <c r="G29" i="11"/>
  <c r="F29" i="11"/>
  <c r="E29" i="11"/>
  <c r="D29" i="11"/>
  <c r="C29" i="11"/>
  <c r="B29" i="11"/>
  <c r="L28" i="11"/>
  <c r="K28" i="11"/>
  <c r="J28" i="11"/>
  <c r="I28" i="11"/>
  <c r="H28" i="11"/>
  <c r="G28" i="11"/>
  <c r="F28" i="11"/>
  <c r="E28" i="11"/>
  <c r="D28" i="11"/>
  <c r="C28" i="11"/>
  <c r="B28" i="11"/>
  <c r="L27" i="11"/>
  <c r="K27" i="11"/>
  <c r="J27" i="11"/>
  <c r="I27" i="11"/>
  <c r="H27" i="11"/>
  <c r="G27" i="11"/>
  <c r="F27" i="11"/>
  <c r="E27" i="11"/>
  <c r="D27" i="11"/>
  <c r="C27" i="11"/>
  <c r="B27" i="11"/>
  <c r="L26" i="11"/>
  <c r="K26" i="11"/>
  <c r="J26" i="11"/>
  <c r="I26" i="11"/>
  <c r="H26" i="11"/>
  <c r="G26" i="11"/>
  <c r="F26" i="11"/>
  <c r="E26" i="11"/>
  <c r="D26" i="11"/>
  <c r="C26" i="11"/>
  <c r="B26" i="11"/>
  <c r="L25" i="11"/>
  <c r="K25" i="11"/>
  <c r="J25" i="11"/>
  <c r="I25" i="11"/>
  <c r="H25" i="11"/>
  <c r="G25" i="11"/>
  <c r="F25" i="11"/>
  <c r="E25" i="11"/>
  <c r="D25" i="11"/>
  <c r="C25" i="11"/>
  <c r="B25" i="11"/>
  <c r="F20" i="11"/>
  <c r="F19" i="11"/>
  <c r="F18" i="11"/>
  <c r="F17" i="11"/>
  <c r="F16" i="11"/>
  <c r="F15" i="11"/>
  <c r="F14" i="11"/>
  <c r="F13" i="11"/>
  <c r="F12" i="11"/>
  <c r="F11" i="11"/>
  <c r="F10" i="11"/>
  <c r="F9" i="11"/>
  <c r="F8" i="11"/>
  <c r="F4" i="11"/>
  <c r="E4" i="11"/>
  <c r="D4" i="11"/>
  <c r="B4" i="11"/>
  <c r="C4" i="11" s="1"/>
  <c r="A4" i="11"/>
  <c r="L29" i="10"/>
  <c r="K29" i="10"/>
  <c r="J29" i="10"/>
  <c r="I29" i="10"/>
  <c r="H29" i="10"/>
  <c r="G29" i="10"/>
  <c r="F29" i="10"/>
  <c r="E29" i="10"/>
  <c r="D29" i="10"/>
  <c r="C29" i="10"/>
  <c r="B29" i="10"/>
  <c r="L28" i="10"/>
  <c r="K28" i="10"/>
  <c r="J28" i="10"/>
  <c r="I28" i="10"/>
  <c r="H28" i="10"/>
  <c r="G28" i="10"/>
  <c r="F28" i="10"/>
  <c r="E28" i="10"/>
  <c r="D28" i="10"/>
  <c r="C28" i="10"/>
  <c r="B28" i="10"/>
  <c r="L27" i="10"/>
  <c r="K27" i="10"/>
  <c r="J27" i="10"/>
  <c r="I27" i="10"/>
  <c r="H27" i="10"/>
  <c r="G27" i="10"/>
  <c r="F27" i="10"/>
  <c r="E27" i="10"/>
  <c r="D27" i="10"/>
  <c r="C27" i="10"/>
  <c r="B27" i="10"/>
  <c r="L26" i="10"/>
  <c r="K26" i="10"/>
  <c r="J26" i="10"/>
  <c r="I26" i="10"/>
  <c r="H26" i="10"/>
  <c r="G26" i="10"/>
  <c r="F26" i="10"/>
  <c r="E26" i="10"/>
  <c r="D26" i="10"/>
  <c r="C26" i="10"/>
  <c r="B26" i="10"/>
  <c r="L25" i="10"/>
  <c r="K25" i="10"/>
  <c r="J25" i="10"/>
  <c r="I25" i="10"/>
  <c r="H25" i="10"/>
  <c r="G25" i="10"/>
  <c r="F25" i="10"/>
  <c r="E25" i="10"/>
  <c r="D25" i="10"/>
  <c r="C25" i="10"/>
  <c r="B25" i="10"/>
  <c r="L24" i="10"/>
  <c r="K24" i="10"/>
  <c r="J24" i="10"/>
  <c r="I24" i="10"/>
  <c r="H24" i="10"/>
  <c r="G24" i="10"/>
  <c r="F24" i="10"/>
  <c r="E24" i="10"/>
  <c r="D24" i="10"/>
  <c r="C24" i="10"/>
  <c r="B24" i="10"/>
  <c r="L23" i="10"/>
  <c r="K23" i="10"/>
  <c r="J23" i="10"/>
  <c r="I23" i="10"/>
  <c r="H23" i="10"/>
  <c r="G23" i="10"/>
  <c r="F23" i="10"/>
  <c r="E23" i="10"/>
  <c r="D23" i="10"/>
  <c r="C23" i="10"/>
  <c r="B23" i="10"/>
  <c r="L22" i="10"/>
  <c r="K22" i="10"/>
  <c r="J22" i="10"/>
  <c r="I22" i="10"/>
  <c r="H22" i="10"/>
  <c r="G22" i="10"/>
  <c r="F22" i="10"/>
  <c r="E22" i="10"/>
  <c r="D22" i="10"/>
  <c r="C22" i="10"/>
  <c r="B22" i="10"/>
  <c r="L21" i="10"/>
  <c r="K21" i="10"/>
  <c r="J21" i="10"/>
  <c r="I21" i="10"/>
  <c r="H21" i="10"/>
  <c r="G21" i="10"/>
  <c r="F21" i="10"/>
  <c r="E21" i="10"/>
  <c r="D21" i="10"/>
  <c r="C21" i="10"/>
  <c r="B21" i="10"/>
  <c r="L20" i="10"/>
  <c r="K20" i="10"/>
  <c r="J20" i="10"/>
  <c r="I20" i="10"/>
  <c r="H20" i="10"/>
  <c r="G20" i="10"/>
  <c r="F20" i="10"/>
  <c r="E20" i="10"/>
  <c r="D20" i="10"/>
  <c r="C20" i="10"/>
  <c r="B20" i="10"/>
  <c r="L19" i="10"/>
  <c r="K19" i="10"/>
  <c r="J19" i="10"/>
  <c r="I19" i="10"/>
  <c r="H19" i="10"/>
  <c r="G19" i="10"/>
  <c r="F19" i="10"/>
  <c r="E19" i="10"/>
  <c r="D19" i="10"/>
  <c r="C19" i="10"/>
  <c r="B19" i="10"/>
  <c r="L18" i="10"/>
  <c r="K18" i="10"/>
  <c r="J18" i="10"/>
  <c r="I18" i="10"/>
  <c r="H18" i="10"/>
  <c r="G18" i="10"/>
  <c r="F18" i="10"/>
  <c r="E18" i="10"/>
  <c r="D18" i="10"/>
  <c r="C18" i="10"/>
  <c r="B18" i="10"/>
  <c r="L17" i="10"/>
  <c r="K17" i="10"/>
  <c r="J17" i="10"/>
  <c r="I17" i="10"/>
  <c r="H17" i="10"/>
  <c r="G17" i="10"/>
  <c r="F17" i="10"/>
  <c r="E17" i="10"/>
  <c r="D17" i="10"/>
  <c r="C17" i="10"/>
  <c r="B17" i="10"/>
  <c r="L16" i="10"/>
  <c r="K16" i="10"/>
  <c r="J16" i="10"/>
  <c r="I16" i="10"/>
  <c r="H16" i="10"/>
  <c r="G16" i="10"/>
  <c r="F16" i="10"/>
  <c r="E16" i="10"/>
  <c r="D16" i="10"/>
  <c r="C16" i="10"/>
  <c r="B16" i="10"/>
  <c r="L15" i="10"/>
  <c r="K15" i="10"/>
  <c r="J15" i="10"/>
  <c r="I15" i="10"/>
  <c r="H15" i="10"/>
  <c r="G15" i="10"/>
  <c r="F15" i="10"/>
  <c r="E15" i="10"/>
  <c r="D15" i="10"/>
  <c r="C15" i="10"/>
  <c r="B15" i="10"/>
  <c r="L14" i="10"/>
  <c r="K14" i="10"/>
  <c r="J14" i="10"/>
  <c r="I14" i="10"/>
  <c r="H14" i="10"/>
  <c r="G14" i="10"/>
  <c r="F14" i="10"/>
  <c r="E14" i="10"/>
  <c r="D14" i="10"/>
  <c r="C14" i="10"/>
  <c r="B14" i="10"/>
  <c r="L13" i="10"/>
  <c r="K13" i="10"/>
  <c r="J13" i="10"/>
  <c r="I13" i="10"/>
  <c r="H13" i="10"/>
  <c r="G13" i="10"/>
  <c r="F13" i="10"/>
  <c r="E13" i="10"/>
  <c r="D13" i="10"/>
  <c r="C13" i="10"/>
  <c r="B13" i="10"/>
  <c r="L12" i="10"/>
  <c r="K12" i="10"/>
  <c r="J12" i="10"/>
  <c r="I12" i="10"/>
  <c r="H12" i="10"/>
  <c r="G12" i="10"/>
  <c r="F12" i="10"/>
  <c r="E12" i="10"/>
  <c r="D12" i="10"/>
  <c r="C12" i="10"/>
  <c r="B12" i="10"/>
  <c r="L11" i="10"/>
  <c r="K11" i="10"/>
  <c r="J11" i="10"/>
  <c r="I11" i="10"/>
  <c r="H11" i="10"/>
  <c r="G11" i="10"/>
  <c r="F11" i="10"/>
  <c r="E11" i="10"/>
  <c r="D11" i="10"/>
  <c r="C11" i="10"/>
  <c r="B11" i="10"/>
  <c r="L10" i="10"/>
  <c r="K10" i="10"/>
  <c r="J10" i="10"/>
  <c r="I10" i="10"/>
  <c r="H10" i="10"/>
  <c r="G10" i="10"/>
  <c r="F10" i="10"/>
  <c r="E10" i="10"/>
  <c r="D10" i="10"/>
  <c r="C10" i="10"/>
  <c r="B10" i="10"/>
  <c r="L9" i="10"/>
  <c r="K9" i="10"/>
  <c r="J9" i="10"/>
  <c r="I9" i="10"/>
  <c r="H9" i="10"/>
  <c r="G9" i="10"/>
  <c r="F9" i="10"/>
  <c r="E9" i="10"/>
  <c r="D9" i="10"/>
  <c r="C9" i="10"/>
  <c r="B9" i="10"/>
  <c r="L8" i="10"/>
  <c r="K8" i="10"/>
  <c r="J8" i="10"/>
  <c r="I8" i="10"/>
  <c r="H8" i="10"/>
  <c r="G8" i="10"/>
  <c r="F8" i="10"/>
  <c r="E8" i="10"/>
  <c r="D8" i="10"/>
  <c r="C8" i="10"/>
  <c r="B8" i="10"/>
  <c r="F4" i="10"/>
  <c r="E4" i="10"/>
  <c r="D4" i="10"/>
  <c r="B4" i="10"/>
  <c r="C4" i="10" s="1"/>
  <c r="A4" i="10"/>
  <c r="L16" i="9"/>
  <c r="K16" i="9"/>
  <c r="J16" i="9"/>
  <c r="I16" i="9"/>
  <c r="H16" i="9"/>
  <c r="G16" i="9"/>
  <c r="F16" i="9"/>
  <c r="E16" i="9"/>
  <c r="D16" i="9"/>
  <c r="C16" i="9"/>
  <c r="B16" i="9"/>
  <c r="L15" i="9"/>
  <c r="K15" i="9"/>
  <c r="J15" i="9"/>
  <c r="I15" i="9"/>
  <c r="H15" i="9"/>
  <c r="G15" i="9"/>
  <c r="F15" i="9"/>
  <c r="E15" i="9"/>
  <c r="D15" i="9"/>
  <c r="C15" i="9"/>
  <c r="B15" i="9"/>
  <c r="L14" i="9"/>
  <c r="K14" i="9"/>
  <c r="J14" i="9"/>
  <c r="I14" i="9"/>
  <c r="H14" i="9"/>
  <c r="G14" i="9"/>
  <c r="F14" i="9"/>
  <c r="E14" i="9"/>
  <c r="D14" i="9"/>
  <c r="C14" i="9"/>
  <c r="B14" i="9"/>
  <c r="L13" i="9"/>
  <c r="K13" i="9"/>
  <c r="J13" i="9"/>
  <c r="I13" i="9"/>
  <c r="H13" i="9"/>
  <c r="G13" i="9"/>
  <c r="F13" i="9"/>
  <c r="E13" i="9"/>
  <c r="D13" i="9"/>
  <c r="C13" i="9"/>
  <c r="B13" i="9"/>
  <c r="L12" i="9"/>
  <c r="K12" i="9"/>
  <c r="J12" i="9"/>
  <c r="I12" i="9"/>
  <c r="H12" i="9"/>
  <c r="G12" i="9"/>
  <c r="F12" i="9"/>
  <c r="E12" i="9"/>
  <c r="D12" i="9"/>
  <c r="C12" i="9"/>
  <c r="B12" i="9"/>
  <c r="L11" i="9"/>
  <c r="K11" i="9"/>
  <c r="J11" i="9"/>
  <c r="I11" i="9"/>
  <c r="H11" i="9"/>
  <c r="G11" i="9"/>
  <c r="F11" i="9"/>
  <c r="E11" i="9"/>
  <c r="D11" i="9"/>
  <c r="C11" i="9"/>
  <c r="B11" i="9"/>
  <c r="L10" i="9"/>
  <c r="K10" i="9"/>
  <c r="J10" i="9"/>
  <c r="I10" i="9"/>
  <c r="H10" i="9"/>
  <c r="G10" i="9"/>
  <c r="F10" i="9"/>
  <c r="E10" i="9"/>
  <c r="D10" i="9"/>
  <c r="C10" i="9"/>
  <c r="B10" i="9"/>
  <c r="L9" i="9"/>
  <c r="K9" i="9"/>
  <c r="J9" i="9"/>
  <c r="I9" i="9"/>
  <c r="H9" i="9"/>
  <c r="G9" i="9"/>
  <c r="F9" i="9"/>
  <c r="E9" i="9"/>
  <c r="D9" i="9"/>
  <c r="C9" i="9"/>
  <c r="B9" i="9"/>
  <c r="L8" i="9"/>
  <c r="K8" i="9"/>
  <c r="J8" i="9"/>
  <c r="I8" i="9"/>
  <c r="H8" i="9"/>
  <c r="G8" i="9"/>
  <c r="F8" i="9"/>
  <c r="E8" i="9"/>
  <c r="D8" i="9"/>
  <c r="C8" i="9"/>
  <c r="B8" i="9"/>
  <c r="F4" i="9"/>
  <c r="E4" i="9"/>
  <c r="D4" i="9"/>
  <c r="B4" i="9"/>
  <c r="C4" i="9" s="1"/>
  <c r="H4" i="9" s="1"/>
  <c r="A4" i="9"/>
  <c r="L15" i="8"/>
  <c r="K15" i="8"/>
  <c r="J15" i="8"/>
  <c r="I15" i="8"/>
  <c r="H15" i="8"/>
  <c r="G15" i="8"/>
  <c r="F15" i="8"/>
  <c r="E15" i="8"/>
  <c r="D15" i="8"/>
  <c r="C15" i="8"/>
  <c r="B15" i="8"/>
  <c r="L14" i="8"/>
  <c r="K14" i="8"/>
  <c r="J14" i="8"/>
  <c r="I14" i="8"/>
  <c r="H14" i="8"/>
  <c r="G14" i="8"/>
  <c r="F14" i="8"/>
  <c r="E14" i="8"/>
  <c r="D14" i="8"/>
  <c r="C14" i="8"/>
  <c r="B14" i="8"/>
  <c r="L13" i="8"/>
  <c r="K13" i="8"/>
  <c r="J13" i="8"/>
  <c r="I13" i="8"/>
  <c r="H13" i="8"/>
  <c r="G13" i="8"/>
  <c r="F13" i="8"/>
  <c r="E13" i="8"/>
  <c r="D13" i="8"/>
  <c r="C13" i="8"/>
  <c r="B13" i="8"/>
  <c r="L12" i="8"/>
  <c r="K12" i="8"/>
  <c r="J12" i="8"/>
  <c r="I12" i="8"/>
  <c r="H12" i="8"/>
  <c r="G12" i="8"/>
  <c r="F12" i="8"/>
  <c r="E12" i="8"/>
  <c r="D12" i="8"/>
  <c r="C12" i="8"/>
  <c r="B12" i="8"/>
  <c r="L11" i="8"/>
  <c r="K11" i="8"/>
  <c r="J11" i="8"/>
  <c r="I11" i="8"/>
  <c r="H11" i="8"/>
  <c r="G11" i="8"/>
  <c r="F11" i="8"/>
  <c r="E11" i="8"/>
  <c r="D11" i="8"/>
  <c r="C11" i="8"/>
  <c r="B11" i="8"/>
  <c r="L10" i="8"/>
  <c r="K10" i="8"/>
  <c r="J10" i="8"/>
  <c r="I10" i="8"/>
  <c r="H10" i="8"/>
  <c r="G10" i="8"/>
  <c r="F10" i="8"/>
  <c r="E10" i="8"/>
  <c r="D10" i="8"/>
  <c r="C10" i="8"/>
  <c r="B10" i="8"/>
  <c r="L9" i="8"/>
  <c r="K9" i="8"/>
  <c r="J9" i="8"/>
  <c r="I9" i="8"/>
  <c r="H9" i="8"/>
  <c r="G9" i="8"/>
  <c r="F9" i="8"/>
  <c r="E9" i="8"/>
  <c r="D9" i="8"/>
  <c r="C9" i="8"/>
  <c r="B9" i="8"/>
  <c r="L8" i="8"/>
  <c r="K8" i="8"/>
  <c r="J8" i="8"/>
  <c r="I8" i="8"/>
  <c r="H8" i="8"/>
  <c r="G8" i="8"/>
  <c r="F8" i="8"/>
  <c r="E8" i="8"/>
  <c r="D8" i="8"/>
  <c r="C8" i="8"/>
  <c r="B8" i="8"/>
  <c r="F4" i="8"/>
  <c r="E4" i="8"/>
  <c r="D4" i="8"/>
  <c r="B4" i="8"/>
  <c r="C4" i="8" s="1"/>
  <c r="A4" i="8"/>
  <c r="G4" i="8" s="1"/>
  <c r="L21" i="7"/>
  <c r="K21" i="7"/>
  <c r="J21" i="7"/>
  <c r="I21" i="7"/>
  <c r="H21" i="7"/>
  <c r="G21" i="7"/>
  <c r="F21" i="7"/>
  <c r="E21" i="7"/>
  <c r="D21" i="7"/>
  <c r="C21" i="7"/>
  <c r="B21" i="7"/>
  <c r="L20" i="7"/>
  <c r="K20" i="7"/>
  <c r="J20" i="7"/>
  <c r="I20" i="7"/>
  <c r="H20" i="7"/>
  <c r="G20" i="7"/>
  <c r="F20" i="7"/>
  <c r="E20" i="7"/>
  <c r="D20" i="7"/>
  <c r="C20" i="7"/>
  <c r="B20" i="7"/>
  <c r="L19" i="7"/>
  <c r="K19" i="7"/>
  <c r="J19" i="7"/>
  <c r="I19" i="7"/>
  <c r="H19" i="7"/>
  <c r="G19" i="7"/>
  <c r="F19" i="7"/>
  <c r="E19" i="7"/>
  <c r="D19" i="7"/>
  <c r="C19" i="7"/>
  <c r="B19" i="7"/>
  <c r="L18" i="7"/>
  <c r="K18" i="7"/>
  <c r="J18" i="7"/>
  <c r="I18" i="7"/>
  <c r="H18" i="7"/>
  <c r="G18" i="7"/>
  <c r="F18" i="7"/>
  <c r="E18" i="7"/>
  <c r="D18" i="7"/>
  <c r="C18" i="7"/>
  <c r="B18" i="7"/>
  <c r="L17" i="7"/>
  <c r="K17" i="7"/>
  <c r="J17" i="7"/>
  <c r="I17" i="7"/>
  <c r="H17" i="7"/>
  <c r="G17" i="7"/>
  <c r="F17" i="7"/>
  <c r="E17" i="7"/>
  <c r="D17" i="7"/>
  <c r="C17" i="7"/>
  <c r="B17" i="7"/>
  <c r="L16" i="7"/>
  <c r="K16" i="7"/>
  <c r="J16" i="7"/>
  <c r="I16" i="7"/>
  <c r="H16" i="7"/>
  <c r="G16" i="7"/>
  <c r="F16" i="7"/>
  <c r="E16" i="7"/>
  <c r="D16" i="7"/>
  <c r="C16" i="7"/>
  <c r="B16" i="7"/>
  <c r="L15" i="7"/>
  <c r="K15" i="7"/>
  <c r="J15" i="7"/>
  <c r="I15" i="7"/>
  <c r="H15" i="7"/>
  <c r="G15" i="7"/>
  <c r="F15" i="7"/>
  <c r="E15" i="7"/>
  <c r="D15" i="7"/>
  <c r="C15" i="7"/>
  <c r="B15" i="7"/>
  <c r="L14" i="7"/>
  <c r="K14" i="7"/>
  <c r="J14" i="7"/>
  <c r="I14" i="7"/>
  <c r="H14" i="7"/>
  <c r="G14" i="7"/>
  <c r="F14" i="7"/>
  <c r="E14" i="7"/>
  <c r="D14" i="7"/>
  <c r="C14" i="7"/>
  <c r="B14" i="7"/>
  <c r="L13" i="7"/>
  <c r="K13" i="7"/>
  <c r="J13" i="7"/>
  <c r="I13" i="7"/>
  <c r="H13" i="7"/>
  <c r="G13" i="7"/>
  <c r="F13" i="7"/>
  <c r="E13" i="7"/>
  <c r="D13" i="7"/>
  <c r="C13" i="7"/>
  <c r="B13" i="7"/>
  <c r="L12" i="7"/>
  <c r="K12" i="7"/>
  <c r="J12" i="7"/>
  <c r="I12" i="7"/>
  <c r="H12" i="7"/>
  <c r="G12" i="7"/>
  <c r="F12" i="7"/>
  <c r="E12" i="7"/>
  <c r="D12" i="7"/>
  <c r="C12" i="7"/>
  <c r="B12" i="7"/>
  <c r="L11" i="7"/>
  <c r="K11" i="7"/>
  <c r="J11" i="7"/>
  <c r="I11" i="7"/>
  <c r="H11" i="7"/>
  <c r="G11" i="7"/>
  <c r="F11" i="7"/>
  <c r="E11" i="7"/>
  <c r="D11" i="7"/>
  <c r="C11" i="7"/>
  <c r="B11" i="7"/>
  <c r="L10" i="7"/>
  <c r="K10" i="7"/>
  <c r="J10" i="7"/>
  <c r="I10" i="7"/>
  <c r="H10" i="7"/>
  <c r="G10" i="7"/>
  <c r="F10" i="7"/>
  <c r="E10" i="7"/>
  <c r="D10" i="7"/>
  <c r="C10" i="7"/>
  <c r="B10" i="7"/>
  <c r="L9" i="7"/>
  <c r="K9" i="7"/>
  <c r="J9" i="7"/>
  <c r="I9" i="7"/>
  <c r="H9" i="7"/>
  <c r="G9" i="7"/>
  <c r="F9" i="7"/>
  <c r="E9" i="7"/>
  <c r="D9" i="7"/>
  <c r="C9" i="7"/>
  <c r="B9" i="7"/>
  <c r="L8" i="7"/>
  <c r="K8" i="7"/>
  <c r="J8" i="7"/>
  <c r="I8" i="7"/>
  <c r="H8" i="7"/>
  <c r="G8" i="7"/>
  <c r="F8" i="7"/>
  <c r="E8" i="7"/>
  <c r="D8" i="7"/>
  <c r="C8" i="7"/>
  <c r="B8" i="7"/>
  <c r="F4" i="7"/>
  <c r="E4" i="7"/>
  <c r="D4" i="7"/>
  <c r="B4" i="7"/>
  <c r="G4" i="7" s="1"/>
  <c r="A4" i="7"/>
  <c r="L14" i="6"/>
  <c r="K14" i="6"/>
  <c r="J14" i="6"/>
  <c r="I14" i="6"/>
  <c r="H14" i="6"/>
  <c r="G14" i="6"/>
  <c r="F14" i="6"/>
  <c r="E14" i="6"/>
  <c r="D14" i="6"/>
  <c r="C14" i="6"/>
  <c r="B14" i="6"/>
  <c r="L13" i="6"/>
  <c r="K13" i="6"/>
  <c r="J13" i="6"/>
  <c r="I13" i="6"/>
  <c r="H13" i="6"/>
  <c r="G13" i="6"/>
  <c r="F13" i="6"/>
  <c r="E13" i="6"/>
  <c r="D13" i="6"/>
  <c r="C13" i="6"/>
  <c r="B13" i="6"/>
  <c r="L12" i="6"/>
  <c r="K12" i="6"/>
  <c r="J12" i="6"/>
  <c r="I12" i="6"/>
  <c r="H12" i="6"/>
  <c r="G12" i="6"/>
  <c r="F12" i="6"/>
  <c r="E12" i="6"/>
  <c r="D12" i="6"/>
  <c r="C12" i="6"/>
  <c r="B12" i="6"/>
  <c r="L11" i="6"/>
  <c r="K11" i="6"/>
  <c r="J11" i="6"/>
  <c r="I11" i="6"/>
  <c r="H11" i="6"/>
  <c r="G11" i="6"/>
  <c r="F11" i="6"/>
  <c r="E11" i="6"/>
  <c r="D11" i="6"/>
  <c r="C11" i="6"/>
  <c r="B11" i="6"/>
  <c r="L10" i="6"/>
  <c r="K10" i="6"/>
  <c r="J10" i="6"/>
  <c r="I10" i="6"/>
  <c r="H10" i="6"/>
  <c r="G10" i="6"/>
  <c r="F10" i="6"/>
  <c r="E10" i="6"/>
  <c r="D10" i="6"/>
  <c r="C10" i="6"/>
  <c r="B10" i="6"/>
  <c r="L9" i="6"/>
  <c r="K9" i="6"/>
  <c r="J9" i="6"/>
  <c r="I9" i="6"/>
  <c r="H9" i="6"/>
  <c r="G9" i="6"/>
  <c r="F9" i="6"/>
  <c r="E9" i="6"/>
  <c r="D9" i="6"/>
  <c r="C9" i="6"/>
  <c r="B9" i="6"/>
  <c r="L8" i="6"/>
  <c r="K8" i="6"/>
  <c r="J8" i="6"/>
  <c r="I8" i="6"/>
  <c r="H8" i="6"/>
  <c r="G8" i="6"/>
  <c r="F8" i="6"/>
  <c r="E8" i="6"/>
  <c r="D8" i="6"/>
  <c r="C8" i="6"/>
  <c r="B8" i="6"/>
  <c r="F4" i="6"/>
  <c r="E4" i="6"/>
  <c r="D4" i="6"/>
  <c r="B4" i="6"/>
  <c r="C4" i="6" s="1"/>
  <c r="A4" i="6"/>
  <c r="G4" i="6" s="1"/>
  <c r="L44" i="5"/>
  <c r="K44" i="5"/>
  <c r="J44" i="5"/>
  <c r="I44" i="5"/>
  <c r="H44" i="5"/>
  <c r="G44" i="5"/>
  <c r="F44" i="5"/>
  <c r="E44" i="5"/>
  <c r="D44" i="5"/>
  <c r="C44" i="5"/>
  <c r="B44" i="5"/>
  <c r="L43" i="5"/>
  <c r="K43" i="5"/>
  <c r="J43" i="5"/>
  <c r="I43" i="5"/>
  <c r="H43" i="5"/>
  <c r="G43" i="5"/>
  <c r="F43" i="5"/>
  <c r="E43" i="5"/>
  <c r="D43" i="5"/>
  <c r="C43" i="5"/>
  <c r="B43" i="5"/>
  <c r="L42" i="5"/>
  <c r="K42" i="5"/>
  <c r="J42" i="5"/>
  <c r="I42" i="5"/>
  <c r="H42" i="5"/>
  <c r="G42" i="5"/>
  <c r="F42" i="5"/>
  <c r="E42" i="5"/>
  <c r="D42" i="5"/>
  <c r="C42" i="5"/>
  <c r="B42" i="5"/>
  <c r="L41" i="5"/>
  <c r="K41" i="5"/>
  <c r="J41" i="5"/>
  <c r="I41" i="5"/>
  <c r="H41" i="5"/>
  <c r="G41" i="5"/>
  <c r="F41" i="5"/>
  <c r="E41" i="5"/>
  <c r="D41" i="5"/>
  <c r="C41" i="5"/>
  <c r="B41" i="5"/>
  <c r="L40" i="5"/>
  <c r="K40" i="5"/>
  <c r="J40" i="5"/>
  <c r="I40" i="5"/>
  <c r="H40" i="5"/>
  <c r="G40" i="5"/>
  <c r="F40" i="5"/>
  <c r="E40" i="5"/>
  <c r="D40" i="5"/>
  <c r="C40" i="5"/>
  <c r="B40" i="5"/>
  <c r="L39" i="5"/>
  <c r="K39" i="5"/>
  <c r="J39" i="5"/>
  <c r="I39" i="5"/>
  <c r="H39" i="5"/>
  <c r="G39" i="5"/>
  <c r="F39" i="5"/>
  <c r="E39" i="5"/>
  <c r="D39" i="5"/>
  <c r="C39" i="5"/>
  <c r="B39" i="5"/>
  <c r="L38" i="5"/>
  <c r="K38" i="5"/>
  <c r="J38" i="5"/>
  <c r="I38" i="5"/>
  <c r="H38" i="5"/>
  <c r="G38" i="5"/>
  <c r="F38" i="5"/>
  <c r="E38" i="5"/>
  <c r="D38" i="5"/>
  <c r="C38" i="5"/>
  <c r="B38" i="5"/>
  <c r="L37" i="5"/>
  <c r="K37" i="5"/>
  <c r="J37" i="5"/>
  <c r="I37" i="5"/>
  <c r="H37" i="5"/>
  <c r="G37" i="5"/>
  <c r="F37" i="5"/>
  <c r="E37" i="5"/>
  <c r="D37" i="5"/>
  <c r="C37" i="5"/>
  <c r="B37" i="5"/>
  <c r="L36" i="5"/>
  <c r="K36" i="5"/>
  <c r="J36" i="5"/>
  <c r="I36" i="5"/>
  <c r="H36" i="5"/>
  <c r="G36" i="5"/>
  <c r="F36" i="5"/>
  <c r="E36" i="5"/>
  <c r="D36" i="5"/>
  <c r="C36" i="5"/>
  <c r="B36" i="5"/>
  <c r="L35" i="5"/>
  <c r="K35" i="5"/>
  <c r="J35" i="5"/>
  <c r="I35" i="5"/>
  <c r="H35" i="5"/>
  <c r="G35" i="5"/>
  <c r="F35" i="5"/>
  <c r="E35" i="5"/>
  <c r="D35" i="5"/>
  <c r="C35" i="5"/>
  <c r="B35" i="5"/>
  <c r="L34" i="5"/>
  <c r="K34" i="5"/>
  <c r="J34" i="5"/>
  <c r="I34" i="5"/>
  <c r="H34" i="5"/>
  <c r="G34" i="5"/>
  <c r="F34" i="5"/>
  <c r="E34" i="5"/>
  <c r="D34" i="5"/>
  <c r="C34" i="5"/>
  <c r="B34" i="5"/>
  <c r="L33" i="5"/>
  <c r="K33" i="5"/>
  <c r="J33" i="5"/>
  <c r="I33" i="5"/>
  <c r="H33" i="5"/>
  <c r="G33" i="5"/>
  <c r="F33" i="5"/>
  <c r="E33" i="5"/>
  <c r="D33" i="5"/>
  <c r="C33" i="5"/>
  <c r="B33" i="5"/>
  <c r="L32" i="5"/>
  <c r="K32" i="5"/>
  <c r="J32" i="5"/>
  <c r="I32" i="5"/>
  <c r="H32" i="5"/>
  <c r="G32" i="5"/>
  <c r="F32" i="5"/>
  <c r="E32" i="5"/>
  <c r="D32" i="5"/>
  <c r="C32" i="5"/>
  <c r="B32" i="5"/>
  <c r="L31" i="5"/>
  <c r="K31" i="5"/>
  <c r="J31" i="5"/>
  <c r="I31" i="5"/>
  <c r="H31" i="5"/>
  <c r="G31" i="5"/>
  <c r="F31" i="5"/>
  <c r="E31" i="5"/>
  <c r="D31" i="5"/>
  <c r="C31" i="5"/>
  <c r="B31" i="5"/>
  <c r="L30" i="5"/>
  <c r="K30" i="5"/>
  <c r="J30" i="5"/>
  <c r="I30" i="5"/>
  <c r="H30" i="5"/>
  <c r="G30" i="5"/>
  <c r="F30" i="5"/>
  <c r="E30" i="5"/>
  <c r="D30" i="5"/>
  <c r="C30" i="5"/>
  <c r="B30" i="5"/>
  <c r="L29" i="5"/>
  <c r="K29" i="5"/>
  <c r="J29" i="5"/>
  <c r="I29" i="5"/>
  <c r="H29" i="5"/>
  <c r="G29" i="5"/>
  <c r="F29" i="5"/>
  <c r="E29" i="5"/>
  <c r="D29" i="5"/>
  <c r="C29" i="5"/>
  <c r="B29" i="5"/>
  <c r="L28" i="5"/>
  <c r="K28" i="5"/>
  <c r="J28" i="5"/>
  <c r="I28" i="5"/>
  <c r="H28" i="5"/>
  <c r="G28" i="5"/>
  <c r="F28" i="5"/>
  <c r="E28" i="5"/>
  <c r="D28" i="5"/>
  <c r="C28" i="5"/>
  <c r="B28" i="5"/>
  <c r="L27" i="5"/>
  <c r="K27" i="5"/>
  <c r="J27" i="5"/>
  <c r="I27" i="5"/>
  <c r="H27" i="5"/>
  <c r="G27" i="5"/>
  <c r="F27" i="5"/>
  <c r="E27" i="5"/>
  <c r="D27" i="5"/>
  <c r="C27" i="5"/>
  <c r="B27" i="5"/>
  <c r="L26" i="5"/>
  <c r="K26" i="5"/>
  <c r="J26" i="5"/>
  <c r="I26" i="5"/>
  <c r="H26" i="5"/>
  <c r="G26" i="5"/>
  <c r="F26" i="5"/>
  <c r="E26" i="5"/>
  <c r="D26" i="5"/>
  <c r="C26" i="5"/>
  <c r="B26" i="5"/>
  <c r="L25" i="5"/>
  <c r="K25" i="5"/>
  <c r="J25" i="5"/>
  <c r="I25" i="5"/>
  <c r="H25" i="5"/>
  <c r="G25" i="5"/>
  <c r="F25" i="5"/>
  <c r="E25" i="5"/>
  <c r="D25" i="5"/>
  <c r="C25" i="5"/>
  <c r="B25" i="5"/>
  <c r="L24" i="5"/>
  <c r="K24" i="5"/>
  <c r="J24" i="5"/>
  <c r="I24" i="5"/>
  <c r="H24" i="5"/>
  <c r="G24" i="5"/>
  <c r="F24" i="5"/>
  <c r="E24" i="5"/>
  <c r="D24" i="5"/>
  <c r="C24" i="5"/>
  <c r="B24" i="5"/>
  <c r="L23" i="5"/>
  <c r="K23" i="5"/>
  <c r="J23" i="5"/>
  <c r="I23" i="5"/>
  <c r="H23" i="5"/>
  <c r="G23" i="5"/>
  <c r="F23" i="5"/>
  <c r="E23" i="5"/>
  <c r="D23" i="5"/>
  <c r="C23" i="5"/>
  <c r="B23" i="5"/>
  <c r="L22" i="5"/>
  <c r="K22" i="5"/>
  <c r="J22" i="5"/>
  <c r="I22" i="5"/>
  <c r="H22" i="5"/>
  <c r="G22" i="5"/>
  <c r="F22" i="5"/>
  <c r="E22" i="5"/>
  <c r="D22" i="5"/>
  <c r="C22" i="5"/>
  <c r="B22" i="5"/>
  <c r="L21" i="5"/>
  <c r="K21" i="5"/>
  <c r="J21" i="5"/>
  <c r="I21" i="5"/>
  <c r="H21" i="5"/>
  <c r="G21" i="5"/>
  <c r="F21" i="5"/>
  <c r="E21" i="5"/>
  <c r="D21" i="5"/>
  <c r="C21" i="5"/>
  <c r="B21" i="5"/>
  <c r="L20" i="5"/>
  <c r="K20" i="5"/>
  <c r="J20" i="5"/>
  <c r="I20" i="5"/>
  <c r="H20" i="5"/>
  <c r="G20" i="5"/>
  <c r="F20" i="5"/>
  <c r="E20" i="5"/>
  <c r="D20" i="5"/>
  <c r="C20" i="5"/>
  <c r="B20" i="5"/>
  <c r="L19" i="5"/>
  <c r="K19" i="5"/>
  <c r="J19" i="5"/>
  <c r="I19" i="5"/>
  <c r="H19" i="5"/>
  <c r="G19" i="5"/>
  <c r="F19" i="5"/>
  <c r="E19" i="5"/>
  <c r="D19" i="5"/>
  <c r="C19" i="5"/>
  <c r="B19" i="5"/>
  <c r="L18" i="5"/>
  <c r="K18" i="5"/>
  <c r="J18" i="5"/>
  <c r="I18" i="5"/>
  <c r="H18" i="5"/>
  <c r="G18" i="5"/>
  <c r="F18" i="5"/>
  <c r="E18" i="5"/>
  <c r="D18" i="5"/>
  <c r="C18" i="5"/>
  <c r="B18" i="5"/>
  <c r="L17" i="5"/>
  <c r="K17" i="5"/>
  <c r="J17" i="5"/>
  <c r="I17" i="5"/>
  <c r="H17" i="5"/>
  <c r="G17" i="5"/>
  <c r="F17" i="5"/>
  <c r="E17" i="5"/>
  <c r="D17" i="5"/>
  <c r="C17" i="5"/>
  <c r="B17" i="5"/>
  <c r="L16" i="5"/>
  <c r="K16" i="5"/>
  <c r="J16" i="5"/>
  <c r="I16" i="5"/>
  <c r="H16" i="5"/>
  <c r="G16" i="5"/>
  <c r="F16" i="5"/>
  <c r="E16" i="5"/>
  <c r="D16" i="5"/>
  <c r="C16" i="5"/>
  <c r="B16" i="5"/>
  <c r="L15" i="5"/>
  <c r="K15" i="5"/>
  <c r="J15" i="5"/>
  <c r="I15" i="5"/>
  <c r="H15" i="5"/>
  <c r="G15" i="5"/>
  <c r="F15" i="5"/>
  <c r="E15" i="5"/>
  <c r="D15" i="5"/>
  <c r="C15" i="5"/>
  <c r="B15" i="5"/>
  <c r="L14" i="5"/>
  <c r="K14" i="5"/>
  <c r="J14" i="5"/>
  <c r="I14" i="5"/>
  <c r="H14" i="5"/>
  <c r="G14" i="5"/>
  <c r="F14" i="5"/>
  <c r="E14" i="5"/>
  <c r="D14" i="5"/>
  <c r="C14" i="5"/>
  <c r="B14" i="5"/>
  <c r="L13" i="5"/>
  <c r="K13" i="5"/>
  <c r="J13" i="5"/>
  <c r="I13" i="5"/>
  <c r="H13" i="5"/>
  <c r="G13" i="5"/>
  <c r="F13" i="5"/>
  <c r="E13" i="5"/>
  <c r="D13" i="5"/>
  <c r="C13" i="5"/>
  <c r="B13" i="5"/>
  <c r="L12" i="5"/>
  <c r="K12" i="5"/>
  <c r="J12" i="5"/>
  <c r="I12" i="5"/>
  <c r="H12" i="5"/>
  <c r="G12" i="5"/>
  <c r="F12" i="5"/>
  <c r="E12" i="5"/>
  <c r="D12" i="5"/>
  <c r="C12" i="5"/>
  <c r="B12" i="5"/>
  <c r="L11" i="5"/>
  <c r="K11" i="5"/>
  <c r="J11" i="5"/>
  <c r="I11" i="5"/>
  <c r="H11" i="5"/>
  <c r="G11" i="5"/>
  <c r="F11" i="5"/>
  <c r="E11" i="5"/>
  <c r="D11" i="5"/>
  <c r="C11" i="5"/>
  <c r="B11" i="5"/>
  <c r="L10" i="5"/>
  <c r="K10" i="5"/>
  <c r="J10" i="5"/>
  <c r="I10" i="5"/>
  <c r="H10" i="5"/>
  <c r="G10" i="5"/>
  <c r="F10" i="5"/>
  <c r="E10" i="5"/>
  <c r="D10" i="5"/>
  <c r="C10" i="5"/>
  <c r="B10" i="5"/>
  <c r="L9" i="5"/>
  <c r="K9" i="5"/>
  <c r="J9" i="5"/>
  <c r="I9" i="5"/>
  <c r="H9" i="5"/>
  <c r="G9" i="5"/>
  <c r="F9" i="5"/>
  <c r="E9" i="5"/>
  <c r="D9" i="5"/>
  <c r="C9" i="5"/>
  <c r="B9" i="5"/>
  <c r="L8" i="5"/>
  <c r="K8" i="5"/>
  <c r="J8" i="5"/>
  <c r="I8" i="5"/>
  <c r="H8" i="5"/>
  <c r="G8" i="5"/>
  <c r="F8" i="5"/>
  <c r="E8" i="5"/>
  <c r="D8" i="5"/>
  <c r="C8" i="5"/>
  <c r="B8" i="5"/>
  <c r="F4" i="5"/>
  <c r="E4" i="5"/>
  <c r="D4" i="5"/>
  <c r="B4" i="5"/>
  <c r="C4" i="5" s="1"/>
  <c r="H4" i="5" s="1"/>
  <c r="A4" i="5"/>
  <c r="L24" i="4"/>
  <c r="K24" i="4"/>
  <c r="J24" i="4"/>
  <c r="I24" i="4"/>
  <c r="H24" i="4"/>
  <c r="G24" i="4"/>
  <c r="F24" i="4"/>
  <c r="E24" i="4"/>
  <c r="D24" i="4"/>
  <c r="C24" i="4"/>
  <c r="B24" i="4"/>
  <c r="L23" i="4"/>
  <c r="K23" i="4"/>
  <c r="J23" i="4"/>
  <c r="I23" i="4"/>
  <c r="H23" i="4"/>
  <c r="G23" i="4"/>
  <c r="F23" i="4"/>
  <c r="E23" i="4"/>
  <c r="D23" i="4"/>
  <c r="C23" i="4"/>
  <c r="B23" i="4"/>
  <c r="L22" i="4"/>
  <c r="K22" i="4"/>
  <c r="J22" i="4"/>
  <c r="I22" i="4"/>
  <c r="H22" i="4"/>
  <c r="G22" i="4"/>
  <c r="F22" i="4"/>
  <c r="E22" i="4"/>
  <c r="D22" i="4"/>
  <c r="C22" i="4"/>
  <c r="B22" i="4"/>
  <c r="L21" i="4"/>
  <c r="K21" i="4"/>
  <c r="J21" i="4"/>
  <c r="I21" i="4"/>
  <c r="H21" i="4"/>
  <c r="G21" i="4"/>
  <c r="F21" i="4"/>
  <c r="E21" i="4"/>
  <c r="D21" i="4"/>
  <c r="C21" i="4"/>
  <c r="B21" i="4"/>
  <c r="L20" i="4"/>
  <c r="K20" i="4"/>
  <c r="J20" i="4"/>
  <c r="I20" i="4"/>
  <c r="H20" i="4"/>
  <c r="G20" i="4"/>
  <c r="F20" i="4"/>
  <c r="E20" i="4"/>
  <c r="D20" i="4"/>
  <c r="C20" i="4"/>
  <c r="B20" i="4"/>
  <c r="L19" i="4"/>
  <c r="K19" i="4"/>
  <c r="J19" i="4"/>
  <c r="I19" i="4"/>
  <c r="H19" i="4"/>
  <c r="G19" i="4"/>
  <c r="F19" i="4"/>
  <c r="E19" i="4"/>
  <c r="D19" i="4"/>
  <c r="C19" i="4"/>
  <c r="B19" i="4"/>
  <c r="L18" i="4"/>
  <c r="K18" i="4"/>
  <c r="J18" i="4"/>
  <c r="I18" i="4"/>
  <c r="H18" i="4"/>
  <c r="G18" i="4"/>
  <c r="F18" i="4"/>
  <c r="E18" i="4"/>
  <c r="D18" i="4"/>
  <c r="C18" i="4"/>
  <c r="B18" i="4"/>
  <c r="L17" i="4"/>
  <c r="K17" i="4"/>
  <c r="J17" i="4"/>
  <c r="I17" i="4"/>
  <c r="H17" i="4"/>
  <c r="G17" i="4"/>
  <c r="F17" i="4"/>
  <c r="E17" i="4"/>
  <c r="D17" i="4"/>
  <c r="C17" i="4"/>
  <c r="B17" i="4"/>
  <c r="L16" i="4"/>
  <c r="K16" i="4"/>
  <c r="J16" i="4"/>
  <c r="I16" i="4"/>
  <c r="H16" i="4"/>
  <c r="G16" i="4"/>
  <c r="F16" i="4"/>
  <c r="E16" i="4"/>
  <c r="D16" i="4"/>
  <c r="C16" i="4"/>
  <c r="B16" i="4"/>
  <c r="L15" i="4"/>
  <c r="K15" i="4"/>
  <c r="J15" i="4"/>
  <c r="I15" i="4"/>
  <c r="H15" i="4"/>
  <c r="G15" i="4"/>
  <c r="F15" i="4"/>
  <c r="E15" i="4"/>
  <c r="D15" i="4"/>
  <c r="C15" i="4"/>
  <c r="B15" i="4"/>
  <c r="L14" i="4"/>
  <c r="K14" i="4"/>
  <c r="J14" i="4"/>
  <c r="I14" i="4"/>
  <c r="H14" i="4"/>
  <c r="G14" i="4"/>
  <c r="F14" i="4"/>
  <c r="E14" i="4"/>
  <c r="D14" i="4"/>
  <c r="C14" i="4"/>
  <c r="B14" i="4"/>
  <c r="L13" i="4"/>
  <c r="K13" i="4"/>
  <c r="J13" i="4"/>
  <c r="I13" i="4"/>
  <c r="H13" i="4"/>
  <c r="G13" i="4"/>
  <c r="F13" i="4"/>
  <c r="E13" i="4"/>
  <c r="D13" i="4"/>
  <c r="C13" i="4"/>
  <c r="B13" i="4"/>
  <c r="L12" i="4"/>
  <c r="K12" i="4"/>
  <c r="J12" i="4"/>
  <c r="I12" i="4"/>
  <c r="H12" i="4"/>
  <c r="G12" i="4"/>
  <c r="F12" i="4"/>
  <c r="E12" i="4"/>
  <c r="D12" i="4"/>
  <c r="C12" i="4"/>
  <c r="B12" i="4"/>
  <c r="L11" i="4"/>
  <c r="K11" i="4"/>
  <c r="J11" i="4"/>
  <c r="I11" i="4"/>
  <c r="H11" i="4"/>
  <c r="G11" i="4"/>
  <c r="F11" i="4"/>
  <c r="E11" i="4"/>
  <c r="D11" i="4"/>
  <c r="C11" i="4"/>
  <c r="B11" i="4"/>
  <c r="L10" i="4"/>
  <c r="K10" i="4"/>
  <c r="J10" i="4"/>
  <c r="I10" i="4"/>
  <c r="H10" i="4"/>
  <c r="G10" i="4"/>
  <c r="F10" i="4"/>
  <c r="E10" i="4"/>
  <c r="D10" i="4"/>
  <c r="C10" i="4"/>
  <c r="B10" i="4"/>
  <c r="L9" i="4"/>
  <c r="K9" i="4"/>
  <c r="J9" i="4"/>
  <c r="I9" i="4"/>
  <c r="H9" i="4"/>
  <c r="G9" i="4"/>
  <c r="F9" i="4"/>
  <c r="E9" i="4"/>
  <c r="D9" i="4"/>
  <c r="C9" i="4"/>
  <c r="B9" i="4"/>
  <c r="L8" i="4"/>
  <c r="K8" i="4"/>
  <c r="J8" i="4"/>
  <c r="I8" i="4"/>
  <c r="H8" i="4"/>
  <c r="G8" i="4"/>
  <c r="F8" i="4"/>
  <c r="E8" i="4"/>
  <c r="D8" i="4"/>
  <c r="C8" i="4"/>
  <c r="B8" i="4"/>
  <c r="F4" i="4"/>
  <c r="E4" i="4"/>
  <c r="D4" i="4"/>
  <c r="B4" i="4"/>
  <c r="C4" i="4" s="1"/>
  <c r="A4" i="4"/>
  <c r="L128" i="3"/>
  <c r="K128" i="3"/>
  <c r="J128" i="3"/>
  <c r="I128" i="3"/>
  <c r="H128" i="3"/>
  <c r="G128" i="3"/>
  <c r="F128" i="3"/>
  <c r="E128" i="3"/>
  <c r="D128" i="3"/>
  <c r="C128" i="3"/>
  <c r="B128" i="3"/>
  <c r="L127" i="3"/>
  <c r="K127" i="3"/>
  <c r="J127" i="3"/>
  <c r="I127" i="3"/>
  <c r="H127" i="3"/>
  <c r="G127" i="3"/>
  <c r="F127" i="3"/>
  <c r="E127" i="3"/>
  <c r="D127" i="3"/>
  <c r="C127" i="3"/>
  <c r="B127" i="3"/>
  <c r="L126" i="3"/>
  <c r="K126" i="3"/>
  <c r="J126" i="3"/>
  <c r="I126" i="3"/>
  <c r="H126" i="3"/>
  <c r="G126" i="3"/>
  <c r="F126" i="3"/>
  <c r="E126" i="3"/>
  <c r="D126" i="3"/>
  <c r="C126" i="3"/>
  <c r="B126" i="3"/>
  <c r="L125" i="3"/>
  <c r="K125" i="3"/>
  <c r="J125" i="3"/>
  <c r="I125" i="3"/>
  <c r="H125" i="3"/>
  <c r="G125" i="3"/>
  <c r="F125" i="3"/>
  <c r="E125" i="3"/>
  <c r="D125" i="3"/>
  <c r="C125" i="3"/>
  <c r="B125" i="3"/>
  <c r="L124" i="3"/>
  <c r="K124" i="3"/>
  <c r="J124" i="3"/>
  <c r="I124" i="3"/>
  <c r="H124" i="3"/>
  <c r="G124" i="3"/>
  <c r="F124" i="3"/>
  <c r="E124" i="3"/>
  <c r="D124" i="3"/>
  <c r="C124" i="3"/>
  <c r="B124" i="3"/>
  <c r="L123" i="3"/>
  <c r="K123" i="3"/>
  <c r="J123" i="3"/>
  <c r="I123" i="3"/>
  <c r="H123" i="3"/>
  <c r="G123" i="3"/>
  <c r="F123" i="3"/>
  <c r="E123" i="3"/>
  <c r="D123" i="3"/>
  <c r="C123" i="3"/>
  <c r="B123" i="3"/>
  <c r="L122" i="3"/>
  <c r="K122" i="3"/>
  <c r="J122" i="3"/>
  <c r="I122" i="3"/>
  <c r="H122" i="3"/>
  <c r="G122" i="3"/>
  <c r="F122" i="3"/>
  <c r="E122" i="3"/>
  <c r="D122" i="3"/>
  <c r="C122" i="3"/>
  <c r="B122" i="3"/>
  <c r="L121" i="3"/>
  <c r="K121" i="3"/>
  <c r="J121" i="3"/>
  <c r="I121" i="3"/>
  <c r="H121" i="3"/>
  <c r="G121" i="3"/>
  <c r="F121" i="3"/>
  <c r="E121" i="3"/>
  <c r="D121" i="3"/>
  <c r="C121" i="3"/>
  <c r="B121" i="3"/>
  <c r="L120" i="3"/>
  <c r="K120" i="3"/>
  <c r="J120" i="3"/>
  <c r="I120" i="3"/>
  <c r="H120" i="3"/>
  <c r="G120" i="3"/>
  <c r="F120" i="3"/>
  <c r="E120" i="3"/>
  <c r="D120" i="3"/>
  <c r="C120" i="3"/>
  <c r="B120" i="3"/>
  <c r="L119" i="3"/>
  <c r="K119" i="3"/>
  <c r="J119" i="3"/>
  <c r="I119" i="3"/>
  <c r="H119" i="3"/>
  <c r="G119" i="3"/>
  <c r="F119" i="3"/>
  <c r="E119" i="3"/>
  <c r="D119" i="3"/>
  <c r="C119" i="3"/>
  <c r="B119" i="3"/>
  <c r="L118" i="3"/>
  <c r="K118" i="3"/>
  <c r="J118" i="3"/>
  <c r="I118" i="3"/>
  <c r="H118" i="3"/>
  <c r="G118" i="3"/>
  <c r="F118" i="3"/>
  <c r="E118" i="3"/>
  <c r="D118" i="3"/>
  <c r="C118" i="3"/>
  <c r="B118" i="3"/>
  <c r="L117" i="3"/>
  <c r="K117" i="3"/>
  <c r="J117" i="3"/>
  <c r="I117" i="3"/>
  <c r="H117" i="3"/>
  <c r="G117" i="3"/>
  <c r="F117" i="3"/>
  <c r="E117" i="3"/>
  <c r="D117" i="3"/>
  <c r="C117" i="3"/>
  <c r="B117" i="3"/>
  <c r="L116" i="3"/>
  <c r="K116" i="3"/>
  <c r="J116" i="3"/>
  <c r="I116" i="3"/>
  <c r="H116" i="3"/>
  <c r="G116" i="3"/>
  <c r="F116" i="3"/>
  <c r="E116" i="3"/>
  <c r="D116" i="3"/>
  <c r="C116" i="3"/>
  <c r="B116" i="3"/>
  <c r="L115" i="3"/>
  <c r="K115" i="3"/>
  <c r="J115" i="3"/>
  <c r="I115" i="3"/>
  <c r="H115" i="3"/>
  <c r="G115" i="3"/>
  <c r="F115" i="3"/>
  <c r="E115" i="3"/>
  <c r="D115" i="3"/>
  <c r="C115" i="3"/>
  <c r="B115" i="3"/>
  <c r="L114" i="3"/>
  <c r="K114" i="3"/>
  <c r="J114" i="3"/>
  <c r="I114" i="3"/>
  <c r="H114" i="3"/>
  <c r="G114" i="3"/>
  <c r="F114" i="3"/>
  <c r="E114" i="3"/>
  <c r="D114" i="3"/>
  <c r="C114" i="3"/>
  <c r="B114" i="3"/>
  <c r="L113" i="3"/>
  <c r="K113" i="3"/>
  <c r="J113" i="3"/>
  <c r="I113" i="3"/>
  <c r="H113" i="3"/>
  <c r="G113" i="3"/>
  <c r="F113" i="3"/>
  <c r="E113" i="3"/>
  <c r="D113" i="3"/>
  <c r="C113" i="3"/>
  <c r="B113" i="3"/>
  <c r="L112" i="3"/>
  <c r="K112" i="3"/>
  <c r="J112" i="3"/>
  <c r="I112" i="3"/>
  <c r="H112" i="3"/>
  <c r="G112" i="3"/>
  <c r="F112" i="3"/>
  <c r="E112" i="3"/>
  <c r="D112" i="3"/>
  <c r="C112" i="3"/>
  <c r="B112" i="3"/>
  <c r="L111" i="3"/>
  <c r="K111" i="3"/>
  <c r="J111" i="3"/>
  <c r="I111" i="3"/>
  <c r="H111" i="3"/>
  <c r="G111" i="3"/>
  <c r="F111" i="3"/>
  <c r="E111" i="3"/>
  <c r="D111" i="3"/>
  <c r="C111" i="3"/>
  <c r="B111" i="3"/>
  <c r="L110" i="3"/>
  <c r="K110" i="3"/>
  <c r="J110" i="3"/>
  <c r="I110" i="3"/>
  <c r="H110" i="3"/>
  <c r="G110" i="3"/>
  <c r="F110" i="3"/>
  <c r="E110" i="3"/>
  <c r="D110" i="3"/>
  <c r="C110" i="3"/>
  <c r="B110" i="3"/>
  <c r="L109" i="3"/>
  <c r="K109" i="3"/>
  <c r="J109" i="3"/>
  <c r="I109" i="3"/>
  <c r="H109" i="3"/>
  <c r="G109" i="3"/>
  <c r="F109" i="3"/>
  <c r="E109" i="3"/>
  <c r="D109" i="3"/>
  <c r="C109" i="3"/>
  <c r="B109" i="3"/>
  <c r="L108" i="3"/>
  <c r="K108" i="3"/>
  <c r="J108" i="3"/>
  <c r="I108" i="3"/>
  <c r="H108" i="3"/>
  <c r="G108" i="3"/>
  <c r="F108" i="3"/>
  <c r="E108" i="3"/>
  <c r="D108" i="3"/>
  <c r="C108" i="3"/>
  <c r="B108" i="3"/>
  <c r="L107" i="3"/>
  <c r="K107" i="3"/>
  <c r="J107" i="3"/>
  <c r="I107" i="3"/>
  <c r="H107" i="3"/>
  <c r="G107" i="3"/>
  <c r="F107" i="3"/>
  <c r="E107" i="3"/>
  <c r="D107" i="3"/>
  <c r="C107" i="3"/>
  <c r="B107" i="3"/>
  <c r="L106" i="3"/>
  <c r="K106" i="3"/>
  <c r="J106" i="3"/>
  <c r="I106" i="3"/>
  <c r="H106" i="3"/>
  <c r="G106" i="3"/>
  <c r="F106" i="3"/>
  <c r="E106" i="3"/>
  <c r="D106" i="3"/>
  <c r="C106" i="3"/>
  <c r="B106" i="3"/>
  <c r="L105" i="3"/>
  <c r="K105" i="3"/>
  <c r="J105" i="3"/>
  <c r="I105" i="3"/>
  <c r="H105" i="3"/>
  <c r="G105" i="3"/>
  <c r="F105" i="3"/>
  <c r="E105" i="3"/>
  <c r="D105" i="3"/>
  <c r="C105" i="3"/>
  <c r="B105" i="3"/>
  <c r="L104" i="3"/>
  <c r="K104" i="3"/>
  <c r="J104" i="3"/>
  <c r="I104" i="3"/>
  <c r="H104" i="3"/>
  <c r="G104" i="3"/>
  <c r="F104" i="3"/>
  <c r="E104" i="3"/>
  <c r="D104" i="3"/>
  <c r="C104" i="3"/>
  <c r="B104" i="3"/>
  <c r="L103" i="3"/>
  <c r="K103" i="3"/>
  <c r="J103" i="3"/>
  <c r="I103" i="3"/>
  <c r="H103" i="3"/>
  <c r="G103" i="3"/>
  <c r="F103" i="3"/>
  <c r="E103" i="3"/>
  <c r="D103" i="3"/>
  <c r="C103" i="3"/>
  <c r="B103" i="3"/>
  <c r="L102" i="3"/>
  <c r="K102" i="3"/>
  <c r="J102" i="3"/>
  <c r="I102" i="3"/>
  <c r="H102" i="3"/>
  <c r="G102" i="3"/>
  <c r="F102" i="3"/>
  <c r="E102" i="3"/>
  <c r="D102" i="3"/>
  <c r="C102" i="3"/>
  <c r="B102" i="3"/>
  <c r="L101" i="3"/>
  <c r="K101" i="3"/>
  <c r="J101" i="3"/>
  <c r="I101" i="3"/>
  <c r="H101" i="3"/>
  <c r="G101" i="3"/>
  <c r="F101" i="3"/>
  <c r="E101" i="3"/>
  <c r="D101" i="3"/>
  <c r="C101" i="3"/>
  <c r="B101" i="3"/>
  <c r="L100" i="3"/>
  <c r="K100" i="3"/>
  <c r="J100" i="3"/>
  <c r="I100" i="3"/>
  <c r="H100" i="3"/>
  <c r="G100" i="3"/>
  <c r="F100" i="3"/>
  <c r="E100" i="3"/>
  <c r="D100" i="3"/>
  <c r="C100" i="3"/>
  <c r="B100" i="3"/>
  <c r="L99" i="3"/>
  <c r="K99" i="3"/>
  <c r="J99" i="3"/>
  <c r="I99" i="3"/>
  <c r="H99" i="3"/>
  <c r="G99" i="3"/>
  <c r="F99" i="3"/>
  <c r="E99" i="3"/>
  <c r="D99" i="3"/>
  <c r="C99" i="3"/>
  <c r="B99" i="3"/>
  <c r="L98" i="3"/>
  <c r="K98" i="3"/>
  <c r="J98" i="3"/>
  <c r="I98" i="3"/>
  <c r="H98" i="3"/>
  <c r="G98" i="3"/>
  <c r="F98" i="3"/>
  <c r="E98" i="3"/>
  <c r="D98" i="3"/>
  <c r="C98" i="3"/>
  <c r="B98" i="3"/>
  <c r="L97" i="3"/>
  <c r="K97" i="3"/>
  <c r="J97" i="3"/>
  <c r="I97" i="3"/>
  <c r="H97" i="3"/>
  <c r="G97" i="3"/>
  <c r="F97" i="3"/>
  <c r="E97" i="3"/>
  <c r="D97" i="3"/>
  <c r="C97" i="3"/>
  <c r="B97" i="3"/>
  <c r="L96" i="3"/>
  <c r="K96" i="3"/>
  <c r="J96" i="3"/>
  <c r="I96" i="3"/>
  <c r="H96" i="3"/>
  <c r="G96" i="3"/>
  <c r="F96" i="3"/>
  <c r="E96" i="3"/>
  <c r="D96" i="3"/>
  <c r="C96" i="3"/>
  <c r="B96" i="3"/>
  <c r="L95" i="3"/>
  <c r="K95" i="3"/>
  <c r="J95" i="3"/>
  <c r="I95" i="3"/>
  <c r="H95" i="3"/>
  <c r="G95" i="3"/>
  <c r="F95" i="3"/>
  <c r="E95" i="3"/>
  <c r="D95" i="3"/>
  <c r="C95" i="3"/>
  <c r="B95" i="3"/>
  <c r="L94" i="3"/>
  <c r="K94" i="3"/>
  <c r="J94" i="3"/>
  <c r="I94" i="3"/>
  <c r="H94" i="3"/>
  <c r="G94" i="3"/>
  <c r="F94" i="3"/>
  <c r="E94" i="3"/>
  <c r="D94" i="3"/>
  <c r="C94" i="3"/>
  <c r="B94" i="3"/>
  <c r="L93" i="3"/>
  <c r="K93" i="3"/>
  <c r="J93" i="3"/>
  <c r="I93" i="3"/>
  <c r="H93" i="3"/>
  <c r="G93" i="3"/>
  <c r="F93" i="3"/>
  <c r="E93" i="3"/>
  <c r="D93" i="3"/>
  <c r="C93" i="3"/>
  <c r="B93" i="3"/>
  <c r="L92" i="3"/>
  <c r="K92" i="3"/>
  <c r="J92" i="3"/>
  <c r="I92" i="3"/>
  <c r="H92" i="3"/>
  <c r="G92" i="3"/>
  <c r="F92" i="3"/>
  <c r="E92" i="3"/>
  <c r="D92" i="3"/>
  <c r="C92" i="3"/>
  <c r="B92" i="3"/>
  <c r="L91" i="3"/>
  <c r="K91" i="3"/>
  <c r="J91" i="3"/>
  <c r="I91" i="3"/>
  <c r="H91" i="3"/>
  <c r="G91" i="3"/>
  <c r="F91" i="3"/>
  <c r="E91" i="3"/>
  <c r="D91" i="3"/>
  <c r="C91" i="3"/>
  <c r="B91" i="3"/>
  <c r="L90" i="3"/>
  <c r="K90" i="3"/>
  <c r="J90" i="3"/>
  <c r="I90" i="3"/>
  <c r="H90" i="3"/>
  <c r="G90" i="3"/>
  <c r="F90" i="3"/>
  <c r="E90" i="3"/>
  <c r="D90" i="3"/>
  <c r="C90" i="3"/>
  <c r="B90" i="3"/>
  <c r="L89" i="3"/>
  <c r="K89" i="3"/>
  <c r="J89" i="3"/>
  <c r="I89" i="3"/>
  <c r="H89" i="3"/>
  <c r="G89" i="3"/>
  <c r="F89" i="3"/>
  <c r="E89" i="3"/>
  <c r="D89" i="3"/>
  <c r="C89" i="3"/>
  <c r="B89" i="3"/>
  <c r="L88" i="3"/>
  <c r="K88" i="3"/>
  <c r="J88" i="3"/>
  <c r="I88" i="3"/>
  <c r="H88" i="3"/>
  <c r="G88" i="3"/>
  <c r="F88" i="3"/>
  <c r="E88" i="3"/>
  <c r="D88" i="3"/>
  <c r="C88" i="3"/>
  <c r="B88" i="3"/>
  <c r="L87" i="3"/>
  <c r="K87" i="3"/>
  <c r="J87" i="3"/>
  <c r="I87" i="3"/>
  <c r="H87" i="3"/>
  <c r="G87" i="3"/>
  <c r="F87" i="3"/>
  <c r="E87" i="3"/>
  <c r="D87" i="3"/>
  <c r="C87" i="3"/>
  <c r="B87" i="3"/>
  <c r="L86" i="3"/>
  <c r="K86" i="3"/>
  <c r="J86" i="3"/>
  <c r="I86" i="3"/>
  <c r="H86" i="3"/>
  <c r="G86" i="3"/>
  <c r="F86" i="3"/>
  <c r="E86" i="3"/>
  <c r="D86" i="3"/>
  <c r="C86" i="3"/>
  <c r="B86" i="3"/>
  <c r="L85" i="3"/>
  <c r="K85" i="3"/>
  <c r="J85" i="3"/>
  <c r="I85" i="3"/>
  <c r="H85" i="3"/>
  <c r="G85" i="3"/>
  <c r="F85" i="3"/>
  <c r="E85" i="3"/>
  <c r="D85" i="3"/>
  <c r="C85" i="3"/>
  <c r="B85" i="3"/>
  <c r="L84" i="3"/>
  <c r="K84" i="3"/>
  <c r="J84" i="3"/>
  <c r="I84" i="3"/>
  <c r="H84" i="3"/>
  <c r="G84" i="3"/>
  <c r="F84" i="3"/>
  <c r="E84" i="3"/>
  <c r="D84" i="3"/>
  <c r="C84" i="3"/>
  <c r="B84" i="3"/>
  <c r="L83" i="3"/>
  <c r="K83" i="3"/>
  <c r="J83" i="3"/>
  <c r="I83" i="3"/>
  <c r="H83" i="3"/>
  <c r="G83" i="3"/>
  <c r="F83" i="3"/>
  <c r="E83" i="3"/>
  <c r="D83" i="3"/>
  <c r="C83" i="3"/>
  <c r="B83" i="3"/>
  <c r="L82" i="3"/>
  <c r="K82" i="3"/>
  <c r="J82" i="3"/>
  <c r="I82" i="3"/>
  <c r="H82" i="3"/>
  <c r="G82" i="3"/>
  <c r="F82" i="3"/>
  <c r="E82" i="3"/>
  <c r="D82" i="3"/>
  <c r="C82" i="3"/>
  <c r="B82" i="3"/>
  <c r="L81" i="3"/>
  <c r="K81" i="3"/>
  <c r="J81" i="3"/>
  <c r="I81" i="3"/>
  <c r="H81" i="3"/>
  <c r="G81" i="3"/>
  <c r="F81" i="3"/>
  <c r="E81" i="3"/>
  <c r="D81" i="3"/>
  <c r="C81" i="3"/>
  <c r="B81" i="3"/>
  <c r="L80" i="3"/>
  <c r="K80" i="3"/>
  <c r="J80" i="3"/>
  <c r="I80" i="3"/>
  <c r="H80" i="3"/>
  <c r="G80" i="3"/>
  <c r="F80" i="3"/>
  <c r="E80" i="3"/>
  <c r="D80" i="3"/>
  <c r="C80" i="3"/>
  <c r="B80" i="3"/>
  <c r="L79" i="3"/>
  <c r="K79" i="3"/>
  <c r="J79" i="3"/>
  <c r="I79" i="3"/>
  <c r="H79" i="3"/>
  <c r="G79" i="3"/>
  <c r="F79" i="3"/>
  <c r="E79" i="3"/>
  <c r="D79" i="3"/>
  <c r="C79" i="3"/>
  <c r="B79" i="3"/>
  <c r="L78" i="3"/>
  <c r="K78" i="3"/>
  <c r="J78" i="3"/>
  <c r="I78" i="3"/>
  <c r="H78" i="3"/>
  <c r="G78" i="3"/>
  <c r="F78" i="3"/>
  <c r="E78" i="3"/>
  <c r="D78" i="3"/>
  <c r="C78" i="3"/>
  <c r="B78" i="3"/>
  <c r="L77" i="3"/>
  <c r="K77" i="3"/>
  <c r="J77" i="3"/>
  <c r="I77" i="3"/>
  <c r="H77" i="3"/>
  <c r="G77" i="3"/>
  <c r="F77" i="3"/>
  <c r="E77" i="3"/>
  <c r="D77" i="3"/>
  <c r="C77" i="3"/>
  <c r="B77" i="3"/>
  <c r="L76" i="3"/>
  <c r="K76" i="3"/>
  <c r="J76" i="3"/>
  <c r="I76" i="3"/>
  <c r="H76" i="3"/>
  <c r="G76" i="3"/>
  <c r="F76" i="3"/>
  <c r="E76" i="3"/>
  <c r="D76" i="3"/>
  <c r="C76" i="3"/>
  <c r="B76" i="3"/>
  <c r="L75" i="3"/>
  <c r="K75" i="3"/>
  <c r="J75" i="3"/>
  <c r="I75" i="3"/>
  <c r="H75" i="3"/>
  <c r="G75" i="3"/>
  <c r="F75" i="3"/>
  <c r="E75" i="3"/>
  <c r="D75" i="3"/>
  <c r="C75" i="3"/>
  <c r="B75" i="3"/>
  <c r="L74" i="3"/>
  <c r="K74" i="3"/>
  <c r="J74" i="3"/>
  <c r="I74" i="3"/>
  <c r="H74" i="3"/>
  <c r="G74" i="3"/>
  <c r="F74" i="3"/>
  <c r="E74" i="3"/>
  <c r="D74" i="3"/>
  <c r="C74" i="3"/>
  <c r="B74" i="3"/>
  <c r="L73" i="3"/>
  <c r="K73" i="3"/>
  <c r="J73" i="3"/>
  <c r="I73" i="3"/>
  <c r="H73" i="3"/>
  <c r="G73" i="3"/>
  <c r="F73" i="3"/>
  <c r="E73" i="3"/>
  <c r="D73" i="3"/>
  <c r="C73" i="3"/>
  <c r="B73" i="3"/>
  <c r="L72" i="3"/>
  <c r="K72" i="3"/>
  <c r="J72" i="3"/>
  <c r="I72" i="3"/>
  <c r="H72" i="3"/>
  <c r="G72" i="3"/>
  <c r="F72" i="3"/>
  <c r="E72" i="3"/>
  <c r="D72" i="3"/>
  <c r="C72" i="3"/>
  <c r="B72" i="3"/>
  <c r="L71" i="3"/>
  <c r="K71" i="3"/>
  <c r="J71" i="3"/>
  <c r="I71" i="3"/>
  <c r="H71" i="3"/>
  <c r="G71" i="3"/>
  <c r="F71" i="3"/>
  <c r="E71" i="3"/>
  <c r="D71" i="3"/>
  <c r="C71" i="3"/>
  <c r="B71" i="3"/>
  <c r="L70" i="3"/>
  <c r="K70" i="3"/>
  <c r="J70" i="3"/>
  <c r="I70" i="3"/>
  <c r="H70" i="3"/>
  <c r="G70" i="3"/>
  <c r="F70" i="3"/>
  <c r="E70" i="3"/>
  <c r="D70" i="3"/>
  <c r="C70" i="3"/>
  <c r="B70" i="3"/>
  <c r="L69" i="3"/>
  <c r="K69" i="3"/>
  <c r="J69" i="3"/>
  <c r="I69" i="3"/>
  <c r="H69" i="3"/>
  <c r="G69" i="3"/>
  <c r="F69" i="3"/>
  <c r="E69" i="3"/>
  <c r="D69" i="3"/>
  <c r="C69" i="3"/>
  <c r="B69" i="3"/>
  <c r="L68" i="3"/>
  <c r="K68" i="3"/>
  <c r="J68" i="3"/>
  <c r="I68" i="3"/>
  <c r="H68" i="3"/>
  <c r="G68" i="3"/>
  <c r="F68" i="3"/>
  <c r="E68" i="3"/>
  <c r="D68" i="3"/>
  <c r="C68" i="3"/>
  <c r="B68" i="3"/>
  <c r="L67" i="3"/>
  <c r="K67" i="3"/>
  <c r="J67" i="3"/>
  <c r="I67" i="3"/>
  <c r="H67" i="3"/>
  <c r="G67" i="3"/>
  <c r="F67" i="3"/>
  <c r="E67" i="3"/>
  <c r="D67" i="3"/>
  <c r="C67" i="3"/>
  <c r="B67" i="3"/>
  <c r="L66" i="3"/>
  <c r="K66" i="3"/>
  <c r="J66" i="3"/>
  <c r="I66" i="3"/>
  <c r="H66" i="3"/>
  <c r="G66" i="3"/>
  <c r="F66" i="3"/>
  <c r="E66" i="3"/>
  <c r="D66" i="3"/>
  <c r="C66" i="3"/>
  <c r="B66" i="3"/>
  <c r="L65" i="3"/>
  <c r="K65" i="3"/>
  <c r="J65" i="3"/>
  <c r="I65" i="3"/>
  <c r="H65" i="3"/>
  <c r="G65" i="3"/>
  <c r="F65" i="3"/>
  <c r="E65" i="3"/>
  <c r="D65" i="3"/>
  <c r="C65" i="3"/>
  <c r="B65" i="3"/>
  <c r="L64" i="3"/>
  <c r="K64" i="3"/>
  <c r="J64" i="3"/>
  <c r="I64" i="3"/>
  <c r="H64" i="3"/>
  <c r="G64" i="3"/>
  <c r="F64" i="3"/>
  <c r="E64" i="3"/>
  <c r="D64" i="3"/>
  <c r="C64" i="3"/>
  <c r="B64" i="3"/>
  <c r="L63" i="3"/>
  <c r="K63" i="3"/>
  <c r="J63" i="3"/>
  <c r="I63" i="3"/>
  <c r="H63" i="3"/>
  <c r="G63" i="3"/>
  <c r="F63" i="3"/>
  <c r="E63" i="3"/>
  <c r="D63" i="3"/>
  <c r="C63" i="3"/>
  <c r="B63" i="3"/>
  <c r="L62" i="3"/>
  <c r="K62" i="3"/>
  <c r="J62" i="3"/>
  <c r="I62" i="3"/>
  <c r="H62" i="3"/>
  <c r="G62" i="3"/>
  <c r="F62" i="3"/>
  <c r="E62" i="3"/>
  <c r="D62" i="3"/>
  <c r="C62" i="3"/>
  <c r="B62" i="3"/>
  <c r="L61" i="3"/>
  <c r="K61" i="3"/>
  <c r="J61" i="3"/>
  <c r="I61" i="3"/>
  <c r="H61" i="3"/>
  <c r="G61" i="3"/>
  <c r="F61" i="3"/>
  <c r="E61" i="3"/>
  <c r="D61" i="3"/>
  <c r="C61" i="3"/>
  <c r="B61" i="3"/>
  <c r="L60" i="3"/>
  <c r="K60" i="3"/>
  <c r="J60" i="3"/>
  <c r="I60" i="3"/>
  <c r="H60" i="3"/>
  <c r="G60" i="3"/>
  <c r="F60" i="3"/>
  <c r="E60" i="3"/>
  <c r="D60" i="3"/>
  <c r="C60" i="3"/>
  <c r="B60" i="3"/>
  <c r="L59" i="3"/>
  <c r="K59" i="3"/>
  <c r="J59" i="3"/>
  <c r="I59" i="3"/>
  <c r="H59" i="3"/>
  <c r="G59" i="3"/>
  <c r="F59" i="3"/>
  <c r="E59" i="3"/>
  <c r="D59" i="3"/>
  <c r="C59" i="3"/>
  <c r="B59" i="3"/>
  <c r="L58" i="3"/>
  <c r="K58" i="3"/>
  <c r="J58" i="3"/>
  <c r="I58" i="3"/>
  <c r="H58" i="3"/>
  <c r="G58" i="3"/>
  <c r="F58" i="3"/>
  <c r="E58" i="3"/>
  <c r="D58" i="3"/>
  <c r="C58" i="3"/>
  <c r="B58" i="3"/>
  <c r="L57" i="3"/>
  <c r="K57" i="3"/>
  <c r="J57" i="3"/>
  <c r="I57" i="3"/>
  <c r="H57" i="3"/>
  <c r="G57" i="3"/>
  <c r="F57" i="3"/>
  <c r="E57" i="3"/>
  <c r="D57" i="3"/>
  <c r="C57" i="3"/>
  <c r="B57" i="3"/>
  <c r="L56" i="3"/>
  <c r="K56" i="3"/>
  <c r="J56" i="3"/>
  <c r="I56" i="3"/>
  <c r="H56" i="3"/>
  <c r="G56" i="3"/>
  <c r="F56" i="3"/>
  <c r="E56" i="3"/>
  <c r="D56" i="3"/>
  <c r="C56" i="3"/>
  <c r="B56" i="3"/>
  <c r="L55" i="3"/>
  <c r="K55" i="3"/>
  <c r="J55" i="3"/>
  <c r="I55" i="3"/>
  <c r="H55" i="3"/>
  <c r="G55" i="3"/>
  <c r="F55" i="3"/>
  <c r="E55" i="3"/>
  <c r="D55" i="3"/>
  <c r="C55" i="3"/>
  <c r="B55" i="3"/>
  <c r="L54" i="3"/>
  <c r="K54" i="3"/>
  <c r="J54" i="3"/>
  <c r="I54" i="3"/>
  <c r="H54" i="3"/>
  <c r="G54" i="3"/>
  <c r="F54" i="3"/>
  <c r="E54" i="3"/>
  <c r="D54" i="3"/>
  <c r="C54" i="3"/>
  <c r="B54" i="3"/>
  <c r="L53" i="3"/>
  <c r="K53" i="3"/>
  <c r="J53" i="3"/>
  <c r="I53" i="3"/>
  <c r="H53" i="3"/>
  <c r="G53" i="3"/>
  <c r="F53" i="3"/>
  <c r="E53" i="3"/>
  <c r="D53" i="3"/>
  <c r="C53" i="3"/>
  <c r="B53" i="3"/>
  <c r="L52" i="3"/>
  <c r="K52" i="3"/>
  <c r="J52" i="3"/>
  <c r="I52" i="3"/>
  <c r="H52" i="3"/>
  <c r="G52" i="3"/>
  <c r="F52" i="3"/>
  <c r="E52" i="3"/>
  <c r="D52" i="3"/>
  <c r="C52" i="3"/>
  <c r="B52" i="3"/>
  <c r="L51" i="3"/>
  <c r="K51" i="3"/>
  <c r="J51" i="3"/>
  <c r="I51" i="3"/>
  <c r="H51" i="3"/>
  <c r="G51" i="3"/>
  <c r="F51" i="3"/>
  <c r="E51" i="3"/>
  <c r="D51" i="3"/>
  <c r="C51" i="3"/>
  <c r="B51" i="3"/>
  <c r="L50" i="3"/>
  <c r="K50" i="3"/>
  <c r="J50" i="3"/>
  <c r="I50" i="3"/>
  <c r="H50" i="3"/>
  <c r="G50" i="3"/>
  <c r="F50" i="3"/>
  <c r="E50" i="3"/>
  <c r="D50" i="3"/>
  <c r="C50" i="3"/>
  <c r="B50" i="3"/>
  <c r="L49" i="3"/>
  <c r="K49" i="3"/>
  <c r="J49" i="3"/>
  <c r="I49" i="3"/>
  <c r="H49" i="3"/>
  <c r="G49" i="3"/>
  <c r="F49" i="3"/>
  <c r="E49" i="3"/>
  <c r="D49" i="3"/>
  <c r="C49" i="3"/>
  <c r="B49" i="3"/>
  <c r="L48" i="3"/>
  <c r="K48" i="3"/>
  <c r="J48" i="3"/>
  <c r="I48" i="3"/>
  <c r="H48" i="3"/>
  <c r="G48" i="3"/>
  <c r="F48" i="3"/>
  <c r="E48" i="3"/>
  <c r="D48" i="3"/>
  <c r="C48" i="3"/>
  <c r="B48" i="3"/>
  <c r="L47" i="3"/>
  <c r="K47" i="3"/>
  <c r="J47" i="3"/>
  <c r="I47" i="3"/>
  <c r="H47" i="3"/>
  <c r="G47" i="3"/>
  <c r="F47" i="3"/>
  <c r="E47" i="3"/>
  <c r="D47" i="3"/>
  <c r="C47" i="3"/>
  <c r="B47" i="3"/>
  <c r="L46" i="3"/>
  <c r="K46" i="3"/>
  <c r="J46" i="3"/>
  <c r="I46" i="3"/>
  <c r="H46" i="3"/>
  <c r="G46" i="3"/>
  <c r="F46" i="3"/>
  <c r="E46" i="3"/>
  <c r="D46" i="3"/>
  <c r="C46" i="3"/>
  <c r="B46" i="3"/>
  <c r="L45" i="3"/>
  <c r="K45" i="3"/>
  <c r="J45" i="3"/>
  <c r="I45" i="3"/>
  <c r="H45" i="3"/>
  <c r="G45" i="3"/>
  <c r="F45" i="3"/>
  <c r="E45" i="3"/>
  <c r="D45" i="3"/>
  <c r="C45" i="3"/>
  <c r="B45" i="3"/>
  <c r="L44" i="3"/>
  <c r="K44" i="3"/>
  <c r="J44" i="3"/>
  <c r="I44" i="3"/>
  <c r="H44" i="3"/>
  <c r="G44" i="3"/>
  <c r="F44" i="3"/>
  <c r="E44" i="3"/>
  <c r="D44" i="3"/>
  <c r="C44" i="3"/>
  <c r="B44" i="3"/>
  <c r="L43" i="3"/>
  <c r="K43" i="3"/>
  <c r="J43" i="3"/>
  <c r="I43" i="3"/>
  <c r="H43" i="3"/>
  <c r="G43" i="3"/>
  <c r="F43" i="3"/>
  <c r="E43" i="3"/>
  <c r="D43" i="3"/>
  <c r="C43" i="3"/>
  <c r="B43" i="3"/>
  <c r="L42" i="3"/>
  <c r="K42" i="3"/>
  <c r="J42" i="3"/>
  <c r="I42" i="3"/>
  <c r="H42" i="3"/>
  <c r="G42" i="3"/>
  <c r="F42" i="3"/>
  <c r="E42" i="3"/>
  <c r="D42" i="3"/>
  <c r="C42" i="3"/>
  <c r="B42" i="3"/>
  <c r="L41" i="3"/>
  <c r="K41" i="3"/>
  <c r="J41" i="3"/>
  <c r="I41" i="3"/>
  <c r="H41" i="3"/>
  <c r="G41" i="3"/>
  <c r="F41" i="3"/>
  <c r="E41" i="3"/>
  <c r="D41" i="3"/>
  <c r="C41" i="3"/>
  <c r="B41" i="3"/>
  <c r="L40" i="3"/>
  <c r="K40" i="3"/>
  <c r="J40" i="3"/>
  <c r="I40" i="3"/>
  <c r="H40" i="3"/>
  <c r="G40" i="3"/>
  <c r="F40" i="3"/>
  <c r="E40" i="3"/>
  <c r="D40" i="3"/>
  <c r="C40" i="3"/>
  <c r="B40" i="3"/>
  <c r="L39" i="3"/>
  <c r="K39" i="3"/>
  <c r="J39" i="3"/>
  <c r="I39" i="3"/>
  <c r="H39" i="3"/>
  <c r="G39" i="3"/>
  <c r="F39" i="3"/>
  <c r="E39" i="3"/>
  <c r="D39" i="3"/>
  <c r="C39" i="3"/>
  <c r="B39" i="3"/>
  <c r="L38" i="3"/>
  <c r="K38" i="3"/>
  <c r="J38" i="3"/>
  <c r="I38" i="3"/>
  <c r="H38" i="3"/>
  <c r="G38" i="3"/>
  <c r="F38" i="3"/>
  <c r="E38" i="3"/>
  <c r="D38" i="3"/>
  <c r="C38" i="3"/>
  <c r="B38" i="3"/>
  <c r="L37" i="3"/>
  <c r="K37" i="3"/>
  <c r="J37" i="3"/>
  <c r="I37" i="3"/>
  <c r="H37" i="3"/>
  <c r="G37" i="3"/>
  <c r="F37" i="3"/>
  <c r="E37" i="3"/>
  <c r="D37" i="3"/>
  <c r="C37" i="3"/>
  <c r="B37" i="3"/>
  <c r="L36" i="3"/>
  <c r="K36" i="3"/>
  <c r="J36" i="3"/>
  <c r="I36" i="3"/>
  <c r="H36" i="3"/>
  <c r="G36" i="3"/>
  <c r="F36" i="3"/>
  <c r="E36" i="3"/>
  <c r="D36" i="3"/>
  <c r="C36" i="3"/>
  <c r="B36" i="3"/>
  <c r="L35" i="3"/>
  <c r="K35" i="3"/>
  <c r="J35" i="3"/>
  <c r="I35" i="3"/>
  <c r="H35" i="3"/>
  <c r="G35" i="3"/>
  <c r="F35" i="3"/>
  <c r="E35" i="3"/>
  <c r="D35" i="3"/>
  <c r="C35" i="3"/>
  <c r="B35" i="3"/>
  <c r="L34" i="3"/>
  <c r="K34" i="3"/>
  <c r="J34" i="3"/>
  <c r="I34" i="3"/>
  <c r="H34" i="3"/>
  <c r="G34" i="3"/>
  <c r="F34" i="3"/>
  <c r="E34" i="3"/>
  <c r="D34" i="3"/>
  <c r="C34" i="3"/>
  <c r="B34" i="3"/>
  <c r="L33" i="3"/>
  <c r="K33" i="3"/>
  <c r="J33" i="3"/>
  <c r="I33" i="3"/>
  <c r="H33" i="3"/>
  <c r="G33" i="3"/>
  <c r="F33" i="3"/>
  <c r="E33" i="3"/>
  <c r="D33" i="3"/>
  <c r="C33" i="3"/>
  <c r="B33" i="3"/>
  <c r="L32" i="3"/>
  <c r="K32" i="3"/>
  <c r="J32" i="3"/>
  <c r="I32" i="3"/>
  <c r="H32" i="3"/>
  <c r="G32" i="3"/>
  <c r="F32" i="3"/>
  <c r="E32" i="3"/>
  <c r="D32" i="3"/>
  <c r="C32" i="3"/>
  <c r="B32" i="3"/>
  <c r="I27" i="3"/>
  <c r="H27" i="3"/>
  <c r="F27" i="3"/>
  <c r="E27" i="3"/>
  <c r="B27" i="3" s="1"/>
  <c r="I26" i="3"/>
  <c r="H26" i="3"/>
  <c r="F26" i="3"/>
  <c r="E26" i="3"/>
  <c r="I25" i="3"/>
  <c r="H25" i="3"/>
  <c r="F25" i="3"/>
  <c r="E25" i="3"/>
  <c r="B25" i="3" s="1"/>
  <c r="I24" i="3"/>
  <c r="H24" i="3"/>
  <c r="F24" i="3"/>
  <c r="E24" i="3"/>
  <c r="I23" i="3"/>
  <c r="H23" i="3"/>
  <c r="F23" i="3"/>
  <c r="E23" i="3"/>
  <c r="B23" i="3" s="1"/>
  <c r="I22" i="3"/>
  <c r="H22" i="3"/>
  <c r="F22" i="3"/>
  <c r="E22" i="3"/>
  <c r="I21" i="3"/>
  <c r="H21" i="3"/>
  <c r="F21" i="3"/>
  <c r="E21" i="3"/>
  <c r="B21" i="3" s="1"/>
  <c r="I20" i="3"/>
  <c r="H20" i="3"/>
  <c r="F20" i="3"/>
  <c r="E20" i="3"/>
  <c r="I19" i="3"/>
  <c r="H19" i="3"/>
  <c r="F19" i="3"/>
  <c r="E19" i="3"/>
  <c r="B19" i="3" s="1"/>
  <c r="I18" i="3"/>
  <c r="H18" i="3"/>
  <c r="F18" i="3"/>
  <c r="E18" i="3"/>
  <c r="I17" i="3"/>
  <c r="H17" i="3"/>
  <c r="F17" i="3"/>
  <c r="E17" i="3"/>
  <c r="B17" i="3" s="1"/>
  <c r="I16" i="3"/>
  <c r="H16" i="3"/>
  <c r="F16" i="3"/>
  <c r="E16" i="3"/>
  <c r="I15" i="3"/>
  <c r="H15" i="3"/>
  <c r="F15" i="3"/>
  <c r="E15" i="3"/>
  <c r="B15" i="3" s="1"/>
  <c r="I14" i="3"/>
  <c r="H14" i="3"/>
  <c r="F14" i="3"/>
  <c r="E14" i="3"/>
  <c r="I13" i="3"/>
  <c r="H13" i="3"/>
  <c r="F13" i="3"/>
  <c r="E13" i="3"/>
  <c r="B13" i="3" s="1"/>
  <c r="I12" i="3"/>
  <c r="H12" i="3"/>
  <c r="F12" i="3"/>
  <c r="E12" i="3"/>
  <c r="I11" i="3"/>
  <c r="H11" i="3"/>
  <c r="F11" i="3"/>
  <c r="E11" i="3"/>
  <c r="B11" i="3" s="1"/>
  <c r="I10" i="3"/>
  <c r="H10" i="3"/>
  <c r="F10" i="3"/>
  <c r="E10" i="3"/>
  <c r="I9" i="3"/>
  <c r="H9" i="3"/>
  <c r="F9" i="3"/>
  <c r="C9" i="3" s="1"/>
  <c r="E9" i="3"/>
  <c r="I8" i="3"/>
  <c r="H8" i="3"/>
  <c r="F8" i="3"/>
  <c r="E8" i="3"/>
  <c r="G4" i="3"/>
  <c r="F4" i="3"/>
  <c r="H4" i="3" s="1"/>
  <c r="A4" i="3"/>
  <c r="L65" i="1"/>
  <c r="K65" i="1"/>
  <c r="J65" i="1"/>
  <c r="H65" i="1"/>
  <c r="M65" i="1" s="1"/>
  <c r="G65" i="1"/>
  <c r="L64" i="1"/>
  <c r="K64" i="1"/>
  <c r="J64" i="1"/>
  <c r="H64" i="1"/>
  <c r="I64" i="1" s="1"/>
  <c r="G64" i="1"/>
  <c r="L63" i="1"/>
  <c r="K63" i="1"/>
  <c r="J63" i="1"/>
  <c r="H63" i="1"/>
  <c r="I63" i="1" s="1"/>
  <c r="N63" i="1" s="1"/>
  <c r="G63" i="1"/>
  <c r="L62" i="1"/>
  <c r="K62" i="1"/>
  <c r="J62" i="1"/>
  <c r="H62" i="1"/>
  <c r="G62" i="1"/>
  <c r="L61" i="1"/>
  <c r="K61" i="1"/>
  <c r="J61" i="1"/>
  <c r="H61" i="1"/>
  <c r="I61" i="1" s="1"/>
  <c r="G61" i="1"/>
  <c r="N61" i="1" s="1"/>
  <c r="M60" i="1"/>
  <c r="L60" i="1"/>
  <c r="K60" i="1"/>
  <c r="J60" i="1"/>
  <c r="H60" i="1"/>
  <c r="I60" i="1" s="1"/>
  <c r="N60" i="1" s="1"/>
  <c r="G60" i="1"/>
  <c r="L59" i="1"/>
  <c r="K59" i="1"/>
  <c r="J59" i="1"/>
  <c r="H59" i="1"/>
  <c r="G59" i="1"/>
  <c r="L58" i="1"/>
  <c r="K58" i="1"/>
  <c r="J58" i="1"/>
  <c r="H58" i="1"/>
  <c r="I58" i="1" s="1"/>
  <c r="G58" i="1"/>
  <c r="N58" i="1" s="1"/>
  <c r="M57" i="1"/>
  <c r="L57" i="1"/>
  <c r="K57" i="1"/>
  <c r="J57" i="1"/>
  <c r="H57" i="1"/>
  <c r="I57" i="1" s="1"/>
  <c r="N57" i="1" s="1"/>
  <c r="G57" i="1"/>
  <c r="L56" i="1"/>
  <c r="K56" i="1"/>
  <c r="J56" i="1"/>
  <c r="H56" i="1"/>
  <c r="M56" i="1" s="1"/>
  <c r="G56" i="1"/>
  <c r="L55" i="1"/>
  <c r="K55" i="1"/>
  <c r="J55" i="1"/>
  <c r="H55" i="1"/>
  <c r="I55" i="1" s="1"/>
  <c r="G55" i="1"/>
  <c r="L54" i="1"/>
  <c r="K54" i="1"/>
  <c r="J54" i="1"/>
  <c r="H54" i="1"/>
  <c r="I54" i="1" s="1"/>
  <c r="N54" i="1" s="1"/>
  <c r="G54" i="1"/>
  <c r="L53" i="1"/>
  <c r="K53" i="1"/>
  <c r="J53" i="1"/>
  <c r="H53" i="1"/>
  <c r="G53" i="1"/>
  <c r="L52" i="1"/>
  <c r="K52" i="1"/>
  <c r="J52" i="1"/>
  <c r="H52" i="1"/>
  <c r="I52" i="1" s="1"/>
  <c r="G52" i="1"/>
  <c r="N52" i="1" s="1"/>
  <c r="M51" i="1"/>
  <c r="L51" i="1"/>
  <c r="K51" i="1"/>
  <c r="J51" i="1"/>
  <c r="H51" i="1"/>
  <c r="I51" i="1" s="1"/>
  <c r="N51" i="1" s="1"/>
  <c r="G51" i="1"/>
  <c r="L50" i="1"/>
  <c r="K50" i="1"/>
  <c r="J50" i="1"/>
  <c r="H50" i="1"/>
  <c r="G50" i="1"/>
  <c r="L49" i="1"/>
  <c r="K49" i="1"/>
  <c r="J49" i="1"/>
  <c r="H49" i="1"/>
  <c r="I49" i="1" s="1"/>
  <c r="G49" i="1"/>
  <c r="N49" i="1" s="1"/>
  <c r="M48" i="1"/>
  <c r="L48" i="1"/>
  <c r="K48" i="1"/>
  <c r="J48" i="1"/>
  <c r="H48" i="1"/>
  <c r="I48" i="1" s="1"/>
  <c r="N48" i="1" s="1"/>
  <c r="G48" i="1"/>
  <c r="L47" i="1"/>
  <c r="K47" i="1"/>
  <c r="J47" i="1"/>
  <c r="H47" i="1"/>
  <c r="M47" i="1" s="1"/>
  <c r="G47" i="1"/>
  <c r="L46" i="1"/>
  <c r="K46" i="1"/>
  <c r="J46" i="1"/>
  <c r="H46" i="1"/>
  <c r="I46" i="1" s="1"/>
  <c r="G46" i="1"/>
  <c r="L45" i="1"/>
  <c r="K45" i="1"/>
  <c r="J45" i="1"/>
  <c r="H45" i="1"/>
  <c r="I45" i="1" s="1"/>
  <c r="N45" i="1" s="1"/>
  <c r="G45" i="1"/>
  <c r="L44" i="1"/>
  <c r="K44" i="1"/>
  <c r="J44" i="1"/>
  <c r="H44" i="1"/>
  <c r="G44" i="1"/>
  <c r="L43" i="1"/>
  <c r="K43" i="1"/>
  <c r="J43" i="1"/>
  <c r="H43" i="1"/>
  <c r="I43" i="1" s="1"/>
  <c r="G43" i="1"/>
  <c r="N43" i="1" s="1"/>
  <c r="M42" i="1"/>
  <c r="L42" i="1"/>
  <c r="K42" i="1"/>
  <c r="J42" i="1"/>
  <c r="H42" i="1"/>
  <c r="I42" i="1" s="1"/>
  <c r="N42" i="1" s="1"/>
  <c r="G42" i="1"/>
  <c r="C42" i="1"/>
  <c r="B42" i="1"/>
  <c r="A42" i="1"/>
  <c r="C41" i="1"/>
  <c r="B41" i="1"/>
  <c r="A41" i="1"/>
  <c r="C40" i="1"/>
  <c r="B40" i="1"/>
  <c r="A40" i="1"/>
  <c r="C39" i="1"/>
  <c r="B39" i="1"/>
  <c r="A39" i="1"/>
  <c r="L38" i="1"/>
  <c r="K38" i="1"/>
  <c r="J38" i="1"/>
  <c r="H38" i="1"/>
  <c r="G38" i="1"/>
  <c r="C38" i="1"/>
  <c r="B38" i="1"/>
  <c r="A38" i="1"/>
  <c r="L37" i="1"/>
  <c r="K37" i="1"/>
  <c r="J37" i="1"/>
  <c r="H37" i="1"/>
  <c r="I37" i="1" s="1"/>
  <c r="G37" i="1"/>
  <c r="N37" i="1" s="1"/>
  <c r="C37" i="1"/>
  <c r="B37" i="1"/>
  <c r="A37" i="1"/>
  <c r="L36" i="1"/>
  <c r="K36" i="1"/>
  <c r="J36" i="1"/>
  <c r="H36" i="1"/>
  <c r="I36" i="1" s="1"/>
  <c r="G36" i="1"/>
  <c r="L35" i="1"/>
  <c r="K35" i="1"/>
  <c r="J35" i="1"/>
  <c r="H35" i="1"/>
  <c r="I35" i="1" s="1"/>
  <c r="G35" i="1"/>
  <c r="M35" i="1" s="1"/>
  <c r="L34" i="1"/>
  <c r="K34" i="1"/>
  <c r="J34" i="1"/>
  <c r="H34" i="1"/>
  <c r="I34" i="1" s="1"/>
  <c r="N34" i="1" s="1"/>
  <c r="G34" i="1"/>
  <c r="L33" i="1"/>
  <c r="K33" i="1"/>
  <c r="J33" i="1"/>
  <c r="H33" i="1"/>
  <c r="I33" i="1" s="1"/>
  <c r="G33" i="1"/>
  <c r="M33" i="1" s="1"/>
  <c r="B33" i="1"/>
  <c r="L32" i="1"/>
  <c r="K32" i="1"/>
  <c r="J32" i="1"/>
  <c r="H32" i="1"/>
  <c r="I32" i="1" s="1"/>
  <c r="G32" i="1"/>
  <c r="B32" i="1"/>
  <c r="L31" i="1"/>
  <c r="K31" i="1"/>
  <c r="J31" i="1"/>
  <c r="H31" i="1"/>
  <c r="I31" i="1" s="1"/>
  <c r="G31" i="1"/>
  <c r="M31" i="1" s="1"/>
  <c r="B31" i="1"/>
  <c r="L30" i="1"/>
  <c r="K30" i="1"/>
  <c r="J30" i="1"/>
  <c r="H30" i="1"/>
  <c r="I30" i="1" s="1"/>
  <c r="G30" i="1"/>
  <c r="B30" i="1"/>
  <c r="L29" i="1"/>
  <c r="K29" i="1"/>
  <c r="J29" i="1"/>
  <c r="H29" i="1"/>
  <c r="I29" i="1" s="1"/>
  <c r="G29" i="1"/>
  <c r="M29" i="1" s="1"/>
  <c r="B29" i="1"/>
  <c r="L28" i="1"/>
  <c r="K28" i="1"/>
  <c r="J28" i="1"/>
  <c r="H28" i="1"/>
  <c r="I28" i="1" s="1"/>
  <c r="G28" i="1"/>
  <c r="B28" i="1"/>
  <c r="L27" i="1"/>
  <c r="K27" i="1"/>
  <c r="J27" i="1"/>
  <c r="H27" i="1"/>
  <c r="I27" i="1" s="1"/>
  <c r="G27" i="1"/>
  <c r="M27" i="1" s="1"/>
  <c r="B27" i="1"/>
  <c r="L26" i="1"/>
  <c r="K26" i="1"/>
  <c r="J26" i="1"/>
  <c r="H26" i="1"/>
  <c r="I26" i="1" s="1"/>
  <c r="G26" i="1"/>
  <c r="M26" i="1" s="1"/>
  <c r="B26" i="1"/>
  <c r="L25" i="1"/>
  <c r="K25" i="1"/>
  <c r="J25" i="1"/>
  <c r="H25" i="1"/>
  <c r="I25" i="1" s="1"/>
  <c r="G25" i="1"/>
  <c r="B25" i="1"/>
  <c r="L24" i="1"/>
  <c r="K24" i="1"/>
  <c r="J24" i="1"/>
  <c r="H24" i="1"/>
  <c r="I24" i="1" s="1"/>
  <c r="G24" i="1"/>
  <c r="B24" i="1"/>
  <c r="L23" i="1"/>
  <c r="K23" i="1"/>
  <c r="J23" i="1"/>
  <c r="H23" i="1"/>
  <c r="I23" i="1" s="1"/>
  <c r="G23" i="1"/>
  <c r="M23" i="1" s="1"/>
  <c r="L22" i="1"/>
  <c r="K22" i="1"/>
  <c r="J22" i="1"/>
  <c r="H22" i="1"/>
  <c r="M22" i="1" s="1"/>
  <c r="G22" i="1"/>
  <c r="L21" i="1"/>
  <c r="K21" i="1"/>
  <c r="J21" i="1"/>
  <c r="H21" i="1"/>
  <c r="I21" i="1" s="1"/>
  <c r="G21" i="1"/>
  <c r="L20" i="1"/>
  <c r="K20" i="1"/>
  <c r="J20" i="1"/>
  <c r="H20" i="1"/>
  <c r="I20" i="1" s="1"/>
  <c r="G20" i="1"/>
  <c r="M20" i="1" s="1"/>
  <c r="B20" i="1"/>
  <c r="L19" i="1"/>
  <c r="K19" i="1"/>
  <c r="J19" i="1"/>
  <c r="H19" i="1"/>
  <c r="I19" i="1" s="1"/>
  <c r="G19" i="1"/>
  <c r="B19" i="1"/>
  <c r="B17" i="1"/>
  <c r="B16" i="1"/>
  <c r="F15" i="1"/>
  <c r="F14" i="1"/>
  <c r="F13" i="1"/>
  <c r="B13" i="1"/>
  <c r="F12" i="1"/>
  <c r="B12" i="1"/>
  <c r="F11" i="1"/>
  <c r="B11" i="1"/>
  <c r="F10" i="1"/>
  <c r="B10" i="1"/>
  <c r="F9" i="1"/>
  <c r="B9" i="1"/>
  <c r="F8" i="1"/>
  <c r="B8" i="1"/>
  <c r="F7" i="1"/>
  <c r="B7" i="1"/>
  <c r="F6" i="1"/>
  <c r="B6" i="1"/>
  <c r="F5" i="1"/>
  <c r="B5" i="1"/>
  <c r="N19" i="1" l="1"/>
  <c r="B15" i="1"/>
  <c r="N30" i="1"/>
  <c r="H4" i="8"/>
  <c r="H4" i="11"/>
  <c r="N23" i="1"/>
  <c r="M25" i="1"/>
  <c r="M36" i="1"/>
  <c r="B9" i="3"/>
  <c r="N32" i="1"/>
  <c r="C12" i="3"/>
  <c r="C15" i="3"/>
  <c r="C18" i="3"/>
  <c r="C21" i="3"/>
  <c r="C24" i="3"/>
  <c r="C27" i="3"/>
  <c r="G4" i="4"/>
  <c r="G4" i="5"/>
  <c r="H4" i="10"/>
  <c r="N27" i="1"/>
  <c r="B14" i="1"/>
  <c r="M19" i="1"/>
  <c r="M30" i="1"/>
  <c r="N24" i="1"/>
  <c r="M38" i="1"/>
  <c r="M50" i="1"/>
  <c r="M59" i="1"/>
  <c r="C10" i="3"/>
  <c r="C13" i="3"/>
  <c r="C16" i="3"/>
  <c r="C19" i="3"/>
  <c r="C22" i="3"/>
  <c r="C25" i="3"/>
  <c r="H4" i="14"/>
  <c r="C4" i="17"/>
  <c r="H4" i="17" s="1"/>
  <c r="H4" i="6"/>
  <c r="G4" i="9"/>
  <c r="H4" i="15"/>
  <c r="G4" i="18"/>
  <c r="N35" i="1"/>
  <c r="N26" i="1"/>
  <c r="M34" i="1"/>
  <c r="M45" i="1"/>
  <c r="M54" i="1"/>
  <c r="M63" i="1"/>
  <c r="N20" i="1"/>
  <c r="N31" i="1"/>
  <c r="N28" i="1"/>
  <c r="M44" i="1"/>
  <c r="M53" i="1"/>
  <c r="M62" i="1"/>
  <c r="C8" i="3"/>
  <c r="C11" i="3"/>
  <c r="C14" i="3"/>
  <c r="C17" i="3"/>
  <c r="C20" i="3"/>
  <c r="C23" i="3"/>
  <c r="C26" i="3"/>
  <c r="N21" i="1"/>
  <c r="N46" i="1"/>
  <c r="N55" i="1"/>
  <c r="N64" i="1"/>
  <c r="N25" i="1"/>
  <c r="N29" i="1"/>
  <c r="N33" i="1"/>
  <c r="N36" i="1"/>
  <c r="M21" i="1"/>
  <c r="M43" i="1"/>
  <c r="M46" i="1"/>
  <c r="M49" i="1"/>
  <c r="M52" i="1"/>
  <c r="M55" i="1"/>
  <c r="M58" i="1"/>
  <c r="M61" i="1"/>
  <c r="M64" i="1"/>
  <c r="H4" i="4"/>
  <c r="G4" i="12"/>
  <c r="H4" i="18"/>
  <c r="M24" i="1"/>
  <c r="M28" i="1"/>
  <c r="M32" i="1"/>
  <c r="G4" i="11"/>
  <c r="B19" i="20"/>
  <c r="M37" i="1"/>
  <c r="G4" i="14"/>
  <c r="G4" i="10"/>
  <c r="G4" i="13"/>
  <c r="G4" i="16"/>
  <c r="I22" i="1"/>
  <c r="N22" i="1" s="1"/>
  <c r="I38" i="1"/>
  <c r="N38" i="1" s="1"/>
  <c r="I44" i="1"/>
  <c r="N44" i="1" s="1"/>
  <c r="I47" i="1"/>
  <c r="N47" i="1" s="1"/>
  <c r="I50" i="1"/>
  <c r="N50" i="1" s="1"/>
  <c r="I53" i="1"/>
  <c r="N53" i="1" s="1"/>
  <c r="I56" i="1"/>
  <c r="N56" i="1" s="1"/>
  <c r="I59" i="1"/>
  <c r="N59" i="1" s="1"/>
  <c r="I62" i="1"/>
  <c r="N62" i="1" s="1"/>
  <c r="I65" i="1"/>
  <c r="N65" i="1" s="1"/>
  <c r="B8" i="3"/>
  <c r="B10" i="3"/>
  <c r="B12" i="3"/>
  <c r="B14" i="3"/>
  <c r="B16" i="3"/>
  <c r="B18" i="3"/>
  <c r="B20" i="3"/>
  <c r="B22" i="3"/>
  <c r="B24" i="3"/>
  <c r="B26" i="3"/>
  <c r="C4" i="7"/>
  <c r="H4" i="7" s="1"/>
  <c r="E4" i="3" l="1"/>
  <c r="D4" i="3"/>
  <c r="C4" i="3"/>
  <c r="B4" i="3"/>
  <c r="B18" i="1" s="1"/>
</calcChain>
</file>

<file path=xl/sharedStrings.xml><?xml version="1.0" encoding="utf-8"?>
<sst xmlns="http://schemas.openxmlformats.org/spreadsheetml/2006/main" count="6971" uniqueCount="2785">
  <si>
    <t>SmartDoc — Master Implementation Tracker</t>
  </si>
  <si>
    <t>Production-hardening brief. MASTER holds the task data; every number here is a formula. Updated with tools/tracker/tracker.py. Last written 2026-10-13 17:19 (local time).</t>
  </si>
  <si>
    <t>Overall</t>
  </si>
  <si>
    <t>Next action (SESSION_STATE)</t>
  </si>
  <si>
    <t>Total tasks</t>
  </si>
  <si>
    <t>Rows in MASTER</t>
  </si>
  <si>
    <t>Current Phase</t>
  </si>
  <si>
    <t>Completed (DONE)</t>
  </si>
  <si>
    <t>Implemented + tested + verified, commit recorded</t>
  </si>
  <si>
    <t>Current Task</t>
  </si>
  <si>
    <t>Verified (VERIFIED + DONE)</t>
  </si>
  <si>
    <t>Tests pass and evidence is recorded</t>
  </si>
  <si>
    <t>Last Completed</t>
  </si>
  <si>
    <t>In progress</t>
  </si>
  <si>
    <t>IN_PROGRESS + IMPLEMENTED + TESTING</t>
  </si>
  <si>
    <t>Last Verified</t>
  </si>
  <si>
    <t>Blocked</t>
  </si>
  <si>
    <t>Reason in MASTER Notes</t>
  </si>
  <si>
    <t>Next Task</t>
  </si>
  <si>
    <t>Failed</t>
  </si>
  <si>
    <t>See Notes and CHANGE_LOG</t>
  </si>
  <si>
    <t>Next Command</t>
  </si>
  <si>
    <t>Deferred</t>
  </si>
  <si>
    <t>Postponed on purpose; still counted as remaining</t>
  </si>
  <si>
    <t>Next Test</t>
  </si>
  <si>
    <t>Not started</t>
  </si>
  <si>
    <t>Tests Passed</t>
  </si>
  <si>
    <t>Remaining (not DONE)</t>
  </si>
  <si>
    <t>Everything that is not DONE</t>
  </si>
  <si>
    <t>Tests Failed</t>
  </si>
  <si>
    <t>Completion %</t>
  </si>
  <si>
    <t>DONE / total</t>
  </si>
  <si>
    <t>Open Blockers</t>
  </si>
  <si>
    <t>Verified %</t>
  </si>
  <si>
    <t>(VERIFIED + DONE) / total</t>
  </si>
  <si>
    <t>Checkpoint Time</t>
  </si>
  <si>
    <t>P0 remaining</t>
  </si>
  <si>
    <t>P0 tasks not DONE</t>
  </si>
  <si>
    <t>P1 remaining</t>
  </si>
  <si>
    <t>P1 tasks not DONE</t>
  </si>
  <si>
    <t>Progress by phase</t>
  </si>
  <si>
    <t>Audit findings resolved</t>
  </si>
  <si>
    <t>Of 20; see CRITICAL_FIXES</t>
  </si>
  <si>
    <t>Phase</t>
  </si>
  <si>
    <t>Name</t>
  </si>
  <si>
    <t>Tasks</t>
  </si>
  <si>
    <t>Done</t>
  </si>
  <si>
    <t>Verified</t>
  </si>
  <si>
    <t>Done %</t>
  </si>
  <si>
    <t>Release gates passed</t>
  </si>
  <si>
    <t>Of 15; see RELEASE_GATES</t>
  </si>
  <si>
    <t>Baseline, tracker, checkpoints</t>
  </si>
  <si>
    <t>Release gates failed</t>
  </si>
  <si>
    <t>Editor integrity + content preservation</t>
  </si>
  <si>
    <t>AI fidelity + destructive-operation review</t>
  </si>
  <si>
    <t>Tasks by status</t>
  </si>
  <si>
    <t>DOCX / OOXML preservation</t>
  </si>
  <si>
    <t>Status</t>
  </si>
  <si>
    <t>Meaning</t>
  </si>
  <si>
    <t>Security + resource limits</t>
  </si>
  <si>
    <t>NOT_STARTED</t>
  </si>
  <si>
    <t>No work yet.</t>
  </si>
  <si>
    <t>Performance + autosave + history</t>
  </si>
  <si>
    <t>IN_PROGRESS</t>
  </si>
  <si>
    <t>Being implemented.</t>
  </si>
  <si>
    <t>Accounts + billing + entitlements</t>
  </si>
  <si>
    <t>BLOCKED</t>
  </si>
  <si>
    <t>Cannot proceed; the reason is in Notes.</t>
  </si>
  <si>
    <t>PDF fidelity foundation</t>
  </si>
  <si>
    <t>IMPLEMENTED</t>
  </si>
  <si>
    <t>Code written; not yet fully tested.</t>
  </si>
  <si>
    <t>PDF -&gt; editable MVP</t>
  </si>
  <si>
    <t>TESTING</t>
  </si>
  <si>
    <t>Tests being written or run.</t>
  </si>
  <si>
    <t>PDF layout-preserving architecture</t>
  </si>
  <si>
    <t>VERIFIED</t>
  </si>
  <si>
    <t>Tests pass and evidence recorded; commit pending.</t>
  </si>
  <si>
    <t>Translation MVP</t>
  </si>
  <si>
    <t>DONE</t>
  </si>
  <si>
    <t>Implemented + tested + verified; commit recorded.</t>
  </si>
  <si>
    <t>FontResolver + multilingual rendering</t>
  </si>
  <si>
    <t>FAILED</t>
  </si>
  <si>
    <t>Tests or verification failed; see Notes.</t>
  </si>
  <si>
    <t>Format by Example hardening</t>
  </si>
  <si>
    <t>DEFERRED</t>
  </si>
  <si>
    <t>Consciously postponed; the reason is in Notes.</t>
  </si>
  <si>
    <t>Document Health 2.0</t>
  </si>
  <si>
    <t>UNKNOWN</t>
  </si>
  <si>
    <t>State not established yet.</t>
  </si>
  <si>
    <t>Review Changes / Repair</t>
  </si>
  <si>
    <t>Batch operations</t>
  </si>
  <si>
    <t>Latest test runs (TESTING)</t>
  </si>
  <si>
    <t>Accessibility + advanced document features</t>
  </si>
  <si>
    <t>Suite</t>
  </si>
  <si>
    <t>Result</t>
  </si>
  <si>
    <t>Passed · failed · skipped</t>
  </si>
  <si>
    <t>Final testing</t>
  </si>
  <si>
    <t>Production release audit</t>
  </si>
  <si>
    <t>First public release (target 2026-10-15)</t>
  </si>
  <si>
    <t>Progress by category</t>
  </si>
  <si>
    <t>Category</t>
  </si>
  <si>
    <t>Sheet</t>
  </si>
  <si>
    <t>CORE</t>
  </si>
  <si>
    <t>DOCUMENT_FIDELITY</t>
  </si>
  <si>
    <t>FIDELITY</t>
  </si>
  <si>
    <t>Sheets</t>
  </si>
  <si>
    <t>REVIEW</t>
  </si>
  <si>
    <t>DASHBOARD</t>
  </si>
  <si>
    <t>Totals, progress by phase and category, latest test runs, next action.</t>
  </si>
  <si>
    <t>DOCX</t>
  </si>
  <si>
    <t>DOCX_OOXML</t>
  </si>
  <si>
    <t>MASTER</t>
  </si>
  <si>
    <t>Status, evidence, tests and commit per task. The one place task data is edited.</t>
  </si>
  <si>
    <t>PDF</t>
  </si>
  <si>
    <t>CRITICAL_FIXES</t>
  </si>
  <si>
    <t>The 20 findings of the 2026-09-26 audit (current known risks) with fix progress, then every P0 task.</t>
  </si>
  <si>
    <t>EDITOR</t>
  </si>
  <si>
    <t>Canonical model, fidelity reports, capability matrix, change/review model.</t>
  </si>
  <si>
    <t>FORMATTING</t>
  </si>
  <si>
    <t>Import and export fidelity for Word documents.</t>
  </si>
  <si>
    <t>HEALTH</t>
  </si>
  <si>
    <t>PDF export and PDF parsing.</t>
  </si>
  <si>
    <t>AI</t>
  </si>
  <si>
    <t>Tiptap mapping and save integrity.</t>
  </si>
  <si>
    <t>SECURITY</t>
  </si>
  <si>
    <t>Formatting engine, Format by Example, Document Health.</t>
  </si>
  <si>
    <t>ACCOUNT</t>
  </si>
  <si>
    <t>Fidelity checks, proposals and review, budgets.</t>
  </si>
  <si>
    <t>PERFORMANCE</t>
  </si>
  <si>
    <t>Security hardening and account essentials.</t>
  </si>
  <si>
    <t>Measured benchmarks (baseline vs current) and performance tasks.</t>
  </si>
  <si>
    <t>PRODUCT</t>
  </si>
  <si>
    <t>PRODUCT_FEATURES</t>
  </si>
  <si>
    <t>Test runs and testing tasks.</t>
  </si>
  <si>
    <t>TRANSLATION</t>
  </si>
  <si>
    <t>Feature backlog (NOW / NEXT / LATER / ARCHITECTURE_ONLY) and product tasks.</t>
  </si>
  <si>
    <t>FONT</t>
  </si>
  <si>
    <t>Translation MVP and FontResolver.</t>
  </si>
  <si>
    <t>P2E</t>
  </si>
  <si>
    <t>PDF_TO_EDITABLE</t>
  </si>
  <si>
    <t>PDF to editable document conversion.</t>
  </si>
  <si>
    <t>BILLING</t>
  </si>
  <si>
    <t>BILLING_PLANS</t>
  </si>
  <si>
    <t>Plan hypotheses, usage units, entitlements, Stripe.</t>
  </si>
  <si>
    <t>INFRA</t>
  </si>
  <si>
    <t>Tracker, jobs, storage, observability, deployment, documentation.</t>
  </si>
  <si>
    <t>JOBS</t>
  </si>
  <si>
    <t>FIRST_RELEASE</t>
  </si>
  <si>
    <t>The release plan (phase 19): scope, production environment, smoke tests, monitoring, rollback -- each task says whether it is mandatory before launch.</t>
  </si>
  <si>
    <t>STORAGE</t>
  </si>
  <si>
    <t>CHANGE_LOG</t>
  </si>
  <si>
    <t>Every recorded change with files, tests, result and commit.</t>
  </si>
  <si>
    <t>OBSERVABILITY</t>
  </si>
  <si>
    <t>SESSION_STATE</t>
  </si>
  <si>
    <t>Current phase and task, last verification, next action. Mirrors docs/session-state.json.</t>
  </si>
  <si>
    <t>DOCS</t>
  </si>
  <si>
    <t>RELEASE_GATES</t>
  </si>
  <si>
    <t>GATE-001..015. A gate is set to PASS only with evidence from its verification run.</t>
  </si>
  <si>
    <t>RELEASE</t>
  </si>
  <si>
    <t>How to read and update</t>
  </si>
  <si>
    <t>Status is always text; colours only highlight it. Completed = DONE. Verified = VERIFIED + DONE.</t>
  </si>
  <si>
    <t>In progress = IN_PROGRESS + IMPLEMENTED + TESTING. Remaining = every task that is not DONE (DEFERRED included).</t>
  </si>
  <si>
    <t>DONE needs evidence, tests and a commit; VERIFIED needs evidence and tests (never fake progress).</t>
  </si>
  <si>
    <t>Change task data in MASTER, or run: python tools/tracker/tracker.py set &lt;ID&gt; --status &lt;STATUS&gt; ... (tools/tracker/README.md).</t>
  </si>
  <si>
    <t>Other sheets are rebuilt by the tool on every write. Input tables that are kept: CRITICAL_FIXES fix tasks and notes, RELEASE_GATES, PERFORMANCE measurements, TESTING runs, BILLING_PLANS values, PRODUCT_FEATURES backlog, CHANGE_LOG, SESSION_STATE values.</t>
  </si>
  <si>
    <t>Resume a session with: Прочети docs/AI-CONTINUATION.md и продължи от next task.</t>
  </si>
  <si>
    <t>ID</t>
  </si>
  <si>
    <t>Feature/Task</t>
  </si>
  <si>
    <t>Description</t>
  </si>
  <si>
    <t>Priority</t>
  </si>
  <si>
    <t>Evidence</t>
  </si>
  <si>
    <t>Tests</t>
  </si>
  <si>
    <t>Owner/System</t>
  </si>
  <si>
    <t>Dependencies</t>
  </si>
  <si>
    <t>Risk</t>
  </si>
  <si>
    <t>Started</t>
  </si>
  <si>
    <t>Completed</t>
  </si>
  <si>
    <t>Commit</t>
  </si>
  <si>
    <t>Notes</t>
  </si>
  <si>
    <t>Parent ID</t>
  </si>
  <si>
    <t>Audit Ref</t>
  </si>
  <si>
    <t>INFRA-001</t>
  </si>
  <si>
    <t>Excel control centre</t>
  </si>
  <si>
    <t>SmartDoc_Master_Implementation_Tracker.xlsx with MASTER, dashboard formulas, category views, conditional formatting, validation; tools/tracker CLI to update it.</t>
  </si>
  <si>
    <t>P0</t>
  </si>
  <si>
    <t>SmartDoc_Master_Implementation_Tracker.xlsx: 20 sheets (19 required + DASHBOARD), 3,340 formulas, status/priority/risk/category/phase validation, conditional formatting; tools/tracker/tracker.py, seed.py, excel_recalc.py, selftest.py, README.md</t>
  </si>
  <si>
    <t>python tools/tracker/selftest.py -&gt; PASS; tools/tracker/excel_recalc.py -&gt; 0 formula errors, 0 value mismatches (also on a scratch copy covering every status)</t>
  </si>
  <si>
    <t>tools/tracker</t>
  </si>
  <si>
    <t>Low</t>
  </si>
  <si>
    <t>4da4ecb</t>
  </si>
  <si>
    <t>INFRA-002</t>
  </si>
  <si>
    <t>Continuation system</t>
  </si>
  <si>
    <t>docs/AI-CONTINUATION.md + docs/session-state.json kept current at every checkpoint.</t>
  </si>
  <si>
    <t>docs/AI-CONTINUATION.md (8 required sections), docs/session-state.json (all 19 fields of brief §11), SESSION_STATE sheet (14 fields of brief §110 + Excel Status), docs/implementation-brief.md</t>
  </si>
  <si>
    <t>tracker.py state --touch synced JSON -&gt; SESSION_STATE and wrote current_excel_status back; selftest covers the state command</t>
  </si>
  <si>
    <t>docs</t>
  </si>
  <si>
    <t>INFRA-003</t>
  </si>
  <si>
    <t>Resume reminder</t>
  </si>
  <si>
    <t>Session scheduler job that resumes from docs/AI-CONTINUATION.md while idle.</t>
  </si>
  <si>
    <t>P1</t>
  </si>
  <si>
    <t>Session cron job 2a28a683 (hourly at :23, session-only, auto-expires after 7 days) with the resume prompt</t>
  </si>
  <si>
    <t>Fired on 2026-09-27 and resumed this session from the continuation prompt</t>
  </si>
  <si>
    <t>session</t>
  </si>
  <si>
    <t>TEST-001</t>
  </si>
  <si>
    <t>Baseline: backend tests</t>
  </si>
  <si>
    <t>Full pytest run recorded (count, failures, duration, coverage).</t>
  </si>
  <si>
    <t>docs/architecture/current-baseline.md; TESTING RUN-0001</t>
  </si>
  <si>
    <t>backend pytest: 643 passed, 1 skipped, 0 failed (88 s)</t>
  </si>
  <si>
    <t>backend/tests</t>
  </si>
  <si>
    <t>TEST-002</t>
  </si>
  <si>
    <t>Baseline: frontend tests, typecheck, lint, build</t>
  </si>
  <si>
    <t>Vitest, tsc --noEmit, eslint, next build.</t>
  </si>
  <si>
    <t>docs/architecture/current-baseline.md; TESTING RUN-0002..0005</t>
  </si>
  <si>
    <t>eslint 0 problems; tsc 0 errors; Vitest 46/46; next build OK (11 routes)</t>
  </si>
  <si>
    <t>frontend</t>
  </si>
  <si>
    <t>TEST-003</t>
  </si>
  <si>
    <t>Baseline: Playwright E2E</t>
  </si>
  <si>
    <t>npm run test:e2e against the throwaway stack.</t>
  </si>
  <si>
    <t>docs/architecture/current-baseline.md; TESTING RUN-0006</t>
  </si>
  <si>
    <t>Playwright (Edge): 16 passed, 0 failed (67 s)</t>
  </si>
  <si>
    <t>frontend/e2e</t>
  </si>
  <si>
    <t>TEST-004</t>
  </si>
  <si>
    <t>Baseline: migrations and database</t>
  </si>
  <si>
    <t>alembic upgrade/check/downgrade/upgrade on scratch DB; offline Postgres SQL; Supabase migrations + advisors.</t>
  </si>
  <si>
    <t>docs/architecture/current-baseline.md; TESTING RUN-0007, RUN-0008</t>
  </si>
  <si>
    <t>alembic upgrade/check/downgrade/upgrade on scratch SQLite; offline PostgreSQL SQL; Supabase list_migrations 8/8 + advisors</t>
  </si>
  <si>
    <t>backend/alembic</t>
  </si>
  <si>
    <t>SEC-001</t>
  </si>
  <si>
    <t>Baseline: dependency audit</t>
  </si>
  <si>
    <t>pip-audit on both locks; npm audit.</t>
  </si>
  <si>
    <t>docs/architecture/current-baseline.md; TESTING RUN-0009, RUN-0010</t>
  </si>
  <si>
    <t>pip-audit (both locks): no known vulnerabilities; npm audit: 0 of 633 dependencies</t>
  </si>
  <si>
    <t>backend, frontend</t>
  </si>
  <si>
    <t>INFRA-004</t>
  </si>
  <si>
    <t>Baseline: Docker, worker, storage</t>
  </si>
  <si>
    <t>docker compose config; Dockerfiles; arq worker; storage providers inspected.</t>
  </si>
  <si>
    <t>docs/architecture/current-baseline.md; TESTING RUN-0011</t>
  </si>
  <si>
    <t>docker compose config --quiet (valid, 8 services); worker (arq app.worker.WorkerSettings) and storage (local / S3 providers) inspected</t>
  </si>
  <si>
    <t>docker, jobs, storage</t>
  </si>
  <si>
    <t>Images not built: Docker daemon not running here; image build + start is INFRA-010 (phase 17).</t>
  </si>
  <si>
    <t>TEST-005</t>
  </si>
  <si>
    <t>Baseline: fixture inventory</t>
  </si>
  <si>
    <t>Golden fixtures + the audit's Word-authored fixtures inventoried.</t>
  </si>
  <si>
    <t>docs/architecture/current-baseline.md (fixture inventory)</t>
  </si>
  <si>
    <t>backend/tests/fixtures: 12 generated DOCX + sample.pdf; 17 Word-authored audit fixtures (a01-a12, r01-r05) outside the repo</t>
  </si>
  <si>
    <t>backend/tests/fixtures</t>
  </si>
  <si>
    <t>DOCS-001</t>
  </si>
  <si>
    <t>current-baseline.md</t>
  </si>
  <si>
    <t>docs/architecture/current-baseline.md with measured baseline.</t>
  </si>
  <si>
    <t>docs/architecture/current-baseline.md</t>
  </si>
  <si>
    <t>Every figure taken from RUN-0001..RUN-0011 logs, Supabase MCP output and the audit's perf logs</t>
  </si>
  <si>
    <t>TEST-001,TEST-002,TEST-003,TEST-004</t>
  </si>
  <si>
    <t>CORE-001</t>
  </si>
  <si>
    <t>Nested block containers in the model</t>
  </si>
  <si>
    <t>TableCell.blocks, ListItem.blocks and Element.children (quotes) hold lists, code, images, quotes, nested tables; recursive, validated, backwards compatible.</t>
  </si>
  <si>
    <t>backend/app/models/document.py: TableCell.blocks, ListItem.blocks, Element.children, Element.numbering (ListNumbering start/format), MAX_BLOCK_DEPTH=8 validator, child_blocks/walk_elements/inline_runs</t>
  </si>
  <si>
    <t>tests/test_document_nesting.py (9); full backend 659 passed</t>
  </si>
  <si>
    <t>backend/models</t>
  </si>
  <si>
    <t>High</t>
  </si>
  <si>
    <t>1fe27a9</t>
  </si>
  <si>
    <t>Design: TableCell.blocks / ListItem.blocks / Element.children hold nested Elements (authoritative when set; inline keeps the plain text); Element.numbering {start, format}; nesting capped at MAX_BLOCK_DEPTH; walk_elements() for every consumer.</t>
  </si>
  <si>
    <t>AUD-01,AUD-19</t>
  </si>
  <si>
    <t>CORE-002</t>
  </si>
  <si>
    <t>OpenAPI + generated types for nested blocks</t>
  </si>
  <si>
    <t>Regenerate openapi.json and frontend types; contract test green.</t>
  </si>
  <si>
    <t>frontend/types/generated/openapi.json + api.ts regenerated; types/document.ts exports ListNumbering/NumberFormat</t>
  </si>
  <si>
    <t>tests/test_openapi_contract.py; npx tsc --noEmit clean</t>
  </si>
  <si>
    <t>backend/scripts, frontend/types</t>
  </si>
  <si>
    <t>Medium</t>
  </si>
  <si>
    <t>AUD-01</t>
  </si>
  <si>
    <t>CORE-003</t>
  </si>
  <si>
    <t>Nested blocks through the backend</t>
  </si>
  <si>
    <t>Engine styles, asset externalisation, health, compare, version descriptions, usage/storage size traverse nested blocks.</t>
  </si>
  <si>
    <t>services/image_assets.py (nested data: images validated and stored, junk removed and reported), services/document_service.py export_assets (walk_elements), formatting/health.py links via inline_runs; asset cleanup already scans the whole JSON</t>
  </si>
  <si>
    <t>tests/test_nested_blocks_api.py (stored as sent, asset once, junk removed, depth 422); tests/test_health.py nested links</t>
  </si>
  <si>
    <t>backend/formatting, services</t>
  </si>
  <si>
    <t>EDIT-001</t>
  </si>
  <si>
    <t>Map nested blocks inside table cells</t>
  </si>
  <si>
    <t>tiptapToDocument: lists, code, images, quotes, nested tables in cells saved (no silent discard).</t>
  </si>
  <si>
    <t>frontend/editor/tiptapToDocument.ts, documentToTiptap.ts</t>
  </si>
  <si>
    <t>frontend/editor/nestedBlocks.test.ts (28; 26 fail against the pre-fix mapping); e2e/nested.spec.ts (Edge: paste, autosave, reload)</t>
  </si>
  <si>
    <t>frontend/editor</t>
  </si>
  <si>
    <t>EDIT-002</t>
  </si>
  <si>
    <t>Map blocks inside list items</t>
  </si>
  <si>
    <t>Code blocks, images, extra paragraphs inside list items saved.</t>
  </si>
  <si>
    <t>EDIT-003</t>
  </si>
  <si>
    <t>Map blocks inside quotes</t>
  </si>
  <si>
    <t>Lists, code, images inside blockquotes saved.</t>
  </si>
  <si>
    <t>EDIT-004</t>
  </si>
  <si>
    <t>Render nested blocks back into the editor</t>
  </si>
  <si>
    <t>documentToTiptap renders every nested block kind.</t>
  </si>
  <si>
    <t>EDIT-001,EDIT-002,EDIT-003</t>
  </si>
  <si>
    <t>EDIT-005</t>
  </si>
  <si>
    <t>Save guard: never drop a node silently</t>
  </si>
  <si>
    <t>Any node the mapping cannot represent blocks the save with an explicit, user-visible error.</t>
  </si>
  <si>
    <t>tiptapToDocument.ts UnsupportedContentError (unknown node/inline node/mark anywhere); useAutoSave 'unsupported' status (no request, message, beforeunload warning); EditorStatusBar message</t>
  </si>
  <si>
    <t>nestedBlocks.test.ts refusal cases + schema coverage; useAutoSave.test.tsx (no request, 'unsupported' status, message, saves again once fixed)</t>
  </si>
  <si>
    <t>EDIT-008</t>
  </si>
  <si>
    <t>Pasted paragraph/heading alignment kept</t>
  </si>
  <si>
    <t>textAlign on top-level paragraphs/headings (from pasted HTML) is not stored: the model keeps alignment as formatting rules. Map it to element overrides or report it.</t>
  </si>
  <si>
    <t>textAlign on top-level paragraphs/headings (paste, Mod-Shift-L/E/R/J, copied on split) is saved as the element's own alignment: reconcileWithIds returns DirectStyle entries only when it differs from the element's resolved alignment; PUT /content carries them (UpdateContentRequest.styles, validated, element override without a revision). documentToTiptap puts an element's own alignment on the block as textAlign so a split keeps it (as Word). Editor bug fixed: pasting into an empty paragraph poured the first pasted paragraph into it and dropped its alignment (pasteIntoEmptyBlock.ts). After each save the editor shows each block the look it was saved with (syncAppliedStyles). Nested alignment is named as not kept.</t>
  </si>
  <si>
    <t>frontend/editor/directFormatting.test.ts (9), frontend/editor/useAutoSave.test.tsx (+3), frontend/editor/editorRoundTrip.test.ts (+12: golden documents open with no direct styles/notes), frontend/e2e/direct-formatting.spec.ts, tests/test_editor_direct_styles.py (2); Vitest 109, Playwright 19, backend 749</t>
  </si>
  <si>
    <t>53c84e4</t>
  </si>
  <si>
    <t>AUD-03</t>
  </si>
  <si>
    <t>EDIT-009</t>
  </si>
  <si>
    <t>Pasted picture size kept</t>
  </si>
  <si>
    <t>Image node width/height (pasted or resized) are not stored; the model sizes pictures through IMAGE_WIDTH rules.</t>
  </si>
  <si>
    <t>A top-level picture's width attribute (pasted '321', '321px', '40%') becomes an IMAGE_WIDTH element override as a share of the text width (page width minus margins at 96 dpi, capped at 100%, one decimal); a width that can't be one is named; nested pictures' sizes are named as not kept. E2E: 321 px on A4 with 2 cm margins -&gt; 50% after reload.</t>
  </si>
  <si>
    <t>frontend/editor/directFormatting.test.ts (picture size), frontend/e2e/direct-formatting.spec.ts, tests/test_editor_direct_styles.py</t>
  </si>
  <si>
    <t>AUD-07</t>
  </si>
  <si>
    <t>EDIT-010</t>
  </si>
  <si>
    <t>Link title kept</t>
  </si>
  <si>
    <t>A link's title (tooltip) is not stored in Mark; target/rel/class are the editor's own defaults.</t>
  </si>
  <si>
    <t>P2</t>
  </si>
  <si>
    <t>Mark.title (&lt;=500) in the model and generated types; editor link title &lt;-&gt; Mark.title (one line, capped at 500 with a note); Word import from w:hyperlink/@w:tooltip and a HYPERLINK field's \o switch (simple and complex fields); Word export writes w:tooltip; Markdown [text](url "title") keeps it. PDF has no tooltips (matrix note).</t>
  </si>
  <si>
    <t>tests/test_link_titles.py (Word import/export round trip incl. field ScreenTip; Markdown), frontend/editor/directFormatting.test.ts (a link's title: 2)</t>
  </si>
  <si>
    <t>66bbdf1</t>
  </si>
  <si>
    <t>EDIT-011</t>
  </si>
  <si>
    <t>Cell alignment and column widths kept</t>
  </si>
  <si>
    <t>tableCell align/colwidth attributes, and a cell alignment that differs from its column's, are not stored (TableContent.alignments is per column).</t>
  </si>
  <si>
    <t>Nothing about cells is lost silently any more: a pasted cell's own alignment (td align / style) counts for its column (kept when the column agrees); a cell aligned differently from its column and pasted column widths (&lt;colgroup&gt;/colwidth) are named by the editor as not kept (status bar + Проверка 'While editing'). Keeping per-cell alignment and column widths needs model fields (TableCell alignment, TableContent column widths) with Word/PDF export and Word import - moved to DOCX-017 (table engine), recorded there.</t>
  </si>
  <si>
    <t>frontend/editor/directFormatting.test.ts::tables</t>
  </si>
  <si>
    <t>Done: a pasted cell's own alignment (td align / style) counts for its column; cells aligned differently from their column and column widths (pasted &lt;colgroup&gt;) are named as not kept. Remaining: keeping per-cell alignment and column widths needs model fields (TableCell.alignment, TableContent.columnWidths) + DOCX/PDF export + DOCX import (tblGrid) - overlaps DOCX-017.</t>
  </si>
  <si>
    <t>AUD-08</t>
  </si>
  <si>
    <t>EDIT-012</t>
  </si>
  <si>
    <t>Colour and font values outside the model reported</t>
  </si>
  <si>
    <t>Pasted colours (hsl(), transparent...) and font stacks the model can't hold are normalised or dropped on save without a report.</t>
  </si>
  <si>
    <t>P3</t>
  </si>
  <si>
    <t>Formatting the editor holds that the model can't keep is named, never dropped silently: colours (hsl(), theme names; transparent is no loss), fonts, sizes (em/%), nested alignment/picture sizes, differing cell alignment, column widths. reconcileWithIds returns notes; the status bar shows 'N formatting changes not kept' (title lists them) and the Проверка panel a 'While editing' section; saving goes on.</t>
  </si>
  <si>
    <t>frontend/editor/directFormatting.test.ts, frontend/editor/useAutoSave.test.tsx::names formatting it can't keep, frontend/editor/panels/FidelityPanel.test.tsx::lists what the editor holds, frontend/e2e/direct-formatting.spec.ts</t>
  </si>
  <si>
    <t>EDIT-006</t>
  </si>
  <si>
    <t>Pasted rich HTML survives save</t>
  </si>
  <si>
    <t>Paste from Word/web (lists in cells, lists in quotes, code in items, images in cells) persists after reload.</t>
  </si>
  <si>
    <t>frontend/e2e/nested.spec.ts: real paste event with text/html in Edge</t>
  </si>
  <si>
    <t>npx playwright test e2e/nested.spec.ts -&gt; 1 passed</t>
  </si>
  <si>
    <t>EDIT-007</t>
  </si>
  <si>
    <t>Canonical mark order</t>
  </si>
  <si>
    <t>No spurious save on open when backend and editor order marks differently.</t>
  </si>
  <si>
    <t>Probe confirmed: a run with [bold, italic, link, textStyle] came back from the editor in its schema order (link, textStyle, bold, italic) -&gt; sameContent false -&gt; a save just for opening. Now one order everywhere: the model sorts a run's marks into MarkType order on validation (InlineRun._canonical_order), the editor sorts what it reads (MARK_ORDER), a test pins MARK_ORDER to the generated OpenAPI enum. Golden fixtures unchanged (the importer already wrote this order).</t>
  </si>
  <si>
    <t>frontend/editor/directFormatting.test.ts (the order of a run's marks: 2; fails without the fix), tests/test_document_nesting.py::test_a_runs_marks_are_kept_in_one_order_whoever_wrote_them</t>
  </si>
  <si>
    <t>AUD-16</t>
  </si>
  <si>
    <t>DOCX-001</t>
  </si>
  <si>
    <t>DOCX export of nested blocks</t>
  </si>
  <si>
    <t>Lists, images, code, nested tables in cells; blocks in list items; quote children.</t>
  </si>
  <si>
    <t>export/docx_export.py: adders write into a _Place (body or cell, indent, width); cells render their blocks; list item blocks under the item text; nested lists one level deeper with own numbering; quote children; numbering start/format via startOverride + per-level numFmt; picture alt text/title (docPr descr/title)</t>
  </si>
  <si>
    <t>tests/test_nested_blocks_api.py::test_the_word_export_keeps_every_nested_block, ::test_the_word_export_numbers_a_list_from_its_start_in_its_format; existing DOCX suites green</t>
  </si>
  <si>
    <t>backend/export</t>
  </si>
  <si>
    <t>PDF-001</t>
  </si>
  <si>
    <t>PDF export of nested blocks</t>
  </si>
  <si>
    <t>Same content in the PDF exporter.</t>
  </si>
  <si>
    <t>export/pdf_export.py: cells with blocks become flowable lists sized to the cell; list item/quote blocks indented; numbering start/format with the same level sequence as the Word export (decimal, a, i)</t>
  </si>
  <si>
    <t>tests/test_nested_blocks_api.py::test_the_pdf_export_keeps_every_nested_block ('v. fifth', 'vi. sixth'); existing PDF suites green</t>
  </si>
  <si>
    <t>FID-001</t>
  </si>
  <si>
    <t>Structured Document Fidelity Report</t>
  </si>
  <si>
    <t>fidelityReport items: element, feature, source state, new state, confidence, reason, class (policy classes).</t>
  </si>
  <si>
    <t>backend/app/fidelity/{report,content,docx_source,text_sources,imports}.py; Document.importReport; ingestion_service attaches it for DOCX, PDF, .txt and paste</t>
  </si>
  <si>
    <t>tests/test_fidelity_report.py (29); calibration: 29 Word/golden fixtures verified except the genuine a03 heading-number change</t>
  </si>
  <si>
    <t>8a330be</t>
  </si>
  <si>
    <t>FID-002</t>
  </si>
  <si>
    <t>Importer reports every detected change</t>
  </si>
  <si>
    <t>Hidden text, caps, underline variants, numbering formats/continuation, sections, header variants, content controls, custom properties, links dropped, crop/rotation, table geometry, bullets in cells, empty paragraphs, autolinks, SmartArt/charts.</t>
  </si>
  <si>
    <t>Importer names every change it makes without keeping: hidden text, caps, underline variants, content controls, custom properties + sensitivity labels (values never echoed), crop/rotation, table geometry, bullets in cells, RTL, autolinks, charts/SmartArt/shapes (app/fidelity/docx_detect.py on the file itself, with an example of the text); numbering labels/multi-level/empty items + numbered headings (parsers/docx.py); empty spacing paragraphs; links with unsafe addresses kept as text (docx_inline._safe); sections: page setup per section, odd/even breaks, page-number restarts/styles, page borders, line numbers, vertical alignment. Header/footer variants already caught by the header/footer word check.</t>
  </si>
  <si>
    <t>tests/test_docx_detect.py (9 tests), tests/test_docx_numbering.py (5), tests/test_capabilities.py (6), tests/test_fidelity_report.py; full backend 713 passed/1 skipped; Vitest 84 passed; tsc + eslint clean</t>
  </si>
  <si>
    <t>backend/parsers</t>
  </si>
  <si>
    <t>622d9c1</t>
  </si>
  <si>
    <t>Done: all existing importer notes structured; content check catches any word loss; header/footer text loss detected. Open: explicit detections for hidden text, caps, underline variants, numbering formats/continuation/start, sections, content controls, custom properties, dropped links, crop/rotation, table geometry, bullets in cells, empty paragraphs, autolinks, SmartArt/charts.</t>
  </si>
  <si>
    <t>AUD-03,AUD-04,AUD-06,AUD-07,AUD-08</t>
  </si>
  <si>
    <t>FID-003</t>
  </si>
  <si>
    <t>Export fidelity report</t>
  </si>
  <si>
    <t>What an export changes or drops is reported the same way.</t>
  </si>
  <si>
    <t>backend/app/fidelity/exports.py (collecting/note, pdf_document_notes, export_report); docx_export/pdf_export record what they approximate or drop; export job result carries 'fidelity'; frontend ExportMenu ExportResult; PDF alt-text note</t>
  </si>
  <si>
    <t>tests/test_export_fidelity.py (6), tests/test_jobs.py; editor/ExportResult.test.tsx (4); e2e documents.spec.ts export test checks the message; calibration: DOCX export re-reads identically on 29 fixtures, PDF on all but a11-multilingual (genuine)</t>
  </si>
  <si>
    <t>e55412f</t>
  </si>
  <si>
    <t>AUD-03,AUD-18</t>
  </si>
  <si>
    <t>FID-004</t>
  </si>
  <si>
    <t>Content protection UI</t>
  </si>
  <si>
    <t>Report panel + badge: 'No content changes' only when proven; otherwise 'N items require review'.</t>
  </si>
  <si>
    <t>frontend/editor/panels/FidelityPanel.tsx (Проверка rail panel), EditorStatusBar import badge; 'No content changes' only when the words matched and no item lost content</t>
  </si>
  <si>
    <t>editor/panels/FidelityPanel.test.tsx (3); e2e/fidelity.spec.ts; checked in a throwaway stack with the audit's a03/a05 fixtures</t>
  </si>
  <si>
    <t>FID-005</t>
  </si>
  <si>
    <t>Unsupported-feature policy classes</t>
  </si>
  <si>
    <t>NOT_DETECTED, DETECTED_PRESERVED, DETECTED_NOT_EDITABLE, LOSSY, UNSUPPORTED, BLOCKED on every report item.</t>
  </si>
  <si>
    <t>app/fidelity/report.py FidelityPolicy (not_detected, detected_preserved, detected_not_editable, lossy, unsupported, blocked); every DOCX importer note classified (docx_inline.Notes, docx.py)</t>
  </si>
  <si>
    <t>tests/test_fidelity_report.py</t>
  </si>
  <si>
    <t>CORE-004</t>
  </si>
  <si>
    <t>Machine-readable capability matrix</t>
  </si>
  <si>
    <t>DOCX/PDF/editor capabilities (import/edit/export/round_trip) as data; served by the API; drives badges, warnings, tests.</t>
  </si>
  <si>
    <t>backend/app/capabilities.py (67 features across Word, PDF, editor, text: import/edit/export/roundTrip + policy + report keys + tests + notes naming the task for every unreported gap); GET /api/v1/capabilities (public)</t>
  </si>
  <si>
    <t>tests/test_capabilities.py (6): every reported key described and every described key reported, cited tests exist, no round trip 'yes' without a test, gaps name their task, API</t>
  </si>
  <si>
    <t>backend/capabilities</t>
  </si>
  <si>
    <t>fcf30d7</t>
  </si>
  <si>
    <t>UI use (badges, pre-export warnings) comes with REV-002/FID-004 follow-ups.</t>
  </si>
  <si>
    <t>AUD-20</t>
  </si>
  <si>
    <t>TEST-010</t>
  </si>
  <si>
    <t>Regression tests for nested structures</t>
  </si>
  <si>
    <t>Backend unit/API, Vitest mapping, Playwright paste + reload.</t>
  </si>
  <si>
    <t>Nested structures covered at every layer and green: model (tests/test_document_nesting.py), API + storage + exports (tests/test_nested_blocks_api.py), editor mapping both ways (frontend/editor/nestedBlocks.test.ts), paste -&gt; save -&gt; reload in a real browser (frontend/e2e/nested.spec.ts); plus the golden round trip (editorRoundTrip.test.ts) and direct formatting (directFormatting.test.ts, e2e/direct-formatting.spec.ts).</t>
  </si>
  <si>
    <t>backend 753 passed; Vitest 113; Playwright 19</t>
  </si>
  <si>
    <t>tests</t>
  </si>
  <si>
    <t>EDIT-006,DOCX-001</t>
  </si>
  <si>
    <t>INFRA-005</t>
  </si>
  <si>
    <t>Throwaway preview stack for browser checks</t>
  </si>
  <si>
    <t>tools/dev/throwaway-backend.ps1 (fresh SQLite, never the real DB) and throwaway-frontend.ps1 (:3100 against :8100); launch configs.</t>
  </si>
  <si>
    <t>tools/dev/throwaway-*.ps1, .claude/launch.json backend-throwaway/frontend-throwaway, frontend/.gitignore + eslint/vitest ignore .next-preview</t>
  </si>
  <si>
    <t>Used for the FID-004 browser check (a03/a05 uploads)</t>
  </si>
  <si>
    <t>tools/dev</t>
  </si>
  <si>
    <t>FID-006</t>
  </si>
  <si>
    <t>Text imports name what Markdown can't bring in</t>
  </si>
  <si>
    <t>Pasted/.txt Markdown dropped pictures (and their descriptions) and thematic breaks without a word, while the content check said verified (alt text isn't body text).</t>
  </si>
  <si>
    <t>parse_markdown attaches an import report: pictures -&gt; markdown.image (UNSUPPORTED, contentChanged, count, example description) so the verdict is 'Body text complete, some content left out'; not fetched on purpose (server-side fetch of any address). '---' is now a horizontal rule element. Raw HTML stays literal text (html=False), no words lost (probed). Matrix rows text.markdown + text.markdown_images; capability key pattern knows 'markdown.'.</t>
  </si>
  <si>
    <t>tests/test_markdown_parser.py::test_a_thematic_break_is_a_horizontal_rule, tests/test_markdown_parser.py::test_pictures_are_named_as_left_out_not_dropped_silently, tests/test_capabilities.py</t>
  </si>
  <si>
    <t>Found 2026-09-27 during EDIT-010 (probe: '![chart](url)' -&gt; 'See  below.', status verified, no items).</t>
  </si>
  <si>
    <t>AI-001</t>
  </si>
  <si>
    <t>Content fidelity comparator</t>
  </si>
  <si>
    <t>Order-, count-, token-, numeric-, punctuation- and structure-aware diff of source vs AI output.</t>
  </si>
  <si>
    <t>app/fidelity/text_check.py: check_text compares source and AI answer token by token in order (words; numbers with sign/decimals/separators/percent as one token; every punctuation mark); verified only when identical after removing what isn't content (spacing, typographic variants, table separators, list/heading marks at line starts). Differences classified number/unit/negation/sentence/duplicate/reordered/punctuation/words; moved runs paired by their words. Replaces the bag-of-words 20%-unknown check (AUD-02) that passed sentence deletions, 'not' removal and 5-&gt;50.</t>
  </si>
  <si>
    <t>tests/test_ai_fidelity.py (36)</t>
  </si>
  <si>
    <t>backend/ai</t>
  </si>
  <si>
    <t>78f5c8f</t>
  </si>
  <si>
    <t>compare_words (app/fidelity/content.py): order/count/token-aware, numbers and negation caught, moved passages told apart; used by the import report. Phase 2: punctuation/structure awareness, use inside structure analysis.</t>
  </si>
  <si>
    <t>AUD-02</t>
  </si>
  <si>
    <t>AI-002</t>
  </si>
  <si>
    <t>Protected facts: numbers, units, percentages, dates, identifiers</t>
  </si>
  <si>
    <t>5 mg never becomes 50 mg without explicit user action.</t>
  </si>
  <si>
    <t>Numbers (amounts, percentages incl. decimal separator, dates, times, identifiers with digits) and units after a number are protected facts: a difference touching one is protected (TextDifference.protected; a reordered one isn't). Structure analysis refuses any change; text_check.changed_numbers(source, result) names lost/gained numbers where words may rightly differ (translation, requested rewording).</t>
  </si>
  <si>
    <t>tests/test_ai_fidelity.py (alteration cases with protected flags; test_numbers_are_facts_even_where_the_words_may_change)</t>
  </si>
  <si>
    <t>Translation (TRAN-*) and AI proposals (AI-006) use changed_numbers / protected.</t>
  </si>
  <si>
    <t>AI-003</t>
  </si>
  <si>
    <t>Structure analysis uses the comparator</t>
  </si>
  <si>
    <t>A piece that fails falls back alone; reasons logged without content.</t>
  </si>
  <si>
    <t>structure_analysis.fidelity_check uses check_text on each piece (answer text one block/item/cell per line); a failing answer is retried once, then that piece alone is split into paragraphs by rules; the log gives the check's summary ('negation x1') and never text. The system prompt and retry reminder now say every word, number and punctuation mark must stay, only line-start list/heading marks may go.</t>
  </si>
  <si>
    <t>tests/test_ai_fidelity.py::test_an_answer_that_alters_the_text_never_reaches_the_document (13 cases), ::test_a_piece_that_alters_the_text_falls_back_alone, ::test_the_log_says_what_changed_never_the_text, tests/test_fidelity_report.py::test_an_ai_answer_that_drops_a_sentence_never_reaches_the_document</t>
  </si>
  <si>
    <t>AI-004</t>
  </si>
  <si>
    <t>Adversarial fidelity tests</t>
  </si>
  <si>
    <t>Sentence/word deletion, 'not' removal, number/unit/percent/date change, added/reordered/duplicated sentence, punctuation, heading changes.</t>
  </si>
  <si>
    <t>Adversarial suite: sentence deletion, word deletion, 'not' removal (and Bulgarian 'не'), number, unit, percentage, decimal separator, date change, added sentence, reordered sentence, duplicated content, punctuation alteration, heading change - each caught with its category and protected flag, and each refused by structure analysis end to end; structure/typography variants pass.</t>
  </si>
  <si>
    <t>tests/test_ai_fidelity.py (36 passed); backend suite 789 passed</t>
  </si>
  <si>
    <t>AI-005</t>
  </si>
  <si>
    <t>Classify AI operations</t>
  </si>
  <si>
    <t>Formatting-only vs content-changing (insert/delete/move/replace).</t>
  </si>
  <si>
    <t>formatting/proposals.py: classify() sorts instruction operations by what they touch - set_style FORMAT, add_page_break STRUCTURE, insert/delete/move CONTENT (unknown -&gt; CONTENT); split_operations() applies formatting/structure at once and routes content changes to proposals. Bug found and fixed on the way: apply_formatting rebuilt the rules after the operations and dropped a style an instruction set on one element ('Applied 1 change', nothing changed) - operations now apply after the formatting pass.</t>
  </si>
  <si>
    <t>tests/test_ai_proposals.py::test_operations_are_sorted_by_what_they_touch, ::test_a_style_an_instruction_sets_on_one_element_is_kept</t>
  </si>
  <si>
    <t>5f67f5a</t>
  </si>
  <si>
    <t>AUD-05</t>
  </si>
  <si>
    <t>AI-006</t>
  </si>
  <si>
    <t>PLAN -&gt; VALIDATE -&gt; PREVIEW -&gt; ACCEPT -&gt; APPLY</t>
  </si>
  <si>
    <t>Content-changing operations are stored as proposals and never applied without acceptance.</t>
  </si>
  <si>
    <t>Content-changing instruction operations are validated then stored as proposals with previews (before = text deleted/moved, after = text inserted, reason = instruction), never applied from the instruction; deduplicated; POST /documents/{id}/proposals/{p}/accept validates against the current document and applies as one undoable step (history 'AI proposal accepted'), 409 when it no longer fits; /reject drops it; proposals about removed blocks are pruned on save and after an accept. Format responses and job results carry proposalCount.</t>
  </si>
  <si>
    <t>tests/test_ai_proposals.py (8), frontend/e2e/proposals.spec.ts</t>
  </si>
  <si>
    <t>backend/services</t>
  </si>
  <si>
    <t>AI-005,REV-001</t>
  </si>
  <si>
    <t>AI-007</t>
  </si>
  <si>
    <t>Proposal review UI</t>
  </si>
  <si>
    <t>Preview, accept, reject AI proposals in the editor.</t>
  </si>
  <si>
    <t>editor/panels/ProposalsList.tsx in the Instructions panel: each proposal with what it deletes (the block as it reads now, struck through), adds or moves and where, the instruction, Accept/Reject/Show; status bar 'N AI changes to review'; the notice after applying says what applied and what waits. E2E through a real browser with the scripted E2E AI (backend/scripts/e2e_ai.py).</t>
  </si>
  <si>
    <t>frontend/editor/panels/ProposalsList.test.tsx (4), frontend/e2e/proposals.spec.ts; Vitest 117, Playwright 20</t>
  </si>
  <si>
    <t>AI-008</t>
  </si>
  <si>
    <t>Per-document AI budget and deadline</t>
  </si>
  <si>
    <t>Token/time budget per document and job; no unbounded retries.</t>
  </si>
  <si>
    <t>app/ai/budget.py BudgetedAIProvider: a per-job and per-request allowance of calls (AI_CALLS_PER_JOB, default 50) and seconds (AI_SECONDS_PER_JOB, default 900), wrapped around the metered provider in jobs/runner.py and api/deps.py; over it a call is refused at once and one still running at the deadline is cancelled (AIBudgetExceededError, a refusal every AI step falls back from). Structure analysis doesn't retry after it and splits the rest into paragraphs with a note in the import report. Retries bounded in settings (0-3); tokens bounded by calls x max_tokens and piece size. Before: 20 pieces x 2 attempts x 3 SDK tries x 180 s per document.</t>
  </si>
  <si>
    <t>tests/test_ai_budget.py (6); backend suite 805 passed</t>
  </si>
  <si>
    <t>03f6a44</t>
  </si>
  <si>
    <t>AI-009</t>
  </si>
  <si>
    <t>Prompt-injection hardening review</t>
  </si>
  <si>
    <t>Document content never becomes instructions; output abuse checks.</t>
  </si>
  <si>
    <t>Review of every AI task: each fences the document in a per-call random tag (8 hex) with UNTRUSTED_DOCUMENT in its system rules; the call log carries no text. Output path gaps found and closed: a structure answer's document type, heading level, list level and code language reached the document unbounded (probe: a 560-char '&lt;img onerror&gt;' documentType, heading level 99, a language with quotes) - now bounded in ai/schemas.py (slug &lt;=40, 1-6, 0-8, plain name &lt;=30) and the document type normalised; style-analysis tone/summary/reasons length-bounded; instruction insert text &lt;=10,000. The SDK moves unsupported bounds into descriptions and validates locally (ValidationError -&gt; retry -&gt; fallback).</t>
  </si>
  <si>
    <t>tests/test_prompt_injection.py (12); backend suite 817 passed</t>
  </si>
  <si>
    <t>8253a6a</t>
  </si>
  <si>
    <t>REV-001</t>
  </si>
  <si>
    <t>Change model</t>
  </si>
  <si>
    <t>{type, elementId, property, before, after, reason, source, confidence} with categories FORMAT/STRUCTURE/CONTENT/METADATA/PRESERVATION/TRANSLATION.</t>
  </si>
  <si>
    <t>models/document.py: ChangeCategory (format/structure/content/metadata/preservation/translation) and ProposedChange {id, type, category, elementId, afterElementId, elementType, property, before, after, reason, source, confidence, createdAt}; Document.proposals (&lt;=200); in the OpenAPI schema and generated types.</t>
  </si>
  <si>
    <t>tests/test_ai_proposals.py</t>
  </si>
  <si>
    <t>CORE-005</t>
  </si>
  <si>
    <t>Document command model</t>
  </si>
  <si>
    <t>Commands with validate/preview/apply/undo for AI, translation, repair, batch.</t>
  </si>
  <si>
    <t>Proposals (AI-006, 5f67f5a) are the first command: validate (validate_operations), preview (ProposedChange), apply (apply_operations), undo (document history). A shared command abstraction is deferred until a second kind exists (translation TRAN-*, repair HLTH-002/REV-003, batch) so it isn't designed from one example; revisit at Phase 10/14/15.</t>
  </si>
  <si>
    <t>DOCX-010</t>
  </si>
  <si>
    <t>Original package store</t>
  </si>
  <si>
    <t>Uploaded DOCX kept as an immutable source artifact (storage + DB reference, retention, deletion).</t>
  </si>
  <si>
    <t>An uploaded .docx is kept as it was: stored as a workspace asset on import (DocumentService.create source_docx) and referenced by Document.sourcePackage {assetId, sha256, size}; counted toward the plan's storage; served only to workspace members; checked by SHA-256 before use (source_package returns the problem when missing/altered); swept a day after the document is deleted.</t>
  </si>
  <si>
    <t>tests/test_source_package.py::test_the_imported_word_file_is_kept_as_it_was, ::test_a_stored_file_that_isnt_the_one_kept_is_not_used_and_the_export_says_so; tests/test_entitlements.py (storage counts the kept file)</t>
  </si>
  <si>
    <t>backend/storage</t>
  </si>
  <si>
    <t>de23961</t>
  </si>
  <si>
    <t>Kept originals count toward plan storage (a Word file with a 1.2 MB picture uses ~2.4 MB: the picture asset + the file). Whether plans should exclude originals is Boril's pricing decision.</t>
  </si>
  <si>
    <t>AUD-03,AUD-06,AUD-18</t>
  </si>
  <si>
    <t>DOCX-011</t>
  </si>
  <si>
    <t>Patch-writer export for imported documents</t>
  </si>
  <si>
    <t>Untouched OOXML parts preserved: styles, numbering, settings, theme, fontTable, webSettings, custom XML, glossary, docProps, commentsExtended, embeddings.</t>
  </si>
  <si>
    <t>Word exports of imported documents are written into the original package: body replaced, the rest kept (styles rewritten only for kinds a template/instruction/person restyled; main header/footer rewritten only when changed in the app; page lengths within 0.02 cm left; old body's pictures/links/objects/charts relationships dropped; comments cleared and the kept ones re-added; missing built-in styles copied from the template without dangling references; comment styles defined). Fallback to a fresh build with export.docx.source_missing / source_unreadable. The import report says what the Word export keeps (with_source_kept): last section's header/footer variants, pictures, watermark, custom properties, sensitivity label, columns, own section properties -&gt; kept for export; earlier sections' still lost; PDF export notes export.pdf.word_only.</t>
  </si>
  <si>
    <t>tests/test_source_package.py (10), tests/test_package_check.py (13); backend suite</t>
  </si>
  <si>
    <t>Package-level patch writer. Block-level preservation (unchanged blocks keep their original XML: fields, content controls, run-level features) is DOCX-028.</t>
  </si>
  <si>
    <t>DOCX-012</t>
  </si>
  <si>
    <t>Metadata preserved and correct</t>
  </si>
  <si>
    <t>Core/app/custom properties kept; never 'python-docx'; created/modified correct; sensitivity properties kept where possible.</t>
  </si>
  <si>
    <t>Core properties kept (sourceProperties, 622d9c1); custom properties, app properties and sensitivity labels now kept in Word exports via the original package (DOCX-011); never 'python-docx'; created from the source; reported without values.</t>
  </si>
  <si>
    <t>tests/test_docx_detect.py::test_the_files_own_properties_go_back_into_word_not_the_templates, tests/test_source_package.py::test_a_word_export_keeps_what_the_document_model_doesnt_hold</t>
  </si>
  <si>
    <t>Done: the file's core properties (author, last modified by, created, modified, subject, keywords, description, category) are kept in DocumentMetadata.sourceProperties and written back to Word instead of python-docx's template ('python-docx', 2013); author/subject go into PDF metadata; pasted documents get the app's own title/created. Custom properties and sensitivity labels are reported (without their values), not kept - keeping them needs the original package store (DOCX-010).</t>
  </si>
  <si>
    <t>AUD-06,AUD-18</t>
  </si>
  <si>
    <t>DOCX-013</t>
  </si>
  <si>
    <t>Character formatting</t>
  </si>
  <si>
    <t>Double underline and variants, double strike, caps, small caps, spacing, scale, position, language, RTL, theme font/colour, hidden text.</t>
  </si>
  <si>
    <t>Part 1: Mark.lineStyle (underline double/thick/dotted/dashed/wavy, strike double) and textStyle caps/smallCaps/letterSpacingPt/baselineShiftPt, validated; importer resolves each as Word does (run, character style, paragraph style, defaults); Word's other underline styles map to the closest (LINE_STYLES) and only those are reported; runs that turn off their style's bold/italic/underline no longer show it (_release/_carry); editor global attributes with CSS and Word paste CSS; Word export in the schema's rPr order (_put_in_rpr, also fixes highlight/shd order); PDF draws double/thick lines, capitals, small capitals, raised/lowered text, notes spacing and dotted/dashed/wavy lines, and checks capitals as printed; golden 02 holds each.; Part 2: language kept (textStyle.lang where it isn't the document's own, through importer, editor lang attribute and Word export); character scale and text effects detected and, with the file kept, kept while unchanged; what rewritten blocks lose is named at export (FID-007); golden 02 includes a Bulgarian run.</t>
  </si>
  <si>
    <t>backend 888 passed/1 skipped (tests/test_character_formatting.py 12); Vitest 128 (editor/characterFormatting.test.ts 3, golden round trip of 02); Playwright 22; tsc + eslint clean; tests/test_copy_reports.py (6); frontend/editor/characterFormatting.test.ts (4); backend 894 passed/1 skipped; Vitest 129; Playwright 22</t>
  </si>
  <si>
    <t>backend/parsers, export, models</t>
  </si>
  <si>
    <t>d32c6a6</t>
  </si>
  <si>
    <t>Hidden text (listed here too) is done under DOCX-025.; Part 2 remaining: character scale, kerning, language/noProof, theme font/colour links, effects, emphasis marks - detect, 'kept while unchanged' with the source kept, and export.docx.rewritten_formatting for rewritten blocks.</t>
  </si>
  <si>
    <t>DOCX-014</t>
  </si>
  <si>
    <t>Paragraph formatting</t>
  </si>
  <si>
    <t>Right indent, keep-with-next, keep-lines, page-break-before, widow/orphan, outline level, tabs, borders, shading, direction, contextual spacing.</t>
  </si>
  <si>
    <t>Part 1: FormattingProperty INDENT_RIGHT, SHADING, KEEP_WITH_NEXT, KEEP_LINES_TOGETHER, WIDOW_CONTROL, CONTEXTUAL_SPACING, DIRECTION - validated, StyleSystem fields, CSS (margin-right, background-color, break-after, break-inside, widows/orphans, --contextual-spacing, direction); importer ParaProps from paragraph and style; Word export _apply_paragraph_extras in pPr order (_put_in_ppr); PDF rightIndent/backColor/keepWithNext/allowWidows, RTL right-aligned, KeepTogether, contextual spacing (_close_up); paragraph direction no longer reported (run-level w:rtl still is).; Part 2: BORDER_TOP/BOTTOM/LEFT/RIGHT ('solid 0.5pt #000000' or 'none') and TAB_STOPS ('right 16cm dot; left 2cm') rules with shared validation (values.border_value/tab_stops_value) and StyleSystem fields; importer reads pBdr sides and tabs from paragraph and style; CSS border-* (drawn in the editor) and --tab-stops; Word pBdr/tabs in pPr order; PDF box or lines above/below, names side-only borders and tab stops; detector names tabs in text (docx.tab_stops, detected_not_editable).</t>
  </si>
  <si>
    <t>backend 903 passed/1 skipped (tests/test_paragraph_formatting.py 9); Vitest 129; Playwright 22; tsc + eslint clean; tests/test_paragraph_formatting.py (19 in all); backend 913 passed/1 skipped; Vitest 129; Playwright 22</t>
  </si>
  <si>
    <t>c158722</t>
  </si>
  <si>
    <t>Part 2 remaining: paragraph borders (model + exports) and tab stops (detect, keep while unchanged, name when lost).</t>
  </si>
  <si>
    <t>DOCX-015</t>
  </si>
  <si>
    <t>Sections as a first-class concept</t>
  </si>
  <si>
    <t>Breaks (next/continuous/even/odd), orientation, size, margins, columns, header/footer distance, first/even/odd headers, linked-to-previous, page-number restart.</t>
  </si>
  <si>
    <t>Part 3b: each section's pages in the editor at their own size, orientation, margins and header/footer distances (editor/sectionPages.ts mirrors the PDF's _SectionPage.of; pagination.ts lays out page boxes per section - a page is the section's of the block that begins it, a blank page before an even/odd start the section before's - and moves a section's blocks to its page's text column by margin decorations over their own margins, tables' wrapper without; EditorCanvas draws each page centred on a desk as wide as the widest, headers/footers at their distances; the fit zoom fits the widest). Brief 24 is covered: breaks of every kind, orientation, size, margins, columns (kept in Word and PDF; shown in one column here, DOCX-015B), header/footer distances, first-page and even/odd headers, linked-to-previous, page-number restart; the last section's header no longer shows on every page. Follow-ups: DOCX-015A (a last section's custom paper size), DOCX-015B, DOCX-015C.</t>
  </si>
  <si>
    <t>frontend/editor/sectionPages.test.ts (5); frontend/e2e/section-headers.spec.ts (2: headers per page; a landscape section's wide page and text column); tests/test_sections.py (16); backend 937 passed/1 skipped; Vitest 144; Playwright 24</t>
  </si>
  <si>
    <t>backend/models, parsers, export</t>
  </si>
  <si>
    <t>633c1d6</t>
  </si>
  <si>
    <t>Fixed: a section's w:type describes how THAT section starts (ECMA-376 17.6.22) - the importer used the ending section's own type, so a continuous break became a page break and continuous-&gt;new-page put the break between the wrong sections (probe confirmed). Now the next section's type decides. Per-section differences are reported (FID-002). Remaining: sections as a first-class model concept (orientation/margins/columns/headers per section, page-number restart) and export of several sections.; With DOCX-011 the last section's properties (columns, page numbering, borders, line numbers, vertical alignment, header/footer variants) are kept in Word exports; earlier sections' are still reported lost.; DOCX-028: earlier sections now survive in Word exports while their ending paragraph is unchanged; page setup/header/page-number changes apply to them; a lost one is reported (export.docx.section_lost). Modelling sections is still this task.</t>
  </si>
  <si>
    <t>DOCX-015A</t>
  </si>
  <si>
    <t>Custom page size of the last section</t>
  </si>
  <si>
    <t>A last section on a paper size the app doesn't list (DocumentSettings.pageSize is a choice) is shown and exported on A4, and the import report says so (docx.layout, lossy). Earlier sections keep any size (SectionSettings.pageWidthMm/pageHeightMm). Keep the last one's too (Document.lastSection), and let a page size chosen here replace it.</t>
  </si>
  <si>
    <t>parsers/docx.py _last_section, parsers/docx_styles.py + docx_inline.py (docx.page_setup.size), formatting/engine.py _drop_custom_page_size, export/docx_export.py _section_layout, frontend editor/sectionPages.ts basePage; capabilities.py; docs/docx/README.md</t>
  </si>
  <si>
    <t>tests/test_sections.py (2 new), sectionPages.test.ts; 4/4 mutations</t>
  </si>
  <si>
    <t>4a3c2ca</t>
  </si>
  <si>
    <t>2026-10-07: kept on the pages here and in both exports; a size or orientation chosen here (above the source tier) replaces it.</t>
  </si>
  <si>
    <t>DOCX-015B</t>
  </si>
  <si>
    <t>Show a section's columns in the editor</t>
  </si>
  <si>
    <t>Sections laid out in columns are kept, and written in columns by a Word export and a PDF; the editor's pages show them in one column and the import report says so. Show them as columns on the page (a paginated multi-column flow).</t>
  </si>
  <si>
    <t>2026-10-07: columns need the pagination itself to lay blocks out into columns and pages together (a block that fills a column moves to the next column, the last column to the next page), not a separate pass. The technique exists since DOCX-018A (editor/floatWrap.ts: the paged editor is a flex column, block margins add up, decorations move blocks over and pull them up); doing it inside editor/pagination.ts is a larger change to the layout every document goes through, left for later. Columns stay kept in both exports and reported.</t>
  </si>
  <si>
    <t>DOCX-015C</t>
  </si>
  <si>
    <t>Edit a section's own headers and footers</t>
  </si>
  <si>
    <t>Page settings edit the last section's main header and footer; other sections' (and first-page and even-page ones) are kept, shown on their pages and exported, but can't be changed here. Let a page's header or footer be edited as its section's.</t>
  </si>
  <si>
    <t>api/documents.py PUT .../section-text, services/document_service.py set_section_text, models/document.py lastSectionEdited, export/docx_export.py _edited_last_headers; frontend editor/EditorCanvas.tsx (header/footer overlay), sectionHeaders.ts chromeTarget, DocumentEditorShell.tsx chromeEdit; capabilities.py, docs/docx/README.md</t>
  </si>
  <si>
    <t>tests/test_sections.py (2 new), sectionHeaders.test.ts (2 new), e2e/section-headers.spec.ts (1 new); 4/4 mutations</t>
  </si>
  <si>
    <t>6282fd3</t>
  </si>
  <si>
    <t>2026-10-07: double-click a page's header/footer to edit it as its section's own (the kind the page shows); Same as previous relinks; last section's main ones stay Page settings'.</t>
  </si>
  <si>
    <t>DOCX-016</t>
  </si>
  <si>
    <t>Numbering engine</t>
  </si>
  <si>
    <t>Decimal/roman/alpha/bullets, custom prefixes/suffixes, start, restart, continuation, multilevel, numId/abstractNum/ilvl, indentation.</t>
  </si>
  <si>
    <t>Part 3: the editor shows each item's label as Word and both exports number it (editor/listLabels.ts mirrors list_numbering.py: formatListNumber, levelLabel, Counters, listLevels, itemLabel; a decoration plugin sets data-label per item, nested lists counting as deeper levels where they nest as levels, and a list's own indents; CSS draws the label before the text, nested levels without a gap); page numbers use the same formatter. The 'shown here for now' notes are gone: only number styles the app doesn't have are reported. Brief 25 covered: decimal, roman, alpha, bullets, own labels (prefixes/suffixes), start, restart, continuation (across instances and sections), multilevel, numId/abstractNum/ilvl, indentation; fixtures 1/2/3/5 levels, custom, restart, continuation across sections (15-numbering.docx). Follow-ups DOCX-016A (numbered headings), DOCX-016B (more number styles).</t>
  </si>
  <si>
    <t>frontend/editor/listLabels.test.ts (4); frontend/e2e/list-labels.spec.ts; tests/test_docx_numbering.py (15); tests/test_golden_documents.py::test_15_numbering; backend 953 passed/1 skipped; Vitest 152; Playwright 25 (visual baseline updated: nested lists close up)</t>
  </si>
  <si>
    <t>bcdc9af</t>
  </si>
  <si>
    <t>Done so far: top-level list number format (decimal/roman/letters), start value (lvl start + lvlOverride/startOverride) and continuation across interrupting paragraphs imported into Element.numbering and written back to Word (per-level formats, startOverride) and PDF; empty numbered items keep counting. Reported, not kept: custom labels ('Чл. 1.', '(a)'), multi-level labels ('1.1'), numbered headings baked into text. Remaining: prefixes/suffixes, multilevel numbering model, restart semantics per level, indentation.</t>
  </si>
  <si>
    <t>AUD-04</t>
  </si>
  <si>
    <t>DOCX-016A</t>
  </si>
  <si>
    <t>Numbered headings keep live numbering</t>
  </si>
  <si>
    <t>Headings Word numbers (outline numbering: 1., 1.1, Глава I) get their numbers written into their text on import, reported (docx.numbered_headings) and never renumbered. Keep the heading numbering as numbering -- the levels of list_numbering.py on headings -- so it renumbers when headings move, and write it back to Word.</t>
  </si>
  <si>
    <t>Measured in Word first (hidden, read-only, scratchpad/word_headings.py): a03 written anew had its headings' numbers typed into their text, and a heading edited here showed two numbers ('2.1 2.1 Scope and aims'). Import (parsers/docx.py _live_heading_numbering, _heading_numbering): when one list numbers the headings, each at its own level, the headings keep their own text and the document keeps the numbering (Document.headingNumbering: a ListLevel per heading level + the original's sourceNumId); a heading Word doesn't number (a Title) is Element.numbered False. The editor (frontend editor/headingNumbers.ts: decorations drawn by globals.css, the numbering set from the document into the extension's storage), the PDF and a Word export count them in order (formatting/list_numbering.heading_labels), so they follow when headings move. Word export: into the original a heading written anew is numbered with the original's numbering, counting on with the copied ones; a new file gets a numbering made from the levels and its Heading styles number with it. Headings numbered by more than one list, or not each at its own level, keep their typed numbers as before, and written anew into the original get numId 0 (never a second number). Word: a03 into the original, in a new file, and each with a heading edited: 1, 2, 2.1, 3 as numbering, the edited one '2.1 Scope and aims'. a03's true fidelity content axis is now verified (the typed numbers had been 5 added words).</t>
  </si>
  <si>
    <t>backend 1298 passed/1 skipped (tests/test_heading_numbering.py 8: numbering kept at import with the headings' own text; numbers follow moved headings; a Title isn't numbered; a new Word file numbers them again with its Heading styles; a heading edited into the original gets one number, from the original's numbering; a PDF prints them; a level's own format/label; headings numbered two ways keep typed numbers and never get a second -- each code path mutation-checked); test_docx_fidelity updated; a03 expected-loss and fidelity manifests updated on purpose; Vitest 177 (editor/headingNumbers.test.ts 5); Playwright 31 (list-labels: a03's headings show 2, 2.1, 3 before their own text); tsc + eslint clean; Word headings check</t>
  </si>
  <si>
    <t>ab029ad</t>
  </si>
  <si>
    <t>DOCX-016B</t>
  </si>
  <si>
    <t>More of Word's number styles</t>
  </si>
  <si>
    <t>Number styles the app doesn't have (ordinal 1st, cardinal and ordinal text, Chinese/Japanese counting, Hebrew, Arabic letters...) are numbered 1, 2, 3 and reported (docx.list_numbering.format). Add those in use, in list_numbering.py and editor/listLabels.ts.</t>
  </si>
  <si>
    <t>backend/app/formatting/number_formats.py (40 Word styles: ordinal, hex, chicago, enclosed/full-width digits, ideographDigital, japanese/korean/chinese counting incl. Thousand and LegalSimplified, ideographTraditional/Zodiac, hebrew1 (wraps at 392 as Word), hebrew2, arabicAlpha/Abjad, hindi/thai letters and digits, aiueo/iroha, ganada/chosung, numberInDash) used by list_numbering.format_number; frontend/editor/numberFormats.ts mirror used by listLabels.formatListNumber; ListFormat/LevelFormat + parser allow-list extended; PDF labels drawn via _fonted / _label_font; Word's Cyrillic sequence fixed (includes ы: 26 ы, 27 э); reference labels read from Word in a hidden instance (tests/fixtures/word_number_labels.json, 2193 labels); Word reads an exported file's 48 labels in 12 styles back the same (48/48)</t>
  </si>
  <si>
    <t>backend tests/test_number_formats.py (48: every Word label per style, every style checked, import+Word export round trip without a report, words still reported, PDF labels, PDF font routing x2); test_docx_numbering updated (Cyrillic per Word); full backend 2530 passed/11 skipped; Vitest 350 (numberFormats.test.ts 42); Playwright list-labels 3 passed (new: 1st./⑲./十一./טו. shown and kept after reload and an edit); mutations 10/10</t>
  </si>
  <si>
    <t>a779e0a</t>
  </si>
  <si>
    <t>Number words in a language (cardinalText, ordinalText, hindiCounting, thaiCounting, vietnameseCounting) still numbered 1, 2, 3 and reported: DOCX-016C. Labels past Word's caps (repeated letters from 200/780, Hebrew past 392 wraps implemented) differ only where lists never reach.</t>
  </si>
  <si>
    <t>DOCX-016C</t>
  </si>
  <si>
    <t>Numbers spelled in words in their language</t>
  </si>
  <si>
    <t>cardinalText (One, Един), ordinalText (First, Първият), hindiCounting, thaiCounting, vietnameseCounting: Word writes them in the paragraph's language (bg-BG and en-US differ; Word's Bulgarian has quirks, e.g. 100 = 'Стои'). Keep the list item's language with the numbering and spell the label in it, here, in a PDF and in a Word export. Word's labels: backend/tests/fixtures/word_number_words.json (en-US and bg-BG, 48 values each).</t>
  </si>
  <si>
    <t>number_formats.py WORD_FORMATS, _english (&lt;=999,999), _bulgarian (&lt;=999, Word's forms), spelled, words_language_known; ListNumbering.language; format_number/level_label/item_label take the language; parser _list_language + note for other languages; PDF labels in it; docx_export _mark_language on list item paragraph marks; editor numberFormats.ts/listLabels.ts mirror, listNumbering attr + documentToTiptap/tiptapToDocument carry language; Word read the exported labels back: Първият., Вторият., One., Two.; fixture word_number_words.json extended with a third Word round (34 more values each)</t>
  </si>
  <si>
    <t>backend tests/test_number_formats.py (Word's labels en-US&lt;=999,999 and bg-BG&lt;=999 for both styles, list keeps style+language through import/PDF/Word export with paragraph-mark lang, German shown as numbers + note, Hindi still reported); test_docx_numbering, test_nested_blocks_api, golden JSON regenerated (language: null); full backend run 2566 passed/11 skipped + the 2 tests fixed after it (60 passed in their files); Vitest 364; Playwright full 59 passed/1 skipped; mutations 9/9</t>
  </si>
  <si>
    <t>f3a3c0c</t>
  </si>
  <si>
    <t>Hindi, Thai and Vietnamese counting still 1, 2, 3 and reported; words in languages other than English/Bulgarian shown as numbers (kept for Word).</t>
  </si>
  <si>
    <t>DOCX-017</t>
  </si>
  <si>
    <t>Table engine</t>
  </si>
  <si>
    <t>No forced header or Table Grid; widths, heights, margins, borders, shading, v-align, nested tables, repeated header rows, table styles.</t>
  </si>
  <si>
    <t>Part 1b: a Word cell's contents as blocks (paragraphs, lists numbered as Word does, pictures, nested tables read recursively without lifting their look), a single plain paragraph stays the cell's text; floating tables (TableFloat from tblpPr) and rows kept whole (cantSplit) kept and written back; the Word export no longer adds empty paragraphs after tables in cells. Brief 26 covered: rows, columns, header rows only from evidence, merges, colspan/rowspan, cell widths (grid), row heights, cell margins, borders, shading, alignment (column and cell), vertical alignment, nested tables, repeated header rows, table styles (resolved; by-position colours reported, DOCX-017A), captions, wrapping (kept for Word, reported, DOCX-017B); no forced Table Grid or header.</t>
  </si>
  <si>
    <t>tests/test_docx_tables.py (9); tests/test_golden_documents.py::test_16_table_engine and the golden round trips (signature with tables' geometry); tests/test_docx_parser.py::test_a_picture_in_a_table_cell_is_kept_as_the_cells_block; frontend/editor/tableLook.test.ts (4); frontend/e2e/tables.spec.ts; backend 968 passed/1 skipped; Vitest 158; Playwright 26</t>
  </si>
  <si>
    <t>62e7957</t>
  </si>
  <si>
    <t>From EDIT-011 (2026-09-27): add per-cell alignment and column widths to the model (the editor's cell align/colwidth, Word tcW/tblGrid, PDF colWidths); until then the editor names them as not kept.</t>
  </si>
  <si>
    <t>DOCX-017A</t>
  </si>
  <si>
    <t>Draw a table style's banded rows and first/last columns</t>
  </si>
  <si>
    <t>What a Word table style colours or bolds by position (banded rows and columns, a first or last column, a last row) is kept only in a Word export written into the original and reported (docx.table.style_look). Resolve those conditional formats into the cells' look so the pages here and a PDF show them, and a fresh Word export writes them.</t>
  </si>
  <si>
    <t>parsers/docx_tables.py (PositionLook, StyleLook.conditionals, position_look), parsers/docx.py (_styled_run), capabilities.py, docs/docx/README.md; golden 16-table-engine</t>
  </si>
  <si>
    <t>tests/test_docx_tables.py (3 new + header test), 6/6 mutations</t>
  </si>
  <si>
    <t>b7573d6</t>
  </si>
  <si>
    <t>2026-10-07: conditional formats resolved per cell in Word's order from tblLook, band sizes kept; own shading/run formatting win; borders by position still reported.</t>
  </si>
  <si>
    <t>DOCX-017B</t>
  </si>
  <si>
    <t>Float tables with text around them here and in a PDF</t>
  </si>
  <si>
    <t>A floating table (tblpPr) keeps where it floats for a Word export but is shown in line with the text here and in a PDF (docx.table.floating). Place it and wrap text around it in the editor's pages and the PDF.</t>
  </si>
  <si>
    <t>TableFloat.side (models); docx_tables.table_side + parser note by side (docx.py _table_content, body tables only); PDF: _float_side/_placement_of/_floating_table (in line past 60% of the page height) and _Floated adapter for ImageAndFlowables; editor: tableLook.ts wrapper fit-content + align-self + Word's distance, floatWrap.ts sideOf(table); docs/docx/README.md, capabilities.py. Found and fixed: PDF export crashed for a floating text box followed by text (reportlab _restrictSize)</t>
  </si>
  <si>
    <t>backend tests/test_floating_tables.py (17: side rules x12, import side + Word round trip, centred/full width in line, PDF wraps left/right/in line, too tall in line, distances); test_text_boxes.py::test_a_pdf_lays_the_text_after_a_floating_box_beside_it; full backend 2549 passed/11 skipped; Vitest 351 (tableLook floating case); Playwright tables.spec 2 (text beside a right-floating table, kept after reload); mutations 7/7</t>
  </si>
  <si>
    <t>0fcf8bf</t>
  </si>
  <si>
    <t>DOCX-018</t>
  </si>
  <si>
    <t>Images</t>
  </si>
  <si>
    <t>Alt text exported; crop, rotation, anchor, wrap, position preserved; WEBP converted on export.</t>
  </si>
  <si>
    <t>ImageContent keeps mime, name, alt/title, widthCm/heightCm (wp:extent), crop (ImageCrop from a:srcRect), rotation and flips (a:xfrm), and a floating picture's placement (ImagePlacement from wp:anchor: wrap, positionH/V from/align/offset, distances, allowOverlap, layoutInCell) - parsers/docx_pictures.py::picture_properties, also for pictures in table cells. Word export writes them back: docPr descr/title/name, a:srcRect, xfrm rot/flipH/flipV, wp:effectExtent for a turned picture's room (_turn_room), a rebuilt wp:anchor (_float); WebP (and any format Word can't hold) goes in as PNG (_word_picture). PDF crops, flips and turns with PIL (_shaped_picture), sized by its turned outline (export/images.py::turned_box); an unchanged picture keeps its exact width (picture_width_cm: the importer's width rule is rounded to 0.1%). Editor: editor/pictureLook.ts draws size, crop (whole picture clipped, edges pulled in), turn and flips, and a turned picture's room; attributes round-trip through tiptapToDocument. Floating pictures shown in line here and in a PDF (docx.image.floating, DETECTED_NOT_EDITABLE); docx.image.crop/rotation and docx.table.cell_image_size reports removed. Golden 17-pictures.docx; golden signature compares picture properties. Seen in the browser and in a rendered PDF.</t>
  </si>
  <si>
    <t>backend 987 passed/1 skipped (tests/test_docx_pictures.py 7, test_golden_documents.py test_17_pictures + 17-file round trips, test_export_fidelity WebP-&gt;PNG); Vitest 164 (editor/pictureLook.test.ts 4, editor round trip of 17 golden files); Playwright 27 (e2e/pictures.spec.ts: clip, turn, flips, turned room, cell size); tsc + eslint clean</t>
  </si>
  <si>
    <t>17dfd4d</t>
  </si>
  <si>
    <t>Alt text + title now exported (docPr descr/title) with DOCX-001; crop, rotation, WEBP still open.</t>
  </si>
  <si>
    <t>DOCX-018A</t>
  </si>
  <si>
    <t>Float pictures and wrap text around them here and in a PDF</t>
  </si>
  <si>
    <t>A floating picture keeps where it floats and how text wraps around it only in a Word export (ImagePlacement); the editor and a PDF show it in line with the text (reported, docx.image.floating). Place it from its anchor and wrap the text around it on the pages here and in a PDF.</t>
  </si>
  <si>
    <t>parsers/docx_pictures.py float_side, models/document.py ImagePlacement.side, parsers/docx.py (_text_column, notes), export/pdf_export.py (ImageAndFlowables), frontend editor/floatWrap.ts + pictureLook.ts; capabilities.py, docs/docx/README.md; manifests a04/a13/17</t>
  </si>
  <si>
    <t>tests/test_docx_pictures.py (16 new), pictureLook.test.ts (1 new), e2e/pictures.spec.ts (1 new); 5/5 mutations</t>
  </si>
  <si>
    <t>eb9009b</t>
  </si>
  <si>
    <t>2026-10-07: side from alignment or position; PDF wraps line by line; the editor (a flex column, no CSS floats) wraps block by block via floatWrap.ts. Behind/in front/top-and-bottom/centred stay in line.</t>
  </si>
  <si>
    <t>DOCX-018B</t>
  </si>
  <si>
    <t>Crop and turn pictures in the editor</t>
  </si>
  <si>
    <t>A picture's crop, rotation and flips are kept and drawn but can't be changed in the editor; add controls that edit ImageContent.crop/rotation/flips (and are saved), with the exports following.</t>
  </si>
  <si>
    <t>frontend/editor/pictureEdit.ts (turned, withRotation, flipped, cropped, uncropped, pictureAt, updatePicture); frontend/editor/panels/PictureControls.tsx in PropertiesPanel's Image section; elementId.getSelectedElementId handles a node selection; exports unchanged (already draw ImageContent.crop/rotation/flips); capabilities docx.image_properties edit=yes; docs/docx/README.md</t>
  </si>
  <si>
    <t>Vitest editor/pictureEdit.test.ts (5: turns, flips, crop limits, change drawn and saved, clicked picture selected) -- full Vitest 356; backend tests/test_docx_pictures.py::test_a_picture_cropped_and_turned_in_the_editor_is_so_in_word_written_into_the_original + capabilities (33 passed); Playwright pictures.spec 3 (turn right, flip, crop top 10% shown and stored, undo)</t>
  </si>
  <si>
    <t>2366310</t>
  </si>
  <si>
    <t>DOCX-018C</t>
  </si>
  <si>
    <t>An SVG picture's PNG copy named</t>
  </si>
  <si>
    <t>A Word SVG picture (svgBlip) is read as the PNG copy Word keeps with it. Copied unchanged into the original it stays SVG; written anew (a template, an edit) it is the PNG, and neither the import nor the export report says so. Name it at import and in the export's rewritten-blocks report.</t>
  </si>
  <si>
    <t>parsers/docx.py (_image note), parsers/docx_pictures.py SVG_BLIP, export/docx_export.py _lost_in, capabilities.py, docs/docx/README.md; a04 manifest</t>
  </si>
  <si>
    <t>tests/test_docx_pictures.py::test_an_svg_picture_is_named_where_its_png_copy_stands_in_for_it; 2/2 mutations</t>
  </si>
  <si>
    <t>backend/fidelity, export</t>
  </si>
  <si>
    <t>5c026b5</t>
  </si>
  <si>
    <t>2026-10-07: named at import (docx.image.svg) and in the rewritten-blocks report when written anew.</t>
  </si>
  <si>
    <t>DOCX-019</t>
  </si>
  <si>
    <t>Drawings and text boxes preserved</t>
  </si>
  <si>
    <t>Anchored drawings, text boxes, shapes kept even when not editable.</t>
  </si>
  <si>
    <t>docx_export.py: a Word export of the kept file puts charts, SmartArt, shapes, embedded objects and VML drawings back into blocks it writes anew - from the element's original paragraph (sourceBlocks; the server's own copy of the file, nothing the browser sent) at their text offset (_put_back_drawings, _insert_at splits the run), and drawing-only paragraphs after their group (_copy_plan returns them); parts and relationships kept (the SmartArt drawing part referenced from dsp:dataModelExt was being dropped for every export into the original, copied blocks too - fixed); drawing ids unique (_unique_drawing_ids) and the package check names duplicates, no longer flags Word's own r:blip="". Reports: with the file kept, charts/SmartArt/shapes/objects are 'not shown here or in a PDF; a Word export keeps them' (KEPT_DRAWINGS, not content changed); rewritten blocks no longer claim crop/rotation/floating lost (DOCX-018) and a shape with text counts as a text box. True fidelity test now counts drawings per file: a09 before this change lost chart, SmartArt, embedded sheet after a template; now only its 2 text boxes' frames (DOCX-019A). Word opened the rewritten a09 export (same inline chart + OLE sheet, equations, SmartArt).</t>
  </si>
  <si>
    <t>backend 1227 passed/1 skipped (tests/test_docx_drawings.py 3: Word-authored a09 chart/SmartArt/OLE/shapes back after a template with a sound package and no drawing loss reported; a shape back mid-text and on its own paragraph with unique ids; a duplicate id is named by the package check); expected-loss and fidelity manifests updated on purpose (a09 only); Vitest 166; Playwright 28; tsc + eslint clean; Word open check</t>
  </si>
  <si>
    <t>9b2249d</t>
  </si>
  <si>
    <t>DOCX-028: text boxes and drawings in unchanged paragraphs are copied as they are (grouped with their anchor paragraph).</t>
  </si>
  <si>
    <t>DOCX-019A</t>
  </si>
  <si>
    <t>Text boxes as boxes</t>
  </si>
  <si>
    <t>A text box's text is imported as the document's own paragraphs after its anchor; its box (position, size, border, fill, wrap) survives a Word export only while that paragraph is unchanged (DOCX-028) and is otherwise lost (reported). Model a text box as a block holding its paragraphs with its placement, shown as a box here and in a PDF, and written back as one.</t>
  </si>
  <si>
    <t>models/document.py (TEXT_BOX, TextBoxContent), parsers/docx.py _text_box + docx_inline/docx_pictures text_box_properties, export/docx_export.py _add_text_box, export/pdf_export.py _build_text_box, frontend editor/textBox.ts + floatWrap.ts + conversions; capabilities.py, docs/docx/README.md</t>
  </si>
  <si>
    <t>tests/test_text_boxes.py (6), test_docx_fidelity.py (VML box), textBox.test.ts (3), e2e/text-boxes.spec.ts; Word gate 60/60 (a09 keeps its boxes); 5/5 mutations</t>
  </si>
  <si>
    <t>d0e90fe</t>
  </si>
  <si>
    <t>2026-10-07: a box here, in a PDF and in Word; floating ones wrapped; exact position not editable; theme colours not read; translation skips it (said).</t>
  </si>
  <si>
    <t>DOCX-020</t>
  </si>
  <si>
    <t>Fields</t>
  </si>
  <si>
    <t>Code/result/relationship; header STYLEREF/DATE live; TOC kept; CITATION/BIBLIOGRAPHY sources preserved; no 'Invalid source specified.'</t>
  </si>
  <si>
    <t>Measured in Word (hidden, read-only, fields updated) before and after: dates, author, title, file name, REF, PAGEREF, SEQ, links, CITATION (sources part kept, no 'Invalid source specified') and a header's STYLEREF already survived; a TOC (both exports) and a BIBLIOGRAPHY (written anew) did not - fields running across paragraphs. Import (parsers/docx.py _attach/_close_fields_in): such a field keeps where it starts (field_open with its code) and ends (field_close; Word's end in a paragraph of its own, left out, goes on the block before with paragraph=true), one region naming both; a TOC is kept too (docx.toc DETECTED_NOT_EDITABLE). Export (docx_export.py): written back around its entries only when balanced (_balanced_regions; else as text + export.docx.field_region); into the original the region's blocks are one group, so an unchanged TOC is copied whole. After a template Word shows and updates a06's TOC and bibliography and r01's TOC, no errors. Found on the way: the fragment writer wrote text only at fragment edges, dropping runs in other formatting between them (a06's italic title) - fixed.</t>
  </si>
  <si>
    <t>backend 1233 passed/1 skipped (tests/test_docx_fields.py 5: TOC kept where it starts and ends, written anew around its entries with its end in a paragraph of its own, copied whole into the original, written as text once its last paragraph is deleted, Word's own TOC/BIBLIOGRAPHY/CITATION survive a template with a sound package; test_docx_preservation regression for text between fragment edges - fails on the old writer); expected-loss manifests for a06/r01 updated on purpose; Vitest 166; Playwright 28; tsc + eslint clean; Word field update check</t>
  </si>
  <si>
    <t>backend/parsers, export</t>
  </si>
  <si>
    <t>2d8ad45</t>
  </si>
  <si>
    <t>DOCX-028: field codes in unchanged blocks are copied as they are; a field spanning paragraphs is never copied half (self-contained check).</t>
  </si>
  <si>
    <t>AUD-18</t>
  </si>
  <si>
    <t>DOCX-020A</t>
  </si>
  <si>
    <t>Header fields beyond page numbers survive a header edited here</t>
  </si>
  <si>
    <t>A header or footer the document leaves unchanged keeps all its fields (the original's part is kept, DOCX-011); one edited here is written from its text, where only {PAGE} and {NUMPAGES} are fields, so STYLEREF, DATE and the like become their last result. Keep every field of a header's text (placeholders the header editor shows and keeps) and write them back as fields.</t>
  </si>
  <si>
    <t>Header/footer fields the policy allows read as {FIELD instr|result} (formatting/header_fields.py); pages, preview and PDF show the result; Word export (new and into the original) writes the field with its result. Word opens an export with STYLEREF, DATE, PAGE, DOCPROPERTY as real fields; Word gate 60/60 unchanged.</t>
  </si>
  <si>
    <t>backend/tests/test_header_fields.py (6); frontend/editor/headerFields.test.ts (2); mutations on policy check and PDF fill caught</t>
  </si>
  <si>
    <t>147bece</t>
  </si>
  <si>
    <t>Refused fields (also typed by hand), fields whose text holds | { }, and every field in a header past 500 characters become their result as text. An unedited header in the original stays untouched.</t>
  </si>
  <si>
    <t>DOCX-021</t>
  </si>
  <si>
    <t>Comment threads</t>
  </si>
  <si>
    <t>Replies, resolved state, authors, ranges preserved (commentsExtended, people).</t>
  </si>
  <si>
    <t>Measured in Word first (hidden, read-only, scratchpad/word_comments.py): a07's author, text and range survived both Word exports, but its reply came back as a comment of its own and its resolved comment as open - the export dropped commentsExtended (which names each comment by its last paragraph's paraId) since comments written anew get new ids; and a comment over several paragraphs was ended where its first paragraph does by every export. Import (parsers/docx_comments.py, parsers/docx.py _comments): each comment keeps commentId, replyTo and done. Export (docx_export.py _thread_comments): commentsExtended written again for the comments the file has - copied ones from the original's threads, written ones from the import's, parents by the ids they have now, paraIds given to comments written anew, nothing when no reply or resolved one. A thread's comments are written together, first before replies, their end marks and references in that order (_after_earlier_ends): Word takes a reply whose reference comes before its comment's for a comment of its own (measured). Ranges: a comment over paragraphs is kept as a region (comment + comment_close; one ending in an empty paragraph ends where the block before does), its end and reference moved there on export (_OPEN_COMMENTS), its blocks one group into the original; one running into a list/table/code or whose last paragraph is deleted covers its first paragraph, reported (docx.comment_range, export.docx.comment_range). Package check names thread entries naming no comment; the true fidelity structure axis counts comments, replies and resolved ones. Word: a07's copied, rewritten and new-file exports show the reply under its comment and the resolved one resolved; a comment over three paragraphs spans all three, rewritten and in a new file.</t>
  </si>
  <si>
    <t>backend 1252 passed/1 skipped (tests/test_docx_comments.py 19: import keeps threads; copied, rewritten and new-file exports keep them; a reply after its comment; marks in Word's order; a copied reply answers its comment written anew; a reply whose comment is gone; no part without threads; fragments kept before threads; malformed thread data left out; package check names a bad entry; a comment over paragraphs keeps its range unchanged, first or last edited and in a new file; ending in an empty paragraph; into a table, reported; last paragraph deleted, reported - each mutation-checked); true fidelity axis catches the thread loss (mutation-checked); Vitest 166; Playwright 28; tsc + eslint clean; Word comment check</t>
  </si>
  <si>
    <t>5c4bf69</t>
  </si>
  <si>
    <t>Found on the way (P0, pre-existing since DOCX-028): a block deleted in the editor comes back in a Word export into the original - tracked as DOCX-028B.</t>
  </si>
  <si>
    <t>AUD-06</t>
  </si>
  <si>
    <t>DOCX-022</t>
  </si>
  <si>
    <t>Tracked changes preserved</t>
  </si>
  <si>
    <t>Not silently accepted; explicit choice.</t>
  </si>
  <si>
    <t>Measured in Word first (hidden, read-only): every Word export accepted a07's 7 revisions (0 after). Import (parsers/docx.py): tracked changes still read as accepted (a row deleted while tracking now gone; it came in as an empty row; formatting-only changes noted too) and the document marked trackedChanges 'kept'. Export (docx_export.py): a Word export into the original copies every unchanged block with its tracked changes (_self_contained(revisions=); a moved text's range balanced within the group like a bookmark); a block changed or restyled here has its own accepted and the rewritten-blocks note names 'tracked changes'. The import report says they're kept for export (fidelity/imports.py TRACKED_KEPT). Accepting them all is the person's choice: the review after the upload and the Проверка panel (frontend TrackedChangesChoice), PUT /documents/{id}/tracked-changes; the content stays (read as accepted either way); accepted, no export has them and none reports them lost (TRACKED_ACCEPTED, lossy as chosen); 409 without tracked changes or without the kept file. PDF: the word-only note names tracked changes. Word: a07's unchanged export has its 7 revisions and gives exactly the file's text on accept-all and on reject-all; with its table edited, accept-all gives the app's view and reject-all puts the moved paragraph back while the table stays as edited. True fidelity structure axis counts tracked-change marks (a07 19 -&gt; 0 after the academic template: pinned until DOCX-029).</t>
  </si>
  <si>
    <t>backend 1270 passed/1 skipped (tests/test_docx_tracked_changes.py 9: import reads them accepted and marks them kept, deleted row gone; unchanged export keeps all marks; a changed block accepts its own and the report says so; accepted as chosen: none, none reported lost; formatting-only noted and kept; no choice without; moves copied only with both range ends; the choice through the API changes exports and the report, content unchanged; 409/422 - each mutation-checked); test_original_blocks updated (copied unless accepted); a07 expected-loss and fidelity manifests updated on purpose; Vitest 172 (TrackedChangesChoice 3, setTrackedChanges 1, Проверка panel 2); Playwright 30 (tracked-changes: accepted at the review -&gt; none exported, kept in the panel -&gt; 7); tsc + eslint clean; Word revisions check</t>
  </si>
  <si>
    <t>122d2a2</t>
  </si>
  <si>
    <t>DOCX-028: blocks holding tracked changes are never copied (always written anew, accepted), so this task's explicit choice is still needed.</t>
  </si>
  <si>
    <t>DOCX-022A</t>
  </si>
  <si>
    <t>Tracked changes: reject all, and deleted paragraph marks</t>
  </si>
  <si>
    <t>Offer rejecting all tracked changes as a third choice (the import then reads deletions as text and leaves insertions out, formatting changes reverted, moves back where they were); and a paragraph whose mark was deleted while tracking is joined to the next one in the accepted view, as Word does on accepting (the import shows them apart).</t>
  </si>
  <si>
    <t>Reject all = third choice 'rejected': kept file has every revision rejected (parsers/docx_revisions.reject_all), document re-read from it, that file kept instead; one undoable step; 409 edits_would_be_lost until discardEdits (UI asks first); report TRACKED_REJECTED, cleaned-file notes kept. Accepted reading joins a paragraph whose mark was deleted to the next (join_deleted_marks; next keeps its style; sourceBlocks name both). Word check skips deleted rows. Measured in Word: reject_all == Word Reject All on the synthetic file and a07 (0 revisions, same 14 paragraphs); join == Accept All. Word gate 60/60 unchanged; rejected a07 exports open in Word.</t>
  </si>
  <si>
    <t>backend/tests/test_tracked_changes_reject.py (6; 8/8 mutations caught); test_docx_tracked_changes updated; TrackedChangesChoice.test.tsx (+3); services/api/documents.test.ts (+1); FidelityPanel.test.tsx updated; e2e tracked-changes.spec.ts (+1)</t>
  </si>
  <si>
    <t>1e15388</t>
  </si>
  <si>
    <t>Rejecting replaces edits made here (asked first, Undo restores). Once rejected, kept/accepted answer 409 (Undo is the way back).</t>
  </si>
  <si>
    <t>DOCX-023</t>
  </si>
  <si>
    <t>Content controls preserved</t>
  </si>
  <si>
    <t>w:sdt of every kind kept with its properties.</t>
  </si>
  <si>
    <t>Measured in Word first (hidden, read-only, scratchpad/word_controls.py, the previous code run from a temporary worktree): a08 written anew had none of its 8 content controls and Word couldn't read its 2 legacy form fields as form fields. Import (parsers/docx_inline.py, docx.py): a control in a paragraph is kept as a 'control' fragment with its sdtPr/sdtEndPr and the text just before and after it; one around blocks as open/close markers on its first and last block (preservedAttributes['controls'], nested ones inside); a picture control with its picture (preservedAttributes['control']); a legacy form field keeps its ffData. Export (docx_export.py): each written back with its properties -- a control whose text was changed goes between the text around it (_between), a checkbox's state follows its symbol (_check), block controls around the blocks written (_Controls, inner first; one missing its first or last block written without it + export.docx.control_region), a picture control around its picture; form fields' ffData in their begin; ids unique (_unique_control_ids); browser-sent XML checked (one sdtPr/sdtEndPr, no relationships); links and controls nest. Report: docx.content_control kept for export; docx.content_control.nested (tables, lists, text boxes) lossy / kept while unchanged, still named lost in a block written anew. True fidelity axis counts content controls (06-lists 0 -&gt; 2: its checklist as the export's checkbox controls, pinned). Word: a08 written anew and edited has all 8 controls with their types, titles, entries and date format, the checkbox unchecked once its symbol is, and both form fields working.</t>
  </si>
  <si>
    <t>backend 1280 passed/1 skipped (tests/test_docx_content_controls.py 10: each kind kept at import; a file written anew has every control back with its properties; controls in blocks changed here go back; a checkbox follows its symbol; a control around a paragraph goes back when it changes; legacy form fields keep their settings; unique ids; malformed control data left out; a control missing its last block left out and reported; a control in a table kept only while unchanged, reported -- each code path mutation-checked); test_copy_reports and test_original_blocks updated (controls now kept when written anew); 06-lists fidelity manifest updated on purpose; Vitest 172; Playwright 30; tsc + eslint clean; Word content control check</t>
  </si>
  <si>
    <t>256e7f6</t>
  </si>
  <si>
    <t>DOCX-028: content controls in unchanged blocks are copied with their properties (E2E proves it through the editor); written anew they are unwrapped (reported lossy at import).; Phase 3 gate (2026-09-30) found a regression and it was fixed: a control around a field over the same text (a06's citation control) was written with the field crossing the control, a file Word calls corrupted; over the same text a control/link is now outermost and the one opened last closes first; package_check names such a field; regression test test_a_control_around_a_field_holds_all_of_it.</t>
  </si>
  <si>
    <t>DOCX-023A</t>
  </si>
  <si>
    <t>Content controls in tables, lists and text boxes kept when written anew</t>
  </si>
  <si>
    <t>Content controls in table cells (inline, cell- and row-level), list items and text boxes are kept only as their text: copied while their block is unchanged, lost (and reported) once it is written anew. Keep them like the ones in top-level paragraphs: fragments in cells and list items, row/cell-level controls with their rows and cells.</t>
  </si>
  <si>
    <t>Controls in cell paragraphs, list items (top-level and in cells) and text-box paragraphs kept as control fragments (preservedAttributes['ooxml'] on TableCell/ListItem/paragraph blocks); controls around cells and rows (repeating sections, nested) kept per cell/row with their group and wrapped back (_wrap_in_controls). TableCell/TableRow/ListItem.preservedAttributes, server-kept (keep_preserved walks them). Rows inside a table-level control are now read (were dropped). Still text only: controls around paragraphs/tables inside a cell or text box (control_written_back). Word: synthetic file written anew and into the original has all 7 body controls + the text box's, opens without repair; a08 8/8; Word gate 60/60 unchanged.</t>
  </si>
  <si>
    <t>backend/tests/test_nested_content_controls.py (5); test_docx_content_controls.py (2 replacing 1); 11/11 mutations caught (+1 equivalent: attached marks have no note for controls); golden JSON + OpenAPI types regenerated</t>
  </si>
  <si>
    <t>081c993</t>
  </si>
  <si>
    <t>Word takes only rich-text controls around cells/rows. A row-level control's rows were silently(ish) dropped before -- the word check flagged it as changed.</t>
  </si>
  <si>
    <t>DOCX-024</t>
  </si>
  <si>
    <t>Real footnotes and endnotes</t>
  </si>
  <si>
    <t>Notes stay notes on export.</t>
  </si>
  <si>
    <t>Measured in Word first (hidden, read-only, scratchpad/word_notes.py): a10's 3 footnotes and 2 endnotes came back as 0 and 0 in every export, paragraphs at the end. Import (parsers/docx_inline.py, docx.py): each reference kept as a 'note' fragment around its label; each note block as the note it is (preservedAttributes['note'] = footnote:1 + label); the editor still shows them at the end. Export (docx_export.py _write_notes, _Notes): real footnoteReference/endnoteReference runs where the labels are; the notes into their parts again with their ids (so unchanged blocks are copied with their references -- _NOT_COPIED no longer refuses them, only references to notes deleted here), without the label, split into paragraphs, in Word's own footnote text/reference styles, a part with its two separators made when the file has none. A note deleted here leaves its label as text; one referred to from a list/table or whose reference was deleted is written at the end (export.docx.notes_at_end); a PDF prints them at the end (export.pdf.notes). Found on the way: the export added a second FootnoteText style (python-docx's case-sensitive lookup of 'Footnote Text' beside Word's 'footnote text') -- _named_style finds styles in any case; package_check names duplicate style ids and references to notes that aren't there. Word: a10 into the original and in a new file has all 5 notes after their sentences, edited (one deleted, one revised) as edited; r01's footnote too.</t>
  </si>
  <si>
    <t>backend 1290 passed/1 skipped (tests/test_docx_notes.py 10: references and notes kept at import; notes back as notes into a new file and into the original with their bold; an unchanged block copied with its reference; a note changed here written as it is; a note deleted here leaves its label as text with no dangling reference; a note referred to from a table written at the end and reported; a style never defined twice; the package check names a reference to a missing note; a PDF says they are at the end -- each code path mutation-checked); golden round trip updated (the notes note is said again after an export); expected-loss manifests for a10, r01, 12-complex updated on purpose; Vitest 172; Playwright 30; tsc + eslint clean; Word notes check</t>
  </si>
  <si>
    <t>4cd515b</t>
  </si>
  <si>
    <t>DOCX-025</t>
  </si>
  <si>
    <t>Hidden text stays hidden</t>
  </si>
  <si>
    <t>Imported hidden text is kept hidden, shown only on request.</t>
  </si>
  <si>
    <t>MarkType.HIDDEN (appended; no existing mark order changes). Importer resolves w:vanish as Word does: run, character style, paragraph style (the default paragraph style when none), docDefaults; webHidden stays visible; an explicit vanish=0 shows text in a hidden style. The detector uses the default paragraph style the same way and names hidden text as kept hidden (DETECTED_PRESERVED, not a content change). Editor: non-inclusive hidden mark (editor/hiddenText.ts; Word's display:none paste stays hidden), hidden by CSS unless .show-hidden; status bar 'Show hidden text (N words)' toggles it and re-paginates; the Structure panel leaves hidden text out of headings. Word export writes w:vanish (copied blocks keep theirs); PDF doesn't print hidden runs, export.pdf.hidden_text names the word count, and the PDF content check compares visible words (document_words(visible_only=True)); Word-side checks count hidden text on both sides. Golden 02-rich-text gained a hidden sentence (editor round trip in Vitest).</t>
  </si>
  <si>
    <t>backend 876 passed/1 skipped (tests/test_hidden_text.py 7: import resolution, default paragraph style, report, upload + content check + editor save, Word export round trip, PDF text + note + check); Vitest 125 (editor/hiddenText.test.tsx 6, golden round trip of 02); Playwright 22 (e2e/hidden-text.spec.ts: hidden until asked, dotted line when shown, vanish in the Word export); tsc + eslint clean</t>
  </si>
  <si>
    <t>backend/parsers, frontend</t>
  </si>
  <si>
    <t>7d1af86</t>
  </si>
  <si>
    <t>DOCX-028: vanish survives in unchanged blocks only; the model still shows hidden text as ordinary text - next task.</t>
  </si>
  <si>
    <t>DOCX-026</t>
  </si>
  <si>
    <t>Hyperlink policy and no silent autolink</t>
  </si>
  <si>
    <t>Plain-text addresses not turned into links by default; file:/UNC reported.</t>
  </si>
  <si>
    <t>Web and e-mail addresses a Word file has as plain text stay text by default (parsers/docx.py _inline autolinks only when the import's _AUTOLINK context variable is set, by import_docx(autolink=True)); the import report says they became links only then (fidelity/docx_detect.detect_docx_features(autolink=)). The option: autolink form field on POST /jobs/import-file (job payload) and POST /documents/upload, threaded through ingestion_service and DocumentService.create_from_bytes; the new-document wizard shows a checkbox for a .docx (importFile(..., { autolink })). Unsafe addresses were already kept as plain text and reported (docx.link.unsafe). Golden 05-links.docx now says its plain address stays text; capability rows docx.autolinks/docx.hyperlinks updated.</t>
  </si>
  <si>
    <t>backend 996 passed/1 skipped (tests/test_autolink.py 3: stays text by default, becomes links when asked and is reported, the upload takes the option; test_docx_fidelity/test_docx_detect/test_05_links updated); Vitest 166 (services/api/jobs.test.ts 2); Playwright 28 (e2e/links.spec.ts: golden 05 uploaded both ways); tsc + eslint clean</t>
  </si>
  <si>
    <t>914476f</t>
  </si>
  <si>
    <t>Done: links to unsafe addresses (javascript:, file:, UNC...) are kept as plain text and reported (docx.link.unsafe); plain-text addresses turned into links are reported (docx.autolink). Remaining: stop autolinking by default (a setting), per the task.</t>
  </si>
  <si>
    <t>AUD-03,AUD-13</t>
  </si>
  <si>
    <t>FMT-004</t>
  </si>
  <si>
    <t>Render-spec defaults respect the source</t>
  </si>
  <si>
    <t>Imported Word styles are not overridden by defaults (headings not forced bold).</t>
  </si>
  <si>
    <t>parsers/docx_styles.py: as_word_draws completes what a Word style and the document defaults leave unset with what Word draws there (no bold/italics, no spacing, single lines, left aligned, no indent, 10 pt Times New Roman) - the last level of every style extract_style_system takes and of each paragraph compared with its kind in parsers/docx.py _element_rules (tables and notes fall back on their kind: their look is only what their text shares). Word tables leave no gap after them (tables spaceAfterPt 0; pdf_export no longer turns a 0 margin-bottom into 6 pt). So render_spec defaults (bold headings, 18/6 pt around them, 8 pt after paragraphs and tables, 1 cm quote indent, small italic captions) no longer override an import; templates (priority 4-5) still restyle it (source 6, defaults 8). Visual baseline updated after review (12-complex + Академичен: quote not indented, captions not italic, no gap after the table - as the file says). Documents imported earlier keep their rules.</t>
  </si>
  <si>
    <t>backend 993 passed/1 skipped (tests/test_source_styles.py 3: a heading style that isn't bold stays regular and unspaced, in Word too; what the file leaves unset is what Word draws; a template still restyles); Vitest 164; Playwright 27 (visual baseline regenerated and reviewed); tsc + eslint clean</t>
  </si>
  <si>
    <t>backend/formatting</t>
  </si>
  <si>
    <t>54a36e4</t>
  </si>
  <si>
    <t>TEST-020</t>
  </si>
  <si>
    <t>Word-authored fixtures in the repository</t>
  </si>
  <si>
    <t>20 synthetic Word-authored fixtures, scrubbed of identifying metadata.</t>
  </si>
  <si>
    <t>backend/tests/fixtures/word/: 20 synthetic documents written by Microsoft Word through COM (the audit's a01-a12 and r01-r05 plus a13-pictures, a14-modified-styles, a15-links), built by backend/scripts/make_word_fixtures.py (Windows + Word only, refuses while Word is open, kills no process), manifest.json recording every feature Word put in (none refused), a README saying what each holds. Each file scrubbed: the Word user's name and initials, Office sensitivity labels (MSIP_Label_*), comment authors' sign-in identities (w15:presenceInfo; the audit's a07 carried the account's e-mail), any company/manager/author Office filled in; the fixtures' own made-up values kept (a12's custom properties, a07's comment authors). Secret scan clean over 498 files.</t>
  </si>
  <si>
    <t>backend 1037 passed/1 skipped (tests/test_word_fixtures.py 41: 20 files listed in the manifest with nothing refused; nothing identifying in any part - labels, presence info, home folders, non-example e-mails, authors, core/app properties; each imports and exports to a sound Word file)</t>
  </si>
  <si>
    <t>backend/tests/fixtures/word</t>
  </si>
  <si>
    <t>505d97f</t>
  </si>
  <si>
    <t>TEST-021</t>
  </si>
  <si>
    <t>Expected-loss manifests in CI</t>
  </si>
  <si>
    <t>expected-loss.json per fixture; CI compares actual vs expected.</t>
  </si>
  <si>
    <t>Next to each of the 37 fixtures (17 golden, 20 Word-authored), &lt;fixture&gt;.expected-loss.json: the import report and the Word and PDF exports' reports as an upload and an export job make them (file kept via with_source_kept, fingerprints stamped, Word export into the original), reduced to each item's feature, policy, count, contentChanged and each content check's status (app/fidelity/loss_manifest.py). tests/test_expected_losses.py compares them with what happens now - in CI too - naming each new, gone or changed item; scripts/export_expected_losses.py rewrites them on purpose (keeping other platforms' PDF claims). PDF claims are per platform (win32 recorded) because PDF fonts come from the machine; import and Word export are compared everywhere. Recorded gaps include a03 numbered headings typed into text (DOCX-016A), a07 tracked changes accepted (DOCX-022), a09 charts/SmartArt/objects left out (DOCX-019), a11 scripts missing from the PDF.</t>
  </si>
  <si>
    <t>backend 1075 passed/1 skipped (tests/test_expected_losses.py 38: every fixture has a manifest; each fixture loses what its manifest says - deterministic over two runs; a mutated manifest fails naming the new item and the content change)</t>
  </si>
  <si>
    <t>05c6c69</t>
  </si>
  <si>
    <t>TEST-021A</t>
  </si>
  <si>
    <t>PDF expected losses on the CI platform</t>
  </si>
  <si>
    <t>PDF claims in the expected-loss manifests are recorded for Windows only: the PDF export takes fonts from the machine (export/fonts.py), and CI's Linux has other fonts (Liberation, DejaVu), so its reports differ. Record the Linux claims (python -m scripts.export_expected_losses in the CI image) once fonts are bundled or pinned (Phase 11 FontResolver), so CI compares PDF losses too.</t>
  </si>
  <si>
    <t>CI backend job records the Linux PDF claims after its tests and uploads them (artifact expected-loss-linux); scripts/merge_expected_losses.py merges only that platform's PDF claims (test_expected_losses: merged in and nothing else). Remaining: download one run's artifact, merge, commit.</t>
  </si>
  <si>
    <t>backend/tests/test_expected_losses.py::test_another_platforms_pdf_claims_are_merged_in_and_nothing_else</t>
  </si>
  <si>
    <t>9760557</t>
  </si>
  <si>
    <t>BLOCKED: needs the CI artifact from GitHub (no Linux here: no Docker, no WSL distro; GitHub API not used from this machine). Boril: download expected-loss-linux from a CI run, run python -m scripts.merge_expected_losses DIR, commit.</t>
  </si>
  <si>
    <t>TEST-022</t>
  </si>
  <si>
    <t>True fidelity test</t>
  </si>
  <si>
    <t>SOURCE -&gt; import -&gt; format -&gt; editor save -&gt; export -&gt; reimport -&gt; compare SOURCE vs RESULT: content, formatting, metadata, structure separately.</t>
  </si>
  <si>
    <t>app/fidelity/round_trip.py: every fixture (37) through the app's whole path - imported as an upload imports it (with_source_kept, fingerprints), the academic template (apply_formatting), the editor's save (elements through JSON, keep_provenance), a Word export into the original - and the result file against the source on four axes each on its own: content (body and header words, compare_words), structure (kinds, heading levels, list levels, table shapes, pictures; difflib), formatting (each used kind's look and mark counts against the formatted document), metadata (core and custom properties; modified excluded). Pinned per fixture in &lt;fixture&gt;.expected-fidelity.json (scripts/export_expected_fidelity.py). Found and fixed: (1) the Word export overwrote the title - a file without one got its display name, a12's own title was replaced by its first heading - now SourceProperties.title/importedTitle keep them apart; (2) after a template, kinds it didn't set looked one way in the app and another in Word (Word styles based on Normal took the new body look): the import leaves out of each kind what it only inherits from Normal (docx_styles.inherit_from_normal, render_spec.FROM_BODY) and the export into the original writes every kind's style once Normal changed. Today only a03's typed heading numbers differ (DOCX-016A). Visual baseline updated after review (lists, table text, captions, quote follow the template's body font as in Word).</t>
  </si>
  <si>
    <t>backend 1224 passed/1 skipped (tests/test_true_fidelity.py 149: 37 fixtures x 4 axes + manifest check; test_docx_detect title case updated incl. a rename); Vitest 166; Playwright 28 (visual baseline regenerated and reviewed); tsc + eslint clean</t>
  </si>
  <si>
    <t>6869d5c</t>
  </si>
  <si>
    <t>TEST-023</t>
  </si>
  <si>
    <t>Independent validation</t>
  </si>
  <si>
    <t>OOXML schema validation, Word when available, docx2python; pdftotext/PyMuPDF for PDF.</t>
  </si>
  <si>
    <t>app/export/package_check.py: an independent package check (zip read directly): well-formed parts, content types, relationships resolving, relationship ids used, defined styles/lists/comments. Found a real defect on first run (python-docx's add_comment refers to an undefined CommentReference style; exports now define it). Every golden export passes, fresh and into its original.</t>
  </si>
  <si>
    <t>tests/test_package_check.py (13)</t>
  </si>
  <si>
    <t>The docx skill's XSD validator needs defusedxml (not installed; installing needs a download) - schema-level validation remains open.</t>
  </si>
  <si>
    <t>DOCX-027</t>
  </si>
  <si>
    <t>Importer builds nested blocks</t>
  </si>
  <si>
    <t>Use TableCell.blocks / ListItem.blocks on import: pictures, lists (with bullets) and nested tables inside cells, pictures inside list items - instead of dropping or flattening them.</t>
  </si>
  <si>
    <t>Importer (parsers/docx.py): a numbered paragraph's pictures are what its item holds after its text -- ListItem.blocks image blocks (_pictures, _picture_blocks) with their picture properties, top-level (_flush_list) and in table cells (_CellPart item pictures; a cell's list is no longer split by an item's picture); a numbered paragraph holding only a picture is an item (no longer left out as empty); floating ones noted (_note_floating). Word export (_add_list): an item's leading pictures go back into its own paragraph (_add_image into=), so a round trip is stable; the editor and a PDF draw them under the item's text. docx.list_item.image removed; capability docx.list_item_images now yes/yes/yes/yes. Cells were done with DOCX-017. Golden 17-pictures.docx has the list; golden signature compares list items' blocks (_held). Seen in the browser and a rendered PDF.</t>
  </si>
  <si>
    <t>backend 990 passed/1 skipped (tests/test_docx_pictures.py 10 incl. list round trip, cell list, PDF; test_docx_parser.py::test_a_picture_in_a_list_item_is_the_items_block; golden 17 round trips); Vitest 164 (editor round trip of golden 17 with the list); Playwright 27 (e2e/pictures.spec.ts: list items hold their pictures, labels 1..3); tsc + eslint clean</t>
  </si>
  <si>
    <t>a6c0b98</t>
  </si>
  <si>
    <t>AUD-01,AUD-03,AUD-08</t>
  </si>
  <si>
    <t>DOCX-027A</t>
  </si>
  <si>
    <t>An item that is only a picture shows its number beside it</t>
  </si>
  <si>
    <t>A list item holding only a picture shows its number on an empty line of its own above the picture in the editor and a PDF (the editor's list item starts with a paragraph); Word shows the number beside the picture, in the item's paragraph. Draw the number beside the picture (and, in a PDF, an item's leading pictures in its paragraph) without losing the place to type.</t>
  </si>
  <si>
    <t>PDF: pdf_export._leading_pictures, _picture_row (label + in-line leading pictures in one row, VALIGN BOTTOM, label at the level's hanging indent), _label_markup factored; editor: listLabels.isPictureItem -&gt; data-picture-item on the li, globals.css (:has empty paragraph) collapses the empty paragraph and puts the ::before label at the bottom; capabilities docx.list_item_images, docs/docx/README.md</t>
  </si>
  <si>
    <t>backend test_docx_pictures.py::test_a_pdf_draws_the_number_of_an_item_that_is_only_a_picture_beside_it (pdfminer: '2.' left of the picture, on its bottom line; item with text keeps its picture below); full backend 2551 passed/11 skipped; Vitest 357 (listLabels: which items are marked, floating picture not); Playwright full 59 passed/1 skipped (pictures.spec: paragraph 0 high, label at bottom, after typing laid out as any item); mutations 4/4</t>
  </si>
  <si>
    <t>f81a433</t>
  </si>
  <si>
    <t>DOCX-028</t>
  </si>
  <si>
    <t>Unchanged blocks keep their original XML in Word exports</t>
  </si>
  <si>
    <t>Blocks the user didn't change are written back as their original XML (fields, content controls, run-level formatting the model can't hold, bookmarks), changed ones regenerated; needs block provenance from the importer and fingerprints.</t>
  </si>
  <si>
    <t>Importer records each top-level element's body children (Element.sourceBlocks: list items, drop caps, derived page breaks); an upload with a kept file stamps content+look fingerprints (Element.sourceHash, app/export/provenance.py: own/kind/body/nested resolved styles; page breaks have no look). docx_export._copy_plan groups elements with their children (uncovered children join the group before) and copies a group verbatim when every element is unchanged, together and in original order, children contiguous, XML self-contained (no tracked changes/note refs/altChunk; balanced fields, bookmarks, comment ranges); everything else is written anew. Provenance is server-side (keep_provenance on PUT /content). Page setup now runs after the body: changed size/margins reach every kept section (orientation kept, landscape turned), a changed main header is rewritten where Word shows it (link to previous), page numbers left out/asked for apply to every section. export.docx.section_lost (LOSSY) names sections lost with a changed paragraph; import report: earlier sections' setup/headers kept while unchanged; PDF names them Word-only. All 13 golden documents stamped + exported into their originals: sound packages, content verified (12-complex rewrites only the footnote paragraph and the note, by design).</t>
  </si>
  <si>
    <t>backend 869 passed/1 skipped (tests/test_original_blocks.py 26 incl. 13 golden; test_source_package.py rewritten claims with export proof; test_golden_documents.py 13 files); Vitest 119 (editor round trip of 13-kept-blocks); Playwright 21 (e2e/kept-blocks.spec.ts: edit in the real editor, untouched paragraphs keep content control, double underline, landscape section); tsc + eslint clean</t>
  </si>
  <si>
    <t>c8c2d27</t>
  </si>
  <si>
    <t>Follow-up of DOCX-011 (package-level patch writer).; Known limit: any restyle (template, instruction) changes the body look, so every block but page breaks is written anew; follow-up DOCX-029. Sections survive only with their ending paragraph until DOCX-015 models them.</t>
  </si>
  <si>
    <t>DOCX-028A</t>
  </si>
  <si>
    <t>Fingerprints stay stable as the model grows</t>
  </si>
  <si>
    <t>Block fingerprints (export/provenance.py) counted default values, so every field added to the model since DOCX-028 (DOCX-017's TableRow.heightRule/repeatHeader/cantSplit and TableContent.headerBold, DOCX-018's picture flips) changed the fingerprint of blocks stored before it: they looked changed and the Word export rewrote them instead of copying their original XML. Leave defaults out of fingerprints; check hashes stamped earlier as the model stood then.</t>
  </si>
  <si>
    <t>export/provenance.py: fingerprint() leaves every field at its default out (_without_defaults walks the model with its dump), so a field added later leaves stored fingerprints as they were; unchanged() also accepts a hash stamped before this (to DOCX-018), computed as the model stood then: every field counted, the fields added since at their defaults left out, by epoch (_STAMPED_BEFORE: from DOCX-028, from DOCX-017 part 1a, from part 1b).</t>
  </si>
  <si>
    <t>tests/test_original_blocks.py::test_a_block_stored_before_the_model_grew_is_still_unchanged (6: 04-images and 16-table-engine, stored in each epoch, loaded now: unchanged; restamped: unchanged; a flip or cantSplit changed: changed) - fails with _STAMPED_BEFORE emptied; backend 987 passed/1 skipped</t>
  </si>
  <si>
    <t>DOCX-028B</t>
  </si>
  <si>
    <t>Blocks deleted here never come back in a Word export</t>
  </si>
  <si>
    <t>A block deleted in the editor came back in a Word export into the original: the copy plan (DOCX-028) took an original body child no element holds any more for one the import left out (a spacing paragraph) and copied it with the block before; a paragraph's picture deleted came back with its unchanged paragraph (they share the child). Record how many elements each child was read into at import; never copy a child fewer elements hold now; keep copying the ones the import left out.</t>
  </si>
  <si>
    <t>Reproduced: three paragraphs, the second deleted -&gt; all three in a Word export into the original; a paragraph's picture deleted -&gt; back with its unchanged paragraph; a section break deleted whose paragraph was unchanged -&gt; back. The copy plan (_copy_plan) took an original body child no element holds for one the import left out (a spacing paragraph) and copied it with the block before, and copied a group whose shared child lost one of its elements. Now stamping as imported (export/provenance.py stamp, block_use) records how many elements each body child was read into (Document.sourceBlockUse, server-side: saves only replace elements); a child fewer elements hold now had one deleted: never copied nor taken for one left out, and a group still holding it is written anew; contiguity allows the gaps of deleted children; children the import left out still go with the block before. A document stamped before this has its file read again as its import read it (_block_use). OpenAPI and frontend types regenerated.</t>
  </si>
  <si>
    <t>backend 1261 passed/1 skipped (tests/test_original_blocks.py 9: a block deleted here never comes back - first, middle and last, as stamped now and stamped before (file read again), the spacing paragraph kept and the rest still copied; a picture deleted from its paragraph; a section break deleted; through the API - all fail without the fix); Playwright 29 (kept-blocks: a paragraph deleted in the editor is gone from the Word export, the untouched blocks still copied - fails without the fix); Vitest 166; tsc + eslint clean</t>
  </si>
  <si>
    <t>0485210</t>
  </si>
  <si>
    <t>Found while finishing DOCX-021 (2026-09-30): three paragraphs, the second deleted -&gt; all three in the export.</t>
  </si>
  <si>
    <t>DOCX-029</t>
  </si>
  <si>
    <t>Restyled blocks keep their original XML where nothing conflicts</t>
  </si>
  <si>
    <t>After a template or instruction restyles a kind of block, copy a block's original XML when its paragraph style is the Word style the export rewrites for that kind and its direct formatting (pPr/rPr) sets none of the properties that changed; today any restyle writes every block anew (content controls, double underline etc. then lost, as the import report says).</t>
  </si>
  <si>
    <t>Stamp keeps restylable blocks' resolved styles (Document.sourceStyles); provenance.look_changes = look-only change + changed properties; docx_export._RestyleCopy copies a paragraph/heading when its own look apart from its kind is as imported, its Word style is the kind's written style (restyled), and its own pPr/rPr sets none of the changed properties (rStyle/unmapped = set). Word gate 60/60 open; template exports into originals now as close or closer to originals' paragraph counts; a07 keeps 7/19 tracked-change marks (manifest 19-&gt;0 re-recorded 19-&gt;7).</t>
  </si>
  <si>
    <t>backend/tests/test_restyled_blocks.py (8); 7/7 mutations caught (+1 defensive guard unreachable by current rules); golden JSON + OpenAPI regenerated</t>
  </si>
  <si>
    <t>0b01b81</t>
  </si>
  <si>
    <t>Documents stamped before DOCX-029 (no sourceStyles) restyle as before; lists/tables/quotes/multi-paragraph blocks still written anew when restyled.</t>
  </si>
  <si>
    <t>FID-007</t>
  </si>
  <si>
    <t>Reports follow the Word copy</t>
  </si>
  <si>
    <t>With the original kept, the import report names what lives in blocks as kept in the Word export while the paragraph is unchanged, and an export that writes such a block anew names what it lost; a copy never brings back a link the app doesn't allow.</t>
  </si>
  <si>
    <t>fidelity/imports.py KEPT_WHILE_UNCHANGED (content controls, text boxes, charts/shapes/SmartArt, objects, picture crop/rotation/floating, drop caps, empty paragraphs, approximated underlines, character scale, text effects, RTL) -&gt; detected_not_editable 'kept while the paragraph isn't changed or restyled'; docx_export._copy_plan returns rewritten groups, _lost_in/_rewritten_losses -&gt; export.docx.rewritten_blocks (LOSSY, count, kinds incl. proofing exclusions); _safe_links keeps groups with unsafe links (relationships or HYPERLINK fields) from being copied; the PDF's Word-only note covers the features.</t>
  </si>
  <si>
    <t>tests/test_copy_reports.py (6): kept while unchanged at import, rewritten losses named (content controls, stretched text), unsafe javascript: link never copied back, PDF word-only; backend 894 passed/1 skipped; Playwright 22</t>
  </si>
  <si>
    <t>Generalises DOCX-028's section handling (export.docx.section_lost) to everything the model doesn't hold inside blocks.</t>
  </si>
  <si>
    <t>PDF-013</t>
  </si>
  <si>
    <t>Nested blocks take their container's text look in a PDF</t>
  </si>
  <si>
    <t>Only top-level elements have a styleRef, so in a PDF a block nested in a table cell, a list item or a quote had no style: Helvetica with a leading equal to its font size (text by a picture in a cell was covered by it). Draw it in the text look of what holds it (font, size, line height, colour, alignment), as the editor does by CSS inheritance.</t>
  </si>
  <si>
    <t>pdf_export.py: _resolved_css falls back to the look of what holds a block (_AROUND, set by _inside for a table cell's blocks, a list item's blocks and a quote's non-paragraph children: font-family, font-size, line-height, color, font-weight, font-style, text-align). Golden 17's cell paragraph is Cambria with the table's line height and the picture below it no longer covers it (rendered).</t>
  </si>
  <si>
    <t>tests/test_docx_pictures.py::test_in_a_pdf_the_text_by_a_picture_in_a_cell_keeps_the_tables_look (fails without the fallback); backend 987 passed/1 skipped</t>
  </si>
  <si>
    <t>SEC-010</t>
  </si>
  <si>
    <t>Malformed DOCX -&gt; safe 4xx</t>
  </si>
  <si>
    <t>XML/zip/structure errors map to invalid_file; fuzz corpus shows no 500.</t>
  </si>
  <si>
    <t>Malformed Word files are a 400 invalid_file with a message for people from upload, import-file and extract-reference jobs and /templates/extract; never a 500, nothing stored (no row, no asset). parsers/docx.py::_check_parts checks every XML part before python-docx opens the file (streamed parser target, no tree): well-formed and no DTD (OPC forbids DTDs). The probe found two silent gaps it closes: a DTD's entities made python-docx read an empty document; unread parts (theme, font table, customXml, app.xml) went in broken and would have gone back out in a Word export into the original. Failures after that say 'couldn't be read'; the log names the exception type and innermost frames, never its message. 10/10 mutations killed.</t>
  </si>
  <si>
    <t>backend/tests/test_malformed_files.py (110: corpus of a03 and 12-complex through the parser, the upload route and the jobs; external entity never read; log leaks nothing; report failure refused); backend/tests/malformed_docx.py (corpus)</t>
  </si>
  <si>
    <t>5b159e0</t>
  </si>
  <si>
    <t>AUD-12</t>
  </si>
  <si>
    <t>SEC-011</t>
  </si>
  <si>
    <t>Malformed PDF -&gt; safe 4xx</t>
  </si>
  <si>
    <t>Verified with a fuzz corpus.</t>
  </si>
  <si>
    <t>A PDF that can't be read is a 400 invalid_file with its exact message (not valid, password, too much data, no text, damaged) from upload, the import-file job and an instructions file; one app-level handler. Whatever pypdf throws is a refusal, logged by type and frames. Probe found pypdf mends a stream that doesn't decode or a missing object and loses that text with only a warning: read_pdf collects pypdf's warnings per read (ContextVar) and tells harmless repairs from losing ones; the import reports pdf.damaged (a content change), an instructions file is refused, a damaged file with no text says so. pypdf's warnings never reach the log. Uncountable pictures are said to be possibly left out. Dead duplicate build_document_from_pdf removed. 17/17 mutations killed.</t>
  </si>
  <si>
    <t>backend/tests/test_malformed_pdfs.py (45: 19 variants through the reader and the upload route, the import job, the instructions route, the log, concurrent reads, uncountable pictures); backend/tests/malformed_pdf.py (corpus)</t>
  </si>
  <si>
    <t>44958e6</t>
  </si>
  <si>
    <t>SEC-012</t>
  </si>
  <si>
    <t>Image resource limits</t>
  </si>
  <si>
    <t>Compressed and decompressed size, pixel count, width, height, images per document, total bytes, format allowlist; rejected before rasterisation.</t>
  </si>
  <si>
    <t>Limits (security/files.py): a picture 20 MB, 50 megapixels, 20,000 px a side; a document 1000 pictures / 200 MB (an export holds them in memory at once). picture_problem judges the header before any decode; only PNG/JPEG/GIF/WebP/BMP ever opened (formats= on every Image.open; Pillow would try 43, EPS runs Ghostscript); a picture must be the type it claims. Pillow backstop: MAX_IMAGE_PIXELS = half the limit, so Pillow itself refuses past it for any decode (reportlab's) whatever warning filters are in force. Word import: left out and said to be (docx.image.too_large / too_many). Editor save: such a picture removed and named; past the document's number or bytes -&gt; 413 too_large before anything is stored; the editor shows why and stops retrying. Export: a picture from before the limits left out (export.image.too_large). Found: autosave re-sent a failing save every 1.2 s (id sync scheduled saves) -- fixed, backoff pinned. 16/16 backend mutations killed + the frontend loop fix.</t>
  </si>
  <si>
    <t>backend/tests/test_picture_limits.py (25: 18-picture corpus by header &lt;0.5 s, Pillow backstop, allowlist, Word import, save removal and 413 storing nothing, both exports); frontend/editor/useAutoSave.test.tsx (413 says why and isn't retried; a failing save backs off)</t>
  </si>
  <si>
    <t>backend/security</t>
  </si>
  <si>
    <t>6550753</t>
  </si>
  <si>
    <t>AUD-09</t>
  </si>
  <si>
    <t>SEC-013</t>
  </si>
  <si>
    <t>PDF bombs, huge XML, decompression limits</t>
  </si>
  <si>
    <t>Reviewed and tested limits.</t>
  </si>
  <si>
    <t>Every resource limit reviewed and recorded in one table (docs/security/README.md, Limits). Measured: Word reading ~0.35 ms a paragraph; a PDF page's text extraction grows faster than its content (13 s for 2 MB). Closed: Word files capped at 50,000 paragraphs and 50,000 table cells (counted in the streaming part check); a PDF page at 2 MB of content and a PDF at 60 s of reading, checked between pages. Markdown needs no new limit within the 2,000,000 characters of pasted text. 4/4 mutations killed. Job timeouts belong to JOB-001.</t>
  </si>
  <si>
    <t>backend/tests/test_limits.py (5: each limit on an ordinary file with the limit lowered, and over the API)</t>
  </si>
  <si>
    <t>05e4b4e</t>
  </si>
  <si>
    <t>SEC-014</t>
  </si>
  <si>
    <t>Href policy</t>
  </si>
  <si>
    <t>Server-side scheme allowlist; javascript:/data:/vbscript:/file: never exported as active links.</t>
  </si>
  <si>
    <t>One policy for link addresses (backend/app/security/links.py::safe_href): absolute addresses with http, https, ftp, ftps, mailto, tel, callto, sms, xmpp (the editor's Tiptap list but cid:); bare www. gets https://; never javascript:, data:, vbscript:, file:, UNC, protocol-relative, relative, #anchor, or past 2048 chars; control codes dropped and tabs/newlines inside removed before the scheme is read. The model keeps no other address (Mark.href validator; a link without one keeps its text). Word import (docx.link.unsafe) and Markdown (markdown.link.unsafe) report; neither export writes an unsafe address as a live link whatever it is handed; the health check never calls one usable. The editor uses the same rule (editor/linkPolicy.ts as Tiptap isAllowedUri; the reconcile names a link it can't keep). A shared 34-case fixture (frontend/tests/fixtures/link-policy.json) is read by both test suites. 14/14 mutations killed.</t>
  </si>
  <si>
    <t>backend/tests/test_link_policy.py (39: the shared corpus, length and IPv6, the API keeps no unsafe address, Markdown report, both exports, health); frontend/editor/linkPolicy.test.ts (38: the shared corpus, paste, reconcile note, www., length)</t>
  </si>
  <si>
    <t>backend/models, export</t>
  </si>
  <si>
    <t>cfdf3af</t>
  </si>
  <si>
    <t>AUD-13</t>
  </si>
  <si>
    <t>SEC-015</t>
  </si>
  <si>
    <t>Field instruction allowlist</t>
  </si>
  <si>
    <t>No DDE/INCLUDETEXT/INCLUDEPICTURE/external fields accepted from clients or exported.</t>
  </si>
  <si>
    <t>Only fields that show what the document holds or works out stay fields (backend/app/security/fields.py ALLOWED_FIELDS; HYPERLINK only to a SEC-014 address or a bookmark). DDE, DDEAUTO, INCLUDETEXT, INCLUDEPICTURE, INCLUDE, IMPORT, LINK, RD, DATABASE, MACROBUTTON, PRINT and anything unlisted keep their last result: an upload is cleaned before it is read or kept (clean_package/neutralize_fields over body, headers, footers, notes, comments, building blocks; nested and tracked-deleted fields too), reported as docx.field.unsafe; the importer keeps none whoever calls it; the export writes a field fragment only when allowed and drops a refused region's end with its start. Found: a save took preservedAttributes from the browser -- keep_preserved now keeps the server's at any depth. A HYPERLINK javascript: field is no longer kept as a field. Word opens the cleaned file and its export (DATE, PAGE only). 11/11 mutations killed.</t>
  </si>
  <si>
    <t>backend/tests/test_field_policy.py (32: allowlist corpus, neutralize on nested/deleted/never-calculated, Word file body+header cleaned/reported/exported clean, a save adding a DDE field, the export's own check, the importer alone)</t>
  </si>
  <si>
    <t>eaf65f0</t>
  </si>
  <si>
    <t>SEC-016</t>
  </si>
  <si>
    <t>External relationships policy</t>
  </si>
  <si>
    <t>No arbitrary external targets in exports.</t>
  </si>
  <si>
    <t>The Word file kept as the original keeps no external target but links a link may have (backend/app/security/package.py::clean_package, which also holds SEC-015's field cleaning): a remote attachedTemplate, a linked picture's r:link (the embedded picture stays), a sub-document, a linked object, a mail merge with its data source, connection string and query are taken out at upload, with what referred to them; a link to a refused address keeps its text. Reported as docx.link.unsafe (the importer's words, one constant) and docx.external.unsafe. Found: python-docx keeps orphan relationships on save, so an unsafe link's relationship travelled out in every Word export. Nothing dangling (package check); Word opens the cleaned file and its export. 8/8 mutations killed.</t>
  </si>
  <si>
    <t>backend/tests/test_external_targets.py (a Word file pointing outside itself from settings, body and header: cleaned, reported, exported with only the safe link)</t>
  </si>
  <si>
    <t>04b8a40</t>
  </si>
  <si>
    <t>SEC-017</t>
  </si>
  <si>
    <t>Malicious SVG</t>
  </si>
  <si>
    <t>Verified refused everywhere.</t>
  </si>
  <si>
    <t>SVG verified refused everywhere, no app change needed: a pasted SVG data URI, or SVG bytes claiming PNG, removed on save with nothing stored; a Word SVG picture read as its PNG fallback (svgBlip), an SVG-only one reported as docx.image.format; Markdown never parses data:image/svg as a picture (markdown-it); picture_problem refuses it (Pillow can't open SVG, and the allowlist); an export handed one leaves it out and says so; a stored asset is served with its stored type, nosniff and CSP default-src 'none'; sandbox, by the asset route and the API-wide headers (removing both fails the test).</t>
  </si>
  <si>
    <t>backend/tests/test_svg.py (6, in the security suite)</t>
  </si>
  <si>
    <t>ef2bc91</t>
  </si>
  <si>
    <t>SEC-018</t>
  </si>
  <si>
    <t>Prompt injection / AI output abuse</t>
  </si>
  <si>
    <t>Tests with hostile documents; outputs validated.</t>
  </si>
  <si>
    <t>Hostile-document tests: the document can't close its fence; out-of-bounds answers refused and fall back; an instruction steered by the document deletes nothing (proposals only) and a CSS break-out value is dropped; style-analysis flags on unknown elements dropped (see AI-009).</t>
  </si>
  <si>
    <t>tests/test_prompt_injection.py</t>
  </si>
  <si>
    <t>SEC-019</t>
  </si>
  <si>
    <t>Error envelope audit</t>
  </si>
  <si>
    <t>Every error {code, message, details, request_id}; no stack traces to users.</t>
  </si>
  <si>
    <t>Every error is {code, message, details, request_id} with a message for people (backend/tests/test_error_envelope.py): a sweep over every OpenAPI operation, signed in and not, with junk ids and bodies; plus an unknown path (not_found), a wrong method (method_not_allowed), an invalid body (invalid_request with loc/msg/type, no value -- a password stays out), a body too large (too_large) and a forced crash (internal_error, nothing of the crash in it). Found: a format request's invalid conflict resolutions answered with pydantic's own report, values included -- now a RequestValidationError like any other. 3/3 mutations killed.</t>
  </si>
  <si>
    <t>backend/tests/test_error_envelope.py (61, in the security suite)</t>
  </si>
  <si>
    <t>backend/api</t>
  </si>
  <si>
    <t>cac0d52</t>
  </si>
  <si>
    <t>SEC-020</t>
  </si>
  <si>
    <t>CSP without 'unsafe-inline' scripts</t>
  </si>
  <si>
    <t>Nonce-based CSP for the Next.js app.</t>
  </si>
  <si>
    <t>frontend/proxy.ts (per-request nonce CSP), docs/cloud-reports/SEC-020-STOR-001.md</t>
  </si>
  <si>
    <t>frontend/proxy.test.ts, e2e/csp.spec.ts</t>
  </si>
  <si>
    <t>0dc4c96</t>
  </si>
  <si>
    <t>TEST-030</t>
  </si>
  <si>
    <t>Security regression suite</t>
  </si>
  <si>
    <t>Fuzz corpus, pixel bombs, href/field policy, IDOR, CSRF.</t>
  </si>
  <si>
    <t>The security regression suite is one pytest marker (security, registered in backend/pytest.ini; 433 tests): the SEC-010..015 corpora (malformed Word, PDF, pictures, link and field policies), prompt injection, upload checks, document authorization, and backend/tests/test_security_suite.py, which reads the API's OpenAPI schema so no route goes unchecked: all 33 routes taking an id answer another workspace exactly as a missing id (404, same body), need sign-in, and leave the owner's document, picture, job and template untouched (a route without a request in its table fails the suite); all 37 writes refuse another site's Origin. CI runs it as its own step, then -m 'not security' (each test once). 5/5 mutations killed (document/asset/job/template ownership, cross-site check).</t>
  </si>
  <si>
    <t>backend/tests/test_security_suite.py (106); pytest -m security (433)</t>
  </si>
  <si>
    <t>SEC-010,SEC-012,SEC-014,SEC-015</t>
  </si>
  <si>
    <t>d15574f</t>
  </si>
  <si>
    <t>AUD-09,AUD-12,AUD-13</t>
  </si>
  <si>
    <t>SEC-021</t>
  </si>
  <si>
    <t>Sensitivity-label metadata in the public repository</t>
  </si>
  <si>
    <t>корекции.docx (committed in 5f2bf9e, pushed) carries 8 MSIP_Label_* custom properties incl. the organisation's tenant SiteId (label: Microsoft default 'General' family, no content marking). Options: leave; scrub the file in a new commit (HEAD only); purge from history (force-push).</t>
  </si>
  <si>
    <t>repository history</t>
  </si>
  <si>
    <t>Needs Boril: the choice involves his organisation's label and possibly rewriting pushed history. The tracker tools now strip MSIP labels on every write; the pre-push scan flags them.</t>
  </si>
  <si>
    <t>SEC-022</t>
  </si>
  <si>
    <t>Formatting rule values can't break out of a style</t>
  </si>
  <si>
    <t>A rule value reaches the editor's style attribute, Word and PDF styles as text. The element-style and page-setting endpoints accepted any string (e.g. 'center;background-image:url(...)'), the AI instruction path too (FMT-005): CSS injection into every viewer's editor.</t>
  </si>
  <si>
    <t>app/formatting/values.py: clean_rule_value per property (the StyleSystem's limits: choices, true/false, one safe font name, renderable colours, bounded numbers with known units, header/footer text &lt;=500). Refused with 422 by the element-style and page-setting endpoints (schemas RuleValue); instruction rules and set_style operations with such values dropped (FMT-005), validate_operations refuses them; stored rules no renderer can use are skipped at resolve (engine._usable) so old documents can't carry them either. All 177 default/template rules pass unchanged.</t>
  </si>
  <si>
    <t>tests/test_rule_values.py (34 cases incl. API 422, stored-rule skip, instruction drop)</t>
  </si>
  <si>
    <t>Found 2026-09-27 while mapping editor alignment (EDIT-008); probe confirmed the raw value in resolvedStyles.</t>
  </si>
  <si>
    <t>SEC-023</t>
  </si>
  <si>
    <t>Text no document can hold</t>
  </si>
  <si>
    <t>Control codes XML 1.0 can't hold (C0 but tab/newline/CR, unpaired surrogates, U+FFFE/U+FFFF) never reach a document, whoever sends them: a stored one made the document's Word export fail for good.</t>
  </si>
  <si>
    <t>Every document text field is an XmlText (app/models/base.py): InlineRun.text, Element.content/language, link href/title, picture alt/title/name, headers/footers, metadata title/filename, core properties. The codes are dropped whoever sends them (importers, the editor's PUT /content, the AI); word separators (form feed, vertical tab, FS/GS/RS/US) become a space. The text importers clean before the content check (so it stays verified) and report text.control_characters. OpenAPI unchanged. Mutations of each guard killed.</t>
  </si>
  <si>
    <t>backend/tests/test_malformed_pdfs.py::test_control_codes_never_reach_a_document_and_are_said_to_be_left_out (PDF import, paste, editor save, Word export); ::test_the_model_holds_only_what_xml_can</t>
  </si>
  <si>
    <t>Found by the SEC-011 corpus: a backspace from a PDF's broken font was stored, then python-docx refused every Word export of that document (500).</t>
  </si>
  <si>
    <t>PERF-001</t>
  </si>
  <si>
    <t>Linear DOCX table export</t>
  </si>
  <si>
    <t>500x8 table under a recorded threshold (baseline 321 s).</t>
  </si>
  <si>
    <t>backend/app/export/docx_export.py (linear table writing), docs/cloud-reports/PERF-001.md, docs/performance/after-perf-001/</t>
  </si>
  <si>
    <t>backend/tests/test_export_scaling.py; all 37 fixtures' XML byte for byte unchanged</t>
  </si>
  <si>
    <t>8966ec7</t>
  </si>
  <si>
    <t>2026-10-01: delegated to a cloud session (branch cloud/..., report docs/cloud-reports/PERF-001.md); to be reviewed, verified and merged locally.</t>
  </si>
  <si>
    <t>AUD-10</t>
  </si>
  <si>
    <t>PERF-002</t>
  </si>
  <si>
    <t>Benchmarks recorded</t>
  </si>
  <si>
    <t>Baseline and current measurements in the PERFORMANCE sheet.</t>
  </si>
  <si>
    <t>backend/scripts/benchmark.py, docs/performance/benchmarks.md/.json, docs/cloud-reports/PERF-002-006.md</t>
  </si>
  <si>
    <t>backend/tests/test_benchmark_script.py</t>
  </si>
  <si>
    <t>tests/perf</t>
  </si>
  <si>
    <t>2026-10-01: delegated to a cloud session (branch cloud/..., report docs/cloud-reports/PERF-002.md); to be reviewed, verified and merged locally.</t>
  </si>
  <si>
    <t>PERF-003</t>
  </si>
  <si>
    <t>Delta autosave</t>
  </si>
  <si>
    <t>Change-aware patches with a threshold strategy; whole document only when needed.</t>
  </si>
  <si>
    <t>backend/app/services/content_patch.py, backend/app/services/document_service.py (patch_content, _take_elements), backend/app/api/documents.py (PATCH /content), frontend/editor/contentPatch.ts, frontend/editor/useAutoSave.ts, frontend/services/api/documents.ts (patchContent), docs/document-model/README.md (How a save travels)</t>
  </si>
  <si>
    <t>backend/tests/test_content_patch.py (20), frontend/editor/contentPatch.test.ts, frontend/editor/useAutoSave.test.tsx, frontend/services/api/documents.test.ts, frontend/e2e/documents.spec.ts (typing sends that paragraph alone); 16/16 mutations</t>
  </si>
  <si>
    <t>frontend/editor, backend/api</t>
  </si>
  <si>
    <t>5919014</t>
  </si>
  <si>
    <t>PERF-004</t>
  </si>
  <si>
    <t>Bounded, compressed version history</t>
  </si>
  <si>
    <t>Editor history separate from persisted versions; compression/deltas; asset references.</t>
  </si>
  <si>
    <t>backend/app/services/version_history.py (zlib, 50 steps and 10 MB a document), migration b8534d3c4256 (applied to Supabase), docs/cloud-reports/PERF-004.md</t>
  </si>
  <si>
    <t>version history tests; tests/test_content_patch.py compressed undo steps</t>
  </si>
  <si>
    <t>2026-10-01: delegated to a cloud session (branch cloud/..., report docs/cloud-reports/PERF-004.md); to be reviewed, verified and merged locally.</t>
  </si>
  <si>
    <t>PERF-005</t>
  </si>
  <si>
    <t>Editor at 5k-12k blocks</t>
  </si>
  <si>
    <t>Typing latency measured and improved.</t>
  </si>
  <si>
    <t>Measured with frontend/e2e/perf-typing.spec.ts (production build, Edge; keydown -&gt; next frame). 5,000 blocks: p50 142/153 -&gt; 45/48 ms, long tasks 113/236 -&gt; 3/1. 12,000 blocks: ~185 -&gt; 126/132 ms. Fixes: blockDom.ts (one-walk block DOM lookup replacing quadratic nodeDOM in pagination/floatWrap), textEdit.ts onlyTextChanged (decorations mapped on text-only edits in listLabels/headingNumbers/pictureLook/tableLook), layout waits for a 300 ms typing pause. Remaining 12k cost split to PERF-005A.</t>
  </si>
  <si>
    <t>frontend/editor/blockDom.test.ts (2), frontend/editor/textEdit.test.ts (4); Vitest 296; Playwright 53; perf spec (opt-in)</t>
  </si>
  <si>
    <t>4981bdb</t>
  </si>
  <si>
    <t>PERF-005A</t>
  </si>
  <si>
    <t>Editor at 12k blocks: per-keystroke work in step with top-level blocks</t>
  </si>
  <si>
    <t>After PERF-005, typing at 12,000 blocks is 126-132 ms a keystroke: ProseMirror's view update visits every top-level block (decoration scan, ~15 ms) and Chrome relays out a container of 12,000 children (~30 ms). Group blocks into containers or draw only the pages near the view (virtualize), keeping pagination, autosave patches and the export's provenance as they are.</t>
  </si>
  <si>
    <t>Measured with frontend/e2e/perf-typing.spec.ts (12,000 blocks, Edge, production build): p50 start/middle 177/186 ms (regressed from PERF-005's 126/132) -&gt; 113-124/116-120 ms. CPU profile mapped through source maps (NEXT_SOURCE_MAPS=1 in next.config.ts; the spec writes the .cpuprofile): DocumentEditorShell computed documentToTiptapJSON(initialDocument) on every render (28 ms a keystroke) -&gt; useMemo; fontStack.cssFontStack cached per family. Remaining per keystroke: prosemirror-view DecorationSet.forChild ~16 ms (12,000 top-level children x ~700 pagination decorations local to the root + list label sets), native layout of 12,000 siblings ~40 ms -&gt; PERF-005B.</t>
  </si>
  <si>
    <t>perf spec runs (opt-in, recorded above); Vitest 357 + fontStack cache test (4 in file); Playwright full 59 passed/1 skipped</t>
  </si>
  <si>
    <t>76dda4a</t>
  </si>
  <si>
    <t>Scoped like PERF-005: the per-keystroke work found and fixed here; grouping blocks into containers or virtualizing the pages is PERF-005B.</t>
  </si>
  <si>
    <t>PERF-005B</t>
  </si>
  <si>
    <t>Editor at 12k blocks: containers or page virtualization</t>
  </si>
  <si>
    <t>After PERF-005A, typing at 12,000 blocks is ~115 ms a keystroke. ProseMirror's view update visits every top-level block and DecorationSet.forChild scans the root's top-level decorations for each (pagination's ~700 per-page spacers/shifts, list label sets): ~16 ms; Chrome lays out a flex container of 12,000 children: ~40 ms. Group blocks into page or section container nodes (schema, tiptapToDocument, autosave patches, provenance stay correct) or draw only the pages near the view. Measure with PERF_TYPING=1 (+ PERF_TYPING_PROFILE=1, NEXT_SOURCE_MAPS=1).</t>
  </si>
  <si>
    <t>PERF-006</t>
  </si>
  <si>
    <t>JSON without ASCII escaping</t>
  </si>
  <si>
    <t>Document JSON stored and sent as UTF-8.</t>
  </si>
  <si>
    <t>backend/app/db/session.py (json_serializer UTF-8), docs/cloud-reports/PERF-002-006.md</t>
  </si>
  <si>
    <t>backend/tests/test_utf8_json_storage.py</t>
  </si>
  <si>
    <t>backend/db</t>
  </si>
  <si>
    <t>2026-10-01: delegated to a cloud session (branch cloud/..., report docs/cloud-reports/PERF-006.md); to be reviewed, verified and merged locally.</t>
  </si>
  <si>
    <t>PERF-007</t>
  </si>
  <si>
    <t>Safe size limits recorded</t>
  </si>
  <si>
    <t>User-facing maximum sizes, job timeouts, resource ceilings documented and enforced.</t>
  </si>
  <si>
    <t>docs/security/README.md Limits table (background jobs row)</t>
  </si>
  <si>
    <t>n/a (documentation of enforced limits; JOB-001's tests)</t>
  </si>
  <si>
    <t>backend/config</t>
  </si>
  <si>
    <t>2026-10-01: the table of user-facing maximums and resource ceilings recorded with SEC-013 (docs/security/README.md, Limits); job timeouts follow JOB-001.</t>
  </si>
  <si>
    <t>AUD-09,AUD-10</t>
  </si>
  <si>
    <t>ACCT-001</t>
  </si>
  <si>
    <t>E-mail sender abstraction</t>
  </si>
  <si>
    <t>SMTP provider + development outbox; no secrets in logs.</t>
  </si>
  <si>
    <t>backend/app/mail/sender.py (OutboxSender, SmtpSender, MemorySender, get_email_sender), backend/app/config.py (email_*, smtp_*, _email_can_go_out), backend/.env.example, README.md (E-mail), docs/security/README.md (E-mail)</t>
  </si>
  <si>
    <t>backend/tests/test_email.py (6, security suite); tests/conftest.py sent_mail; 7/7 mutations</t>
  </si>
  <si>
    <t>fba062b</t>
  </si>
  <si>
    <t>AUD-14</t>
  </si>
  <si>
    <t>ACCT-002</t>
  </si>
  <si>
    <t>Password reset</t>
  </si>
  <si>
    <t>Single-use, expiring, hashed tokens; rate-limited; no account enumeration.</t>
  </si>
  <si>
    <t>backend/app/services/account_tokens.py, auth_service.py (start_password_reset, reset_password, revoke_sessions), services/password_reset.py, api/auth.py (/auth/password-reset, /auth/password-reset/confirm), migration 1da599e1913f (applied to Supabase), frontend/components/PasswordResetForms.tsx, app/forgot-password, app/reset-password</t>
  </si>
  <si>
    <t>backend/tests/test_password_reset.py (9, security suite), frontend/components/PasswordResetForms.test.tsx (5), e2e/auth.spec.ts (forgotten password); 13/13 mutations</t>
  </si>
  <si>
    <t>backend/api, frontend</t>
  </si>
  <si>
    <t>4463ee6</t>
  </si>
  <si>
    <t>ACCT-003</t>
  </si>
  <si>
    <t>E-mail verification</t>
  </si>
  <si>
    <t>Verification tokens and state.</t>
  </si>
  <si>
    <t>backend/app/services/auth_service.py (start_email_verification, verify_email), services/account_mail.py (send_verification_link), api/auth.py (/auth/verify-email, /auth/verify-email/confirm, sign-up link, emailVerified), migration 0417f0f393fc (applied to Supabase), frontend/components/VerifyEmail.tsx, app/verify-email, dashboard notice</t>
  </si>
  <si>
    <t>backend/tests/test_email_verification.py (5, security suite), frontend/components/VerifyEmail.test.tsx (4), e2e/auth.spec.ts (address confirmed); 8/8 mutations</t>
  </si>
  <si>
    <t>390effe</t>
  </si>
  <si>
    <t>ACCT-004</t>
  </si>
  <si>
    <t>Password change</t>
  </si>
  <si>
    <t>Current password required; other sessions revoked.</t>
  </si>
  <si>
    <t>backend/app/services/auth_service.py (change_password), backend/app/api/auth.py (PUT /auth/password), frontend/components/AccountSettings.tsx, app/settings/account, AccountMenu link</t>
  </si>
  <si>
    <t>backend/tests/test_password_change.py (3, security suite), frontend/components/AccountSettings.test.tsx (3), e2e/auth.spec.ts (password changed); 7/7 mutations</t>
  </si>
  <si>
    <t>f8a8290</t>
  </si>
  <si>
    <t>ACCT-005</t>
  </si>
  <si>
    <t>Account deletion</t>
  </si>
  <si>
    <t>Cascading policy: documents, versions, assets, exports, sessions, jobs, usage.</t>
  </si>
  <si>
    <t>backend/app/services/account_deletion.py, DELETE /auth/account, AccountSettings delete section, docs/cloud-reports/ACCT-005-007.md</t>
  </si>
  <si>
    <t>backend/tests/test_account_deletion.py (with the Stripe-id rule fixed in 7ba8c0c), AccountSettings.test.tsx, e2e</t>
  </si>
  <si>
    <t>7ba8c0c</t>
  </si>
  <si>
    <t>ACCT-006</t>
  </si>
  <si>
    <t>Session revocation and cleanup</t>
  </si>
  <si>
    <t>Sign out everywhere; expired/revoked session sweep.</t>
  </si>
  <si>
    <t>sessions list and sign-out, session/token sweep, migration b4b303454a89 (applied to Supabase)</t>
  </si>
  <si>
    <t>backend/tests/test_sessions*.py, AccountSettings.test.tsx</t>
  </si>
  <si>
    <t>8aafef8</t>
  </si>
  <si>
    <t>ACCT-007</t>
  </si>
  <si>
    <t>Suspicious login handling</t>
  </si>
  <si>
    <t>Lockout and notification strategy.</t>
  </si>
  <si>
    <t>backend/app/security/sign_in_delay.py, new-browser e-mail (date format fixed for Windows in 7ba8c0c), docs/security/README.md</t>
  </si>
  <si>
    <t>backend/tests/test_sign_in_protection.py</t>
  </si>
  <si>
    <t>PLAN-001</t>
  </si>
  <si>
    <t>Usage units</t>
  </si>
  <si>
    <t>Documents, exports, PDF pages, OCR pages, translation characters, AI operations, storage, batch jobs.</t>
  </si>
  <si>
    <t>backend/app/billing/units.py, usage API, billing page units</t>
  </si>
  <si>
    <t>backend/tests/test_usage_units.py, BillingPage.test.tsx</t>
  </si>
  <si>
    <t>backend/billing</t>
  </si>
  <si>
    <t>d7682c0</t>
  </si>
  <si>
    <t>AUD-11</t>
  </si>
  <si>
    <t>PLAN-002</t>
  </si>
  <si>
    <t>Configurable plan defaults</t>
  </si>
  <si>
    <t>Free/Pro/Business initial hypotheses as configuration, never hardcoded.</t>
  </si>
  <si>
    <t>backend/app/billing/plans.json (every limit), DEFAULT_PLAN</t>
  </si>
  <si>
    <t>test_usage_units.py::test_no_code_compares_a_plans_name and the entitlements-defined test</t>
  </si>
  <si>
    <t>PLAN-003</t>
  </si>
  <si>
    <t>Atomic entitlement checks</t>
  </si>
  <si>
    <t>Reservation/locking; concurrency test proves limits hold.</t>
  </si>
  <si>
    <t>backend/app/services/entitlements_service.py (UsageReservations), app/jobs/runner.py, app/api/deps.py, docs/cloud-reports/PLAN-001-005.md</t>
  </si>
  <si>
    <t>backend/tests/test_usage_reservations.py, test_plan_limits_atomic.py</t>
  </si>
  <si>
    <t>2026-10-01: documents, templates and storage held (b165cea): the check right before the use holds the workspace row until the use is committed; a second request waits and counts it. Remaining: AI operations (a reservation per call, released on failure, consistent with JOB-001's retries and timeouts) after the cloud's JOB-001 merges. PostgreSQL run: TEST-031.</t>
  </si>
  <si>
    <t>PLAN-004</t>
  </si>
  <si>
    <t>Stripe flows review</t>
  </si>
  <si>
    <t>Checkout, portal, upgrade, downgrade, cancel, renewal, failed payment, webhook idempotency.</t>
  </si>
  <si>
    <t>backend/app/services/billing_service.py, billing/stripe_gateway.py, migration d41f7a60c9e2 (re-parented onto b4b303454a89, applied to Supabase), docs/billing/README.md, docs/cloud-reports/PLAN-004.md</t>
  </si>
  <si>
    <t>backend/tests/test_billing.py (51), test_billing_webhook_race.py</t>
  </si>
  <si>
    <t>2f5ce25</t>
  </si>
  <si>
    <t>PLAN-005</t>
  </si>
  <si>
    <t>Storage metering including history</t>
  </si>
  <si>
    <t>History and autosave growth counted.</t>
  </si>
  <si>
    <t>backend/app/services/usage_service.py storage_bytes (versions, pictures, originals)</t>
  </si>
  <si>
    <t>backend/tests/test_storage_metering.py</t>
  </si>
  <si>
    <t>AUD-11,AUD-16</t>
  </si>
  <si>
    <t>PDF-010</t>
  </si>
  <si>
    <t>Geometry-aware PDF parser</t>
  </si>
  <si>
    <t>Chars, fonts, sizes, colours, lines, rectangles, images, links, annotations, outlines, forms, metadata, rotation, page boxes.</t>
  </si>
  <si>
    <t>backend/app/parsers/pdf_geometry.py (pdfminer.six, MIT), docs/cloud-reports/PDF-010-012.md</t>
  </si>
  <si>
    <t>backend/tests/test_pdf_geometry.py</t>
  </si>
  <si>
    <t>backend/parsers/pdf</t>
  </si>
  <si>
    <t>68940e6</t>
  </si>
  <si>
    <t>PDF-011</t>
  </si>
  <si>
    <t>Page classifier</t>
  </si>
  <si>
    <t>TEXT / SCANNED / HYBRID per page with evidence.</t>
  </si>
  <si>
    <t>page classifier TEXT/SCANNED/HYBRID with evidence</t>
  </si>
  <si>
    <t>backend/tests/test_pdf_inspection.py</t>
  </si>
  <si>
    <t>PDF-012</t>
  </si>
  <si>
    <t>PDF inspection report</t>
  </si>
  <si>
    <t>What the parser found, per page.</t>
  </si>
  <si>
    <t>pdfInspection on PDF imports and the API</t>
  </si>
  <si>
    <t>P2E-001</t>
  </si>
  <si>
    <t>Layout primitives where PDF needs them</t>
  </si>
  <si>
    <t>Page, block, bbox, rotation, confidence, provenance.</t>
  </si>
  <si>
    <t>backend/app/models/document.py ElementLayout + Element.layout; export/provenance.py keep_provenance keeps it; docs/document-model/README.md</t>
  </si>
  <si>
    <t>tests/test_pdf_structure.py::test_the_layout_is_kept_through_saves_and_never_taken_from_the_editor, ::test_a_layout_is_only_what_a_page_can_be, ::test_word_markdown_and_text_documents_carry_no_layout</t>
  </si>
  <si>
    <t>4d67979</t>
  </si>
  <si>
    <t>2026-10-06: layout primitives only where a PDF import needs them (page, box, rotation, lastPage, column, lines, source); the page itself is pdfInspection's page; confidence is Element.confidence. Server-owned like sourceBlocks.</t>
  </si>
  <si>
    <t>P2E-002</t>
  </si>
  <si>
    <t>Structure reconstruction</t>
  </si>
  <si>
    <t>Reading order, lines, paragraphs, headings, lists, captions, header/footer bands, columns.</t>
  </si>
  <si>
    <t>backend/app/parsers/pdf_structure.py; services/ingestion_service.py _read_pdf_layout/_rebuilt; docs/architecture/fidelity.md 'The PDF -&gt; editable reconstruction'; capability pdf.import_structure</t>
  </si>
  <si>
    <t>tests/test_pdf_structure.py (29), tests/test_pdf_inspection.py, e2e/workflows.spec.ts PDF import; 10/10 mutations</t>
  </si>
  <si>
    <t>backend/pdf</t>
  </si>
  <si>
    <t>2026-10-06: deterministic, one geometry read. XY cut with column test; paragraphs, headings (size/bold), lists (bullets/numbers/indent, numbering checked), captions, running header/footer/page numbers -&gt; settings, links/colours/bold/italic. Fallback to the text read when pages are missing or &gt;5% of its words aren't found. Tables stay a row a paragraph until P2E-004; pictures P2E-003.</t>
  </si>
  <si>
    <t>P2E-003</t>
  </si>
  <si>
    <t>Images with position</t>
  </si>
  <si>
    <t>Extracted images kept with bbox.</t>
  </si>
  <si>
    <t>backend/app/parsers/pdf_pictures.py; pdf_structure.py picture_plan/_place/_picture_element; pdf_geometry.py PdfImage.name; capability pdf.import_images; docs/architecture/fidelity.md</t>
  </si>
  <si>
    <t>tests/test_pdf_pictures.py (7); test_pdf_structure.py; test_malformed_pdfs.py::test_a_pdf_whose_pictures_cant_be_read_says_so; 9/9 mutations</t>
  </si>
  <si>
    <t>e4d00f9</t>
  </si>
  <si>
    <t>2026-10-06: pictures paired by XObject name, decoded within caps (25 MP each, 150 MP, 300, 30 s), JPEG kept, others PNG, SEC-012 judged; placed in reading order, no wider than the text, assets at create; logos/scan backgrounds/rules/limits reported.</t>
  </si>
  <si>
    <t>P2E-004</t>
  </si>
  <si>
    <t>Tables from PDF</t>
  </si>
  <si>
    <t>Ruling lines and alignment.</t>
  </si>
  <si>
    <t>backend/app/parsers/pdf_tables.py; pdf_structure.py _fill_tables/_table_element; docs/architecture/fidelity.md Tables; capability pdf.import_structure</t>
  </si>
  <si>
    <t>tests/test_pdf_tables.py (7); test_pdf_structure.py::test_a_ruled_table_is_a_table; 10/10 mutations</t>
  </si>
  <si>
    <t>b26e13c</t>
  </si>
  <si>
    <t>2026-10-06: ruled grids (lines, thin rects, outlined boxes), merged cells from missing edges, shading, header by shade/bold, placed in reading order with column widths. Not tables: empty grids, lone boxes, turned pages. Space-only columns stay a paragraph a row, reported (pdf.unruled_tables) -- alignment-only tables are a follow-up.</t>
  </si>
  <si>
    <t>P2E-005</t>
  </si>
  <si>
    <t>Confidence and conversion report</t>
  </si>
  <si>
    <t>Per element confidence; issues reported; never silent removal.</t>
  </si>
  <si>
    <t>backend/app/fidelity/pdf_conversion.py; models/pdf_inspection.py PdfConversion/PdfAspectConfidence; Document.pdfConversion; docs/architecture/fidelity.md 'The PDF conversion's confidence and report'; capabilities pdf.conversion_confidence, pdf.import_extras</t>
  </si>
  <si>
    <t>tests/test_pdf_conversion.py (8); 6/6 mutations</t>
  </si>
  <si>
    <t>33c0e4b</t>
  </si>
  <si>
    <t>2026-10-06: per-element confidence (Element.confidence, P2E-002) + per-aspect and overall conversion confidence; report items for annotations, form fields, outline, links; nothing dropped silently. Shown in the UI with P2E-007.</t>
  </si>
  <si>
    <t>P2E-006</t>
  </si>
  <si>
    <t>OCR provider abstraction</t>
  </si>
  <si>
    <t>Interface (text, confidence, bbox, page, language/script); implementation(s); OCR output untrusted.</t>
  </si>
  <si>
    <t>backend/app/ocr/{base,results,factory}.py; config.ocr_provider; ingestion_service._read_scans; docs/architecture/fidelity.md OCR; capability pdf.ocr</t>
  </si>
  <si>
    <t>tests/test_ocr.py (8, fake engine); 7/7 mutations</t>
  </si>
  <si>
    <t>backend/ocr</t>
  </si>
  <si>
    <t>c18d162</t>
  </si>
  <si>
    <t>2026-10-06: interface + null provider + full integration tested with a fake engine. A real engine (local Tesseract vs a cloud service) is Boril's decision -- OCR_PROVIDER stays 'none' until then.</t>
  </si>
  <si>
    <t>P2E-007</t>
  </si>
  <si>
    <t>Imported-from-PDF version and UX</t>
  </si>
  <si>
    <t>Editable document vs layout-focused choice; confidence shown.</t>
  </si>
  <si>
    <t>frontend/components/CreateDocumentWizard.tsx PdfModeChoice; services/api/jobs.ts pdfMode; editor/panels/FidelityPanel.tsx PdfConversionSummary; backend pdf_mode on upload + import job; pdf_structure layout mode; PdfConversion.mode; capability pdf.import_layout</t>
  </si>
  <si>
    <t>tests/test_pdf_import_modes.py (4); FidelityPanel.test.tsx, jobs.test.ts (+3); e2e/workflows.spec.ts layout-focused; 7/7 mutations</t>
  </si>
  <si>
    <t>frontend, backend</t>
  </si>
  <si>
    <t>b113092</t>
  </si>
  <si>
    <t>2026-10-06: brief §93 choice + §88 'Imported from PDF' with confidence and problems. Layout-focused keeps pages and fonts/sizes; exact positions are P2E-020 (frames).</t>
  </si>
  <si>
    <t>P2E-008</t>
  </si>
  <si>
    <t>PDF fixtures and tests</t>
  </si>
  <si>
    <t>Text, scanned, hybrid, tables, columns, multilingual.</t>
  </si>
  <si>
    <t>structure.pdf (lists, nesting, numbered from 3, running header, page numbers, caption, paragraph across pages)</t>
  </si>
  <si>
    <t>tests/test_pdf_structure.py: expected structure of every fixture</t>
  </si>
  <si>
    <t>2026-10-06: fixtures (text, columns, table, pictures, scanned, hybrid, rotated, multilingual) and their builder from PDF-010..012 (68940e6); the reconstruction tests come with P2E-002.; 2026-10-06: every fixture's expected structure tested; the table fixture's as a table comes with P2E-004.</t>
  </si>
  <si>
    <t>PDF-021</t>
  </si>
  <si>
    <t>PDF lists in Bulgarian letters number as Word does</t>
  </si>
  <si>
    <t>parsers/pdf_structure.py reads a PDF list's Cyrillic markers with the Bulgarian alphabet (а..и, й, к..; ъ ь) and stores them as russianLower, whose sequence (Word's) skips й and has ы: a PDF list reaching й) is then shown and exported from к). Keep a letter list Word can't number as its own labels, or start it where Word's sequence gives the same letters.</t>
  </si>
  <si>
    <t>backend/app/parsers/pdf_structure.py _number: Cyrillic markers on number_formats.CYRILLIC (Word's а б в, with ы/э, no й/ъ/ь); й/ъ/ь give a number that never counts on (-1), so _checked keeps such a list's markers in the text</t>
  </si>
  <si>
    <t>backend tests/test_pdf_structure.py (3 new: а..и к л м and a Russian list through ы э are lists numbered as they show; a Bulgarian list а..и й к keeps its letters as paragraphs, a short one а..г stays a list) -- 32 in file; full backend 2571 passed/11 skipped; mutations 2/2</t>
  </si>
  <si>
    <t>e75b3b1</t>
  </si>
  <si>
    <t>P2E-020</t>
  </si>
  <si>
    <t>Layout-preserving architecture</t>
  </si>
  <si>
    <t>Frames/anchors model hooks and design doc.</t>
  </si>
  <si>
    <t>app/formatting/frames.py: Frame/FramePosition (points), frame_of/frames derive a block's frame from ImagePlacement (picture, text box) or ElementLayout in a layout-focused PDF import; none otherwise; nothing stored. docs/architecture/layout-preserving.md: current model, the hook, target drawing (PDF export first, editor positioned layer, moving frames, anchoring rules, tests), not-now list. Follow-up P2E-021.</t>
  </si>
  <si>
    <t>backend/tests/test_frames.py (5); 5/5 mutations caught</t>
  </si>
  <si>
    <t>docs, backend/models</t>
  </si>
  <si>
    <t>8602607</t>
  </si>
  <si>
    <t>P2E-021</t>
  </si>
  <si>
    <t>PDF export honours frames</t>
  </si>
  <si>
    <t>Draw framed blocks (app/formatting/frames.py) at their place in a PDF export: pdf-layout frames at their box on their page, docx-anchor frames on their anchor paragraph's page measured as their anchor says, wrapping text laid out around them; checked against rendered pages. Then the editor's positioned layer and moving frames (docs/architecture/layout-preserving.md).</t>
  </si>
  <si>
    <t>backend/app/export/pdf_layout.py (is_layout_document, _pages, _with_overflow, _draw_block with 0/90/180/270 turns, build_layout_pdf) used by pdf_export._build_pdf for layout-focused imports; pdf_export._Anchored/_anchor_across/_anchor_down/_anchored for Word pictures and text boxes behind/in front of the text; import notes, capabilities (pdf.import_layout, docx.image_layout), frames.py docstring, docs/architecture/layout-preserving.md 'Done: the PDF export'</t>
  </si>
  <si>
    <t>backend tests/test_pdf_frames.py (6: structure.pdf blocks within 3 pt across / 8 pt down of their boxes on their pages and the picture within 3 pt; columns side by side; rotated pages and text; added blocks under the one before and overflow onto an added page; editable import flows; behind (page offsets) and in front (margin right/top) drawn at place with the text unmoved); full backend 2557 passed/11 skipped; mutations 10/11 (the survivor unobservable: the fallback x equals the fixture's)</t>
  </si>
  <si>
    <t>3193d78</t>
  </si>
  <si>
    <t>The editor's positioned layer and moving frames split to P2E-022. Top-and-bottom and centred floats stay in line.</t>
  </si>
  <si>
    <t>P2E-022</t>
  </si>
  <si>
    <t>Frames on the editor's pages, and moving them</t>
  </si>
  <si>
    <t>Steps 2 and 3 of docs/architecture/layout-preserving.md: a positioned layer per page in the editor (a layout-focused import's blocks at their boxes; a picture behind/in front of the text at its anchor), the paginator treating a wrapping frame as a band the flow avoids; then moving a frame edits its source (a Word anchor's offsets; a PDF block's own drawn position, a new field kept by the server). Also top-and-bottom and centred floats in a PDF.</t>
  </si>
  <si>
    <t>PDF-020</t>
  </si>
  <si>
    <t>PDF page operations service</t>
  </si>
  <si>
    <t>Reorder, rotate, delete, duplicate, extract, split, merge as a separate service.</t>
  </si>
  <si>
    <t>app/services/pdf_pages.py (reorder/rotate/delete/duplicate/extract applied in sequence; split by ranges or every N; merge 2-20), app/api/pdf.py (POST /api/v1/pdf/info, /pages, /split -&gt; ZIP, /merge): signed in, upload rate limit, plan file size, PDF check; inputs refused as imports are; 422 pdf_pages with reasons; no catalogue copied (no document JS/open action/embedded files/forms), page /AA dropped, annotation actions kept only for GoTo or safe URI. No UI yet.</t>
  </si>
  <si>
    <t>backend/tests/test_pdf_pages.py (13, one in the security suite); 12/12 mutations caught; backend 2424 passed/11 skipped</t>
  </si>
  <si>
    <t>bd1a3bf</t>
  </si>
  <si>
    <t>A screen for page operations isn't built yet (backend service + API only, as the task asks).</t>
  </si>
  <si>
    <t>TRAN-001</t>
  </si>
  <si>
    <t>Segments and tag protocol</t>
  </si>
  <si>
    <t>Segments keep element/run ids, marks, placeholders; never one giant string.</t>
  </si>
  <si>
    <t>backend/app/translation/{segments,providers,validation}.py</t>
  </si>
  <si>
    <t>tests/test_translation_core.py (20); 11/11 mutations</t>
  </si>
  <si>
    <t>backend/translation</t>
  </si>
  <si>
    <t>a5a341c</t>
  </si>
  <si>
    <t>2026-10-06: core of Phase 10; wired into proposals/versions next (TRAN-005/006).</t>
  </si>
  <si>
    <t>TRAN-002</t>
  </si>
  <si>
    <t>TranslationProvider abstraction</t>
  </si>
  <si>
    <t>AI provider implementation + deterministic test provider.</t>
  </si>
  <si>
    <t>TRAN-003</t>
  </si>
  <si>
    <t>Translation validation</t>
  </si>
  <si>
    <t>Tags, numbers, units, dates, percentages, identifiers, glossary terms.</t>
  </si>
  <si>
    <t>TRAN-004</t>
  </si>
  <si>
    <t>Glossary and terminology lock</t>
  </si>
  <si>
    <t>Source/target term, domain, locked, case-sensitive.</t>
  </si>
  <si>
    <t>backend/app/translation/*, services/translation_service.py, api/documents.py translate/language/glossary, api/jobs.py translate-document, frontend/editor/panels/TranslatePanel.tsx; docs/translation/README.md</t>
  </si>
  <si>
    <t>tests/test_translation_api.py (9), test_translation_extra.py (3), test_translation_core.py (20); Vitest TranslatePanel/translationTarget (+11); e2e/translation.spec.ts (2); mutations 11/11 + 9/9</t>
  </si>
  <si>
    <t>backend/translation, db</t>
  </si>
  <si>
    <t>23b6c56</t>
  </si>
  <si>
    <t>2026-10-06: see docs/translation/README.md section for this task.</t>
  </si>
  <si>
    <t>TRAN-005</t>
  </si>
  <si>
    <t>Selection/paragraph/block translation proposals</t>
  </si>
  <si>
    <t>Preview; accept/reject; undo.</t>
  </si>
  <si>
    <t>TRAN-003,REV-001</t>
  </si>
  <si>
    <t>TRAN-006</t>
  </si>
  <si>
    <t>Whole-document translated version</t>
  </si>
  <si>
    <t>Source kept; translated copy linked.</t>
  </si>
  <si>
    <t>TRAN-007</t>
  </si>
  <si>
    <t>Language, script, direction metadata</t>
  </si>
  <si>
    <t>Auto-detect + manual override.</t>
  </si>
  <si>
    <t>TRAN-008</t>
  </si>
  <si>
    <t>Translation UX</t>
  </si>
  <si>
    <t>Toolbar/context Translate, target language, preview, accept/reject; 'AI-assisted translation - review required'.</t>
  </si>
  <si>
    <t>TRAN-009</t>
  </si>
  <si>
    <t>Translation metering</t>
  </si>
  <si>
    <t>Translation characters as a usage unit.</t>
  </si>
  <si>
    <t>TRAN-010</t>
  </si>
  <si>
    <t>Translation tests</t>
  </si>
  <si>
    <t>Formatting preservation, validation, versions.</t>
  </si>
  <si>
    <t>FONT-001</t>
  </si>
  <si>
    <t>Font catalogue with Unicode coverage</t>
  </si>
  <si>
    <t>fontTools cmap coverage per script, metrics, embeddability.</t>
  </si>
  <si>
    <t>backend/app/export/{font_catalogue,font_resolver,rtl}.py, app/bidi.py, pdf_export.py, docx_export.py, fidelity/exports.py; docs/fonts/README.md</t>
  </si>
  <si>
    <t>tests/test_multilingual.py (29), test_export_fidelity.py, expected-loss manifests; 11/11 mutations</t>
  </si>
  <si>
    <t>backend/fonts</t>
  </si>
  <si>
    <t>ad6887f</t>
  </si>
  <si>
    <t>2026-10-07: fontTools catalogue -- coverage by script, metrics, embeddability (fsType 2 never embedded).</t>
  </si>
  <si>
    <t>AUD-17</t>
  </si>
  <si>
    <t>FONT-002</t>
  </si>
  <si>
    <t>FontResolver</t>
  </si>
  <si>
    <t>Script segmentation, coverage, fallback chain, embedding, RTL; deterministic first, AI suggestion validated.</t>
  </si>
  <si>
    <t>2026-10-07: deterministic resolver (no AI): script runs, the paragraph's font by letters, script chains, symbol fallback, missing named.</t>
  </si>
  <si>
    <t>FONT-003</t>
  </si>
  <si>
    <t>Multilingual PDF rendering</t>
  </si>
  <si>
    <t>Shaping for Arabic/Hebrew/Devanagari, bidi, CJK fonts, emoji handled gracefully.</t>
  </si>
  <si>
    <t>2026-10-07: HarfBuzz shaping; own UAX#9 bidi as reportlab's rlbidi; RtlParagraph orders lines right to left; notes for undrawable characters and Devanagari/Thai text layer; read-back via pdfminer for RTL documents.</t>
  </si>
  <si>
    <t>FONT-004</t>
  </si>
  <si>
    <t>DOCX per-script fonts</t>
  </si>
  <si>
    <t>w:rFonts ascii/hAnsi/eastAsia/cs, w:lang, rtl/bidi.</t>
  </si>
  <si>
    <t>2026-10-07: w:rFonts eastAsia/cs, w:lang eastAsia/bidi, w:rtl, w:bCs/w:iCs, w:bidi on RTL-led paragraphs.</t>
  </si>
  <si>
    <t>FONT-005</t>
  </si>
  <si>
    <t>Editor fallback stacks</t>
  </si>
  <si>
    <t>CSS stacks from the resolver.</t>
  </si>
  <si>
    <t>fonts.py METRIC_COMPATIBLE + fallback_stack (resolver tries metric-compatible stand-ins before kind fallbacks; Constantia serif); editor cssFontStack = same list from fontFallbacks.json (export_font_fallbacks script, currency test) + generic. Renders unchanged on this machine; missing Calibri -&gt; Carlito before Arial in editor and PDF.</t>
  </si>
  <si>
    <t>backend/tests/test_font_fallbacks.py (4); frontend/editor/fontStack.test.ts (3); e2e templates.spec.ts updated; backend 2434/11, Vitest 299, Playwright 53</t>
  </si>
  <si>
    <t>c304ee5</t>
  </si>
  <si>
    <t>FONT-006</t>
  </si>
  <si>
    <t>Multilingual tests</t>
  </si>
  <si>
    <t>Script matrix x editor/DOCX/PDF with pdftotext and rendering.</t>
  </si>
  <si>
    <t>2026-10-07: script matrix x PDF (on the machine's fonts; uncovered scripts expected to be reported) and Word XML; bidi checked against python-bidi.</t>
  </si>
  <si>
    <t>FMT-001</t>
  </si>
  <si>
    <t>Style extraction completeness</t>
  </si>
  <si>
    <t>Page setup, margins, fonts, headings, lists, tables, captions, headers/footers, spacing, numbering, colours.</t>
  </si>
  <si>
    <t>backend/app/formatting/{structure,style_preview,reference_style,style_system}.py, ai/semantic_labeling.py, services/{document,template}_service.py, api/documents.py; frontend TemplatesPanel.tsx, ReferenceStyleSummary.tsx; docs/formatting/README.md</t>
  </si>
  <si>
    <t>tests/test_format_by_example.py (6), TemplatesPanel.test.tsx (2); 9/9 mutations</t>
  </si>
  <si>
    <t>fb0e4de</t>
  </si>
  <si>
    <t>2026-10-07: StyleSystem.structure -- table border, header shading and bold (what most tables share), list levels (most list items), heading numbering; set on the document when the template is applied. Header/footer text belongs to the reference and isn't copied (noted).</t>
  </si>
  <si>
    <t>FMT-002</t>
  </si>
  <si>
    <t>Semantic mapping validated</t>
  </si>
  <si>
    <t>AI classifies/maps, engine applies; validation.</t>
  </si>
  <si>
    <t>2026-10-07: the AI only maps headings; its answer is used only for known ids, levels 1-6, not most paragraphs, and levels that fit the headings' sizes; otherwise headings by look. The engine computes every style.</t>
  </si>
  <si>
    <t>FMT-003</t>
  </si>
  <si>
    <t>Before/after for Format by Example</t>
  </si>
  <si>
    <t>Preview before saving a template.</t>
  </si>
  <si>
    <t>2026-10-07: POST /documents/{id}/style-preview runs the engine on a copy (nothing saved): styles and page now/with the look, changes in words; Templates panel shows Now / With this look before applying or saving.</t>
  </si>
  <si>
    <t>FMT-005</t>
  </si>
  <si>
    <t>Rule value validation</t>
  </si>
  <si>
    <t>Instruction-path values validated before reaching CSS/export.</t>
  </si>
  <si>
    <t>Instruction rules and set_style operations go through values.clean_rule_value: invalid ones dropped, normalised values stored (see SEC-022).</t>
  </si>
  <si>
    <t>tests/test_rule_values.py::test_instructions_cannot_carry_such_values</t>
  </si>
  <si>
    <t>HLTH-001</t>
  </si>
  <si>
    <t>Health 2.0 checks</t>
  </si>
  <si>
    <t>Alt text, hidden text, mixed language, unsupported features, section inconsistency, broken lists, empty paragraphs, layout anomalies, duplicated formatting, broken links.</t>
  </si>
  <si>
    <t>backend/app/formatting/{health,health_fixes,proposals}.py, models/document.py (ProposedChange health), api/documents.py health/fixes; frontend HealthPanel.tsx, ProposalsList.tsx, EditorStatusBar.tsx; README.md</t>
  </si>
  <si>
    <t>tests/test_health_2.py (15), test_health.py, HealthPanel.test.tsx (2), documents.test.ts, e2e/health.spec.ts; 12/12 mutations</t>
  </si>
  <si>
    <t>d673602</t>
  </si>
  <si>
    <t>2026-10-07: +9 checks: alt text, hidden text, another language not marked, not kept from the import, sections almost alike / other paper, broken lists, empty paragraphs, too wide for the text, formatting repeated from the style (broken links existed).</t>
  </si>
  <si>
    <t>HLTH-002</t>
  </si>
  <si>
    <t>Deterministic fixes with preview</t>
  </si>
  <si>
    <t>Fix proposals through the change model.</t>
  </si>
  <si>
    <t>2026-10-07: POST .../health/fixes -&gt; ProposedChange source=health with before/after; accepted only for the block as checked (fingerprint), one undoable step; stale fixes dropped on save; no fix for alt text or hidden text. E2E found and fixed a missed revision record (documentWrite).</t>
  </si>
  <si>
    <t>HLTH-003</t>
  </si>
  <si>
    <t>AI explanations only</t>
  </si>
  <si>
    <t>AI explains issues; never scores.</t>
  </si>
  <si>
    <t>AI explains failing checks only (no score sent, untrusted tag, rating answers dropped, unknown check voids answer); POST /documents/{id}/health/explain (metered, rate_limited ai, available flag); Health panel Explain per warn/fail check; docs/ai/README.md.</t>
  </si>
  <si>
    <t>backend/tests/test_health_explanations.py (4; 8/8 mutations); HealthPanel.test.tsx (+2); test_security_suite covers the route; backend 2438+155 security passed; Vitest 301; e2e health/accessibility 3</t>
  </si>
  <si>
    <t>ae65d6d</t>
  </si>
  <si>
    <t>REV-002</t>
  </si>
  <si>
    <t>Review Changes UI</t>
  </si>
  <si>
    <t>Categories FORMAT/STRUCTURE/CONTENT/METADATA/PRESERVATION/TRANSLATION.</t>
  </si>
  <si>
    <t>backend/app/formatting/{engine,proposals}.py, services/document_service.py, api/documents.py proposals/accept; frontend editor/panels/ReviewPanel.tsx, ProposalsList.tsx (ProposalCard, useProposalActions); README.md</t>
  </si>
  <si>
    <t>tests/test_review_changes.py (6), test_formatting_engine.py, ReviewPanel.test.tsx (4), e2e/review.spec.ts; 8/8 mutations</t>
  </si>
  <si>
    <t>ed68af3</t>
  </si>
  <si>
    <t>2026-10-07: Преглед panel: every waiting change (instruction, translation, health) grouped by the six categories, filter chips, source tags, accept/reject/show, Accept all per category except content.</t>
  </si>
  <si>
    <t>REV-003</t>
  </si>
  <si>
    <t>Content changes need acceptance</t>
  </si>
  <si>
    <t>Enforced server-side.</t>
  </si>
  <si>
    <t>backend</t>
  </si>
  <si>
    <t>2026-10-07: apply_operations refuses insert/delete/move without accepted=True (UnacceptedContentChangeError) -- only proposals.accept sets it; POST .../proposals/accept: one category, one undo step, 422 content_needs_review for content, word-changing proposals of other categories left waiting (translations excepted).</t>
  </si>
  <si>
    <t>REV-004</t>
  </si>
  <si>
    <t>Repair</t>
  </si>
  <si>
    <t>Detected issue, proposed fix, preview, apply.</t>
  </si>
  <si>
    <t>GET /documents/{id}/repair (formatting/repair.py): issues by kind (numbering, styles, tables, links, structures, input) from Health checks + import content check, each with fix count; Преглед panel RepairSection proposes fixes (POST health/fixes) shown as reviewable proposals with preview, applied on accept. New broken_tables check + fix (table_repair.py). e2e: broken table found -&gt; proposed -&gt; previewed -&gt; accepted -&gt; stored table repaired.</t>
  </si>
  <si>
    <t>backend/tests/test_repair.py (8; 11/11 mutations); RepairSection.test.tsx (2); ReviewPanel.test.tsx; e2e review.spec.ts (+1); security suite; backend 2452/11 (+deflaked account-deletion test, 858c8ec), Vitest 303, Playwright 54</t>
  </si>
  <si>
    <t>a1c91e8</t>
  </si>
  <si>
    <t>The editor's table plugin already draws a short row padded; the stored table changes when the repair is accepted (or the table is edited). Malformed input / unsupported structures have no automatic fix.</t>
  </si>
  <si>
    <t>REV-005</t>
  </si>
  <si>
    <t>Clean copy</t>
  </si>
  <si>
    <t>Explicit: remove comments, accept tracked changes, remove hidden text, remove metadata, normalise formatting.</t>
  </si>
  <si>
    <t>POST /documents/{id}/clean-copy + Проверка panel CleanCopySection: new document, 5 explicit actions (none preselected): comments, tracked changes accepted, hidden text, metadata, formatting normalised; original untouched; own picture assets; no source file (export from model, said); 422 tracked_changes / nothing_chosen.</t>
  </si>
  <si>
    <t>backend/tests/test_clean_copy.py (3; 11/11 mutations); CleanCopySection.test.tsx (2); e2e tracked-changes.spec.ts (+1, a07); security suite; backend 2460/11, Vitest 305, Playwright 55</t>
  </si>
  <si>
    <t>842999c</t>
  </si>
  <si>
    <t>FEAT-001</t>
  </si>
  <si>
    <t>Batch formatting</t>
  </si>
  <si>
    <t>One template/reference over many documents as jobs.</t>
  </si>
  <si>
    <t>POST /jobs/batch-format + GET /jobs/batches/{id}: one format job per document under a batch id (template only, no AI); documents + template checked first; maxBatchJobs monthly, batch_jobs usage now counted; documents list checkbox column + BatchBar following the batch. e2e: two documents ticked, template applied to both.</t>
  </si>
  <si>
    <t>backend/tests/test_batch_format.py (7; 9/9 mutations); BatchBar.test.tsx (2); e2e batch.spec.ts; security suite; backend 2472/11, Vitest 307, Playwright 56</t>
  </si>
  <si>
    <t>backend/jobs</t>
  </si>
  <si>
    <t>fe4a89d</t>
  </si>
  <si>
    <t>A reference document's look goes into a batch as a template (Format by Example: Save as template). Conflicting documents wait for their own resolution.</t>
  </si>
  <si>
    <t>FEAT-002</t>
  </si>
  <si>
    <t>Batch export</t>
  </si>
  <si>
    <t>Many documents to a zip.</t>
  </si>
  <si>
    <t>POST /jobs/batch-export: one export job building each document as a single export (shared _rendered), checked, zipped; result parts (filename, verified, missing); download via /jobs/{id}/file; maxExports per document + one batch job; BatchBar Export as ZIP (Word/PDF) with link and summary; ZIP served as application/zip.</t>
  </si>
  <si>
    <t>backend/tests/test_batch_export.py (5; 8/8 mutations); BatchBar.test.tsx (+1); e2e batch.spec.ts; test_jobs/test_storage_retention/test_pdf_pages updated; backend 2479/11, Vitest 308, Playwright 56</t>
  </si>
  <si>
    <t>03891a4</t>
  </si>
  <si>
    <t>The ZIP's job belongs to the first document: deleting it removes the ZIP.</t>
  </si>
  <si>
    <t>FEAT-003</t>
  </si>
  <si>
    <t>Batch translation</t>
  </si>
  <si>
    <t>After the translation MVP.</t>
  </si>
  <si>
    <t>backend/app/api/jobs.py batch_translate (POST /api/v1/jobs/batch-translate: documents checked, BATCH 1, check_new_document(count=N), TRANSLATION characters via translation.service.collect, batch_jobs usage row, TRANSLATE jobs with batchId/batchIndex, audit batch.translate); schemas BatchTranslateRequest; EntitlementsService.check_new_document(count); frontend services/api batchTranslate, BatchBar 'Translate into' + 'Translate N documents', status and links to new documents; README</t>
  </si>
  <si>
    <t>backend tests/test_batch_translate.py (3: versions made and originals untouched, every check before queueing incl. 402 batches/documents/characters, 404, 422; someone else's documents 404); full backend 2562 passed/11 skipped; Vitest 359 (BatchBar translate case); Playwright full 59 passed/1 skipped (batch.spec translates both and checks the new document and the untouched original); mutations 6/6</t>
  </si>
  <si>
    <t>e9c4922</t>
  </si>
  <si>
    <t>FEAT-010</t>
  </si>
  <si>
    <t>Accessibility checker</t>
  </si>
  <si>
    <t>Heading hierarchy, alt text, link labels, table headers, reading order, language, contrast.</t>
  </si>
  <si>
    <t>backend/app/formatting/accessibility.py, api/documents.py GET .../accessibility; frontend HealthPanel.tsx Accessibility section; README.md</t>
  </si>
  <si>
    <t>tests/test_accessibility.py (11), HealthPanel.test.tsx; 11/11 mutations</t>
  </si>
  <si>
    <t>21611e8</t>
  </si>
  <si>
    <t>2026-10-07: heading hierarchy, alt text, link labels (runs joined), table headers, reading order (floating pictures/tables), language set + others marked, WCAG 2.2 AA contrast vs highlights and cell shading. No score, no AI.</t>
  </si>
  <si>
    <t>FEAT-011</t>
  </si>
  <si>
    <t>App accessibility fixes</t>
  </si>
  <si>
    <t>Zero serious axe violations on main pages and the editor.</t>
  </si>
  <si>
    <t>frontend e2e/accessibility.spec.ts (axe-core 4.13.0, WCAG 2.x A/AA); fixes in DocumentEditorShell (textbox name), SidePanel (focusable region), Dashboard (&lt;dl&gt;), HealthPanel (no opacity), zinc-400 -&gt; zinc-500 small text, amber-700 buttons</t>
  </si>
  <si>
    <t>e2e/accessibility.spec.ts (2): signed-out pages, dashboard, documents, new, templates, account, billing, editor + 4 panels: zero serious/critical</t>
  </si>
  <si>
    <t>2026-10-07: zero serious or critical axe violations on the main pages and the editor (light theme).</t>
  </si>
  <si>
    <t>JOB-001</t>
  </si>
  <si>
    <t>Job safety</t>
  </si>
  <si>
    <t>idempotency_key, retry_count, timeout, cancellation, stuck detection, backoff, dead-letter.</t>
  </si>
  <si>
    <t>backend/app/jobs/ (idempotency, retries with backoff, timeouts, cancel, stuck detection, dead-letter), migration c3a91f7d2b64 (applied to Supabase), docs/cloud-reports/JOB-001.md</t>
  </si>
  <si>
    <t>job safety tests; security suite cancel route</t>
  </si>
  <si>
    <t>2026-10-01: delegated to a cloud session (branch cloud/..., report docs/cloud-reports/JOB-001.md); to be reviewed, verified and merged locally.</t>
  </si>
  <si>
    <t>PERF-008</t>
  </si>
  <si>
    <t>A save's server cost in step with the change</t>
  </si>
  <si>
    <t>After PERF-003 a save travels as a patch, but the server still loads and validates the stored document whole, dumps it four times (before, the row, the version record, the answer) and writes it whole: 0.37 s at 1,651 elements, 2 s at 12,201, with the event loop blocked meanwhile. Share one dump, take the CPU-bound parts off the event loop, or keep elements apart.</t>
  </si>
  <si>
    <t>backend/app/services/document_service.py (_write_dumped, worker-thread validation/dumps/delta), repositories/document_repository.py (model_of, apply dumped), services/version_history.py (pack on a thread), export/docx_export.py (_paragraph, _next_num_id), docs/performance/README.md</t>
  </si>
  <si>
    <t>backend/tests/test_save_and_export_costs.py (3); 4/4 mutations; 74 fixture exports byte-identical but core.xml's time</t>
  </si>
  <si>
    <t>backend/services, repositories</t>
  </si>
  <si>
    <t>a1cb8f8</t>
  </si>
  <si>
    <t>Found by PERF-003's measurements (cProfile of one patch at 12,201 elements: model_dump x4 0.47 s, model_validate 0.42 s, JSON in/out 0.39 s). After the cloud's PERF-004 merges (it changes version recording).; 2026-10-06: the cloud worker (W5) stopped at its weekly limit with nothing pushed; done here.</t>
  </si>
  <si>
    <t>STOR-001</t>
  </si>
  <si>
    <t>Storage retention and deletion</t>
  </si>
  <si>
    <t>Source files, exports, OCR artifacts: retention, deletion, access control, content types, size limits.</t>
  </si>
  <si>
    <t>storage retention table in docs/security/README.md, KEPT_ORIGINAL_RETENTION_DAYS</t>
  </si>
  <si>
    <t>backend/tests/test_storage_retention.py (23)</t>
  </si>
  <si>
    <t>TEST-031</t>
  </si>
  <si>
    <t>Concurrency tests on PostgreSQL in CI</t>
  </si>
  <si>
    <t>Run tests/test_plan_limits_atomic.py (and later concurrency tests) against CI's PostgreSQL service as well as SQLite: the test database chosen by an environment variable that only CI sets, localhost only. The migrations job needs the dev dependencies for it.</t>
  </si>
  <si>
    <t>backend/tests/conftest.py postgres_sessions, pytest marker postgres, CI migrations job</t>
  </si>
  <si>
    <t>tests/test_plan_limits_atomic.py on SQLite and PostgreSQL</t>
  </si>
  <si>
    <t>ci, backend/tests</t>
  </si>
  <si>
    <t>PLAN-003's hold is a row lock on PostgreSQL; verified here only on SQLite (no PostgreSQL on this machine). CI runs only for pull requests and main.</t>
  </si>
  <si>
    <t>OBS-001</t>
  </si>
  <si>
    <t>Metrics</t>
  </si>
  <si>
    <t>Latency, failure rate, job/AI/export metrics without content.</t>
  </si>
  <si>
    <t>backend/app/observability.py, main.py (/api/metrics, middleware), logging_setup.py, jobs/runner.py, services/job_service.py, ai/budget.py; docs/operations/README.md</t>
  </si>
  <si>
    <t>tests/test_metrics.py (5), test_jobs.py; 11/11 mutations</t>
  </si>
  <si>
    <t>59cea2a</t>
  </si>
  <si>
    <t>2026-10-07: Prometheus text at GET /api/metrics (METRICS_TOKEN bearer only; 404 unset): HTTP requests/latency by route template and status class, jobs by type/outcome + duration, AI calls by outcome + latency, exports by format/path/outcome. No ids, paths or text in labels.</t>
  </si>
  <si>
    <t>AUD-15</t>
  </si>
  <si>
    <t>OBS-002</t>
  </si>
  <si>
    <t>Operation and job IDs in logs</t>
  </si>
  <si>
    <t>Request, operation and job IDs everywhere.</t>
  </si>
  <si>
    <t>2026-10-07: request_id, operation_id (the request that started it, carried by its jobs via payload.operationId) and job_id on every log line (ContextFilter).</t>
  </si>
  <si>
    <t>OBS-003</t>
  </si>
  <si>
    <t>Operations data</t>
  </si>
  <si>
    <t>Failed jobs, processing failures, usage spikes, AI/export failures, storage, abuse - minimal admin API.</t>
  </si>
  <si>
    <t>backend/app/api/admin.py (GET /api/v1/admin/operations, ADMIN_TOKEN bearer, 404 unset / 401 wrong + counted); backend/app/services/operations_service.py (jobs by type+status, failed by type+code, dead letters, stuck ids, oldest pending, 20 latest failures; processing/export failure counts; usage spikes &gt;=3x previous window and &gt;=20; storage by workspace; new accounts, busiest workspaces; refusals); observability.SECURITY_EVENTS + audit() counting *_failed/*_refused events by scope/entitlement; docs/operations/README.md section</t>
  </si>
  <si>
    <t>backend/tests/test_operations_admin.py (4): token guard, failures/stuck/spikes/storage/busy workspaces with nothing of a document or account in the answer, refusals counted, labels never free text; 12/12 mutations caught</t>
  </si>
  <si>
    <t>baf66da</t>
  </si>
  <si>
    <t>INFRA-010</t>
  </si>
  <si>
    <t>Deployment verified</t>
  </si>
  <si>
    <t>Docker images build and start; Postgres, Redis, storage, worker, frontend, backend.</t>
  </si>
  <si>
    <t>docker, CI</t>
  </si>
  <si>
    <t>2026-10-07: images and the compose stack can't be built or started here (no Docker: virtualization off in this machine's BIOS); CI builds both images on main. A deployment needs Boril's hosting target and accounts. docs/deployment/README.md lists the checks to run on a machine with Docker.</t>
  </si>
  <si>
    <t>INFRA-011</t>
  </si>
  <si>
    <t>CI gates</t>
  </si>
  <si>
    <t>Backend, frontend, E2E, lint, typecheck, build, migrations, security audit, document fidelity tests.</t>
  </si>
  <si>
    <t>.github/workflows/ci.yml (next typegen, audit job, PostgreSQL tests), docs/cloud-reports/INTEGRATION.md</t>
  </si>
  <si>
    <t>CI green on PR #8 (backend, migrations + postgres, frontend, e2e, audit)</t>
  </si>
  <si>
    <t>.github/workflows</t>
  </si>
  <si>
    <t>AUD-15,AUD-20</t>
  </si>
  <si>
    <t>TEST-040</t>
  </si>
  <si>
    <t>Playwright workflow coverage</t>
  </si>
  <si>
    <t>The 24 workflows of the brief.</t>
  </si>
  <si>
    <t>docs/testing/README.md (the 24 workflows mapped), frontend/e2e/workflows.spec.ts</t>
  </si>
  <si>
    <t>frontend/e2e/workflows.spec.ts (4); Playwright 42 passed</t>
  </si>
  <si>
    <t>a00632e</t>
  </si>
  <si>
    <t>TEST-041</t>
  </si>
  <si>
    <t>Performance gates</t>
  </si>
  <si>
    <t>Regression thresholds relative to baseline.</t>
  </si>
  <si>
    <t>backend/scripts/perf_gate.py, docs/performance/gates.json, .github/workflows/ci.yml (Performance gate job), docs/performance/README.md + gate-2026-10-07.md; fix in translation/language.py + export/font_resolver.py</t>
  </si>
  <si>
    <t>tests/test_perf_gate.py (7), test_multilingual.py fast path; gate run 23b6c56 vs branch: failed (PDF export 500 blocks +66%), fixed, passed (0.377 vs 0.385 s)</t>
  </si>
  <si>
    <t>570a2da</t>
  </si>
  <si>
    <t>2026-10-07: gates against a same-machine baseline (CI: base and head on one runner); another machine's numbers refused. Found and fixed a real Phase 11 regression.</t>
  </si>
  <si>
    <t>TEST-043</t>
  </si>
  <si>
    <t>Browser matrix</t>
  </si>
  <si>
    <t>Chromium, Firefox, WebKit.</t>
  </si>
  <si>
    <t>frontend/playwright.config.ts projects from E2E_BROWSERS (chromium|firefox|webkit, unknown refused); .github/workflows/ci.yml e2e matrix [chromium, firefox, webkit], fail-fast off, report artifact per browser; visual baseline Chromium-only (editor-complex-academic-chromium-win32.png)</t>
  </si>
  <si>
    <t>npx playwright test (Edge/Chromium): 56 passed, 1 skipped (perf opt-in); --list: 57 tests per browser, 171 with all three. Firefox and WebKit runs await the CI matrix (no local Playwright browsers; downloading them needs Boril's OK)</t>
  </si>
  <si>
    <t>a8cbb18</t>
  </si>
  <si>
    <t>TEST-006</t>
  </si>
  <si>
    <t>E2E backend removes its temp directory</t>
  </si>
  <si>
    <t>scripts/e2e_server.py leaves %TEMP%/smartdoc-e2e-* behind after every Playwright run (10 found on 2026-09-27).</t>
  </si>
  <si>
    <t>backend/scripts/e2e_server.py: sweep(temp, keep, now) at start (prefix smartdoc-e2e-, e2e.db or empty, untouched STALE_HOURS=6, the E2E_OUTBOX_DIR kept, errors skipped), own directory removed in a finally after uvicorn stops; first real run: 'Removed 110 directories earlier end-to-end runs left' (216 -&gt; 107, the rest younger than 6 h); README</t>
  </si>
  <si>
    <t>backend tests/test_e2e_server.py (1: old database dir and old empty dir removed; a running one, the outbox with mail, a foreign dir, a non-matching name and a file kept); Playwright auth.spec through the new server: passed</t>
  </si>
  <si>
    <t>backend/scripts/e2e_server.py</t>
  </si>
  <si>
    <t>52849b9</t>
  </si>
  <si>
    <t>DOCS-010</t>
  </si>
  <si>
    <t>final-production-readiness.md</t>
  </si>
  <si>
    <t>The 16-section final report.</t>
  </si>
  <si>
    <t>docs/final-production-readiness.md (the 16 sections of brief §112), linked from README.md and docs/README.md</t>
  </si>
  <si>
    <t>claims checked against the code (capability matrix counts, plans.json, skip reasons, limits) and today's runs: backend 2344/11, Vitest 277, Playwright 49</t>
  </si>
  <si>
    <t>95873d8</t>
  </si>
  <si>
    <t>2026-10-07: verdict -- code complete for P0/P1; launch needs the owner's decisions and the first Docker start. Release gates: evidence listed per gate; set PASS only from Phase 18's verification run.</t>
  </si>
  <si>
    <t>DOCS-011</t>
  </si>
  <si>
    <t>Documentation tree</t>
  </si>
  <si>
    <t>docs/{architecture,document-model,docx,pdf,translation,ai,formatting,security,testing,deployment,billing,operations}.</t>
  </si>
  <si>
    <t>docs/README.md index; docs/{architecture,document-model,docx,pdf,fonts,translation,ai,formatting,security,testing,performance,deployment,billing,operations}</t>
  </si>
  <si>
    <t>every index link checked to exist</t>
  </si>
  <si>
    <t>88f66f3</t>
  </si>
  <si>
    <t>2026-10-07: added docs/pdf, docs/deployment, docs/operations (16b) and the index.</t>
  </si>
  <si>
    <t>REL-001</t>
  </si>
  <si>
    <t>Release scope and feature freeze</t>
  </si>
  <si>
    <t>Acceptance: the v1 scope is written down (docs/deployment/vercel.md 'Limits'): core journey sign up / sign in -&gt; new document (paste or upload &lt;= 4 MB) -&gt; format with a template -&gt; edit -&gt; export DOCX/PDF -&gt; download; billing off, no e-mail, uploads/downloads &lt; 4.5 MB, jobs &lt;= 300 s. Verification: owner approved the scope (2026-10-13); limits stated in the app/README.</t>
  </si>
  <si>
    <t>Scope agreed with the owner in chat on 2026-10-13 (Vercel Hobby; billing off; no e-mail domain; uploads/downloads under 4.5 MB) and written down in docs/deployment/vercel.md 'Limits of this release'.</t>
  </si>
  <si>
    <t>Owner's answers recorded 2026-10-13; docs/deployment/vercel.md committed in 68a89a9.</t>
  </si>
  <si>
    <t>release</t>
  </si>
  <si>
    <t>68a89a9</t>
  </si>
  <si>
    <t>Mandatory before launch: yes. Owner approved: Vercel Hobby, billing off, no e-mail domain, 4.5 MB limit (2026-10-13).</t>
  </si>
  <si>
    <t>REL-002</t>
  </si>
  <si>
    <t>Vercel project with frontend + backend services</t>
  </si>
  <si>
    <t>Acceptance: one Vercel project 'smartdoc' linked to Drajeto07/claude, framework 'services' from vercel.json (Next.js frontend at /, backend container at /api/*), region fra1. Verification: project visible through the Vercel connector; a deployment builds both services.</t>
  </si>
  <si>
    <t>Vercel project smartdoc (prj_ObL3...) under team drajeto: framework services, GitHub Drajeto07/claude, production branch main (deployments of the feature branch promoted to production by the owner); production aliases smartdoc-peach.vercel.app; deployments READY (CLI, the owner's login, read-only, 2026-10-13). The owner: /api/ready = ready, database ok; sign-up and the dashboard work on production.</t>
  </si>
  <si>
    <t>vercel api /v9/projects and /v6/deployments (read-only); the owner's checks on the production URL 2026-10-13.</t>
  </si>
  <si>
    <t>release, vercel</t>
  </si>
  <si>
    <t>4c8fdca</t>
  </si>
  <si>
    <t>Mandatory before launch: yes. BLOCKED 2026-10-13: the Vercel connector's token is not authorized for the account's team scope 'drajeto' (403 on list/create project). Owner: re-authorize the Vercel connector for that scope, or import Drajeto07/claude in the Vercel dashboard (framework Services from vercel.json).</t>
  </si>
  <si>
    <t>REL-003</t>
  </si>
  <si>
    <t>Production settings and secrets in Vercel</t>
  </si>
  <si>
    <t>Acceptance: every variable of docs/deployment/vercel.md 'Settings' present in Production and Preview (names checked, values never read): DATABASE_URL (transaction pooler), S3 keys, SENTRY_DSN, and the plain settings. Verification: filter_project_envs lists the names; /api/ready answers 200 on the deployment.</t>
  </si>
  <si>
    <t>Production has: DATABASE_URL, S3_ACCESS_KEY_ID, S3_SECRET_ACCESS_KEY, DATABASE_POOLER, JOB_BACKEND, NEXT_PUBLIC_API_BASE_URL, PORT (names only, 2026-10-13). Missing in Production: STORAGE_BACKEND, S3_BUCKET, S3_ENDPOINT_URL, S3_REGION, MAX_UPLOAD_SIZE_MB, MAX_REQUEST_SIZE_MB, LOG_FORMAT, LOG_REQUESTS, SENTRY_DSN, CORS_ORIGINS, FRONTEND_URL. Preview also lacks DATABASE_POOLER and JOB_BACKEND (the image defaults them since 2490e5d).</t>
  </si>
  <si>
    <t>Mandatory before launch: yes. BLOCKED 2026-10-13 on the owner's approval to set the missing plain settings in Production (a storage/infrastructure change) -- values in docs/deployment/vercel.md; no secret among them except SENTRY_DSN's key, which is a public client key.</t>
  </si>
  <si>
    <t>REL-004</t>
  </si>
  <si>
    <t>Production database: restored, schema current, RLS on</t>
  </si>
  <si>
    <t>Acceptance: Supabase project smartdoc-formatter active; alembic_version equals the code's head; RLS enabled on every public table (no policies: the API connects as owner, PostgREST reads nothing). Verification: Supabase connector get_project ACTIVE_HEALTHY, SQL alembic_version = d41f7a60c9e2 = `alembic heads`, security advisors list only rls_enabled_no_policy (INFO) on all 16 tables.</t>
  </si>
  <si>
    <t>Supabase connector: restore_project -&gt; ACTIVE_HEALTHY (eu-central-1, Postgres 17); SQL: alembic_version = d41f7a60c9e2 = `alembic heads` of the code; list_migrations: 14 applied, the last d41f7a60c9e2; security advisors: only rls_enabled_no_policy (INFO) on all 16 public tables (RLS on, no policies by design: the API connects as owner). Holds 1 account and 8 documents from development (REL-020).</t>
  </si>
  <si>
    <t>Supabase get_project, execute_sql (alembic_version), list_migrations, get_advisors(security) on 2026-10-13.</t>
  </si>
  <si>
    <t>release, supabase</t>
  </si>
  <si>
    <t>Mandatory before launch: yes. Restored from paused 2026-10-13 with the owner's approval.</t>
  </si>
  <si>
    <t>REL-005</t>
  </si>
  <si>
    <t>File storage: private Supabase Storage bucket over S3</t>
  </si>
  <si>
    <t>Acceptance: private bucket smartdoc-files; an S3 access key pair for it in Vercel (S3_ACCESS_KEY_ID/SECRET); an upload with a picture and an export on the deployment store and read back files. Verification: storage.buckets row (public=false); live upload/export.</t>
  </si>
  <si>
    <t>Private bucket smartdoc-files created in Supabase Storage (storage.buckets public=false) on 2026-10-13. Waiting: an S3 access key pair created by the owner (Supabase -&gt; Storage -&gt; S3 Connection) and entered in Vercel.</t>
  </si>
  <si>
    <t>Mandatory before launch: yes. CRITICAL 2026-10-13: STORAGE_BACKEND isn't set in Production, so it is 'local': uploaded pictures and export files are written inside the container and lost when the instance stops (5 minutes idle) or another instance answers. S3 keys are in place; STORAGE_BACKEND=s3, S3_BUCKET, S3_ENDPOINT_URL, S3_REGION wait for the owner's approval (REL-003).</t>
  </si>
  <si>
    <t>REL-006</t>
  </si>
  <si>
    <t>Serverless-ready configuration in code</t>
  </si>
  <si>
    <t>Acceptance: vercel.json services + rewrites; backend/Dockerfile.vercel ($PORT, one process, forwarded client IP); NEXT_PUBLIC_API_BASE_URL='/' same-origin mode and the service binding for the frontend's server; DATABASE_POOLER=transaction (no pool, no kept prepared statements); a deployment's own Vercel URLs allowed as origins; JOB_BACKEND=eager. Verification: tests/test_release_config.py, client.test.ts; then the preview deployment works end to end.</t>
  </si>
  <si>
    <t>On production the code's defaults were in force at first (DATABASE_POOLER=session, JOB_BACKEND=background): the exported runtime log of dpl_4r5f... shows asyncpg's numbered statements (__asyncpg_stmt_a__ ...) colliding in the pooler and fail_interrupted_jobs at start. Fixed in settings by the owner (Production) and in code (2490e5d: Dockerfile.vercel defaults; SQLAlchemy's statement cache off too). The owner: /api/ready = ready after the settings.</t>
  </si>
  <si>
    <t>tests/test_release_config.py (7); backend 2580 passed, 11 skipped; preview of 2490e5d READY. Pending: 2490e5d promoted to production and checked.</t>
  </si>
  <si>
    <t>release, backend, frontend</t>
  </si>
  <si>
    <t>2490e5d</t>
  </si>
  <si>
    <t>Mandatory before launch: yes.</t>
  </si>
  <si>
    <t>REL-007</t>
  </si>
  <si>
    <t>Error monitoring (Sentry, backend)</t>
  </si>
  <si>
    <t>Acceptance: unhandled API errors reach Sentry project drajeto/smartdoc-backend with no request body, cookies, Authorization/session headers, query, locals or user; environment = Vercel's. Verification: tests/test_monitoring.py (real SDK, captured transport); a safe test error from the deployment seen in Sentry.</t>
  </si>
  <si>
    <t>backend/app/monitoring.py (init_monitoring, scrub) called from app/main.py; settings SENTRY_DSN, SENTRY_ENVIRONMENT, SENTRY_TRACES_SAMPLE_RATE; sentry-sdk 2.70.0 direct dependency; Sentry project drajeto/smartdoc-backend created (EU, python-fastapi) with a DSN.</t>
  </si>
  <si>
    <t>backend tests/test_monitoring.py (3: off without DSN; real SDK with a captured transport: the error and request id reported, the body/cookie/Authorization/query/local variable not; scrub unit test). Pending: SENTRY_DSN in Vercel and a test event from the deployment.</t>
  </si>
  <si>
    <t>release, observability</t>
  </si>
  <si>
    <t>c25b124</t>
  </si>
  <si>
    <t>Mandatory before launch: yes. Project created 2026-10-13 (EU region).</t>
  </si>
  <si>
    <t>REL-008</t>
  </si>
  <si>
    <t>Uptime monitor on the public URL</t>
  </si>
  <si>
    <t>Acceptance: an uptime check of https://&lt;project&gt;.vercel.app/api/health every 5 min alerting the owner. Verification: Sentry uptime monitor (Better Stack connector is read-only) shows up checks.</t>
  </si>
  <si>
    <t>REL-010</t>
  </si>
  <si>
    <t>Mandatory before launch: yes (basic alert).</t>
  </si>
  <si>
    <t>REL-009</t>
  </si>
  <si>
    <t>Preview deployment and smoke test</t>
  </si>
  <si>
    <t>Acceptance: the release branch deployed as a Vercel preview: /api/ready 200, sign up, paste text -&gt; document, upload a 1 MB DOCX with a picture, apply a template, edit and save, export DOCX and PDF and open them, reload keeps the edit; no console errors; logs clean. Verification: browser run against the preview URL; Vercel runtime logs.</t>
  </si>
  <si>
    <t>Preview deployments build: 2490e5d READY (smartdoc-q5vlxmv36-drajeto.vercel.app); ad60739 pushed. The smoke test itself can't run: every deployment is behind Vercel Authentication and no tool has a way in (REL-022).</t>
  </si>
  <si>
    <t>REL-003, REL-005, REL-006</t>
  </si>
  <si>
    <t>Production deployment and live acceptance</t>
  </si>
  <si>
    <t>Acceptance: the verified commit promoted to production; the live URL passes the REL-009 journey from a clean browser, desktop and a 375 px viewport; deployed commit matches the release candidate. Verification: browser run on the production URL; get_deployment commit; screenshots.</t>
  </si>
  <si>
    <t>Mandatory before launch: yes. Needs the owner's go-ahead (public).</t>
  </si>
  <si>
    <t>REL-011</t>
  </si>
  <si>
    <t>Cross-user isolation on the live deployment</t>
  </si>
  <si>
    <t>Acceptance: a second account can't read, change, export or delete the first account's document, asset or job by id (404). Verification: the security suite's IDOR checks pass in CI; a manual check on the live URL with two test accounts.</t>
  </si>
  <si>
    <t>Code: every document, asset, job and export route goes authenticate -&gt; authorize -&gt; fetch (404 across accounts). Local proof: the security suite (pytest -m security, part of the backend run 2588 passed) has the cross-account IDOR checks; Playwright 59 passed. Live: needs two test accounts on the deployment, which only the owner may create (Claude doesn't create accounts or sign in on a non-local site), and a way through Vercel Authentication (REL-022).</t>
  </si>
  <si>
    <t>release, security</t>
  </si>
  <si>
    <t>Mandatory before launch: yes. The live check is the owner's: two test accounts; the steps are in AI-CONTINUATION.</t>
  </si>
  <si>
    <t>REL-012</t>
  </si>
  <si>
    <t>Rollback readiness</t>
  </si>
  <si>
    <t>Acceptance: rollback = Vercel Instant Rollback to the previous production deployment; no schema change in this release, so the database needs nothing. Verification: documented (docs/deployment/vercel.md); a previous deployment listed as rollback candidate after the first promotion.</t>
  </si>
  <si>
    <t>Rollback = Vercel Instant Rollback (docs/deployment/vercel.md). Production rollback candidates (CLI, read-only, 2026-10-13): dpl_HxSobnp5... (4c8fdca, the current production, built with DATABASE_POOLER/JOB_BACKEND set) and dpl_4r5fQJMN... (4c8fdca, built before those settings: it would bring the prepared-statement errors back -- not a safe target). No schema change in this release.</t>
  </si>
  <si>
    <t>Mandatory before launch: yes (documented). After the next promotion the safe target is dpl_HxSobnp5...; a deployment keeps the settings it was built with.</t>
  </si>
  <si>
    <t>REL-013</t>
  </si>
  <si>
    <t>Known limitations stated to users</t>
  </si>
  <si>
    <t>Acceptance: the upload screen says files up to 4 MB; README/release notes list what v1 doesn't do (billing, e-mail, large files). Verification: page text on the live URL.</t>
  </si>
  <si>
    <t>The upload screen names the smaller of the plan's limit and MAX_UPLOAD_SIZE_MB (CreateDocumentWizard, entitlements_service.effective); the Vercel image now defaults MAX_UPLOAD_SIZE_MB=4, MAX_REQUEST_SIZE_MB=5 (e94afca). README 'The first public release' and docs/deployment/vercel.md 'Limits' list what v1 doesn't do (4 MB files, no e-mail, no payments, 300 s). The forgot-password page says resetting isn't available (ad60739).</t>
  </si>
  <si>
    <t>tests/test_release_config.py::test_the_vercel_image_keeps_bodies_under_vercels_limit; test_email_disabled.py. Pending: the page text on the live URL (REL-022).</t>
  </si>
  <si>
    <t>release, frontend</t>
  </si>
  <si>
    <t>e94afca</t>
  </si>
  <si>
    <t>REL-014</t>
  </si>
  <si>
    <t>Post-launch: scheduled sweep and stuck-job recovery</t>
  </si>
  <si>
    <t>Acceptance: a Vercel Cron (or other scheduler) calls a protected endpoint that runs the hourly sweep (expired exports, account clean-up) and stuck-job recovery, which don't run with JOB_BACKEND=eager. Verification: test of the endpoint; cron run seen in logs.</t>
  </si>
  <si>
    <t>release, jobs</t>
  </si>
  <si>
    <t>Mandatory before launch: no (post-launch).</t>
  </si>
  <si>
    <t>REL-015</t>
  </si>
  <si>
    <t>Post-launch: frontend error monitoring and product analytics</t>
  </si>
  <si>
    <t>Acceptance: browser errors reported (Sentry for Next.js) and key funnel events (sign up, document created, export) in PostHog, both without document text or personal data. Verification: events seen in Sentry/PostHog from the live app.</t>
  </si>
  <si>
    <t>Mandatory before launch: no.</t>
  </si>
  <si>
    <t>REL-016</t>
  </si>
  <si>
    <t>Post-launch: transactional e-mail</t>
  </si>
  <si>
    <t>Acceptance: a sending domain verified in Resend; EMAIL_BACKEND=smtp (smtp.resend.com) so verification and password-reset mail arrive. Verification: a reset mail received on a test account.</t>
  </si>
  <si>
    <t>release, mail</t>
  </si>
  <si>
    <t>Mandatory before launch: no. Needs a domain the owner owns.</t>
  </si>
  <si>
    <t>REL-017</t>
  </si>
  <si>
    <t>Post-launch: shared rate limits and a job worker</t>
  </si>
  <si>
    <t>Acceptance: rate limits shared across instances (Redis) and long jobs off the request path, or explicitly accepted as v1 limits. Verification: load check; config.</t>
  </si>
  <si>
    <t>release, infra</t>
  </si>
  <si>
    <t>REL-018</t>
  </si>
  <si>
    <t>Post-launch: commercial plan before charging</t>
  </si>
  <si>
    <t>Acceptance: Vercel Pro (Hobby is non-commercial) and live Stripe prices before any payment is taken. Verification: plan and Stripe live mode confirmed by the owner.</t>
  </si>
  <si>
    <t>release, billing</t>
  </si>
  <si>
    <t>Mandatory before launch: no. Owner decisions.</t>
  </si>
  <si>
    <t>REL-019</t>
  </si>
  <si>
    <t>Post-launch audit of untested and unverified capabilities</t>
  </si>
  <si>
    <t>Acceptance: routes, UI controls, jobs and integrations inventoried; each untested, mock-only or unreachable capability recorded as a task with priority and class (blocker / soon / planned / unsupported). Verification: the task list in this sheet.</t>
  </si>
  <si>
    <t>Mandatory before launch: no (release blockers found are fixed before).</t>
  </si>
  <si>
    <t>REL-020</t>
  </si>
  <si>
    <t>Development data in the production database</t>
  </si>
  <si>
    <t>Acceptance: the owner decides about the 1 account and 8 documents already in the database (made in development; their pictures were stored on the development machine, so they would show as missing). Verification: decision recorded; data kept or removed by the owner.</t>
  </si>
  <si>
    <t>Mandatory before launch: yes (decision only). Never deleted without the owner's explicit approval.</t>
  </si>
  <si>
    <t>REL-021</t>
  </si>
  <si>
    <t>E-mail off is said plainly: no false 'link sent'</t>
  </si>
  <si>
    <t>Acceptance: with no sending domain, the deployment sends no e-mail and never claims it did: EMAIL_BACKEND=disabled (the Vercel image's default), GET /api/v1/auth/email-delivery says available=false, POST /auth/password-reset and /auth/verify-email answer 503 (the same for every address), the dashboard shows no confirmation banner, the forgot-password page says resetting isn't available yet, the account-deleted notice claims no e-mail. Verification: tests/test_email_disabled.py, VerifyEmail.test.tsx, PasswordResetForms.test.tsx; the page on a throwaway local server with e-mail off; then on the deployment.</t>
  </si>
  <si>
    <t>EMAIL_BACKEND=disabled (config, DisabledSender, Dockerfile.vercel default); GET /api/v1/auth/email-delivery; 503 for password-reset and verify-email while off; VerifyEmailBanner, ForgotPasswordForm and the account-deleted notice follow it. Seen on a throwaway local server with e-mail off (scripts/e2e_server.py E2E_EMAIL_BACKEND=disabled): the forgot-password page says it isn't available, the dashboard shows no banner.</t>
  </si>
  <si>
    <t>tests/test_email_disabled.py (7); VerifyEmail.test.tsx + PasswordResetForms.test.tsx (11); backend full run; Vitest 368; tsc, next build. Pending: the deployment.</t>
  </si>
  <si>
    <t>ad60739</t>
  </si>
  <si>
    <t>Mandatory before launch: yes. Found 2026-10-13: the owner pressed 'Send the link again', was told a link was sent, and none came (EMAIL_BACKEND defaulted to outbox: a file in the container).</t>
  </si>
  <si>
    <t>REL-022</t>
  </si>
  <si>
    <t>Automated checks can reach the protected deployments</t>
  </si>
  <si>
    <t>Acceptance: the release checks (/api/ready, the pages, the API's answers) run against the preview and production deployments while Vercel Authentication stays on. Options for the owner: an automation protection-bypass secret (Vercel keeps protection on; the secret lets tools in), or signing the browser pane into Vercel. Verification: /api/ready read from the preview by a tool.</t>
  </si>
  <si>
    <t>Mandatory before launch: yes (or the owner runs the checks by hand). `vercel curl` would create the bypass secret itself (PATCH /protection-bypass), a change to the project's protection: not done without the owner's approval. The Vercel connector still gets 403 for scope drajeto.</t>
  </si>
  <si>
    <t>REL-023</t>
  </si>
  <si>
    <t>Free public sign-up only with real e-mail and password reset</t>
  </si>
  <si>
    <t>Acceptance: the site is opened to the public (Vercel Authentication off for production, or a custom domain without it) only once an account can recover its password and confirm its address: a verified sending domain in Resend, EMAIL_BACKEND=smtp and FRONTEND_URL set (REL-016), a reset mail received on a test account -- or the owner approves another safe recovery path. Verification: the condition met, or the owner's written decision.</t>
  </si>
  <si>
    <t>REL-016, REL-021</t>
  </si>
  <si>
    <t>Mandatory before public sign-up: yes. Until then only people the owner lets through Vercel Authentication reach the app.</t>
  </si>
  <si>
    <t>REL-024</t>
  </si>
  <si>
    <t>FRONTEND_URL and CORS_ORIGINS name the production URL</t>
  </si>
  <si>
    <t>Acceptance: FRONTEND_URL and CORS_ORIGINS = https://smartdoc-peach.vercel.app in Production. Used only by e-mail links and Stripe's return addresses (both off in v1); the API already accepts the deployment's own Vercel URLs. Verification: the names in the project's settings.</t>
  </si>
  <si>
    <t>Mandatory before launch: no; before e-mail (REL-016) or billing (REL-018): yes.</t>
  </si>
  <si>
    <t>CRITICAL_FIXES — Audit findings and P0 tasks</t>
  </si>
  <si>
    <t>The 20 findings of the 2026-09-26 audit (current known risks) with fix progress, then every P0 task. Report: https://claude.ai/artifact/WKskiyexTDLAHe1BfjvWR1 — a finding is RESOLVED when every linked fix task is DONE.</t>
  </si>
  <si>
    <t>Findings</t>
  </si>
  <si>
    <t>Resolved</t>
  </si>
  <si>
    <t>Open</t>
  </si>
  <si>
    <t>P0 tasks</t>
  </si>
  <si>
    <t>P0 done</t>
  </si>
  <si>
    <t>Audit findings (current known risks)</t>
  </si>
  <si>
    <t>Finding ID</t>
  </si>
  <si>
    <t>Progress</t>
  </si>
  <si>
    <t>Finding</t>
  </si>
  <si>
    <t>Fix Tasks</t>
  </si>
  <si>
    <t>Active</t>
  </si>
  <si>
    <t>Blocked/Failed</t>
  </si>
  <si>
    <t>Editor save can discard nested blocks (lists, pictures, code, quotes inside cells/items)</t>
  </si>
  <si>
    <t>EDIT-001,EDIT-002,EDIT-003,EDIT-005,EDIT-006</t>
  </si>
  <si>
    <t>AI fidelity check misses omissions, negation removal, number changes, inserted text</t>
  </si>
  <si>
    <t>AI-001,AI-002,AI-003,AI-004</t>
  </si>
  <si>
    <t>Fixed in Phase 2 (AI-001..004): AI structure answers are checked token by token; any omission, negation removal, number/unit/date change, insertion, reordering, duplication or punctuation change is refused.</t>
  </si>
  <si>
    <t>Import/export silently changes hidden text, numbering, section headers, metadata, alt text, structure</t>
  </si>
  <si>
    <t>FID-002,DOCX-011,DOCX-013,DOCX-015,DOCX-025</t>
  </si>
  <si>
    <t>List numbering changes ('Чл. 1.' -&gt; '1.', '(a)' -&gt; 'a.', start values)</t>
  </si>
  <si>
    <t>Partly fixed in 622d9c1: list format/start/continuation kept; custom labels ('Чл. 1.', '(a)') and multi-level labels reported, not kept yet (DOCX-016).</t>
  </si>
  <si>
    <t>AI instruction operations can delete/insert/move content without preview</t>
  </si>
  <si>
    <t>AI-005,AI-006,AI-007,REV-003</t>
  </si>
  <si>
    <t>Fixed in Phase 2 (AI-005..AI-007: content operations become proposals) and enforced server-side in Phase 14 (REV-003, ed68af3): nothing but accepting a proposal can insert, delete or move content.</t>
  </si>
  <si>
    <t>Content controls, metadata, comment threads, sensitivity information lost</t>
  </si>
  <si>
    <t>DOCX-012,DOCX-021,DOCX-023</t>
  </si>
  <si>
    <t>Image fidelity gaps: alt text, crop, rotation, formats</t>
  </si>
  <si>
    <t>Table export changes header state, borders, alignment, widths, geometry</t>
  </si>
  <si>
    <t>Large images cause huge memory consumption</t>
  </si>
  <si>
    <t>SEC-012,SEC-013</t>
  </si>
  <si>
    <t>Large tables have a performance problem</t>
  </si>
  <si>
    <t>Plan limits have a concurrency race</t>
  </si>
  <si>
    <t>Malformed DOCX leads to HTTP 500</t>
  </si>
  <si>
    <t>SEC-010,SEC-019</t>
  </si>
  <si>
    <t>Dangerous href/field instructions must be filtered</t>
  </si>
  <si>
    <t>SEC-014,SEC-015,SEC-016</t>
  </si>
  <si>
    <t>Account essentials missing: reset, verification, change, deletion</t>
  </si>
  <si>
    <t>ACCT-002,ACCT-003,ACCT-004,ACCT-005</t>
  </si>
  <si>
    <t>Operations/monitoring must be confirmed</t>
  </si>
  <si>
    <t>OBS-001,OBS-002,INFRA-010</t>
  </si>
  <si>
    <t>Whole-document autosave must be optimised</t>
  </si>
  <si>
    <t>PERF-003,PERF-004</t>
  </si>
  <si>
    <t>PDF multilingual rendering must be reliable</t>
  </si>
  <si>
    <t>FONT-003,FONT-006</t>
  </si>
  <si>
    <t>Export metadata must be correct</t>
  </si>
  <si>
    <t>DOCX-012,DOCX-020</t>
  </si>
  <si>
    <t>Partly fixed in 622d9c1: Word exports carry the source file's core properties (author, dates, subject...) instead of 'python-docx'/2013; fields remain (DOCX-020).</t>
  </si>
  <si>
    <t>AUD-19</t>
  </si>
  <si>
    <t>Canonical model must represent more than paragraphs + runs + simple tables</t>
  </si>
  <si>
    <t>CORE-001,DOCX-015,DOCX-016,DOCX-017</t>
  </si>
  <si>
    <t>Tests can miss import-side data loss (model-relative comparison)</t>
  </si>
  <si>
    <t>TEST-020,TEST-021,TEST-022</t>
  </si>
  <si>
    <t>P0 tasks (live from MASTER)</t>
  </si>
  <si>
    <t>DOCUMENT_FIDELITY — Content preservation</t>
  </si>
  <si>
    <t>Canonical model, fidelity reports, capability matrix, change/review model. Categories: CORE, FIDELITY, REVIEW. Rows are formulas over MASTER — change task data in MASTER or with tools/tracker/tracker.py.</t>
  </si>
  <si>
    <t>Tasks (live from MASTER)</t>
  </si>
  <si>
    <t>DOCX_OOXML — DOCX / OOXML preservation</t>
  </si>
  <si>
    <t>Import and export fidelity for Word documents. Categories: DOCX. Rows are formulas over MASTER — change task data in MASTER or with tools/tracker/tracker.py.</t>
  </si>
  <si>
    <t>PDF — PDF engine</t>
  </si>
  <si>
    <t>PDF export and PDF parsing. Categories: PDF. Rows are formulas over MASTER — change task data in MASTER or with tools/tracker/tracker.py.</t>
  </si>
  <si>
    <t>EDITOR — Editor integrity</t>
  </si>
  <si>
    <t>Tiptap mapping and save integrity. Categories: EDITOR. Rows are formulas over MASTER — change task data in MASTER or with tools/tracker/tracker.py.</t>
  </si>
  <si>
    <t>FORMATTING — Formatting and Document Health</t>
  </si>
  <si>
    <t>Formatting engine, Format by Example, Document Health. Categories: FORMATTING, HEALTH. Rows are formulas over MASTER — change task data in MASTER or with tools/tracker/tracker.py.</t>
  </si>
  <si>
    <t>AI — AI fidelity</t>
  </si>
  <si>
    <t>Fidelity checks, proposals and review, budgets. Categories: AI. Rows are formulas over MASTER — change task data in MASTER or with tools/tracker/tracker.py.</t>
  </si>
  <si>
    <t>SECURITY — Security and accounts</t>
  </si>
  <si>
    <t>Security hardening and account essentials. Categories: SECURITY, ACCOUNT. Rows are formulas over MASTER — change task data in MASTER or with tools/tracker/tracker.py.</t>
  </si>
  <si>
    <t>PERFORMANCE — Performance</t>
  </si>
  <si>
    <t>Measured results — brief §80-81: measure, then set regression thresholds relative to the baseline (no invented SLOs)</t>
  </si>
  <si>
    <t>Bench ID</t>
  </si>
  <si>
    <t>Metric</t>
  </si>
  <si>
    <t>Unit</t>
  </si>
  <si>
    <t>Scenario</t>
  </si>
  <si>
    <t>Baseline</t>
  </si>
  <si>
    <t>Baseline Source</t>
  </si>
  <si>
    <t>Current</t>
  </si>
  <si>
    <t>Measured On</t>
  </si>
  <si>
    <t>Threshold</t>
  </si>
  <si>
    <t>BENCH-001</t>
  </si>
  <si>
    <t>duration</t>
  </si>
  <si>
    <t>s</t>
  </si>
  <si>
    <t>DOCX export: table 500x8 (4,000 cells)</t>
  </si>
  <si>
    <t>audit perf_table.py (400 cells 3.8 s; 1,600 cells 53.7 s; quadratic)</t>
  </si>
  <si>
    <t>2026-10-06 PERF-001: 500x8 Word export 706 ms (cloud container, docs/performance/after-perf-001); baseline 321 s / 247 s</t>
  </si>
  <si>
    <t>BENCH-002</t>
  </si>
  <si>
    <t>PDF export: table 500x8</t>
  </si>
  <si>
    <t>audit perf_table.py (linear)</t>
  </si>
  <si>
    <t>BENCH-003</t>
  </si>
  <si>
    <t>Import: 300-page text DOCX (1,650 elements)</t>
  </si>
  <si>
    <t>audit perf_backend.py</t>
  </si>
  <si>
    <t>BENCH-004</t>
  </si>
  <si>
    <t>DOCX export: 300-page text document</t>
  </si>
  <si>
    <t>BENCH-005</t>
  </si>
  <si>
    <t>PDF export: 300-page text document</t>
  </si>
  <si>
    <t>BENCH-006</t>
  </si>
  <si>
    <t>memory growth</t>
  </si>
  <si>
    <t>MB</t>
  </si>
  <si>
    <t>PDF export: 39 KB DOCX holding a 12000x12000 PNG</t>
  </si>
  <si>
    <t>audit pixel_bomb.py (14000x14000 crashes the export)</t>
  </si>
  <si>
    <t>BENCH-007</t>
  </si>
  <si>
    <t>PDF export: 4 JPEG images 2400x1800</t>
  </si>
  <si>
    <t>audit perf_backend.py (6.3 s)</t>
  </si>
  <si>
    <t>BENCH-008</t>
  </si>
  <si>
    <t>Editor: type 20 characters at 12,196 elements (1M-character paste)</t>
  </si>
  <si>
    <t>audit perf_browser.js (~470 ms per key)</t>
  </si>
  <si>
    <t>BENCH-009</t>
  </si>
  <si>
    <t>Editor: type 20 characters, 300-page document</t>
  </si>
  <si>
    <t>audit perf_browser.js</t>
  </si>
  <si>
    <t>BENCH-010</t>
  </si>
  <si>
    <t>request size</t>
  </si>
  <si>
    <t>Autosave request: 300-page document</t>
  </si>
  <si>
    <t>audit perf_browser.js (whole elements list per save)</t>
  </si>
  <si>
    <t>2026-10-01 PERF-003 (5919014): a one-paragraph save is a PATCH of 1,395 B, answered with 1,592 B; the whole save of the same 1,651-element document was 2.16 MB up, 2.09 MB down. API-level, scratchpad bench_autosave.py run as a temporary test on the api_db fixture. Server time 0.37 s (PERF-008).</t>
  </si>
  <si>
    <t>BENCH-011</t>
  </si>
  <si>
    <t>Autosave request: 1M-character paste</t>
  </si>
  <si>
    <t>2026-10-01 PERF-003 (5919014): at 12,201 elements a one-paragraph save is 792 B up, 989 B down (whole: 9.26 MB, 8.71 MB). The paste's own first save is still the whole document (more than half changed). Server time 1.98 s (PERF-008).</t>
  </si>
  <si>
    <t>BENCH-012</t>
  </si>
  <si>
    <t>storage</t>
  </si>
  <si>
    <t>Stored history: one 300-page document, 50 steps</t>
  </si>
  <si>
    <t>audit (2.8 MB per full copy; 7.2 MB when the JSON is ASCII-escaped)</t>
  </si>
  <si>
    <t>BENCH-013</t>
  </si>
  <si>
    <t>Paste: 2M characters (the cap)</t>
  </si>
  <si>
    <t>audit perf_backend.py (17.5k elements, 7.1 MB JSON)</t>
  </si>
  <si>
    <t>Performance tasks (live from MASTER)</t>
  </si>
  <si>
    <t>TESTING — Testing</t>
  </si>
  <si>
    <t>Test runs (oldest first)</t>
  </si>
  <si>
    <t>Run ID</t>
  </si>
  <si>
    <t>Command</t>
  </si>
  <si>
    <t>Passed</t>
  </si>
  <si>
    <t>Skipped</t>
  </si>
  <si>
    <t>Date</t>
  </si>
  <si>
    <t>Duration (s)</t>
  </si>
  <si>
    <t>RUN-0001</t>
  </si>
  <si>
    <t>backend-pytest</t>
  </si>
  <si>
    <t>PASS</t>
  </si>
  <si>
    <t>cd backend &amp;&amp; venv/Scripts/python -m pytest -q -p no:cacheprovider</t>
  </si>
  <si>
    <t>Skip: optional real-Word check (SMARTDOC_REAL_DOCX unset). 1 DeprecationWarning (starlette/anyio). Audit measured 93% line coverage on 2026-09-26.</t>
  </si>
  <si>
    <t>ea69829</t>
  </si>
  <si>
    <t>RUN-0002</t>
  </si>
  <si>
    <t>frontend-lint</t>
  </si>
  <si>
    <t>cd frontend &amp;&amp; npm run lint</t>
  </si>
  <si>
    <t>eslint: 0 problems</t>
  </si>
  <si>
    <t>RUN-0003</t>
  </si>
  <si>
    <t>frontend-tsc</t>
  </si>
  <si>
    <t>cd frontend &amp;&amp; npx tsc --noEmit</t>
  </si>
  <si>
    <t>0 type errors</t>
  </si>
  <si>
    <t>RUN-0004</t>
  </si>
  <si>
    <t>frontend-vitest</t>
  </si>
  <si>
    <t>cd frontend &amp;&amp; npm test</t>
  </si>
  <si>
    <t>6 test files</t>
  </si>
  <si>
    <t>RUN-0005</t>
  </si>
  <si>
    <t>frontend-build</t>
  </si>
  <si>
    <t>cd frontend &amp;&amp; npm run build</t>
  </si>
  <si>
    <t>Next.js production build, 11 routes</t>
  </si>
  <si>
    <t>RUN-0006</t>
  </si>
  <si>
    <t>e2e-playwright</t>
  </si>
  <si>
    <t>cd frontend &amp;&amp; npm run test:e2e</t>
  </si>
  <si>
    <t>Edge; throwaway backend on SQLite (:8100) + production build (:3100). 16 workflows in 5 spec files; the brief asks for 24 (TEST-040). Leaves %TEMP%/smartdoc-e2e-* dirs behind (TEST-006).</t>
  </si>
  <si>
    <t>RUN-0007</t>
  </si>
  <si>
    <t>migrations</t>
  </si>
  <si>
    <t>alembic upgrade head &amp;&amp; alembic check &amp;&amp; alembic downgrade base &amp;&amp; alembic upgrade head (scratch SQLite); alembic upgrade head --sql (PostgreSQL dialect)</t>
  </si>
  <si>
    <t>head 85211092fe4c; 'No new upgrade operations detected'; offline SQL: 14 tables at head, RLS enabled on every table</t>
  </si>
  <si>
    <t>RUN-0008</t>
  </si>
  <si>
    <t>supabase</t>
  </si>
  <si>
    <t>Supabase MCP: list_migrations, get_advisors security+performance, list_tables (project edmmjmsynjziahwtjuke)</t>
  </si>
  <si>
    <t>8/8 migrations applied; 14 tables, RLS on all; advisors only INFO: 14x rls_enabled_no_policy (by design: the API connects as owner, PostgREST roles see nothing), 8x unused_index (low traffic)</t>
  </si>
  <si>
    <t>RUN-0009</t>
  </si>
  <si>
    <t>pip-audit</t>
  </si>
  <si>
    <t>uvx pip-audit --disable-pip -r backend/requirements.lock; same for requirements-dev.lock</t>
  </si>
  <si>
    <t>No known vulnerabilities in either lock file</t>
  </si>
  <si>
    <t>RUN-0010</t>
  </si>
  <si>
    <t>npm-audit</t>
  </si>
  <si>
    <t>cd frontend &amp;&amp; npm audit; npm audit --omit=dev</t>
  </si>
  <si>
    <t>0 vulnerabilities across 633 dependencies</t>
  </si>
  <si>
    <t>RUN-0011</t>
  </si>
  <si>
    <t>docker-compose</t>
  </si>
  <si>
    <t>PARTIAL</t>
  </si>
  <si>
    <t>docker compose config --quiet</t>
  </si>
  <si>
    <t>compose file valid (8 services: postgres, redis, minio, minio-bucket, migrate, worker, backend, frontend); images NOT built: Docker daemon not running on this machine (CI builds them on main)</t>
  </si>
  <si>
    <t>RUN-0012</t>
  </si>
  <si>
    <t>Phase 1 editor integrity: +16 tests (nesting model, nested API/exports, health links)</t>
  </si>
  <si>
    <t>RUN-0013</t>
  </si>
  <si>
    <t>cd frontend &amp;&amp; npx vitest run</t>
  </si>
  <si>
    <t>+31: nestedBlocks.test.ts (28), useAutoSave.test.tsx (3); tsc and eslint clean</t>
  </si>
  <si>
    <t>RUN-0014</t>
  </si>
  <si>
    <t>cd frontend &amp;&amp; npx playwright test</t>
  </si>
  <si>
    <t>+1: e2e/nested.spec.ts (paste, autosave, reload)</t>
  </si>
  <si>
    <t>RUN-0015</t>
  </si>
  <si>
    <t>+29 test_fidelity_report.py</t>
  </si>
  <si>
    <t>RUN-0016</t>
  </si>
  <si>
    <t>+3 FidelityPanel.test.tsx</t>
  </si>
  <si>
    <t>RUN-0017</t>
  </si>
  <si>
    <t>+fidelity.spec.ts; nested.spec.ts made deterministic (focus check, Ctrl+End) after one run pasted at the document start</t>
  </si>
  <si>
    <t>RUN-0018</t>
  </si>
  <si>
    <t>+6 test_export_fidelity.py</t>
  </si>
  <si>
    <t>RUN-0019</t>
  </si>
  <si>
    <t>+4 ExportResult.test.tsx</t>
  </si>
  <si>
    <t>RUN-0020</t>
  </si>
  <si>
    <t>export test checks the export's content message</t>
  </si>
  <si>
    <t>RUN-0021</t>
  </si>
  <si>
    <t>+6 test_capabilities.py</t>
  </si>
  <si>
    <t>RUN-0022</t>
  </si>
  <si>
    <t>venv/Scripts/python -m pytest -q</t>
  </si>
  <si>
    <t>after FID-002 detections + section break fix</t>
  </si>
  <si>
    <t>RUN-0023</t>
  </si>
  <si>
    <t>npx vitest run</t>
  </si>
  <si>
    <t>tsc --noEmit and eslint clean too</t>
  </si>
  <si>
    <t>RUN-0024</t>
  </si>
  <si>
    <t>rule values (SEC-022) + editor direct styles</t>
  </si>
  <si>
    <t>RUN-0025</t>
  </si>
  <si>
    <t>tsc + eslint clean</t>
  </si>
  <si>
    <t>RUN-0026</t>
  </si>
  <si>
    <t>e2e</t>
  </si>
  <si>
    <t>npx playwright test</t>
  </si>
  <si>
    <t>incl. e2e/direct-formatting.spec.ts</t>
  </si>
  <si>
    <t>RUN-0027</t>
  </si>
  <si>
    <t>Phase 1 gate: link titles, mark order, Markdown pictures/rules</t>
  </si>
  <si>
    <t>RUN-0028</t>
  </si>
  <si>
    <t>Phase 1 gate; tsc + eslint clean</t>
  </si>
  <si>
    <t>RUN-0029</t>
  </si>
  <si>
    <t>Phase 1 gate</t>
  </si>
  <si>
    <t>RUN-0030</t>
  </si>
  <si>
    <t>AI fidelity check (AI-001..004)</t>
  </si>
  <si>
    <t>RUN-0031</t>
  </si>
  <si>
    <t>AI proposals</t>
  </si>
  <si>
    <t>RUN-0032</t>
  </si>
  <si>
    <t>RUN-0033</t>
  </si>
  <si>
    <t>incl. e2e/proposals.spec.ts</t>
  </si>
  <si>
    <t>RUN-0034</t>
  </si>
  <si>
    <t>AI budget</t>
  </si>
  <si>
    <t>RUN-0035</t>
  </si>
  <si>
    <t>prompt-injection review</t>
  </si>
  <si>
    <t>RUN-0036</t>
  </si>
  <si>
    <t>Phase 2 gate</t>
  </si>
  <si>
    <t>RUN-0037</t>
  </si>
  <si>
    <t>RUN-0038</t>
  </si>
  <si>
    <t>source package + patch writer</t>
  </si>
  <si>
    <t>RUN-0039</t>
  </si>
  <si>
    <t>after the patch writer</t>
  </si>
  <si>
    <t>RUN-0040</t>
  </si>
  <si>
    <t>backend pytest</t>
  </si>
  <si>
    <t>DOCX-028: test_original_blocks.py (26), golden set of 13</t>
  </si>
  <si>
    <t>7f22bf9</t>
  </si>
  <si>
    <t>RUN-0041</t>
  </si>
  <si>
    <t>frontend vitest</t>
  </si>
  <si>
    <t>editor round trip includes 13-kept-blocks</t>
  </si>
  <si>
    <t>RUN-0042</t>
  </si>
  <si>
    <t>playwright</t>
  </si>
  <si>
    <t>new e2e/kept-blocks.spec.ts</t>
  </si>
  <si>
    <t>RUN-0043</t>
  </si>
  <si>
    <t>tsc + eslint</t>
  </si>
  <si>
    <t>cd frontend &amp;&amp; npx tsc --noEmit &amp;&amp; npx eslint .</t>
  </si>
  <si>
    <t>0 type errors, 0 lint problems</t>
  </si>
  <si>
    <t>RUN-0044</t>
  </si>
  <si>
    <t>DOCX-025: tests/test_hidden_text.py (7)</t>
  </si>
  <si>
    <t>fada4d7</t>
  </si>
  <si>
    <t>RUN-0045</t>
  </si>
  <si>
    <t>editor/hiddenText.test.tsx (6)</t>
  </si>
  <si>
    <t>RUN-0046</t>
  </si>
  <si>
    <t>new e2e/hidden-text.spec.ts</t>
  </si>
  <si>
    <t>RUN-0047</t>
  </si>
  <si>
    <t>RUN-0048</t>
  </si>
  <si>
    <t>DOCX-013 part 1: tests/test_character_formatting.py (12)</t>
  </si>
  <si>
    <t>c51b1bf</t>
  </si>
  <si>
    <t>RUN-0049</t>
  </si>
  <si>
    <t>editor/characterFormatting.test.ts (3)</t>
  </si>
  <si>
    <t>RUN-0050</t>
  </si>
  <si>
    <t>after DOCX-013 part 1</t>
  </si>
  <si>
    <t>RUN-0051</t>
  </si>
  <si>
    <t>RUN-0052</t>
  </si>
  <si>
    <t>DOCX-013 part 2 + FID-007: tests/test_copy_reports.py (6)</t>
  </si>
  <si>
    <t>309f9d6</t>
  </si>
  <si>
    <t>RUN-0053</t>
  </si>
  <si>
    <t>characterFormatting.test.ts (4)</t>
  </si>
  <si>
    <t>RUN-0054</t>
  </si>
  <si>
    <t>after DOCX-013 part 2</t>
  </si>
  <si>
    <t>RUN-0055</t>
  </si>
  <si>
    <t>RUN-0056</t>
  </si>
  <si>
    <t>DOCX-014 part 1: tests/test_paragraph_formatting.py (9)</t>
  </si>
  <si>
    <t>597275a</t>
  </si>
  <si>
    <t>RUN-0057</t>
  </si>
  <si>
    <t>after DOCX-014 part 1</t>
  </si>
  <si>
    <t>RUN-0058</t>
  </si>
  <si>
    <t>RUN-0059</t>
  </si>
  <si>
    <t>RUN-0060</t>
  </si>
  <si>
    <t>DOCX-014 part 2: tests/test_paragraph_formatting.py (19)</t>
  </si>
  <si>
    <t>9f1c5b4</t>
  </si>
  <si>
    <t>RUN-0061</t>
  </si>
  <si>
    <t>after DOCX-014 part 2</t>
  </si>
  <si>
    <t>RUN-0062</t>
  </si>
  <si>
    <t>RUN-0063</t>
  </si>
  <si>
    <t>RUN-0064</t>
  </si>
  <si>
    <t>DOCX-015 part 1a: tests/test_sections.py (6)</t>
  </si>
  <si>
    <t>49d54e5</t>
  </si>
  <si>
    <t>RUN-0065</t>
  </si>
  <si>
    <t>sectionBreak.test.ts (3)</t>
  </si>
  <si>
    <t>RUN-0066</t>
  </si>
  <si>
    <t>after DOCX-015 part 1a</t>
  </si>
  <si>
    <t>RUN-0067</t>
  </si>
  <si>
    <t>RUN-0068</t>
  </si>
  <si>
    <t>DOCX-015 part 1b: tests/test_sections.py (7)</t>
  </si>
  <si>
    <t>cb75ebd</t>
  </si>
  <si>
    <t>RUN-0069</t>
  </si>
  <si>
    <t>after DOCX-015 part 1b</t>
  </si>
  <si>
    <t>RUN-0070</t>
  </si>
  <si>
    <t>RUN-0071</t>
  </si>
  <si>
    <t>RUN-0072</t>
  </si>
  <si>
    <t>bc138f5</t>
  </si>
  <si>
    <t>RUN-0073</t>
  </si>
  <si>
    <t>vitest</t>
  </si>
  <si>
    <t>RUN-0074</t>
  </si>
  <si>
    <t>RUN-0075</t>
  </si>
  <si>
    <t>95329a4</t>
  </si>
  <si>
    <t>RUN-0076</t>
  </si>
  <si>
    <t>RUN-0077</t>
  </si>
  <si>
    <t>30a9bb7</t>
  </si>
  <si>
    <t>RUN-0078</t>
  </si>
  <si>
    <t>RUN-0079</t>
  </si>
  <si>
    <t>RUN-0080</t>
  </si>
  <si>
    <t>RUN-0081</t>
  </si>
  <si>
    <t>RUN-0082</t>
  </si>
  <si>
    <t>RUN-0083</t>
  </si>
  <si>
    <t>3bb348a</t>
  </si>
  <si>
    <t>RUN-0084</t>
  </si>
  <si>
    <t>RUN-0085</t>
  </si>
  <si>
    <t>aa132b4</t>
  </si>
  <si>
    <t>RUN-0086</t>
  </si>
  <si>
    <t>RUN-0087</t>
  </si>
  <si>
    <t>RUN-0088</t>
  </si>
  <si>
    <t>RUN-0089</t>
  </si>
  <si>
    <t>RUN-0090</t>
  </si>
  <si>
    <t>RUN-0091</t>
  </si>
  <si>
    <t>49c5a78</t>
  </si>
  <si>
    <t>RUN-0092</t>
  </si>
  <si>
    <t>RUN-0093</t>
  </si>
  <si>
    <t>RUN-0094</t>
  </si>
  <si>
    <t>RUN-0095</t>
  </si>
  <si>
    <t>RUN-0096</t>
  </si>
  <si>
    <t>RUN-0097</t>
  </si>
  <si>
    <t>typecheck</t>
  </si>
  <si>
    <t>RUN-0098</t>
  </si>
  <si>
    <t>RUN-0099</t>
  </si>
  <si>
    <t>RUN-0100</t>
  </si>
  <si>
    <t>RUN-0101</t>
  </si>
  <si>
    <t>RUN-0102</t>
  </si>
  <si>
    <t>RUN-0103</t>
  </si>
  <si>
    <t>RUN-0104</t>
  </si>
  <si>
    <t>RUN-0105</t>
  </si>
  <si>
    <t>RUN-0106</t>
  </si>
  <si>
    <t>RUN-0107</t>
  </si>
  <si>
    <t>RUN-0108</t>
  </si>
  <si>
    <t>RUN-0109</t>
  </si>
  <si>
    <t>RUN-0110</t>
  </si>
  <si>
    <t>RUN-0111</t>
  </si>
  <si>
    <t>RUN-0112</t>
  </si>
  <si>
    <t>RUN-0113</t>
  </si>
  <si>
    <t>RUN-0114</t>
  </si>
  <si>
    <t>RUN-0115</t>
  </si>
  <si>
    <t>RUN-0116</t>
  </si>
  <si>
    <t>RUN-0117</t>
  </si>
  <si>
    <t>RUN-0118</t>
  </si>
  <si>
    <t>RUN-0119</t>
  </si>
  <si>
    <t>RUN-0120</t>
  </si>
  <si>
    <t>RUN-0121</t>
  </si>
  <si>
    <t>RUN-0122</t>
  </si>
  <si>
    <t>RUN-0123</t>
  </si>
  <si>
    <t>RUN-0124</t>
  </si>
  <si>
    <t>SEC-010: +110 malformed-file tests</t>
  </si>
  <si>
    <t>a5cad2b</t>
  </si>
  <si>
    <t>RUN-0125</t>
  </si>
  <si>
    <t>SEC-011 + SEC-023: +45 malformed-PDF tests</t>
  </si>
  <si>
    <t>dc310df</t>
  </si>
  <si>
    <t>RUN-0126</t>
  </si>
  <si>
    <t>1ca3806</t>
  </si>
  <si>
    <t>RUN-0127</t>
  </si>
  <si>
    <t>RUN-0128</t>
  </si>
  <si>
    <t>RUN-0129</t>
  </si>
  <si>
    <t>4291784</t>
  </si>
  <si>
    <t>RUN-0130</t>
  </si>
  <si>
    <t>RUN-0131</t>
  </si>
  <si>
    <t>RUN-0132</t>
  </si>
  <si>
    <t>fd19c25</t>
  </si>
  <si>
    <t>RUN-0133</t>
  </si>
  <si>
    <t>RUN-0134</t>
  </si>
  <si>
    <t>security suite</t>
  </si>
  <si>
    <t>cd backend &amp;&amp; venv/Scripts/python -m pytest -m security -q</t>
  </si>
  <si>
    <t>96ddf64</t>
  </si>
  <si>
    <t>RUN-0135</t>
  </si>
  <si>
    <t>cd backend &amp;&amp; venv/Scripts/python -m pytest -m 'not security' -q</t>
  </si>
  <si>
    <t>TEST-030: the rest, once</t>
  </si>
  <si>
    <t>RUN-0136</t>
  </si>
  <si>
    <t>7e9189e</t>
  </si>
  <si>
    <t>RUN-0137</t>
  </si>
  <si>
    <t>RUN-0138</t>
  </si>
  <si>
    <t>0290955</t>
  </si>
  <si>
    <t>RUN-0139</t>
  </si>
  <si>
    <t>08215c7</t>
  </si>
  <si>
    <t>RUN-0140</t>
  </si>
  <si>
    <t>370ed49</t>
  </si>
  <si>
    <t>RUN-0141</t>
  </si>
  <si>
    <t>Phase 4 gate</t>
  </si>
  <si>
    <t>51a2b14</t>
  </si>
  <si>
    <t>RUN-0142</t>
  </si>
  <si>
    <t>RUN-0143</t>
  </si>
  <si>
    <t>RUN-0144</t>
  </si>
  <si>
    <t>Phase 4 gate: 0 type errors, 0 lint problems</t>
  </si>
  <si>
    <t>RUN-0145</t>
  </si>
  <si>
    <t>Word gate</t>
  </si>
  <si>
    <t>scratchpad phase4_gate_exports.py + word_open_check.py + word_gate_counts.py (hidden Word, read-only)</t>
  </si>
  <si>
    <t>Phase 4 gate: 20 fixtures x cleaned/template/new; package check clean; counts as known</t>
  </si>
  <si>
    <t>RUN-0146</t>
  </si>
  <si>
    <t>RUN-0147</t>
  </si>
  <si>
    <t>RUN-0148</t>
  </si>
  <si>
    <t>PERF-003: the typing test asserts a PATCH with that paragraph alone</t>
  </si>
  <si>
    <t>RUN-0149</t>
  </si>
  <si>
    <t>RUN-0150</t>
  </si>
  <si>
    <t>mutation check</t>
  </si>
  <si>
    <t>scratchpad mutate_perf003.py (control runs first)</t>
  </si>
  <si>
    <t>RUN-0151</t>
  </si>
  <si>
    <t>PLAN-003 (documents, templates, storage)</t>
  </si>
  <si>
    <t>b165cea</t>
  </si>
  <si>
    <t>RUN-0152</t>
  </si>
  <si>
    <t>scratchpad mutate_plan003.py (control run first)</t>
  </si>
  <si>
    <t>RUN-0153</t>
  </si>
  <si>
    <t>RUN-0154</t>
  </si>
  <si>
    <t>scratchpad mutate_acct001.py (control run first)</t>
  </si>
  <si>
    <t>RUN-0155</t>
  </si>
  <si>
    <t>RUN-0156</t>
  </si>
  <si>
    <t>RUN-0157</t>
  </si>
  <si>
    <t>ACCT-002: the forgotten-password flow</t>
  </si>
  <si>
    <t>RUN-0158</t>
  </si>
  <si>
    <t>RUN-0159</t>
  </si>
  <si>
    <t>scratchpad mutate_acct002.py (control runs first)</t>
  </si>
  <si>
    <t>RUN-0160</t>
  </si>
  <si>
    <t>Supabase MCP: apply_migration 1da599e1913f (rendered by alembic --sql), then get_advisors security + performance (project edmmjmsynjziahwtjuke)</t>
  </si>
  <si>
    <t>head 1da599e1913f; account_tokens RLS on; smartdoc_app can write it; advisors INFO only (rls_enabled_no_policy x15 by design, unused_index x9)</t>
  </si>
  <si>
    <t>RUN-0161</t>
  </si>
  <si>
    <t>RUN-0162</t>
  </si>
  <si>
    <t>RUN-0163</t>
  </si>
  <si>
    <t>ACCT-003: address confirmed in the browser</t>
  </si>
  <si>
    <t>RUN-0164</t>
  </si>
  <si>
    <t>RUN-0165</t>
  </si>
  <si>
    <t>scratchpad mutate_acct003.py (control runs first)</t>
  </si>
  <si>
    <t>RUN-0166</t>
  </si>
  <si>
    <t>Supabase MCP: apply_migration 0417f0f393fc, get_advisors security</t>
  </si>
  <si>
    <t>head 0417f0f393fc; users.email_verified_at timestamptz; advisors INFO only</t>
  </si>
  <si>
    <t>RUN-0167</t>
  </si>
  <si>
    <t>RUN-0168</t>
  </si>
  <si>
    <t>RUN-0169</t>
  </si>
  <si>
    <t>RUN-0170</t>
  </si>
  <si>
    <t>RUN-0171</t>
  </si>
  <si>
    <t>scratchpad mutate_acct004.py (control runs first)</t>
  </si>
  <si>
    <t>RUN-0172</t>
  </si>
  <si>
    <t>second cloud batch merged</t>
  </si>
  <si>
    <t>RUN-0173</t>
  </si>
  <si>
    <t>RUN-0174</t>
  </si>
  <si>
    <t>RUN-0175</t>
  </si>
  <si>
    <t>tools/word gate_exports.py + open_check.py + gate_counts.py</t>
  </si>
  <si>
    <t>after PERF-001: 60/60 open, every count identical to the Phase 4 gate</t>
  </si>
  <si>
    <t>RUN-0176</t>
  </si>
  <si>
    <t>Supabase MCP: apply_migration c3a91f7d2b64, b8534d3c4256, b4b303454a89, d41f7a60c9e2; get_advisors</t>
  </si>
  <si>
    <t>head d41f7a60c9e2; known_browsers RLS on; advisors INFO only</t>
  </si>
  <si>
    <t>RUN-0177</t>
  </si>
  <si>
    <t>RUN-0178</t>
  </si>
  <si>
    <t>RUN-0179</t>
  </si>
  <si>
    <t>scratchpad mutate_perf008.py</t>
  </si>
  <si>
    <t>RUN-0180</t>
  </si>
  <si>
    <t>pytest -q</t>
  </si>
  <si>
    <t>the 1 failure was the frontend golden JSON (layout: null added); regenerated, tests/test_golden_documents.py 54 passed</t>
  </si>
  <si>
    <t>RUN-0181</t>
  </si>
  <si>
    <t>RUN-0182</t>
  </si>
  <si>
    <t>RUN-0183</t>
  </si>
  <si>
    <t>mutations-p2e</t>
  </si>
  <si>
    <t>scratchpad/mutate_p2e.py</t>
  </si>
  <si>
    <t>RUN-0184</t>
  </si>
  <si>
    <t>RUN-0185</t>
  </si>
  <si>
    <t>mutations-p2e005</t>
  </si>
  <si>
    <t>scratchpad/mutate_p2e005.py</t>
  </si>
  <si>
    <t>RUN-0186</t>
  </si>
  <si>
    <t>the 1 failure (picture count pinned to the text path) split into both paths: test_malformed_pdfs 45 passed</t>
  </si>
  <si>
    <t>RUN-0187</t>
  </si>
  <si>
    <t>mutations-p2e003</t>
  </si>
  <si>
    <t>scratchpad/mutate_p2e003.py</t>
  </si>
  <si>
    <t>RUN-0188</t>
  </si>
  <si>
    <t>RUN-0189</t>
  </si>
  <si>
    <t>mutations-p2e004</t>
  </si>
  <si>
    <t>scratchpad/mutate_p2e004.py</t>
  </si>
  <si>
    <t>RUN-0190</t>
  </si>
  <si>
    <t>RUN-0191</t>
  </si>
  <si>
    <t>mutations-p2e006</t>
  </si>
  <si>
    <t>scratchpad/mutate_p2e006.py</t>
  </si>
  <si>
    <t>RUN-0192</t>
  </si>
  <si>
    <t>RUN-0193</t>
  </si>
  <si>
    <t>RUN-0194</t>
  </si>
  <si>
    <t>RUN-0195</t>
  </si>
  <si>
    <t>mutations-p2e007</t>
  </si>
  <si>
    <t>scratchpad/mutate_p2e007.py</t>
  </si>
  <si>
    <t>RUN-0196</t>
  </si>
  <si>
    <t>after registering the new routes (security suite) and the counted unit; openapi regenerated</t>
  </si>
  <si>
    <t>RUN-0197</t>
  </si>
  <si>
    <t>RUN-0198</t>
  </si>
  <si>
    <t>RUN-0199</t>
  </si>
  <si>
    <t>mutations-translation</t>
  </si>
  <si>
    <t>mutate_tran_core.py + mutate_tran_api.py</t>
  </si>
  <si>
    <t>RUN-0200</t>
  </si>
  <si>
    <t>RUN-0201</t>
  </si>
  <si>
    <t>RUN-0202</t>
  </si>
  <si>
    <t>RUN-0203</t>
  </si>
  <si>
    <t>RUN-0204</t>
  </si>
  <si>
    <t>RUN-0205</t>
  </si>
  <si>
    <t>RUN-0206</t>
  </si>
  <si>
    <t>mutations-fonts</t>
  </si>
  <si>
    <t>mutate_fonts.py</t>
  </si>
  <si>
    <t>RUN-0207</t>
  </si>
  <si>
    <t>RUN-0208</t>
  </si>
  <si>
    <t>RUN-0209</t>
  </si>
  <si>
    <t>RUN-0210</t>
  </si>
  <si>
    <t>mutations-format-by-example</t>
  </si>
  <si>
    <t>mutate_fmt.py</t>
  </si>
  <si>
    <t>RUN-0211</t>
  </si>
  <si>
    <t>RUN-0212</t>
  </si>
  <si>
    <t>RUN-0213</t>
  </si>
  <si>
    <t>RUN-0214</t>
  </si>
  <si>
    <t>mutations-health</t>
  </si>
  <si>
    <t>mutate_hlth.py</t>
  </si>
  <si>
    <t>RUN-0215</t>
  </si>
  <si>
    <t>RUN-0216</t>
  </si>
  <si>
    <t>RUN-0217</t>
  </si>
  <si>
    <t>RUN-0218</t>
  </si>
  <si>
    <t>mutations-review</t>
  </si>
  <si>
    <t>mutate_rev.py</t>
  </si>
  <si>
    <t>RUN-0219</t>
  </si>
  <si>
    <t>RUN-0220</t>
  </si>
  <si>
    <t>RUN-0221</t>
  </si>
  <si>
    <t>RUN-0222</t>
  </si>
  <si>
    <t>mutations-accessibility</t>
  </si>
  <si>
    <t>mutate_a11y.py</t>
  </si>
  <si>
    <t>RUN-0223</t>
  </si>
  <si>
    <t>RUN-0224</t>
  </si>
  <si>
    <t>RUN-0225</t>
  </si>
  <si>
    <t>mutations-observability</t>
  </si>
  <si>
    <t>mutate_obs.py</t>
  </si>
  <si>
    <t>RUN-0226</t>
  </si>
  <si>
    <t>RUN-0227</t>
  </si>
  <si>
    <t>perf-gate</t>
  </si>
  <si>
    <t>perf_gate.py 23b6c56 vs branch (quick, repeats 3)</t>
  </si>
  <si>
    <t>RUN-0228</t>
  </si>
  <si>
    <t>RUN-0229</t>
  </si>
  <si>
    <t>RUN-0230</t>
  </si>
  <si>
    <t>RUN-0231</t>
  </si>
  <si>
    <t>RUN-0232</t>
  </si>
  <si>
    <t>RUN-0233</t>
  </si>
  <si>
    <t>RUN-0234</t>
  </si>
  <si>
    <t>RUN-0235</t>
  </si>
  <si>
    <t>RUN-0236</t>
  </si>
  <si>
    <t>RUN-0237</t>
  </si>
  <si>
    <t>word-gate</t>
  </si>
  <si>
    <t>tools/word gate_exports + open_check + gate_counts</t>
  </si>
  <si>
    <t>904434c</t>
  </si>
  <si>
    <t>RUN-0238</t>
  </si>
  <si>
    <t>dependency-audit</t>
  </si>
  <si>
    <t>pip-audit (2 locks) + npm audit --omit=dev --audit-level=high</t>
  </si>
  <si>
    <t>f185825</t>
  </si>
  <si>
    <t>RUN-0239</t>
  </si>
  <si>
    <t>RUN-0240</t>
  </si>
  <si>
    <t>RUN-0241</t>
  </si>
  <si>
    <t>RUN-0242</t>
  </si>
  <si>
    <t>RUN-0243</t>
  </si>
  <si>
    <t>tools/word gate (60 files)</t>
  </si>
  <si>
    <t>RUN-0244</t>
  </si>
  <si>
    <t>RUN-0245</t>
  </si>
  <si>
    <t>gate_exports + open_check</t>
  </si>
  <si>
    <t>DOCX-020A; counts identical to DOCX-019A gate</t>
  </si>
  <si>
    <t>RUN-0246</t>
  </si>
  <si>
    <t>RUN-0247</t>
  </si>
  <si>
    <t>DOCX-020A; pictures float-wrap test made to wait for the layout (flaked 1 in 3 before; 5/5 after; mutation caught)</t>
  </si>
  <si>
    <t>RUN-0248</t>
  </si>
  <si>
    <t>RUN-0249</t>
  </si>
  <si>
    <t>RUN-0250</t>
  </si>
  <si>
    <t>RUN-0251</t>
  </si>
  <si>
    <t>DOCX-022A; counts identical to DOCX-020A gate; rejected a07 matches Word's Reject All</t>
  </si>
  <si>
    <t>RUN-0252</t>
  </si>
  <si>
    <t>RUN-0253</t>
  </si>
  <si>
    <t>RUN-0254</t>
  </si>
  <si>
    <t>RUN-0255</t>
  </si>
  <si>
    <t>gate_exports + open_check + gate_counts</t>
  </si>
  <si>
    <t>DOCX-023A; counts identical; a08 controls 8/8/8</t>
  </si>
  <si>
    <t>RUN-0256</t>
  </si>
  <si>
    <t>pytest tests/test_expected_losses.py</t>
  </si>
  <si>
    <t>RUN-0257</t>
  </si>
  <si>
    <t>RUN-0258</t>
  </si>
  <si>
    <t>RUN-0259</t>
  </si>
  <si>
    <t>RUN-0260</t>
  </si>
  <si>
    <t>DOCX-029; template exports' paragraph counts moved toward the originals</t>
  </si>
  <si>
    <t>RUN-0261</t>
  </si>
  <si>
    <t>RUN-0262</t>
  </si>
  <si>
    <t>PERF-005 (perf spec opt-in, skipped)</t>
  </si>
  <si>
    <t>RUN-0263</t>
  </si>
  <si>
    <t>PDF-020 (capabilities test fixed after: audit names)</t>
  </si>
  <si>
    <t>RUN-0264</t>
  </si>
  <si>
    <t>pytest tests/test_frames.py</t>
  </si>
  <si>
    <t>RUN-0265</t>
  </si>
  <si>
    <t>RUN-0266</t>
  </si>
  <si>
    <t>RUN-0267</t>
  </si>
  <si>
    <t>FONT-005 (templates spec fixed to check the first family; rerun 2/2)</t>
  </si>
  <si>
    <t>RUN-0268</t>
  </si>
  <si>
    <t>HLTH-003 (security suite list updated and rerun 155/155)</t>
  </si>
  <si>
    <t>RUN-0269</t>
  </si>
  <si>
    <t>RUN-0270</t>
  </si>
  <si>
    <t>REV-004; test_account_deletion flake (minute window) fixed in 858c8ec, rerun 7/7 x3</t>
  </si>
  <si>
    <t>RUN-0271</t>
  </si>
  <si>
    <t>RUN-0272</t>
  </si>
  <si>
    <t>RUN-0273</t>
  </si>
  <si>
    <t>RUN-0274</t>
  </si>
  <si>
    <t>RUN-0275</t>
  </si>
  <si>
    <t>RUN-0276</t>
  </si>
  <si>
    <t>RUN-0277</t>
  </si>
  <si>
    <t>RUN-0278</t>
  </si>
  <si>
    <t>RUN-0279</t>
  </si>
  <si>
    <t>FEAT-002 (test_jobs key-set updated and rerun 23/23)</t>
  </si>
  <si>
    <t>RUN-0280</t>
  </si>
  <si>
    <t>RUN-0281</t>
  </si>
  <si>
    <t>RUN-0282</t>
  </si>
  <si>
    <t>venv/Scripts/python.exe -m pytest -q</t>
  </si>
  <si>
    <t>after OBS-003</t>
  </si>
  <si>
    <t>RUN-0283</t>
  </si>
  <si>
    <t>npx playwright test (chromium/Edge)</t>
  </si>
  <si>
    <t>after TEST-043 projects</t>
  </si>
  <si>
    <t>RUN-0284</t>
  </si>
  <si>
    <t>after DOCX-016B</t>
  </si>
  <si>
    <t>RUN-0285</t>
  </si>
  <si>
    <t>RUN-0286</t>
  </si>
  <si>
    <t>after DOCX-017B</t>
  </si>
  <si>
    <t>RUN-0287</t>
  </si>
  <si>
    <t>RUN-0288</t>
  </si>
  <si>
    <t>after DOCX-018B</t>
  </si>
  <si>
    <t>RUN-0289</t>
  </si>
  <si>
    <t>npx playwright test e2e/pictures.spec.ts e2e/tables.spec.ts e2e/list-labels.spec.ts</t>
  </si>
  <si>
    <t>specs touched by DOCX-016B/017B/018B</t>
  </si>
  <si>
    <t>RUN-0290</t>
  </si>
  <si>
    <t>full suite after DOCX-018B</t>
  </si>
  <si>
    <t>RUN-0291</t>
  </si>
  <si>
    <t>after DOCX-027A</t>
  </si>
  <si>
    <t>RUN-0292</t>
  </si>
  <si>
    <t>RUN-0293</t>
  </si>
  <si>
    <t>RUN-0294</t>
  </si>
  <si>
    <t>after PERF-005A (357 + font stack cache test)</t>
  </si>
  <si>
    <t>RUN-0295</t>
  </si>
  <si>
    <t>after PERF-005A</t>
  </si>
  <si>
    <t>RUN-0296</t>
  </si>
  <si>
    <t>after P2E-021</t>
  </si>
  <si>
    <t>RUN-0297</t>
  </si>
  <si>
    <t>after FEAT-003</t>
  </si>
  <si>
    <t>RUN-0298</t>
  </si>
  <si>
    <t>RUN-0299</t>
  </si>
  <si>
    <t>RUN-0300</t>
  </si>
  <si>
    <t>after DOCX-016C (backend: + the 2 golden/nested tests fixed after the run)</t>
  </si>
  <si>
    <t>RUN-0301</t>
  </si>
  <si>
    <t>RUN-0302</t>
  </si>
  <si>
    <t>RUN-0303</t>
  </si>
  <si>
    <t>after PDF-021</t>
  </si>
  <si>
    <t>RUN-0304</t>
  </si>
  <si>
    <t>2577 passed in the full run + test_utf8_json_storage stub fixed after it (9/9 in its file)</t>
  </si>
  <si>
    <t>RUN-0305</t>
  </si>
  <si>
    <t>E-mail off (REL-021) and the pooler fix (REL-006)</t>
  </si>
  <si>
    <t>RUN-0306</t>
  </si>
  <si>
    <t>46 files; tsc and next build pass</t>
  </si>
  <si>
    <t>RUN-0307</t>
  </si>
  <si>
    <t>npx playwright test (chromium)</t>
  </si>
  <si>
    <t>Local: production build (next build + start), throwaway SQLite API (scripts/e2e_server.py)</t>
  </si>
  <si>
    <t>Testing tasks (live from MASTER)</t>
  </si>
  <si>
    <t>PRODUCT_FEATURES — Product features</t>
  </si>
  <si>
    <t>Feature backlog — brief §61-62</t>
  </si>
  <si>
    <t>Feature</t>
  </si>
  <si>
    <t>Bucket</t>
  </si>
  <si>
    <t>Linked Tasks</t>
  </si>
  <si>
    <t>Linked Done</t>
  </si>
  <si>
    <t>Linked Total</t>
  </si>
  <si>
    <t>Document integrity</t>
  </si>
  <si>
    <t>NOW</t>
  </si>
  <si>
    <t>EDIT-001,EDIT-005,FID-002</t>
  </si>
  <si>
    <t>Brief 62: NOW #1</t>
  </si>
  <si>
    <t>Fidelity</t>
  </si>
  <si>
    <t>DOCX-011,TEST-022</t>
  </si>
  <si>
    <t>Brief 62: NOW #2</t>
  </si>
  <si>
    <t>Security</t>
  </si>
  <si>
    <t>SEC-010,SEC-012,SEC-014</t>
  </si>
  <si>
    <t>Brief 62: NOW #3</t>
  </si>
  <si>
    <t>Performance</t>
  </si>
  <si>
    <t>PERF-001,PERF-003,PERF-004</t>
  </si>
  <si>
    <t>Brief 62: NOW #4</t>
  </si>
  <si>
    <t>PDF -&gt; editable</t>
  </si>
  <si>
    <t>P2E-002,P2E-005</t>
  </si>
  <si>
    <t>Brief 62: NOW #5</t>
  </si>
  <si>
    <t>TRAN-001,TRAN-006</t>
  </si>
  <si>
    <t>Brief 62: NOW #6</t>
  </si>
  <si>
    <t>FONT-002,FONT-003</t>
  </si>
  <si>
    <t>Brief 62: NOW #7</t>
  </si>
  <si>
    <t>Review Changes</t>
  </si>
  <si>
    <t>REV-001,REV-002</t>
  </si>
  <si>
    <t>Brief 62: NOW #8</t>
  </si>
  <si>
    <t>HLTH-001,HLTH-002</t>
  </si>
  <si>
    <t>Brief 62: NOW #9</t>
  </si>
  <si>
    <t>FMT-001,FMT-002,FMT-003</t>
  </si>
  <si>
    <t>Brief 62: NOW #10</t>
  </si>
  <si>
    <t>OCR</t>
  </si>
  <si>
    <t>Part of PDF -&gt; editable (brief 43)</t>
  </si>
  <si>
    <t>Multilingual support</t>
  </si>
  <si>
    <t>TRAN-007,FONT-003</t>
  </si>
  <si>
    <t>Part of translation + FontResolver</t>
  </si>
  <si>
    <t>RTL</t>
  </si>
  <si>
    <t>FONT-003,FONT-004</t>
  </si>
  <si>
    <t>Part of FontResolver</t>
  </si>
  <si>
    <t>CJK</t>
  </si>
  <si>
    <t>Glossary</t>
  </si>
  <si>
    <t>Part of translation MVP (brief 49)</t>
  </si>
  <si>
    <t>Terminology lock</t>
  </si>
  <si>
    <t>Citation preservation</t>
  </si>
  <si>
    <t>Preservation is fidelity work; a citation editor is LATER</t>
  </si>
  <si>
    <t>Bibliography preservation</t>
  </si>
  <si>
    <t>Preservation is fidelity work</t>
  </si>
  <si>
    <t>Content controls</t>
  </si>
  <si>
    <t>Preserve now; editing content controls NEXT</t>
  </si>
  <si>
    <t>Custom fields</t>
  </si>
  <si>
    <t>Preserve custom properties and fields now; an editor NEXT</t>
  </si>
  <si>
    <t>Document compare</t>
  </si>
  <si>
    <t>NEXT</t>
  </si>
  <si>
    <t>Brief 62: NEXT</t>
  </si>
  <si>
    <t>Version compare</t>
  </si>
  <si>
    <t>Brief 62: NEXT (batch processing)</t>
  </si>
  <si>
    <t>After the translation MVP</t>
  </si>
  <si>
    <t>Table repair</t>
  </si>
  <si>
    <t>List repair</t>
  </si>
  <si>
    <t>Brief 62: NEXT (accessibility)</t>
  </si>
  <si>
    <t>Heading hierarchy checker</t>
  </si>
  <si>
    <t>Link checker</t>
  </si>
  <si>
    <t>Alt-text checker</t>
  </si>
  <si>
    <t>HLTH-001,FEAT-010</t>
  </si>
  <si>
    <t>Metadata editor</t>
  </si>
  <si>
    <t>Global style replacement</t>
  </si>
  <si>
    <t>Find/replace with formatting</t>
  </si>
  <si>
    <t>Tracked change cleanup</t>
  </si>
  <si>
    <t>Template extraction</t>
  </si>
  <si>
    <t>Document-to-template</t>
  </si>
  <si>
    <t>Template matching</t>
  </si>
  <si>
    <t>Advanced template sharing</t>
  </si>
  <si>
    <t>Teams</t>
  </si>
  <si>
    <t>Translation memory</t>
  </si>
  <si>
    <t>PDF merge/split</t>
  </si>
  <si>
    <t>Page reorder</t>
  </si>
  <si>
    <t>Page rotate</t>
  </si>
  <si>
    <t>Page delete</t>
  </si>
  <si>
    <t>Page extract</t>
  </si>
  <si>
    <t>Merge documents</t>
  </si>
  <si>
    <t>LATER</t>
  </si>
  <si>
    <t>Split documents</t>
  </si>
  <si>
    <t>Watermark</t>
  </si>
  <si>
    <t>Forms (advanced)</t>
  </si>
  <si>
    <t>Brief 62: LATER</t>
  </si>
  <si>
    <t>SmartArt editing</t>
  </si>
  <si>
    <t>Brief 62: LATER; SmartArt is preserved, not edited</t>
  </si>
  <si>
    <t>OLE</t>
  </si>
  <si>
    <t>Brief 62: LATER; OLE objects preserved, not edited</t>
  </si>
  <si>
    <t>Full tracked-change editor</t>
  </si>
  <si>
    <t>Advanced citation manager</t>
  </si>
  <si>
    <t>Advanced drawing editor</t>
  </si>
  <si>
    <t>Layout-preserving PDF editing (frames/anchors)</t>
  </si>
  <si>
    <t>ARCHITECTURE_ONLY</t>
  </si>
  <si>
    <t>Phase 9: architecture and hooks only</t>
  </si>
  <si>
    <t>Product tasks (live from MASTER)</t>
  </si>
  <si>
    <t>TRANSLATION — Translation and fonts</t>
  </si>
  <si>
    <t>Translation MVP and FontResolver. Categories: TRANSLATION, FONT. Rows are formulas over MASTER — change task data in MASTER or with tools/tracker/tracker.py.</t>
  </si>
  <si>
    <t>PDF_TO_EDITABLE — PDF to editable</t>
  </si>
  <si>
    <t>PDF to editable document conversion. Categories: P2E. Rows are formulas over MASTER — change task data in MASTER or with tools/tracker/tracker.py.</t>
  </si>
  <si>
    <t>BILLING_PLANS — Plans and billing</t>
  </si>
  <si>
    <t>Initial plan hypothesis — brief §64: configurable defaults, not final prices; confirm against measured AI and infrastructure cost. Blue = input.</t>
  </si>
  <si>
    <t>Usage unit / feature</t>
  </si>
  <si>
    <t>FREE</t>
  </si>
  <si>
    <t>PRO</t>
  </si>
  <si>
    <t>BUSINESS</t>
  </si>
  <si>
    <t>Documents / month</t>
  </si>
  <si>
    <t>BUSINESS: per workspace</t>
  </si>
  <si>
    <t>PDF conversion pages / month</t>
  </si>
  <si>
    <t>OCR pages / month</t>
  </si>
  <si>
    <t>Translation characters / month</t>
  </si>
  <si>
    <t>AI operations / month</t>
  </si>
  <si>
    <t>Exports / month</t>
  </si>
  <si>
    <t>high</t>
  </si>
  <si>
    <t>BUSINESS: 'high export limits', no number given</t>
  </si>
  <si>
    <t>Templates</t>
  </si>
  <si>
    <t>basic</t>
  </si>
  <si>
    <t>custom</t>
  </si>
  <si>
    <t>shared</t>
  </si>
  <si>
    <t>Formatting</t>
  </si>
  <si>
    <t>Format by Example</t>
  </si>
  <si>
    <t>-</t>
  </si>
  <si>
    <t>Advanced Document Health</t>
  </si>
  <si>
    <t>yes</t>
  </si>
  <si>
    <t>Version history</t>
  </si>
  <si>
    <t>no</t>
  </si>
  <si>
    <t>reasonable limits</t>
  </si>
  <si>
    <t>Team workspace</t>
  </si>
  <si>
    <t>Priority processing</t>
  </si>
  <si>
    <t>Advanced controls</t>
  </si>
  <si>
    <t>Billing and plan tasks (live from MASTER)</t>
  </si>
  <si>
    <t>INFRA — Infrastructure</t>
  </si>
  <si>
    <t>Tracker, jobs, storage, observability, deployment, documentation. Categories: INFRA, JOBS, STORAGE, OBSERVABILITY, DOCS. Rows are formulas over MASTER — change task data in MASTER or with tools/tracker/tracker.py.</t>
  </si>
  <si>
    <t>FIRST_RELEASE — First public release</t>
  </si>
  <si>
    <t>The release plan (phase 19): scope, production environment, smoke tests, monitoring, rollback -- each task says whether it is mandatory before launch. Categories: RELEASE. Rows are formulas over MASTER — change task data in MASTER or with tools/tracker/tracker.py.</t>
  </si>
  <si>
    <t>Timestamp</t>
  </si>
  <si>
    <t>Task ID</t>
  </si>
  <si>
    <t>Change</t>
  </si>
  <si>
    <t>Files</t>
  </si>
  <si>
    <t>Created SmartDoc_Master_Implementation_Tracker.xlsx from the 2026-09-26 audit findings and the brief's phases: 151 tasks, 20 findings, 15 release gates.</t>
  </si>
  <si>
    <t>tools/tracker/tracker.py, tools/tracker/seed.py</t>
  </si>
  <si>
    <t>N/A</t>
  </si>
  <si>
    <t>Built the Excel control centre: MASTER with 151 stable-ID tasks from the audit findings and the brief's 19 phases, CRITICAL_FIXES (20 findings -&gt; fix tasks, live status), 14 category views, DASHBOARD (totals, completion/verified %, phase %, category %, P0/P1 remaining), CHANGE_LOG, SESSION_STATE, RELEASE_GATES GATE-001..015. Formulas verified in Excel against independently computed values.</t>
  </si>
  <si>
    <t>tools/tracker/*, SmartDoc_Master_Implementation_Tracker.xlsx, .gitignore</t>
  </si>
  <si>
    <t>Resume reminder set with the platform scheduler; it fired and resumed the work. It only fires while this session is open and idle, which is recorded in AI-CONTINUATION.md.</t>
  </si>
  <si>
    <t>Created the checkpoint system: AI-CONTINUATION.md with CURRENT STATE / LAST VERIFIED / WHAT WAS CHANGED / WHAT PASSED / WHAT FAILED / WHAT REMAINS / NEXT ACTION / IMPORTANT WARNINGS, session-state.json mirrored into SESSION_STATE by tracker.py state, and the brief saved verbatim for future sessions.</t>
  </si>
  <si>
    <t>docs/AI-CONTINUATION.md, docs/session-state.json, docs/implementation-brief.md</t>
  </si>
  <si>
    <t>Baseline backend suite: 643 passed, 1 skipped (optional real-Word check), 0 failed in 88 s on ea69829. Recorded as RUN-0001.</t>
  </si>
  <si>
    <t>Baseline frontend: eslint clean, tsc clean, Vitest 46 passed in 6 files, production build succeeded. Recorded as RUN-0002..RUN-0005.</t>
  </si>
  <si>
    <t>Baseline E2E: 16 Playwright workflows passed against the throwaway stack (SQLite backend :8100, production build :3100). The brief's 24-workflow target is TEST-040; temp-dir leak logged as TEST-006.</t>
  </si>
  <si>
    <t>Baseline database: alembic head 85211092fe4c, check reports no drift, full down/up cycle clean; PostgreSQL offline SQL builds 14 tables with RLS; Supabase has all 8 migrations and only INFO-level advisor notices.</t>
  </si>
  <si>
    <t>Baseline dependency audit: pip-audit finds no known vulnerabilities in requirements.lock or requirements-dev.lock; npm audit reports 0 vulnerabilities (production and dev).</t>
  </si>
  <si>
    <t>Baseline infrastructure inspected: compose file valid with 8 services, arq worker and in-process job backends, local and S3 storage providers. Docker images were not built (daemon not running) - left to INFRA-010.</t>
  </si>
  <si>
    <t>Baseline fixtures: the repository's 12 golden DOCX are generated by python-docx (not Word-authored) plus one PDF; the audit's 17 Word-authored fixtures still live outside the repo and move in with TEST-020.</t>
  </si>
  <si>
    <t>Wrote docs/architecture/current-baseline.md: stack versions, the 11 baseline checks with commands and results, the migration chain and live database state, fixture inventory, audit performance figures, and what the baseline could not verify (Docker images, real AI model, Stripe, e-mail, hosting).</t>
  </si>
  <si>
    <t>INFRA-001, INFRA-002, INFRA-003, TEST-001, TEST-002, TEST-003, TEST-004, TEST-005, SEC-001, INFRA-004, DOCS-001</t>
  </si>
  <si>
    <t>Phase 0 committed (4da4ecb, pushed to feature/smartdoc-production-hardening): tracker, checkpoint system and measured baseline. All 11 phase-0 tasks DONE; no production code changed.</t>
  </si>
  <si>
    <t>see commit 4da4ecb</t>
  </si>
  <si>
    <t>Model now holds blocks nested inside table cells, list items and quotes as Elements (authoritative when set; inline keeps plain text), plus list numbering start/format; nesting capped at 8 levels (422 beyond). schemaVersion stays 1: the fields are additive.</t>
  </si>
  <si>
    <t>backend/app/models/document.py, backend/tests/test_document_nesting.py</t>
  </si>
  <si>
    <t>Regenerated the OpenAPI schema and the frontend's generated types for the nested-block and numbering fields; the contract test and the type check pass.</t>
  </si>
  <si>
    <t>frontend/types/generated/*, frontend/types/document.ts</t>
  </si>
  <si>
    <t>Backend readers now see nested blocks: pasted pictures inside cells/list items/quotes are validated and moved to asset storage like top-level ones (security and quota), exports fetch their assets, and the links health check covers list items, cells and nested blocks.</t>
  </si>
  <si>
    <t>backend/app/services/image_assets.py, backend/app/services/document_service.py, backend/app/formatting/health.py</t>
  </si>
  <si>
    <t>Word export renders nested blocks in cells, list items and quotes in reading order (verified by text order), numbers lists from their start in their format, and writes pictures' alt text.</t>
  </si>
  <si>
    <t>backend/app/export/docx_export.py</t>
  </si>
  <si>
    <t>PDF export renders nested blocks and list numbering (start/format); nested numbered levels now use the same a./i. sequence as the Word export instead of 1. everywhere.</t>
  </si>
  <si>
    <t>backend/app/export/pdf_export.py</t>
  </si>
  <si>
    <t>The editor mapping is total over the schema (tested against getSchema(editorExtensions)); anything unknown stops the save with a visible 'Not saved' message instead of being dropped, and the last saved version stays untouched.</t>
  </si>
  <si>
    <t>frontend/editor/*</t>
  </si>
  <si>
    <t>frontend/editor/nestedBlocks.test.ts (7 refusal cases); frontend/editor/useAutoSave.test.tsx (3)</t>
  </si>
  <si>
    <t>Playwright pastes rich HTML (lists, code and a picture in table cells; a list in a quote; code in a list item; a list starting at 3 in letters), waits for autosave and reloads: everything is still there and no 'Not saved' appears.</t>
  </si>
  <si>
    <t>frontend/e2e/nested.spec.ts</t>
  </si>
  <si>
    <t>CORE-001, CORE-002, CORE-003, EDIT-001, EDIT-002, EDIT-003, EDIT-004, EDIT-005, EDIT-006, DOCX-001, PDF-001</t>
  </si>
  <si>
    <t>Committed phase-01a-editor-integrity (1fe27a9, pushed): nested blocks in cells, list items and quotes survive the editor, the backend and both exports; unknown content stops the save visibly. AUD-01 fix tasks all DONE.</t>
  </si>
  <si>
    <t>Import now produces a Document Fidelity Report: the importer's notes as items (feature, policy, count, content lost) plus an independent content check - the source's words (DOCX XML read separately from the importer, Markdown by what it renders, PDF extracted text) against the document's, in order. 'Verified' only when identical; differences listed with context (missing/added/changed/moved).</t>
  </si>
  <si>
    <t>backend/app/fidelity/*, backend/app/models/document.py, backend/app/services/ingestion_service.py</t>
  </si>
  <si>
    <t>Every importer note now carries a stable feature key and a brief-§90 policy class; review count and content-loss count are derived from them.</t>
  </si>
  <si>
    <t>The editor shows the import's verdict in the status bar and a Проверка panel: content verified / differs (with word-level differences) / body complete but some content left out, then each item by policy. Browser check with a05 caught and fixed a misleading 'No content changes' when header text had been left out.</t>
  </si>
  <si>
    <t>frontend/editor/panels/FidelityPanel.tsx, frontend/editor/EditorStatusBar.tsx, frontend/editor/DocumentEditorShell.tsx</t>
  </si>
  <si>
    <t>FID-001, FID-004, FID-005, INFRA-005</t>
  </si>
  <si>
    <t>Committed phase-01b-fidelity-report (8a330be, pushed): import fidelity report with policy classes and an independent word-level content check, shown in the editor; throwaway preview scripts.</t>
  </si>
  <si>
    <t>Exports now report what they approximate or leave out (missing pictures, WebP a Word file can't hold, tables restyled for Word-sourced documents, edited kept fragments, page breaks in PDF tables, PDF comments/equations/fields/internal links, scripts the PDF can't lay out, alt text) and re-read the file: a Word export must hold exactly the document's words, a PDF every word in order (its own list numbers and page headers allowed). Shown under the Download button; the job result carries it.</t>
  </si>
  <si>
    <t>Committed phase-01c-export-report (e55412f, pushed): export fidelity report with read-back content check, shown in the Export menu.</t>
  </si>
  <si>
    <t>Added the machine-readable capability matrix (brief §91): 67 document features with import/edit/export/round-trip support and the policy the fidelity report uses, served at GET /api/v1/capabilities. Tests tie it to the code both ways, require a test for every clean round trip and a task for every unreported gap; writing it exposed unreported gaps now tracked (EDIT-012, DOCX-027).</t>
  </si>
  <si>
    <t>backend/app/capabilities.py, backend/app/api/capabilities.py, backend/app/main.py, backend/tests/test_capabilities.py, frontend/types/generated/*</t>
  </si>
  <si>
    <t>Committed phase-01d-capability-matrix (fcf30d7, pushed).</t>
  </si>
  <si>
    <t>FID-002: import report now names empty spacing paragraphs, unsafe link addresses and per-section differences (page setup, odd/even breaks, page numbering, borders, line numbers, vertical alignment); matrix rows docx.empty_paragraphs + docx.sections updated</t>
  </si>
  <si>
    <t>backend/app/fidelity/docx_detect.py, backend/app/fidelity/imports.py, backend/app/parsers/docx.py, backend/app/parsers/docx_inline.py, backend/app/capabilities.py, backend/tests/test_docx_detect.py</t>
  </si>
  <si>
    <t>DOCX-015: section breaks break the page only where Word does (next section's w:type decides); continuous breaks no longer become page breaks</t>
  </si>
  <si>
    <t>tests/test_docx_detect.py::test_a_section_break_breaks_the_page_only_where_word_does</t>
  </si>
  <si>
    <t>DOCX-016: list number formats, start values and continuation round-trip; custom and multi-level labels reported</t>
  </si>
  <si>
    <t>tests/test_docx_numbering.py</t>
  </si>
  <si>
    <t>DOCX-012: Word core properties round-trip; custom properties and sensitivity labels reported without values</t>
  </si>
  <si>
    <t>tests/test_docx_detect.py::test_the_files_own_properties_go_back_into_word_not_the_templates, tests/test_docx_detect.py::test_metadata_that_is_not_kept_is_reported_without_its_values</t>
  </si>
  <si>
    <t>DOCX-026: unsafe link addresses reported instead of silently dropped</t>
  </si>
  <si>
    <t>tests/test_docx_detect.py::test_unsafe_links_and_spacing_paragraphs_are_reported</t>
  </si>
  <si>
    <t>Golden JSON export is deterministic (uuid5 ids by order, fixed timestamps) so a regenerated fixture only differs where the importer's output did</t>
  </si>
  <si>
    <t>backend/scripts/export_golden_json.py, frontend/tests/fixtures/golden/*.json</t>
  </si>
  <si>
    <t>two consecutive exports byte-identical; tests/test_golden_documents.py::test_the_frontend_golden_json_is_current</t>
  </si>
  <si>
    <t>FID-002 committed and pushed (phase-01e-import-detections)</t>
  </si>
  <si>
    <t>SEC-022: formatting rule values validated at every entry and at resolve; CSS break-out via element style/page settings/instructions closed</t>
  </si>
  <si>
    <t>backend/app/formatting/values.py, backend/app/formatting/engine.py, backend/app/schemas/formatting.py, backend/app/schemas/document.py, backend/app/ai/instruction_extraction.py, backend/tests/test_rule_values.py</t>
  </si>
  <si>
    <t>FMT-005: instruction-path rule values validated before reaching CSS/export (with SEC-022)</t>
  </si>
  <si>
    <t>EDIT-008: pasted/shortcut alignment saved as the element's own style and kept on split; paste into an empty paragraph keeps the pasted paragraphs' attributes</t>
  </si>
  <si>
    <t>frontend/editor/tiptapToDocument.ts, frontend/editor/documentToTiptap.ts, frontend/editor/useAutoSave.ts, frontend/editor/pasteIntoEmptyBlock.ts, frontend/editor/extensions.ts, frontend/services/api/documents.ts, backend/app/schemas/document.py, backend/app/formatting/engine.py, backend/app/services/document_service.py, backend/app/api/documents.py</t>
  </si>
  <si>
    <t>EDIT-009: pasted picture size kept as the picture's width share</t>
  </si>
  <si>
    <t>EDIT-012: values outside the model named in the status bar and the Проверка panel</t>
  </si>
  <si>
    <t>EDIT-011: cell alignment from pasted cells kept per column; differing cells and column widths reported</t>
  </si>
  <si>
    <t>EDIT-008, EDIT-009, EDIT-012, SEC-022, FMT-005</t>
  </si>
  <si>
    <t>Committed and pushed phase-01f-editor-direct-formatting</t>
  </si>
  <si>
    <t>EDIT-010: link titles kept from Word/Markdown through the editor back into Word</t>
  </si>
  <si>
    <t>backend/app/models/document.py, backend/app/parsers/docx_inline.py, backend/app/parsers/docx.py, backend/app/export/docx_export.py, backend/app/parsers/markdown.py, frontend/editor/tiptapToDocument.ts, frontend/editor/documentToTiptap.ts</t>
  </si>
  <si>
    <t>FID-006: Markdown pictures named as left out (content), thematic breaks kept as rules</t>
  </si>
  <si>
    <t>backend/app/parsers/markdown.py, backend/app/capabilities.py, backend/tests/test_capabilities.py, backend/tests/test_markdown_parser.py</t>
  </si>
  <si>
    <t>EDIT-011: cell alignment/widths the model can't hold are named; keeping them moves to DOCX-017</t>
  </si>
  <si>
    <t>EDIT-007: marks in one canonical order (MarkType) on both sides; opening a document saves nothing</t>
  </si>
  <si>
    <t>backend/app/models/document.py, frontend/editor/tiptapToDocument.ts</t>
  </si>
  <si>
    <t>TEST-010: nested-structure regression suite consolidated and verified</t>
  </si>
  <si>
    <t>EDIT-008, EDIT-010, FID-006</t>
  </si>
  <si>
    <t>Phase 1 browser check in the throwaway stack: Markdown doc with a picture -&gt; 'Body text complete, some content left out · 1 to review' (picture named with its description), '---' imported as a rule; pasted centred line + 160px picture + hsl colour + titled link at the end -&gt; status 'Saved · 1 formatting change not kept', Проверка 'While editing' lists the colour; after reload: line centred, picture width 24.9%, link title kept, notice gone</t>
  </si>
  <si>
    <t>manual browser check (throwaway stack, fresh SQLite)</t>
  </si>
  <si>
    <t>DOCS-011: documentation tree started for Phase 1 (document model, fidelity, docx, formatting, security, testing)</t>
  </si>
  <si>
    <t>EDIT-007, EDIT-010, EDIT-011, FID-006, TEST-010, DOCS-011</t>
  </si>
  <si>
    <t>Committed and pushed phase-01g-phase-1-complete; Phase 1 complete</t>
  </si>
  <si>
    <t>AI-001: order/count/token/numeric/punctuation-aware comparator for AI output, with classified differences</t>
  </si>
  <si>
    <t>backend/app/fidelity/text_check.py, backend/tests/test_ai_fidelity.py</t>
  </si>
  <si>
    <t>AI-002: numbers and units protected; changed_numbers for cross-language checks</t>
  </si>
  <si>
    <t>AI-003: structure analysis refuses answers that alter the text, per piece, logging without content</t>
  </si>
  <si>
    <t>backend/app/ai/structure_analysis.py</t>
  </si>
  <si>
    <t>AI-004: adversarial fidelity tests for every alteration the brief names</t>
  </si>
  <si>
    <t>AI-001, AI-002, AI-003, AI-004</t>
  </si>
  <si>
    <t>Committed and pushed phase-02a-ai-fidelity-check</t>
  </si>
  <si>
    <t>AI-005: AI operations classified FORMAT/STRUCTURE/CONTENT; per-element instruction styles no longer dropped by the formatting pass</t>
  </si>
  <si>
    <t>backend/app/formatting/proposals.py, backend/app/services/document_service.py</t>
  </si>
  <si>
    <t>REV-001: change model with categories, used for proposals</t>
  </si>
  <si>
    <t>backend/app/models/document.py, frontend/types/document.ts</t>
  </si>
  <si>
    <t>AI-006: PLAN-&gt;VALIDATE-&gt;PREVIEW-&gt;ACCEPT-&gt;APPLY for AI content changes</t>
  </si>
  <si>
    <t>backend/app/formatting/proposals.py, backend/app/services/document_service.py, backend/app/api/documents.py, backend/app/jobs/runner.py, backend/app/schemas/document.py, backend/app/schemas/jobs.py</t>
  </si>
  <si>
    <t>AI-007: proposal review UI with accept/reject, E2E verified</t>
  </si>
  <si>
    <t>frontend/editor/panels/ProposalsList.tsx, frontend/editor/panels/InstructionsPanel.tsx, frontend/editor/EditorStatusBar.tsx, frontend/editor/useFormatting.ts, frontend/services/api/documents.ts, frontend/services/api/jobs.ts, backend/scripts/e2e_ai.py, backend/scripts/e2e_server.py</t>
  </si>
  <si>
    <t>AI-005, REV-001, AI-006, AI-007</t>
  </si>
  <si>
    <t>Committed and pushed phase-02b-ai-proposals</t>
  </si>
  <si>
    <t>AI-008: per-job/per-request AI call and time budget; no unbounded retries</t>
  </si>
  <si>
    <t>backend/app/ai/budget.py, backend/app/config.py, backend/app/jobs/runner.py, backend/app/api/deps.py, backend/app/ai/structure_analysis.py</t>
  </si>
  <si>
    <t>Committed and pushed phase-02c-ai-budget</t>
  </si>
  <si>
    <t>AI-009: prompt-injection review; AI answer fields bounded; hostile-document tests</t>
  </si>
  <si>
    <t>backend/app/ai/schemas.py, backend/app/ai/structure_analysis.py, backend/tests/test_prompt_injection.py</t>
  </si>
  <si>
    <t>SEC-018: prompt injection / AI output abuse covered by AI-009's tests</t>
  </si>
  <si>
    <t>AI-001, AI-005, AI-007, AI-009</t>
  </si>
  <si>
    <t>Phase 2 gate: backend 817 passed/1 skipped, Vitest 117, Playwright 20; browser check in the throwaway stack - 'make the title red and delete “This draft paragraph”': title red at once, the paragraph kept and shown under Changes to review (struck through, with the instruction), notice + '1 AI change to review'; Accept removed it, reload kept it removed with nothing pending</t>
  </si>
  <si>
    <t>full suites + manual browser check</t>
  </si>
  <si>
    <t>DOCX-010: original Word package kept as an immutable, checksummed asset</t>
  </si>
  <si>
    <t>backend/app/models/document.py, backend/app/services/document_service.py</t>
  </si>
  <si>
    <t>DOCX-011: Word exports written into the original package; import report reflects what they keep</t>
  </si>
  <si>
    <t>backend/app/export/docx_export.py, backend/app/fidelity/imports.py, backend/app/fidelity/docx_source.py, backend/app/fidelity/docx_detect.py, backend/app/fidelity/exports.py, backend/app/jobs/runner.py, backend/app/api/documents.py, backend/app/capabilities.py</t>
  </si>
  <si>
    <t>TEST-023: independent package validation of every Word export</t>
  </si>
  <si>
    <t>backend/app/export/package_check.py, backend/tests/test_package_check.py</t>
  </si>
  <si>
    <t>DOCX-012: metadata preserved (core in the model, app/custom/labels via the original package)</t>
  </si>
  <si>
    <t>DOCX-028: unchanged blocks keep their original XML in Word exports; server-side provenance; earlier sections follow page setup, header and page-number changes; lost sections reported; golden 13-kept-blocks + E2E.</t>
  </si>
  <si>
    <t>backend/app/export/provenance.py, backend/app/export/docx_export.py, backend/app/parsers/docx.py, backend/app/models/document.py, backend/app/services/document_service.py, backend/app/fidelity/imports.py, backend/app/fidelity/exports.py, backend/app/capabilities.py, frontend/editor/tiptapToDocument.ts, frontend/e2e/kept-blocks.spec.ts, docs/docx/README.md</t>
  </si>
  <si>
    <t>DOCX-028 committed and pushed as c8c2d27 (phase-03b-original-blocks).</t>
  </si>
  <si>
    <t>DOCX-025: Word's hidden text stays hidden - hidden mark with Word's style resolution, editor shows it only on request, vanish in Word exports, left out of PDF with a note, consistent content checks.</t>
  </si>
  <si>
    <t>backend/app/models/document.py, backend/app/parsers/docx_inline.py, backend/app/parsers/docx_styles.py, backend/app/parsers/docx.py, backend/app/fidelity/docx_detect.py, backend/app/fidelity/content.py, backend/app/fidelity/exports.py, backend/app/export/docx_export.py, backend/app/export/pdf_export.py, frontend/editor/hiddenText.ts, frontend/editor/EditorStatusBar.tsx, frontend/editor/DocumentEditorShell.tsx, frontend/app/globals.css</t>
  </si>
  <si>
    <t>DOCX-025 committed and pushed as 7d1af86 (phase-03c-hidden-text).</t>
  </si>
  <si>
    <t>DOCX-013 part 1: underline and strike styles, capitals, small capitals, spacing and raised/lowered text kept through import, editor, Word and PDF; paragraph-style formatting turned off by a run fixed.</t>
  </si>
  <si>
    <t>backend/app/models/document.py, backend/app/parsers/docx_inline.py, backend/app/parsers/docx_styles.py, backend/app/parsers/docx.py, backend/app/export/docx_export.py, backend/app/export/pdf_export.py, backend/app/fidelity/*, frontend/editor/characterFormatting.ts, frontend/editor/tiptapToDocument.ts</t>
  </si>
  <si>
    <t>backend 888 passed/1 skipped (tests/test_character_formatting.py 12); Vitest 128 (editor/characterFormatting.test.ts 3, golden round trip of 02); Playwright 22; tsc + eslint clean</t>
  </si>
  <si>
    <t>DOCX-013 part 1 committed and pushed as 6619159 (phase-03d-character-formatting); part 2 next.</t>
  </si>
  <si>
    <t>6619159</t>
  </si>
  <si>
    <t>FID-007: reports follow the Word copy - kept while unchanged at import, rewritten losses named at export, unsafe links never copied back.</t>
  </si>
  <si>
    <t>backend/app/fidelity/imports.py, backend/app/export/docx_export.py, backend/tests/test_copy_reports.py</t>
  </si>
  <si>
    <t>DOCX-013 part 2: language kept; scale and effects named and kept while unchanged; brief §22 list is now supported, preserved or explicitly named.</t>
  </si>
  <si>
    <t>backend/app/models/document.py, backend/app/parsers/docx_inline.py, backend/app/fidelity/docx_detect.py, frontend/editor/characterFormatting.ts</t>
  </si>
  <si>
    <t>DOCX-013 done: part 1 6619159, part 2 d32c6a6 (phase-03e-copy-reports).</t>
  </si>
  <si>
    <t>FID-007 committed and pushed as d32c6a6.</t>
  </si>
  <si>
    <t>DOCX-014 part 1: right indent, shading, pagination controls, contextual spacing and direction kept through import, CSS, Word and PDF.</t>
  </si>
  <si>
    <t>backend/app/models/document.py, backend/app/formatting/*, backend/app/parsers/docx_styles.py, backend/app/parsers/docx.py, backend/app/export/docx_export.py, backend/app/export/pdf_export.py</t>
  </si>
  <si>
    <t>backend 903 passed/1 skipped (tests/test_paragraph_formatting.py 9); Vitest 129; Playwright 22; tsc + eslint clean</t>
  </si>
  <si>
    <t>DOCX-014 part 1 committed and pushed as eade93e (phase-03f-paragraph-formatting); part 2 next.</t>
  </si>
  <si>
    <t>eade93e</t>
  </si>
  <si>
    <t>DOCX-014 part 2: paragraph borders and tab stops kept through import, CSS, Word and PDF; what the PDF and editor can't draw is named.</t>
  </si>
  <si>
    <t>backend/app/formatting/values.py, backend/app/parsers/docx_styles.py, backend/app/export/docx_export.py, backend/app/export/pdf_export.py, backend/tests/test_paragraph_formatting.py</t>
  </si>
  <si>
    <t>DOCX-014 done: part 1 eade93e, part 2 c158722 (phase-03g-borders-tab-stops).</t>
  </si>
  <si>
    <t>DOCX-015 part 1a: section breaks are elements with their section's settings - imported, shown and paginated in the editor, written back into Word from the model.</t>
  </si>
  <si>
    <t>backend/app/models/document.py, backend/app/parsers/docx.py, backend/app/export/docx_export.py, frontend/editor/sectionBreak.ts, frontend/editor/pagination.ts</t>
  </si>
  <si>
    <t>tests/test_docx_detect.py::test_a_section_break_breaks_the_page_only_where_word_does; tests/test_sections.py (6); frontend/editor/sectionBreak.test.ts (3); backend 919 passed/1 skipped; Vitest 132; Playwright 22</t>
  </si>
  <si>
    <t>DOCX-015 part 1a committed and pushed as 047685d (phase-03h-section-breaks); part 1b next.</t>
  </si>
  <si>
    <t>047685d</t>
  </si>
  <si>
    <t>DOCX-015 part 1b: the PDF follows each section's page setup, even/odd starts and numbering.</t>
  </si>
  <si>
    <t>backend/app/export/pdf_export.py, backend/app/fidelity/exports.py, backend/tests/test_sections.py</t>
  </si>
  <si>
    <t>tests/test_docx_detect.py::test_a_section_break_breaks_the_page_only_where_word_does; tests/test_sections.py (6); frontend/editor/sectionBreak.test.ts (3); backend 919 passed/1 skipped; Vitest 132; Playwright 22; tests/test_sections.py (7): per-page sizes, blank page, roman numbering, a picture fitting a narrow column; backend 920 passed/1 skipped</t>
  </si>
  <si>
    <t>DOCX-015 part 1b committed and pushed as 35c6771 (phase-03i-pdf-sections); part 2 next.</t>
  </si>
  <si>
    <t>35c6771</t>
  </si>
  <si>
    <t>DOCX-015 part 2: each page shows its own section's header, footer and number in the editor, a PDF and Word (brief 24: the last section's header is no longer every page's). Fixed on the way: continuous sections took the page they start on in the PDF; the last section's own numbering was ignored by both exports; header text boxes were read two or three times; the PDF had a shadowed duplicate number formatter; a header changed here overwrote earlier sections' in a Word export into the original; page numbers left out made a section show the previous one's footer.</t>
  </si>
  <si>
    <t>tests/test_sections.py (15); tests/test_golden_documents.py::test_14_section_headers; tests/test_original_blocks.py::test_a_header_changed_here_is_the_last_sections_own, ::test_a_header_cleared_here_shows_the_previous_sections_again, ::test_page_numbers_left_out_are_left_out_of_every_section; frontend/editor/sectionHeaders.test.ts (6); frontend/e2e/section-headers.spec.ts; backend 936 passed/1 skipped; Vitest 140; Playwright 23</t>
  </si>
  <si>
    <t>DOCX-015 part 2 committed and pushed as 7bbf7f2 (phase-03j-section-headers); part 3 next (the editor's pages per section, the last section's columns and header/footer distances in both exports).</t>
  </si>
  <si>
    <t>7bbf7f2</t>
  </si>
  <si>
    <t>DOCX-015 part 3a: the last section's columns and header/footer distances reach both exports (the PDF laid it out in one column, a fresh Word export dropped them); PDF headers and footers sit at their sections' distances.</t>
  </si>
  <si>
    <t>tests/test_sections.py::test_the_last_sections_columns_and_header_distance_are_kept_in_both_exports; tests/test_docx_fidelity.py::test_a_multi_column_layout_is_reported; backend 937 passed/1 skipped; Playwright 23</t>
  </si>
  <si>
    <t>DOCX-015 part 3b: the editor's pages follow each section's size, orientation, margins and header/footer distances; with parts 1-3a, sections are a first-class concept end to end (verified; columns shown in one column here, DOCX-015B).</t>
  </si>
  <si>
    <t>Part 3a committed and pushed as 30a9bb7 (phase-03k-last-section-layout).</t>
  </si>
  <si>
    <t>DOCX-015 done: part 3b committed and pushed as 633c1d6 (phase-03l-section-pages); follow-ups DOCX-015A..C.</t>
  </si>
  <si>
    <t>DOCX-016 part 1: list levels (labels, bullets, starts, indents, legal numbering, restarts, suffixes) are kept from Word through the editor and back into Word; continuation follows Word across instances of one definition. Found on the way: 'List Bullet 2'/'List Number 2' items took the first item's numbering (now their own); an XML-built lvlText could have carried markup (now element by element).</t>
  </si>
  <si>
    <t>tests/test_docx_numbering.py (13); tests/test_golden_documents.py::test_15_numbering and the golden round trips (signature now with numbering); frontend/editor/listNumbering.test.ts (2); backend 951 passed/1 skipped; Vitest 148; Playwright 24</t>
  </si>
  <si>
    <t>DOCX-016 part 1 committed and pushed as 3bb348a; part 2: the PDF numbers lists from their levels (it showed the top level's format only, and • for every bullet).</t>
  </si>
  <si>
    <t>tests/test_docx_numbering.py::test_a_pdf_numbers_each_level_with_its_own_label, ::test_a_pdf_draws_a_lists_own_bullets; backend 953 passed/1 skipped; Playwright 24</t>
  </si>
  <si>
    <t>DOCX-016 part 2 committed and pushed as aa132b4; part 3: the editor shows the labels, so lists read the same here, in Word and in a PDF (nested ordered lists showed 1. at every level).</t>
  </si>
  <si>
    <t>DOCX-016 done: part 3 committed and pushed as bcdc9af (phase-03o-list-labels); follow-ups DOCX-016A..B.</t>
  </si>
  <si>
    <t>DOCX-017 part 1a: tables keep their widths, borders (a style's too), margins, heights, header rows (only where the file says), vertical and per-cell alignment and style through the editor, a PDF and Word; they were written as an equal-width grid with a forced bold header.</t>
  </si>
  <si>
    <t>tests/test_docx_tables.py (6); frontend/editor/tableLook.test.ts (3); tests/test_docx_parser.py::test_table_rows_and_cells_are_extracted; backend 959 passed/1 skipped; Vitest 155; Playwright 25</t>
  </si>
  <si>
    <t>DOCX-017 part 1a committed and pushed as 49c5a78; part 1b: cells keep their paragraphs, lists, pictures and tables (pictures were dropped, nested tables flattened to text, lists lost their bullets); floating tables and rows kept whole round-trip.</t>
  </si>
  <si>
    <t>DOCX-017 done: part 1b committed and pushed as 62e7957 (phase-03q-table-cells); follow-ups DOCX-017A..B.</t>
  </si>
  <si>
    <t>Pictures keep their size, crop, turn, flips and floating placement through import, editor, PDF and Word; WebP to PNG; turned room; exact widths.</t>
  </si>
  <si>
    <t>Fingerprints leave defaults out; stamps made before are checked by epoch, so stored documents' unchanged blocks stay copied.</t>
  </si>
  <si>
    <t>PDF: nested blocks drawn in their container's text look instead of unstyled Helvetica.</t>
  </si>
  <si>
    <t>List items keep their pictures (top-level and in cells); a picture-only numbered paragraph is an item; Word export writes them into the item's paragraph.</t>
  </si>
  <si>
    <t>Imported Word styles are complete: what they leave unset is what Word draws, not the app's defaults; templates still win.</t>
  </si>
  <si>
    <t>No silent autolink: plain-text addresses stay text unless the upload asks for links; the report says so only then.</t>
  </si>
  <si>
    <t>20 Word-authored fixtures in the repository, scrubbed and guarded; builder script committed.</t>
  </si>
  <si>
    <t>Expected-loss manifests for all fixtures, compared in CI; PDF per platform.</t>
  </si>
  <si>
    <t>True fidelity test on four axes for every fixture; fixed the export's title overwrite and kinds not following Normal after a template.</t>
  </si>
  <si>
    <t>Charts, SmartArt, shapes and embedded objects survive Word exports that rewrite their paragraph; SmartArt drawing part kept; unique drawing ids.</t>
  </si>
  <si>
    <t>Tables of contents and bibliographies stay fields through Word exports; fixed the fragment writer dropping text between fragment edges.</t>
  </si>
  <si>
    <t>Comment threads (replies, resolved) and ranges over paragraphs survive every Word export; Word threads replies again.</t>
  </si>
  <si>
    <t>backend/app/parsers/docx_comments.py, backend/app/parsers/docx.py, backend/app/export/docx_export.py, backend/app/export/package_check.py, backend/app/fidelity/round_trip.py, backend/app/capabilities.py, backend/tests/test_docx_comments.py, docs/docx/README.md, docs/testing/README.md</t>
  </si>
  <si>
    <t>A block deleted in the editor never comes back in a Word export into the original (P0 found in DOCX-021).</t>
  </si>
  <si>
    <t>backend/app/models/document.py, backend/app/export/provenance.py, backend/app/export/docx_export.py, backend/tests/test_original_blocks.py, frontend/e2e/kept-blocks.spec.ts, frontend/types/generated/openapi.json, frontend/types/generated/api.ts, docs/docx/README.md, docs/document-model/README.md, docs/security/README.md</t>
  </si>
  <si>
    <t>Tracked changes are kept for Word in every unchanged block; accepting them all is the person's choice.</t>
  </si>
  <si>
    <t>backend/app/models/document.py, backend/app/parsers/docx.py, backend/app/parsers/docx_inline.py, backend/app/fidelity/imports.py, backend/app/fidelity/exports.py, backend/app/fidelity/round_trip.py, backend/app/export/docx_export.py, backend/app/schemas/document.py, backend/app/services/document_service.py, backend/app/api/documents.py, backend/app/capabilities.py, backend/tests/test_docx_tracked_changes.py, frontend/components/TrackedChangesChoice.tsx, frontend/components/CreateDocumentWizard.tsx, frontend/editor/panels/FidelityPanel.tsx, frontend/e2e/tracked-changes.spec.ts, docs/docx/README.md</t>
  </si>
  <si>
    <t>Content controls of every kind, and legacy form fields, go back into Word with their properties, also where their block changed.</t>
  </si>
  <si>
    <t>backend/app/parsers/docx_inline.py, backend/app/parsers/docx.py, backend/app/export/docx_export.py, backend/app/fidelity/docx_detect.py, backend/app/fidelity/imports.py, backend/app/fidelity/round_trip.py, backend/app/capabilities.py, backend/tests/test_docx_content_controls.py, docs/docx/README.md</t>
  </si>
  <si>
    <t>Footnotes and endnotes go back into Word as real notes; a second FootnoteText style is never added.</t>
  </si>
  <si>
    <t>backend/app/parsers/docx_inline.py, backend/app/parsers/docx.py, backend/app/export/docx_export.py, backend/app/export/package_check.py, backend/app/fidelity/exports.py, backend/app/capabilities.py, backend/tests/test_docx_notes.py, docs/docx/README.md, docs/document-model/README.md</t>
  </si>
  <si>
    <t>Word's heading numbering stays numbering: shown, counted and written back by the editor, the PDF and Word exports.</t>
  </si>
  <si>
    <t>backend/app/models/document.py, backend/app/parsers/docx.py, backend/app/formatting/list_numbering.py, backend/app/export/docx_export.py, backend/app/export/pdf_export.py, backend/app/capabilities.py, backend/tests/test_heading_numbering.py, frontend/editor/headingNumbers.ts, frontend/editor/DocumentEditorShell.tsx, frontend/app/globals.css, docs/docx/README.md</t>
  </si>
  <si>
    <t>Phase 3 gate: all Phase 3 P0/P1 done; 60 Word files (20 fixtures, two exports each) open in Word; the a06 regression it found fixed.</t>
  </si>
  <si>
    <t>backend/app/export/docx_export.py, backend/app/export/package_check.py, backend/tests/test_docx_content_controls.py</t>
  </si>
  <si>
    <t>backend 1300 passed/1 skipped; Vitest 177; Playwright 31; tsc + eslint clean; Word gate 60/60</t>
  </si>
  <si>
    <t>SEC-010 malformed Word files -&gt; 400 invalid_file; every XML part checked (well-formed, no DTD); corpus of 74 variants pins read-or-refused</t>
  </si>
  <si>
    <t>backend/app/parsers/docx.py, backend/app/security/files.py, backend/app/services/ingestion_service.py, backend/app/main.py, backend/app/api/documents.py, backend/app/api/templates.py, backend/tests/malformed_docx.py, backend/tests/test_malformed_files.py, docs/security/README.md, docs/testing/README.md</t>
  </si>
  <si>
    <t>Frontend golden JSON regenerated (Phase 3's numbered/trackedChanges/sourceBlockUse/headingNumbering fields and the notes' kept fragments had never been exported); test_the_frontend_golden_json_is_current now compares every file byte for byte with a fresh export (it compared only text and page setup, which let the drift through)</t>
  </si>
  <si>
    <t>backend/tests/test_golden_documents.py, frontend/tests/fixtures/golden/*.json, docs/testing/README.md</t>
  </si>
  <si>
    <t>backend test_golden_documents.py 54 passed / 1 skipped (the stale set fails the new check); frontend vitest 177 passed on the regenerated set</t>
  </si>
  <si>
    <t>SEC-011 malformed PDFs -&gt; 400 invalid_file; damaged-but-readable PDFs imported with pdf.damaged; pypdf warnings kept out of the log</t>
  </si>
  <si>
    <t>backend/app/parsers/pdf.py, backend/app/parsers/trace.py, backend/app/services/ingestion_service.py, backend/app/fidelity/text_sources.py, backend/app/main.py, backend/app/api/documents.py, backend/app/api/uploads.py, backend/app/capabilities.py, backend/tests/malformed_pdf.py, backend/tests/test_malformed_pdfs.py, backend/tests/test_capabilities.py, docs/security/README.md, docs/testing/README.md</t>
  </si>
  <si>
    <t>SEC-023 text fields hold only what XML can; a control code no longer breaks Word exports</t>
  </si>
  <si>
    <t>backend/app/models/base.py, backend/app/models/document.py, backend/app/services/ingestion_service.py, backend/app/capabilities.py, docs/document-model/README.md, docs/security/README.md</t>
  </si>
  <si>
    <t>SEC-012 picture limits judged by header before any decode; allowlisted formats only; 413 on saves past a document's pictures; autosave backoff fixed</t>
  </si>
  <si>
    <t>backend/app/security/files.py, backend/app/parsers/docx.py, backend/app/services/image_assets.py, backend/app/services/asset_service.py, backend/app/export/docx_export.py, backend/app/export/pdf_export.py, backend/app/main.py, backend/app/capabilities.py, backend/tests/malformed_pictures.py, backend/tests/test_picture_limits.py, backend/tests/test_migrate_json_documents.py, frontend/editor/useAutoSave.ts, frontend/editor/useAutoSave.test.tsx, docs/security/README.md, docs/testing/README.md</t>
  </si>
  <si>
    <t>SEC-014 one link-address policy for model, exports, importers, health and editor; shared fixture pins both sides</t>
  </si>
  <si>
    <t>backend/app/security/links.py, backend/app/models/document.py, backend/app/parsers/docx_inline.py, backend/app/parsers/markdown.py, backend/app/export/docx_export.py, backend/app/export/pdf_export.py, backend/app/formatting/health.py, backend/app/capabilities.py, backend/tests/test_link_policy.py, backend/tests/test_health.py, frontend/editor/linkPolicy.ts, frontend/editor/linkPolicy.test.ts, frontend/editor/extensions.ts, frontend/editor/tiptapToDocument.ts, frontend/tests/fixtures/link-policy.json, docs/security/README.md, docs/document-model/README.md</t>
  </si>
  <si>
    <t>SEC-015 field allowlist: refused fields kept as their result in document, kept original and exports; saves keep the server's preserved fragments</t>
  </si>
  <si>
    <t>backend/app/security/fields.py, backend/app/services/document_service.py, backend/app/services/ingestion_service.py, backend/app/export/docx_export.py, backend/app/export/provenance.py, backend/app/parsers/docx_inline.py, backend/app/capabilities.py, backend/tests/test_field_policy.py, docs/security/README.md, docs/docx/README.md, docs/testing/README.md</t>
  </si>
  <si>
    <t>TEST-030 security regression suite: marker, OpenAPI-driven IDOR/anonymous/CSRF over every route, CI step</t>
  </si>
  <si>
    <t>backend/tests/test_security_suite.py, backend/pytest.ini, backend/tests/test_malformed_files.py, backend/tests/test_malformed_pdfs.py, backend/tests/test_picture_limits.py, backend/tests/test_link_policy.py, backend/tests/test_field_policy.py, backend/tests/test_security.py, backend/tests/test_document_authorization.py, backend/tests/test_prompt_injection.py, .github/workflows/ci.yml, docs/security/README.md, docs/testing/README.md</t>
  </si>
  <si>
    <t>SEC-016 kept originals keep no external target but safe links; Word opens the result</t>
  </si>
  <si>
    <t>backend/app/security/package.py, backend/app/security/fields.py, backend/app/services/document_service.py, backend/app/services/ingestion_service.py, backend/app/parsers/docx_inline.py, backend/app/capabilities.py, backend/tests/test_external_targets.py, backend/tests/test_field_policy.py, docs/security/README.md, docs/testing/README.md</t>
  </si>
  <si>
    <t>SEC-017 SVG refused everywhere, proven by tests</t>
  </si>
  <si>
    <t>backend/tests/test_svg.py, backend/app/capabilities.py, docs/security/README.md</t>
  </si>
  <si>
    <t>SEC-019 error envelope audit over every route; resolutions no longer echo pydantic</t>
  </si>
  <si>
    <t>backend/app/api/uploads.py, backend/tests/test_error_envelope.py, docs/security/README.md</t>
  </si>
  <si>
    <t>SEC-013 limits reviewed and recorded; Word length and PDF read caps</t>
  </si>
  <si>
    <t>backend/app/parsers/docx.py, backend/app/parsers/pdf.py, backend/tests/test_limits.py, docs/security/README.md</t>
  </si>
  <si>
    <t>Phase 4 gate: all Phase 4 P0/P1 done (SEC-020 P2 open, SEC-021 needs Boril); every Word fixture as an upload keeps it (cleaned) exported two ways; 60 files open in Word with what they hold but the known new-file differences (a09 objects and frames, a06 header STYLEREF as text); package check clean. Field test pins AUTOTEXT/AUTOTEXTLIST/GLOSSARY refused. Found DOCX-018C.</t>
  </si>
  <si>
    <t>backend/tests/test_field_policy.py, docs/security/README.md</t>
  </si>
  <si>
    <t>backend 1734 passed/1 skipped; Vitest 217; Playwright 31; tsc + eslint clean; Word gate 60/60</t>
  </si>
  <si>
    <t>Delta autosave: PATCH /content with the elements changed, added and removed against the If-Match revision; the server saves the list they make through the whole save's function and answers with the difference; whole saves past a threshold (a moved block, more than half changed) or when refused. One-paragraph save 1.4 KB each way at 1,651 elements (was 2.2/2.1 MB). Backend 1758/1; Vitest 228; Playwright 31; browser check.</t>
  </si>
  <si>
    <t>backend/app/services/content_patch.py, backend/app/services/document_service.py, backend/app/api/documents.py, backend/app/schemas/document.py, backend/app/api/errors.py, frontend/editor/contentPatch.ts, frontend/editor/useAutoSave.ts, frontend/services/api/documents.ts</t>
  </si>
  <si>
    <t>Plan limits hold when requests race, for documents, templates and storage: hold_workspace (a no-op UPDATE of the workspace row: PostgreSQL row lock, SQLite write lock) in the check right before each use. Race test on two SQLite connections fails without it. AI operations next, after JOB-001.</t>
  </si>
  <si>
    <t>backend/app/services/entitlements_service.py, backend/app/services/document_service.py, backend/app/services/template_service.py</t>
  </si>
  <si>
    <t>backend/tests/test_plan_limits_atomic.py (4); 6/6 mutations</t>
  </si>
  <si>
    <t>E-mail sender: development outbox (default, .eml files, sends nothing) or SMTP with STARTTLS/TLS (in the clear only to this machine); no body, address or credential in any log line; failures raise without the server's answer; tests send to memory.</t>
  </si>
  <si>
    <t>backend/app/mail/__init__.py, backend/app/mail/sender.py, backend/app/config.py, backend/.env.example, backend/tests/conftest.py</t>
  </si>
  <si>
    <t>Password reset: a link by e-mail (token in the URL fragment, only its SHA-256 stored, an hour, single use by one UPDATE...RETURNING, void when replaced or the address changes); the same 202 for any address (lookup and mail after the answer); confirm ends every session and e-mails a notice; one 400 for every bad token; rate-limited per address and e-mail. Migration applied to Supabase; advisors INFO only.</t>
  </si>
  <si>
    <t>backend/app/services/account_tokens.py, backend/app/services/password_reset.py, backend/app/services/auth_service.py, backend/app/api/auth.py, backend/alembic/versions/1da599e1913f_account_tokens.py, frontend/components/PasswordResetForms.tsx</t>
  </si>
  <si>
    <t>backend/tests/test_password_reset.py (10, security suite), frontend/components/PasswordResetForms.test.tsx (5), e2e/auth.spec.ts (forgotten password); 13/13 mutations</t>
  </si>
  <si>
    <t>Corrected the recorded test count of test_password_reset.py: 9, not 10.</t>
  </si>
  <si>
    <t>E-mail verification: a link at sign-up and on request (two days, once, newest only, for the address it was sent to), confirmed by one click so mail scanners confirm nothing; users.email_verified_at; dashboard notice; nothing gated yet (Boril's call). Migration applied to Supabase; advisors INFO only.</t>
  </si>
  <si>
    <t>backend/app/services/auth_service.py, backend/app/services/account_mail.py, backend/app/api/auth.py, backend/alembic/versions/0417f0f393fc_users_email_verified_at.py, frontend/components/VerifyEmail.tsx</t>
  </si>
  <si>
    <t>Password change: the current password first (counted with sign-ins), every other session ended and this one kept, a notice e-mail; /settings/account page.</t>
  </si>
  <si>
    <t>backend/app/services/auth_service.py, backend/app/api/auth.py, frontend/components/AccountSettings.tsx</t>
  </si>
  <si>
    <t>Linear Word export of tables: 500x8 in 0.7 s (was 247-321 s). Merged into the feature branch 2026-10-06; full suites here: backend 2136 passed / 11 skipped, Vitest 253, Playwright 38; Word gate 60/60 identical to Phase 4's.</t>
  </si>
  <si>
    <t>Benchmark script and baseline recorded. Merged into the feature branch 2026-10-06; full suites here: backend 2136 passed / 11 skipped, Vitest 253, Playwright 38; Word gate 60/60 identical to Phase 4's.</t>
  </si>
  <si>
    <t>Bounded, compressed version history: about 4.9x smaller. Merged into the feature branch 2026-10-06; full suites here: backend 2136 passed / 11 skipped, Vitest 253, Playwright 38; Word gate 60/60 identical to Phase 4's.</t>
  </si>
  <si>
    <t>Document JSON stored as UTF-8: -49.5% on Bulgarian text. Merged into the feature branch 2026-10-06; full suites here: backend 2136 passed / 11 skipped, Vitest 253, Playwright 38; Word gate 60/60 identical to Phase 4's.</t>
  </si>
  <si>
    <t>Job safety. Merged into the feature branch 2026-10-06; full suites here: backend 2136 passed / 11 skipped, Vitest 253, Playwright 38; Word gate 60/60 identical to Phase 4's.</t>
  </si>
  <si>
    <t>Limits table complete with JOB-001's timeouts. Merged into the feature branch 2026-10-06; full suites here: backend 2136 passed / 11 skipped, Vitest 253, Playwright 38; Word gate 60/60 identical to Phase 4's.</t>
  </si>
  <si>
    <t>CI gates: typecheck fixed, dependency audit, PostgreSQL tests; next 16.3.8 for a critical advisory. Merged into the feature branch 2026-10-06; full suites here: backend 2136 passed / 11 skipped, Vitest 253, Playwright 38; Word gate 60/60 identical to Phase 4's.</t>
  </si>
  <si>
    <t>Concurrency tests on PostgreSQL in CI. Merged into the feature branch 2026-10-06; full suites here: backend 2136 passed / 11 skipped, Vitest 253, Playwright 38; Word gate 60/60 identical to Phase 4's.</t>
  </si>
  <si>
    <t>AI operations reserved atomically: the second part. Merged into the feature branch 2026-10-06; full suites here: backend 2136 passed / 11 skipped, Vitest 253, Playwright 38; Word gate 60/60 identical to Phase 4's.</t>
  </si>
  <si>
    <t>Usage units defined in one place. Merged into the feature branch 2026-10-06; full suites here: backend 2136 passed / 11 skipped, Vitest 253, Playwright 38; Word gate 60/60 identical to Phase 4's.</t>
  </si>
  <si>
    <t>Plans as data; no plan name in code. Merged into the feature branch 2026-10-06; full suites here: backend 2136 passed / 11 skipped, Vitest 253, Playwright 38; Word gate 60/60 identical to Phase 4's.</t>
  </si>
  <si>
    <t>Storage counts what is stored, version history included. Merged into the feature branch 2026-10-06; full suites here: backend 2136 passed / 11 skipped, Vitest 253, Playwright 38; Word gate 60/60 identical to Phase 4's.</t>
  </si>
  <si>
    <t>Stripe flows reviewed; webhooks ordered by read time, malformed refused, payments/refunds/disputes recorded. Merged into the feature branch 2026-10-06; full suites here: backend 2136 passed / 11 skipped, Vitest 253, Playwright 38; Word gate 60/60 identical to Phase 4's.</t>
  </si>
  <si>
    <t>Account deletion with a cascading policy; files deleted after the commit. Merged into the feature branch 2026-10-06; full suites here: backend 2136 passed / 11 skipped, Vitest 253, Playwright 38; Word gate 60/60 identical to Phase 4's.</t>
  </si>
  <si>
    <t>Session revocation and cleanup. Merged into the feature branch 2026-10-06; full suites here: backend 2136 passed / 11 skipped, Vitest 253, Playwright 38; Word gate 60/60 identical to Phase 4's.</t>
  </si>
  <si>
    <t>Suspicious sign-ins: growing delay, no hard lockout, new-browser e-mail. Merged into the feature branch 2026-10-06; full suites here: backend 2136 passed / 11 skipped, Vitest 253, Playwright 38; Word gate 60/60 identical to Phase 4's.</t>
  </si>
  <si>
    <t>Geometry-aware PDF layer. Merged into the feature branch 2026-10-06; full suites here: backend 2136 passed / 11 skipped, Vitest 253, Playwright 38; Word gate 60/60 identical to Phase 4's.</t>
  </si>
  <si>
    <t>Page classifier. Merged into the feature branch 2026-10-06; full suites here: backend 2136 passed / 11 skipped, Vitest 253, Playwright 38; Word gate 60/60 identical to Phase 4's.</t>
  </si>
  <si>
    <t>PDF inspection report. Merged into the feature branch 2026-10-06; full suites here: backend 2136 passed / 11 skipped, Vitest 253, Playwright 38; Word gate 60/60 identical to Phase 4's.</t>
  </si>
  <si>
    <t>Nonce-based CSP without unsafe-inline scripts. Merged into the feature branch 2026-10-06; full suites here: backend 2136 passed / 11 skipped, Vitest 253, Playwright 38; Word gate 60/60 identical to Phase 4's.</t>
  </si>
  <si>
    <t>Stored files with retention, deletion, access and content types. Merged into the feature branch 2026-10-06; full suites here: backend 2136 passed / 11 skipped, Vitest 253, Playwright 38; Word gate 60/60 identical to Phase 4's.</t>
  </si>
  <si>
    <t>PERF-001, JOB-001, PERF-004, PERF-002, PERF-006, ACCT-005, PLAN-004</t>
  </si>
  <si>
    <t>Merged the second cloud batch: W0 integration (#8, by the cloud), then W2 metering, W3 PDF foundation, W6 CSP + storage, W1 accounts, W4 Stripe locally; d41f7a60c9e2 re-parented onto b4b303454a89; Supabase migrated c3a91f7d2b64, b8534d3c4256, b4b303454a89, d41f7a60c9e2 (head d41f7a60c9e2); fixes: %-d date format, plan-name comparison, .gitattributes binary, fixture font check, locale test.</t>
  </si>
  <si>
    <t>.gitattributes, backend/app/services/account_mail.py, backend/app/services/account_deletion.py, backend/alembic/versions/d41f7a60c9e2_subscriptions_stripe_synced_at.py</t>
  </si>
  <si>
    <t>Merged into the feature branch 2026-10-06; full suites here: backend 2136 passed / 11 skipped, Vitest 253, Playwright 38; Word gate 60/60 identical to Phase 4's.</t>
  </si>
  <si>
    <t>Save: one shared dump, CPU work off the event loop: 12,201 elements 1.47-&gt;1.32 s, longest loop stall 586-&gt;214-239 ms. Word export of 6,801 blocks 15.3-&gt;5.1 s (style ids and numIds once an export). Backend 2139/11.</t>
  </si>
  <si>
    <t>backend/app/services/document_service.py, backend/app/export/docx_export.py</t>
  </si>
  <si>
    <t>The brief's 24 browser workflows mapped; manual edit, typed link, added table and PDF import written; translation marked not built; Review Changes at its current scope.</t>
  </si>
  <si>
    <t>frontend/e2e/workflows.spec.ts, docs/testing/README.md</t>
  </si>
  <si>
    <t>PERF-008, TEST-040, ACCT-005, PDF-010</t>
  </si>
  <si>
    <t>Phase 5, 6 and 7 gates: every P0/P1 done (PERF-005 P2 open); backend 2139 passed/11 skipped, Vitest 253, Playwright 42, Word gate 60/60 identical to Phase 4.</t>
  </si>
  <si>
    <t>full suites + Word gate</t>
  </si>
  <si>
    <t>P2E-001, P2E-002, P2E-003, P2E-004, P2E-005, P2E-006, P2E-007, P2E-008</t>
  </si>
  <si>
    <t>Phase 8 gate: every P2E task done; backend 2201 passed/11 skipped, Vitest 256, Playwright 43; mutations 10+6+9+10+7+7 killed.</t>
  </si>
  <si>
    <t>full suites</t>
  </si>
  <si>
    <t>TRAN-001, TRAN-002, TRAN-003, TRAN-004, TRAN-005, TRAN-006, TRAN-007, TRAN-008, TRAN-009, TRAN-010</t>
  </si>
  <si>
    <t>Phase 10 gate: all TRAN tasks done; backend 2250 passed/11 skipped, Vitest 267, Playwright 45; mutations 11/11 + 9/9.</t>
  </si>
  <si>
    <t>FONT-001, FONT-002, FONT-003, FONT-004, FONT-006</t>
  </si>
  <si>
    <t>Phase 11 gate: P0/P1 done (FONT-005 P2 open); backend 2279 passed/11 skipped, Vitest 267, Playwright 45; 11/11 mutations.</t>
  </si>
  <si>
    <t>FMT-001, FMT-002, FMT-003</t>
  </si>
  <si>
    <t>Phase 12: Format by Example hardening done; backend 2289 passed/11 skipped, Vitest 269, Playwright 45; 9/9 mutations.</t>
  </si>
  <si>
    <t>HLTH-001, HLTH-002</t>
  </si>
  <si>
    <t>Phase 13: Document Health 2.0 P1s done (HLTH-003 P2 open); backend 2308 passed/11 skipped, Vitest 272, Playwright 46; 12/12 mutations.</t>
  </si>
  <si>
    <t>REV-002, REV-003</t>
  </si>
  <si>
    <t>Phase 14: Review Changes P0s done (REV-004/005 P2 open); backend 2317 passed/11 skipped, Vitest 276, Playwright 47; 8/8 mutations.</t>
  </si>
  <si>
    <t>FEAT-010, FEAT-011</t>
  </si>
  <si>
    <t>Phase 16a: accessibility checker + axe-clean app; backend 2331 passed/11 skipped, Vitest 277, Playwright 49; 11/11 mutations.</t>
  </si>
  <si>
    <t>OBS-001, OBS-002</t>
  </si>
  <si>
    <t>Phase 16b: metrics + ids in logs; backend 2336 passed/11 skipped, Playwright 48 + 1 flaky (kept-blocks, 6/6 on rerun); 11/11 mutations.</t>
  </si>
  <si>
    <t>TEST-041, DOCS-011, INFRA-010</t>
  </si>
  <si>
    <t>Phase 17a: performance gates (caught + fixed a PDF export regression), documentation tree; INFRA-010 blocked (no Docker here, no hosting target). Backend 2344 passed/11 skipped.</t>
  </si>
  <si>
    <t>full backend suite, perf gate run</t>
  </si>
  <si>
    <t>Final production readiness report written; every P0/P1 task done except INFRA-010 (blocked: no Docker here, no hosting target).</t>
  </si>
  <si>
    <t>docs review</t>
  </si>
  <si>
    <t>TEST-023, TEST-030, TEST-040, TEST-041</t>
  </si>
  <si>
    <t>Phase 18 release audit: gates 001-003, 005-007, 012, 014, 015 PASS (008-011 earlier); 004 and 013 need CI's PostgreSQL result. Word gate 60/60 identical; dependency audit found and fixed 3 advisories (f185825).</t>
  </si>
  <si>
    <t>Word gate, dependency audit, full suites</t>
  </si>
  <si>
    <t>DOCX-020A done: header fields beyond page numbers kept as fields</t>
  </si>
  <si>
    <t>backend/app/formatting/header_fields.py; backend/app/parsers/docx_styles.py; backend/app/export/docx_export.py; backend/app/export/pdf_export.py; frontend/editor/headerFields.ts; frontend/editor/EditorCanvas.tsx; frontend/components/templates/StylePreviewPage.tsx</t>
  </si>
  <si>
    <t>DOCX-022A done: reject all tracked changes; deleted paragraph marks joined</t>
  </si>
  <si>
    <t>backend/app/parsers/docx_revisions.py; backend/app/parsers/docx.py; backend/app/services/document_service.py; backend/app/api/documents.py; backend/app/schemas/document.py; backend/app/models/document.py; backend/app/fidelity/imports.py; backend/app/fidelity/docx_source.py; frontend/components/TrackedChangesChoice.tsx; frontend/services/api/documents.ts</t>
  </si>
  <si>
    <t>DOCX-023A done: nested content controls kept when written anew; rows in table-level controls read</t>
  </si>
  <si>
    <t>backend/app/parsers/docx.py; backend/app/parsers/docx_inline.py; backend/app/export/docx_export.py; backend/app/export/provenance.py; backend/app/fidelity/docx_detect.py; backend/app/models/document.py; frontend/editor/tiptapToDocument.ts</t>
  </si>
  <si>
    <t>TEST-021A: CI records Linux PDF claims as an artifact; merge script; blocked on fetching it</t>
  </si>
  <si>
    <t>DOCX-029 done: restyled blocks copied where nothing conflicts</t>
  </si>
  <si>
    <t>backend/app/export/provenance.py; backend/app/export/docx_export.py; backend/app/models/document.py</t>
  </si>
  <si>
    <t>PERF-005 done: typing latency measured and improved (5k 3x faster)</t>
  </si>
  <si>
    <t>frontend/editor/blockDom.ts; frontend/editor/textEdit.ts; frontend/editor/pagination.ts; frontend/editor/floatWrap.ts; frontend/editor/listLabels.ts; frontend/editor/headingNumbers.ts; frontend/editor/pictureLook.ts; frontend/editor/tableLook.ts; frontend/e2e/perf-typing.spec.ts; docs/performance/README.md</t>
  </si>
  <si>
    <t>PDF-020 done: PDF page operations service</t>
  </si>
  <si>
    <t>backend/app/services/pdf_pages.py; backend/app/api/pdf.py; backend/app/main.py; docs/pdf/README.md</t>
  </si>
  <si>
    <t>P2E-020 done: frames hook + layout-preserving design doc</t>
  </si>
  <si>
    <t>backend/app/formatting/frames.py; docs/architecture/layout-preserving.md</t>
  </si>
  <si>
    <t>FONT-005 done: editor font stacks from the resolver</t>
  </si>
  <si>
    <t>backend/app/export/fonts.py; backend/scripts/export_font_fallbacks.py; frontend/editor/fontStack.ts; frontend/editor/fontFallbacks.json; docs/fonts/README.md</t>
  </si>
  <si>
    <t>HLTH-003 done: AI explains health findings, never scores</t>
  </si>
  <si>
    <t>backend/app/ai/health_explanation.py; backend/app/api/documents.py; backend/app/schemas/document.py; backend/app/services/document_service.py; frontend/editor/panels/HealthPanel.tsx; frontend/services/api/documents.ts</t>
  </si>
  <si>
    <t>REV-004 done: Repair document</t>
  </si>
  <si>
    <t>backend/app/formatting/repair.py; backend/app/formatting/table_repair.py; backend/app/formatting/health.py; backend/app/formatting/health_fixes.py; backend/app/api/documents.py; frontend/editor/panels/RepairSection.tsx; frontend/editor/panels/ReviewPanel.tsx</t>
  </si>
  <si>
    <t>REV-005 done: clean copy creates a new document with chosen actions (comments, tracked changes, hidden text, metadata, formatting) taken out; proven by tests/test_clean_copy.py and e2e tracked-changes.spec.ts</t>
  </si>
  <si>
    <t>backend/app/formatting/clean_copy.py; backend/app/services/document_service.py; backend/app/api/documents.py; frontend/editor/panels/CleanCopySection.tsx; frontend/editor/panels/FidelityPanel.tsx</t>
  </si>
  <si>
    <t>FEAT-001 done: batch formatting applies one template to many documents as format jobs; proven by tests/test_batch_format.py and e2e batch.spec.ts</t>
  </si>
  <si>
    <t>backend/app/api/jobs.py; backend/app/schemas/jobs.py; backend/app/services/job_service.py; backend/app/billing/units.py; frontend/components/documents/BatchBar.tsx; frontend/components/documents/DocumentList.tsx; frontend/services/api/jobs.ts</t>
  </si>
  <si>
    <t>FEAT-002 done: batch export zips many documents in one export job; proven by tests/test_batch_export.py and e2e batch.spec.ts</t>
  </si>
  <si>
    <t>backend/app/api/jobs.py; backend/app/jobs/runner.py; backend/app/schemas/jobs.py; backend/app/security/serving.py; frontend/components/documents/BatchBar.tsx; frontend/services/api/jobs.ts</t>
  </si>
  <si>
    <t>Added the operator API GET /api/v1/admin/operations (ADMIN_TOKEN only) with failed/stuck jobs, failure counts, usage spikes, storage and refusals across workspaces, plus a security-events metric; proven by tests/test_operations_admin.py (4 tests, 12/12 mutations) and the full backend run 2483 passed / 11 skipped.</t>
  </si>
  <si>
    <t>backend/app/api/admin.py, backend/app/services/operations_service.py, backend/app/audit.py, backend/app/observability.py, backend/app/config.py, backend/app/main.py, backend/tests/test_operations_admin.py</t>
  </si>
  <si>
    <t>Added the Chromium/Firefox/WebKit browser matrix (E2E_BROWSERS locally, a three-browser CI matrix); Chromium verified by the full Playwright run 56 passed / 1 skipped; Firefox and WebKit to be proven by the CI matrix run.</t>
  </si>
  <si>
    <t>frontend/playwright.config.ts, frontend/e2e/visual.spec.ts, .github/workflows/ci.yml</t>
  </si>
  <si>
    <t>Added 40 of Word's number styles to the backend formatter and its editor mirror, checked against 2193 labels read from Word itself, kept through import and Word export (Word reads them back 48/48) and drawn in PDF fonts for their script, and fixed the Cyrillic sequence; proven by tests/test_number_formats.py, editor/numberFormats.test.ts, e2e list-labels and the full backend run 2530 passed / 11 skipped.</t>
  </si>
  <si>
    <t>backend/app/formatting/number_formats.py, backend/app/formatting/list_numbering.py, backend/app/models/document.py, backend/app/parsers/docx.py, backend/app/export/pdf_export.py, frontend/editor/numberFormats.ts, frontend/editor/listLabels.ts, frontend/editor/documentToTiptap.ts</t>
  </si>
  <si>
    <t>Pointed DOCX-016C at the recorded Word labels fixture backend/tests/fixtures/word_number_words.json; no code change, nothing to test yet.</t>
  </si>
  <si>
    <t>Floating Word tables now float at their side with text beside them in the editor and PDF (side worked out at import), and a PDF export crash for floating text boxes followed by text is fixed; proven by tests/test_floating_tables.py, the text-box regression test, tableLook.test.ts, e2e tables.spec and the full backend run 2549 passed / 11 skipped.</t>
  </si>
  <si>
    <t>backend/app/models/document.py, backend/app/parsers/docx_tables.py, backend/app/parsers/docx.py, backend/app/export/pdf_export.py, frontend/editor/tableLook.ts, frontend/editor/floatWrap.ts</t>
  </si>
  <si>
    <t>Added crop, turn and flip controls for pictures in the editor's Properties panel, saved on the image node and followed by both exports (Word into the original writes the picture anew); proven by editor/pictureEdit.test.ts, the new Word-into-original backend test, e2e pictures.spec and the full Vitest run 356 passed.</t>
  </si>
  <si>
    <t>frontend/editor/pictureEdit.ts, frontend/editor/panels/PictureControls.tsx, frontend/editor/panels/PropertiesPanel.tsx, frontend/editor/elementId.ts</t>
  </si>
  <si>
    <t>A list item that is only a picture now shows its number beside the picture on its bottom line in the editor and the PDF, the empty paragraph kept for typing; proven by the new PDF layout test, listLabels.test.ts, e2e pictures.spec and the full backend run 2551 passed / 11 skipped.</t>
  </si>
  <si>
    <t>backend/app/export/pdf_export.py, frontend/editor/listLabels.ts, frontend/app/globals.css</t>
  </si>
  <si>
    <t>Found by profiling that the editor shell converted the whole 12,000-block document on every keystroke; made once, font stacks cached, typing p50 177-186 -&gt; 113-124 ms; proven by the perf spec measurements, the Vitest run 357 and the full Playwright run 59 passed.</t>
  </si>
  <si>
    <t>frontend/editor/DocumentEditorShell.tsx, frontend/editor/fontStack.ts, frontend/next.config.ts, frontend/e2e/perf-typing.spec.ts</t>
  </si>
  <si>
    <t>PDF exports now draw a layout-focused import's blocks in their boxes on their own pages and Word pictures behind/in front of the text at their anchored place; proven by tests/test_pdf_frames.py against pdfminer's boxes and the full backend run 2557 passed / 11 skipped.</t>
  </si>
  <si>
    <t>backend/app/export/pdf_layout.py, backend/app/export/pdf_export.py</t>
  </si>
  <si>
    <t>Added batch translation: one translation job per ticked document with every plan check before queueing, and the batch bar's language choice and links; proven by tests/test_batch_translate.py, BatchBar.test.tsx, e2e batch.spec and the full backend run 2562 passed / 11 skipped.</t>
  </si>
  <si>
    <t>backend/app/api/jobs.py, backend/app/schemas/jobs.py, backend/app/services/entitlements_service.py, frontend/components/documents/BatchBar.tsx, frontend/services/api/jobs.ts</t>
  </si>
  <si>
    <t>The e2e backend now sweeps earlier runs' temporary folders at start and removes its own on a graceful stop; proven by tests/test_e2e_server.py and a real Playwright run that removed 110 stale folders.</t>
  </si>
  <si>
    <t>backend/scripts/e2e_server.py, backend/tests/test_e2e_server.py</t>
  </si>
  <si>
    <t>Lists numbered in words now keep their style and language, spelled as Word writes them in English and Bulgarian here and in PDF, and Word exports mark the paragraphs so Word spells them the same; proven by test_number_formats against Word's labels, a Word read-back of the export, Vitest 364 and Playwright 59.</t>
  </si>
  <si>
    <t>backend/app/formatting/number_formats.py, backend/app/formatting/list_numbering.py, backend/app/models/document.py, backend/app/parsers/docx.py, backend/app/export/docx_export.py, backend/app/export/pdf_export.py, frontend/editor/numberFormats.ts, frontend/editor/listLabels.ts</t>
  </si>
  <si>
    <t>PDF list markers in Cyrillic are now read on Word's letter sequence, and lists lettered through й/ъ/ь keep their letters as written instead of being renumbered; proven by three new tests in tests/test_pdf_structure.py and the full backend run 2571 passed / 11 skipped.</t>
  </si>
  <si>
    <t>backend/app/parsers/pdf_structure.py, backend/tests/test_pdf_structure.py</t>
  </si>
  <si>
    <t>Recorded the first-release scope the owner approved on 2026-10-13 in docs/deployment/vercel.md; proven by the owner's recorded answers and the committed document.</t>
  </si>
  <si>
    <t>Restored the paused Supabase project with the owner's approval and confirmed the schema is at the code's head with RLS on every table; proven by the Supabase connector's project status, SQL and advisor checks on 2026-10-13.</t>
  </si>
  <si>
    <t>Prepared the code for one Vercel project with frontend and API on one origin and Supabase's transaction pooler; proven by test_release_config.py, client.test.ts and the full backend run, pending a real deployment.</t>
  </si>
  <si>
    <t>backend tests/test_release_config.py (4) + test_config (11 in run); frontend services/api/client.test.ts (10); full backend run 2577 passed + 1 stub fixed (9/9 in its file). Not yet verified on a deployment (REL-009).</t>
  </si>
  <si>
    <t>Added scrubbed backend error reporting to Sentry and created the Sentry project; proven by tests/test_monitoring.py with the real SDK, pending the DSN on the deployment.</t>
  </si>
  <si>
    <t>Created the private storage bucket; the S3 key pair is the owner's step, so nothing is verified yet.</t>
  </si>
  <si>
    <t>Tried to create the Vercel project through the connector and got 403 for the team scope; recorded as blocked on the owner's re-authorization.</t>
  </si>
  <si>
    <t>Recorded the Vercel project the owner created with the CLI and its first production deployment; proven by the project's settings and READY deployments read through the CLI and the owner's checks on the live URL.</t>
  </si>
  <si>
    <t>Listed the project's settings by name and found the storage, limits, logging and monitoring settings missing in Production; waiting for the owner's approval to add them.</t>
  </si>
  <si>
    <t>Found production storing files inside its container because the storage settings are missing; recorded as blocked on the owner's approval to add them.</t>
  </si>
  <si>
    <t>Diagnosed the prepared-statement errors on production as missing settings and made the image and the engine safe without them; proven by the runtime log, test_release_config.py and the full backend run, pending the promoted deployment.</t>
  </si>
  <si>
    <t>Previews of the fixes build; the smoke test waits for a way through Vercel Authentication (REL-022).</t>
  </si>
  <si>
    <t>Made the app say plainly that it sends no e-mail instead of claiming a link went out; proven by test_email_disabled.py, the two component tests and the page on a local server with e-mail off, pending the deployment.</t>
  </si>
  <si>
    <t>Listed the production rollback candidates and found the older one unsafe (built before the pooler settings); the current production is the safe target after the next promotion.</t>
  </si>
  <si>
    <t>Made the app's size limits sit under Vercel's and wrote the first release's limits down; proven by test_release_config.py and the docs, pending the live page.</t>
  </si>
  <si>
    <t>The cross-account checks pass locally; the live check needs the owner's two test accounts and access through Vercel Authentication.</t>
  </si>
  <si>
    <t>SESSION_STATE — Where the work stands</t>
  </si>
  <si>
    <t>Resume with: Прочети docs/AI-CONTINUATION.md и продължи от next task.</t>
  </si>
  <si>
    <t>Field</t>
  </si>
  <si>
    <t>Value</t>
  </si>
  <si>
    <t>3 — DOCX follow-ups (P2) — IN_PROGRESS</t>
  </si>
  <si>
    <t>REL-005 — CRITICAL: production storage settings missing; waiting for the owner's approval to add them and redeploy.</t>
  </si>
  <si>
    <t>REL-021 — E-mail off said plainly (ad60739); image keeps bodies under Vercel's limit (e94afca); pooler fix (2490e5d). Preview only.</t>
  </si>
  <si>
    <t>REL-021/REL-006/REL-013 — backend 2588/11, Vitest 368, tsc, next build, Playwright 59/1 local; e-mail-off pages seen on a throwaway local server — PASS — 2026-10-13</t>
  </si>
  <si>
    <t>Current Branch</t>
  </si>
  <si>
    <t>feature/smartdoc-production-hardening</t>
  </si>
  <si>
    <t>Current Commit</t>
  </si>
  <si>
    <t>e94afca (+ uncommitted changes)</t>
  </si>
  <si>
    <t>backend 2588/11; Vitest 368; Playwright 59 (Chromium, local); next build; tsc</t>
  </si>
  <si>
    <t>none</t>
  </si>
  <si>
    <t>INFRA-010: no Docker on this machine; real deployment needs Boril's hosting target; GATE-004/013: CI's PostgreSQL job result; TEST-021A: the expected-loss-linux CI artifact must be downloaded and merged (python -m scripts.merge_expected_losses DIR)</t>
  </si>
  <si>
    <t>REL-003 — On the owner's approval: add the missing Production settings (storage first), redeploy, promote e94afca, check /api/ready and the logs.</t>
  </si>
  <si>
    <t>2026-10-13T17:19:01+03:00</t>
  </si>
  <si>
    <t>Resume Instructions</t>
  </si>
  <si>
    <t>Прочети docs/AI-CONTINUATION.md и продължи от next task.</t>
  </si>
  <si>
    <t>Excel Status</t>
  </si>
  <si>
    <t>Production Code Changed</t>
  </si>
  <si>
    <t>DB Migrations Applied</t>
  </si>
  <si>
    <t>RELEASE_GATES — Release gates</t>
  </si>
  <si>
    <t>Gates</t>
  </si>
  <si>
    <t>FAIL</t>
  </si>
  <si>
    <t>NOT_EVALUATED</t>
  </si>
  <si>
    <t>Gate ID</t>
  </si>
  <si>
    <t>Gate</t>
  </si>
  <si>
    <t>GATE-001</t>
  </si>
  <si>
    <t>No silent content loss</t>
  </si>
  <si>
    <t>TEST-022,EDIT-006,FID-002</t>
  </si>
  <si>
    <t>TEST-022 true-fidelity round trip of every Word fixture, FID-002 content check on every import/export, EDIT-006; Word gate 60/60 identical counts. 2026-10-07: backend 2344 passed/11 skipped (570a2da), Vitest 277, Playwright 49 (f185825)</t>
  </si>
  <si>
    <t>GATE-002</t>
  </si>
  <si>
    <t>No unauthorized document access</t>
  </si>
  <si>
    <t>TEST-030 security suite (-m security) sweeping every route for cross-workspace access, in the full run. 2026-10-07: backend 2344 passed/11 skipped (570a2da), Vitest 277, Playwright 49 (f185825)</t>
  </si>
  <si>
    <t>GATE-003</t>
  </si>
  <si>
    <t>AI cannot silently change content</t>
  </si>
  <si>
    <t>AI-004,AI-006</t>
  </si>
  <si>
    <t>AI-004 token-by-token text check, AI-006 proposals, REV-003 apply_operations refuses unaccepted content changes (tests/test_review_changes.py, 8/8 mutations). 2026-10-07: backend 2344 passed/11 skipped (570a2da), Vitest 277, Playwright 49 (f185825)</t>
  </si>
  <si>
    <t>GATE-004</t>
  </si>
  <si>
    <t>Plan limits atomic</t>
  </si>
  <si>
    <t>PLAN-003 race tests pass on SQLite (two real connections); the PostgreSQL variant (-m postgres) runs only in CI's PostgreSQL job, whose result isn't visible here. Set PASS from that run.</t>
  </si>
  <si>
    <t>GATE-005</t>
  </si>
  <si>
    <t>Safe file uploads</t>
  </si>
  <si>
    <t>SEC-010,SEC-011,SEC-012</t>
  </si>
  <si>
    <t>SEC-010/011/012/013 malformed Word and PDF files, picture and package limits, SVG refused; security suite. 2026-10-07: backend 2344 passed/11 skipped (570a2da), Vitest 277, Playwright 49 (f185825)</t>
  </si>
  <si>
    <t>GATE-006</t>
  </si>
  <si>
    <t>DOCX valid</t>
  </si>
  <si>
    <t>Word gate 2026-10-07 (tools/word): 60 files (20 fixtures cleaned, templated into the original, written new) open in Word without repair; every count (open_check + gate_counts) identical to the 2026-10-06 gate; package check none.</t>
  </si>
  <si>
    <t>GATE-007</t>
  </si>
  <si>
    <t>PDF valid</t>
  </si>
  <si>
    <t>Every PDF export in the suite read back by two independent parsers (pypdf, pdfminer) and its words checked (fidelity/exports.py); multilingual script matrix (FONT-006). 2026-10-07: backend 2344 passed/11 skipped (570a2da), Vitest 277, Playwright 49 (f185825)</t>
  </si>
  <si>
    <t>GATE-008</t>
  </si>
  <si>
    <t>Multilingual PDF readable</t>
  </si>
  <si>
    <t>FONT-003/006: tests/test_multilingual.py script matrix, test_arabic_is_shaped_and_right_to_left_text_is_laid_out_and_aligned_right_to_left</t>
  </si>
  <si>
    <t>2026-10-07: on fonts installed where the PDF is made; production images need fonts-noto-core/cjk for Devanagari, Thai, CJK (docs/fonts/README.md).</t>
  </si>
  <si>
    <t>GATE-009</t>
  </si>
  <si>
    <t>PDF conversion has confidence/reporting</t>
  </si>
  <si>
    <t>P2E-005 DONE (33c0e4b) + P2E-007 (b113092): tests/test_pdf_conversion.py, FidelityPanel.test.tsx, e2e workflows layout-focused; RUN-0185, RUN-0192+</t>
  </si>
  <si>
    <t>2026-10-06: every PDF import carries Document.pdfConversion and per-element confidence; everything not kept is a report item.</t>
  </si>
  <si>
    <t>GATE-010</t>
  </si>
  <si>
    <t>Translation preserves formatting</t>
  </si>
  <si>
    <t>TRAN-010 tests: tag protocol round-trips every mark (test_translation_core::test_formatting_travels_as_tags_and_comes_back_exactly), proposals keep bold/italic (test_translation_api, e2e translation.spec)</t>
  </si>
  <si>
    <t>2026-10-06</t>
  </si>
  <si>
    <t>GATE-011</t>
  </si>
  <si>
    <t>No destructive translation overwrite</t>
  </si>
  <si>
    <t>TRAN-006: translated version is a new document, original unchanged (test_translation_api::test_a_whole_document_becomes_a_translated_version_and_the_original_stays, e2e); proposals never applied unaccepted</t>
  </si>
  <si>
    <t>GATE-012</t>
  </si>
  <si>
    <t>Critical E2E passes</t>
  </si>
  <si>
    <t>TEST-040: the brief's workflows in 49 Playwright tests against a production build, incl. axe accessibility (f185825).</t>
  </si>
  <si>
    <t>GATE-013</t>
  </si>
  <si>
    <t>Migrations clean</t>
  </si>
  <si>
    <t>Locally the models match Alembic head (test_db_migration); upgrade/alembic check/downgrade/upgrade on PostgreSQL runs in CI only (result not visible here). Supabase head was checked after each migration (advisors INFO only).</t>
  </si>
  <si>
    <t>GATE-014</t>
  </si>
  <si>
    <t>No high-severity security findings</t>
  </si>
  <si>
    <t>TEST-030,SEC-001</t>
  </si>
  <si>
    <t>2026-10-07 dependency audit as CI runs it: pip-audit on both locks and npm audit --omit=dev --audit-level=high -- found werkzeug CVE-2026-102598 (dev), sharp and source-map-js (high); fixed in f185825, both audits clean. Security suite passes; axe: no serious violations.</t>
  </si>
  <si>
    <t>GATE-015</t>
  </si>
  <si>
    <t>Monitoring exists</t>
  </si>
  <si>
    <t>OBS-001 metrics at /api/metrics (Prometheus), OBS-002 request/operation/job ids on every log line, /api/health and /api/ready probes (59cea2a).</t>
  </si>
  <si>
    <t>Dashboards and alerts come with a deployment (docs/operations/README.md lists what to alert 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</si>
</sst>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yyyy\-mm\-dd\ hh:mm"/>
  </numFmts>
  <fonts count="11" x14ac:knownFonts="1">
    <font>
      <sz val="11"/>
      <color theme="1"/>
      <name val="Calibri"/>
      <family val="2"/>
      <scheme val="minor"/>
    </font>
    <font>
      <b/>
      <sz val="11"/>
      <name val="Arial"/>
    </font>
    <font>
      <b/>
      <sz val="10"/>
      <name val="Arial"/>
    </font>
    <font>
      <sz val="10"/>
      <name val="Arial"/>
    </font>
    <font>
      <b/>
      <sz val="16"/>
      <color rgb="FF1F3864"/>
      <name val="Arial"/>
    </font>
    <font>
      <i/>
      <sz val="10"/>
      <color rgb="FF595959"/>
      <name val="Arial"/>
    </font>
    <font>
      <b/>
      <sz val="12"/>
      <color rgb="FF1F3864"/>
      <name val="Arial"/>
    </font>
    <font>
      <b/>
      <sz val="10"/>
      <color rgb="FF404040"/>
      <name val="Arial"/>
    </font>
    <font>
      <b/>
      <sz val="10"/>
      <color rgb="FFFFFFFF"/>
      <name val="Arial"/>
    </font>
    <font>
      <u/>
      <sz val="10"/>
      <color rgb="FF0563C1"/>
      <name val="Arial"/>
    </font>
    <font>
      <sz val="10"/>
      <color rgb="FF0000FF"/>
      <name val="Arial"/>
    </font>
  </fonts>
  <fills count="5">
    <fill>
      <patternFill patternType="none"/>
    </fill>
    <fill>
      <patternFill patternType="gray125"/>
    </fill>
    <fill>
      <patternFill patternType="solid">
        <fgColor rgb="FFD9E1F2"/>
      </patternFill>
    </fill>
    <fill>
      <patternFill patternType="solid">
        <fgColor rgb="FFF2F2F2"/>
      </patternFill>
    </fill>
    <fill>
      <patternFill patternType="solid">
        <fgColor rgb="FF1F3864"/>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22">
    <xf numFmtId="0" fontId="0" fillId="0" borderId="0" xfId="0"/>
    <xf numFmtId="0" fontId="3" fillId="0" borderId="0" xfId="0" applyFont="1" applyAlignment="1">
      <alignment vertical="top"/>
    </xf>
    <xf numFmtId="0" fontId="2" fillId="0" borderId="0" xfId="0" applyFont="1" applyAlignment="1">
      <alignment vertical="top"/>
    </xf>
    <xf numFmtId="0" fontId="4" fillId="0" borderId="0" xfId="0" applyFont="1"/>
    <xf numFmtId="0" fontId="5" fillId="0" borderId="0" xfId="0" applyFont="1"/>
    <xf numFmtId="0" fontId="6" fillId="0" borderId="0" xfId="0" applyFont="1"/>
    <xf numFmtId="0" fontId="7" fillId="2" borderId="1" xfId="0" applyFont="1" applyFill="1" applyBorder="1" applyAlignment="1">
      <alignment vertical="top"/>
    </xf>
    <xf numFmtId="1" fontId="1" fillId="3" borderId="1" xfId="0" applyNumberFormat="1" applyFont="1" applyFill="1" applyBorder="1" applyAlignment="1">
      <alignment horizontal="center" vertical="top"/>
    </xf>
    <xf numFmtId="0" fontId="5" fillId="0" borderId="1" xfId="0" applyFont="1" applyBorder="1" applyAlignment="1">
      <alignment vertical="top"/>
    </xf>
    <xf numFmtId="164" fontId="1" fillId="3" borderId="1" xfId="0" applyNumberFormat="1" applyFont="1" applyFill="1" applyBorder="1" applyAlignment="1">
      <alignment horizontal="center" vertical="top"/>
    </xf>
    <xf numFmtId="0" fontId="8" fillId="4" borderId="1" xfId="0" applyFont="1" applyFill="1" applyBorder="1" applyAlignment="1">
      <alignment vertical="center" wrapText="1"/>
    </xf>
    <xf numFmtId="0" fontId="2" fillId="0" borderId="1" xfId="0" applyFont="1" applyBorder="1" applyAlignment="1">
      <alignment horizontal="center" vertical="top"/>
    </xf>
    <xf numFmtId="0" fontId="3" fillId="0" borderId="1" xfId="0" applyFont="1" applyBorder="1" applyAlignment="1">
      <alignment vertical="top"/>
    </xf>
    <xf numFmtId="1" fontId="3" fillId="0" borderId="1" xfId="0" applyNumberFormat="1" applyFont="1" applyBorder="1" applyAlignment="1">
      <alignment horizontal="center" vertical="top"/>
    </xf>
    <xf numFmtId="164" fontId="3" fillId="0" borderId="1" xfId="0" applyNumberFormat="1" applyFont="1" applyBorder="1" applyAlignment="1">
      <alignment horizontal="center" vertical="top"/>
    </xf>
    <xf numFmtId="0" fontId="2" fillId="0" borderId="1" xfId="0" applyFont="1" applyBorder="1" applyAlignment="1">
      <alignment vertical="top"/>
    </xf>
    <xf numFmtId="0" fontId="3" fillId="0" borderId="1" xfId="0" applyFont="1" applyBorder="1" applyAlignment="1">
      <alignment horizontal="center" vertical="top"/>
    </xf>
    <xf numFmtId="0" fontId="9" fillId="0" borderId="1" xfId="0" applyFont="1" applyBorder="1" applyAlignment="1">
      <alignment vertical="top"/>
    </xf>
    <xf numFmtId="0" fontId="3" fillId="0" borderId="1" xfId="0" applyFont="1" applyBorder="1" applyAlignment="1">
      <alignment vertical="top" wrapText="1"/>
    </xf>
    <xf numFmtId="165" fontId="3" fillId="0" borderId="1" xfId="0" applyNumberFormat="1" applyFont="1" applyBorder="1" applyAlignment="1">
      <alignment vertical="top"/>
    </xf>
    <xf numFmtId="3" fontId="10" fillId="0" borderId="1" xfId="0" applyNumberFormat="1" applyFont="1" applyBorder="1" applyAlignment="1">
      <alignment horizontal="center" vertical="top"/>
    </xf>
    <xf numFmtId="0" fontId="10" fillId="0" borderId="1" xfId="0" applyFont="1" applyBorder="1" applyAlignment="1">
      <alignment horizontal="center" vertical="top"/>
    </xf>
  </cellXfs>
  <cellStyles count="1">
    <cellStyle name="Normal" xfId="0" builtinId="0"/>
  </cellStyles>
  <dxfs count="361">
    <dxf>
      <font>
        <b/>
        <color rgb="FF9C0006"/>
      </font>
      <fill>
        <patternFill patternType="solid">
          <fgColor rgb="FFFFC7CE"/>
          <bgColor rgb="FFFFC7CE"/>
        </patternFill>
      </fill>
    </dxf>
    <dxf>
      <font>
        <b/>
        <color rgb="FF006100"/>
      </font>
      <fill>
        <patternFill patternType="solid">
          <fgColor rgb="FFC6EFCE"/>
          <bgColor rgb="FFC6EFCE"/>
        </patternFill>
      </fill>
    </dxf>
    <dxf>
      <font>
        <b/>
        <color rgb="FF9C5700"/>
      </font>
      <fill>
        <patternFill patternType="solid">
          <fgColor rgb="FFFFEB9C"/>
          <bgColor rgb="FFFFEB9C"/>
        </patternFill>
      </fill>
    </dxf>
    <dxf>
      <font>
        <b/>
        <color rgb="FF9C0006"/>
      </font>
      <fill>
        <patternFill patternType="solid">
          <fgColor rgb="FFFFC7CE"/>
          <bgColor rgb="FFFFC7CE"/>
        </patternFill>
      </fill>
    </dxf>
    <dxf>
      <font>
        <b/>
        <color rgb="FF006100"/>
      </font>
      <fill>
        <patternFill patternType="solid">
          <fgColor rgb="FFC6EFCE"/>
          <bgColor rgb="FFC6EFCE"/>
        </patternFill>
      </fill>
    </dxf>
    <dxf>
      <font>
        <b/>
        <i/>
        <color rgb="FF9C0006"/>
      </font>
      <fill>
        <patternFill patternType="solid">
          <fgColor rgb="FFFFC7CE"/>
          <bgColor rgb="FFFFC7CE"/>
        </patternFill>
      </fill>
    </dxf>
    <dxf>
      <font>
        <b/>
        <color rgb="FF1F4E78"/>
      </font>
      <fill>
        <patternFill patternType="solid">
          <fgColor rgb="FFDDEBF7"/>
          <bgColor rgb="FFDDEBF7"/>
        </patternFill>
      </fill>
    </dxf>
    <dxf>
      <font>
        <b/>
        <color rgb="FF9C0006"/>
      </font>
      <fill>
        <patternFill patternType="solid">
          <fgColor rgb="FFFFC7CE"/>
          <bgColor rgb="FFFFC7CE"/>
        </patternFill>
      </fill>
    </dxf>
    <dxf>
      <font>
        <b/>
        <color rgb="FF006100"/>
      </font>
      <fill>
        <patternFill patternType="solid">
          <fgColor rgb="FFC6EFCE"/>
          <bgColor rgb="FFC6EFCE"/>
        </patternFill>
      </fill>
    </dxf>
    <dxf>
      <font>
        <color rgb="FF833C0B"/>
      </font>
      <fill>
        <patternFill patternType="solid">
          <fgColor rgb="FFFCE4D6"/>
          <bgColor rgb="FFFCE4D6"/>
        </patternFill>
      </fill>
    </dxf>
    <dxf>
      <font>
        <b/>
        <color rgb="FF006100"/>
      </font>
      <fill>
        <patternFill patternType="solid">
          <fgColor rgb="FFC6EFCE"/>
          <bgColor rgb="FFC6EFCE"/>
        </patternFill>
      </fill>
    </dxf>
    <dxf>
      <font>
        <b/>
        <color rgb="FF9C5700"/>
      </font>
      <fill>
        <patternFill patternType="solid">
          <fgColor rgb="FFFFEB9C"/>
          <bgColor rgb="FFFFEB9C"/>
        </patternFill>
      </fill>
    </dxf>
    <dxf>
      <font>
        <b/>
        <color rgb="FF9C0006"/>
      </font>
      <fill>
        <patternFill patternType="solid">
          <fgColor rgb="FFFFC7CE"/>
          <bgColor rgb="FFFFC7CE"/>
        </patternFill>
      </fill>
    </dxf>
    <dxf>
      <font>
        <b/>
        <color rgb="FF006100"/>
      </font>
      <fill>
        <patternFill patternType="solid">
          <fgColor rgb="FFC6EFCE"/>
          <bgColor rgb="FFC6EFCE"/>
        </patternFill>
      </fill>
    </dxf>
    <dxf>
      <font>
        <color rgb="FF5B2C6F"/>
      </font>
      <fill>
        <patternFill patternType="solid">
          <fgColor rgb="FFE4DFEC"/>
          <bgColor rgb="FFE4DFEC"/>
        </patternFill>
      </fill>
    </dxf>
    <dxf>
      <font>
        <i/>
        <color rgb="FF808080"/>
      </font>
    </dxf>
    <dxf>
      <font>
        <b/>
        <color rgb="FF9C0006"/>
      </font>
      <fill>
        <patternFill patternType="solid">
          <fgColor rgb="FFFFC7CE"/>
          <bgColor rgb="FFFFC7CE"/>
        </patternFill>
      </fill>
    </dxf>
    <dxf>
      <font>
        <b/>
        <color rgb="FF833C0B"/>
      </font>
      <fill>
        <patternFill patternType="solid">
          <fgColor rgb="FFF8CBAD"/>
          <bgColor rgb="FFF8CBAD"/>
        </patternFill>
      </fill>
    </dxf>
    <dxf>
      <font>
        <i/>
        <color rgb="FF1F4E78"/>
      </font>
      <fill>
        <patternFill patternType="solid">
          <fgColor rgb="FFDDEBF7"/>
          <bgColor rgb="FFDDEBF7"/>
        </patternFill>
      </fill>
    </dxf>
    <dxf>
      <font>
        <color rgb="FF1F4E78"/>
      </font>
      <fill>
        <patternFill patternType="solid">
          <fgColor rgb="FFDDEBF7"/>
          <bgColor rgb="FFDDEBF7"/>
        </patternFill>
      </fill>
    </dxf>
    <dxf>
      <font>
        <b/>
        <color rgb="FF9C5700"/>
      </font>
      <fill>
        <patternFill patternType="solid">
          <fgColor rgb="FFFFEB9C"/>
          <bgColor rgb="FFFFEB9C"/>
        </patternFill>
      </fill>
    </dxf>
    <dxf>
      <font>
        <color rgb="FF375623"/>
      </font>
      <fill>
        <patternFill patternType="solid">
          <fgColor rgb="FFE2EFDA"/>
          <bgColor rgb="FFE2EFDA"/>
        </patternFill>
      </fill>
    </dxf>
    <dxf>
      <font>
        <b/>
        <color rgb="FF006100"/>
      </font>
      <fill>
        <patternFill patternType="solid">
          <fgColor rgb="FFC6EFCE"/>
          <bgColor rgb="FFC6EFCE"/>
        </patternFill>
      </fill>
    </dxf>
    <dxf>
      <font>
        <b/>
        <color rgb="FFC65911"/>
      </font>
    </dxf>
    <dxf>
      <font>
        <b/>
        <color rgb="FF9C0006"/>
      </font>
      <fill>
        <patternFill patternType="solid">
          <fgColor rgb="FFFFC7CE"/>
          <bgColor rgb="FFFFC7CE"/>
        </patternFill>
      </fill>
    </dxf>
    <dxf>
      <font>
        <b/>
        <i/>
        <color rgb="FF9C0006"/>
      </font>
      <fill>
        <patternFill patternType="solid">
          <fgColor rgb="FFFFC7CE"/>
          <bgColor rgb="FFFFC7CE"/>
        </patternFill>
      </fill>
    </dxf>
    <dxf>
      <font>
        <b/>
        <color rgb="FF1F4E78"/>
      </font>
      <fill>
        <patternFill patternType="solid">
          <fgColor rgb="FFDDEBF7"/>
          <bgColor rgb="FFDDEBF7"/>
        </patternFill>
      </fill>
    </dxf>
    <dxf>
      <font>
        <b/>
        <color rgb="FF9C0006"/>
      </font>
      <fill>
        <patternFill patternType="solid">
          <fgColor rgb="FFFFC7CE"/>
          <bgColor rgb="FFFFC7CE"/>
        </patternFill>
      </fill>
    </dxf>
    <dxf>
      <font>
        <b/>
        <color rgb="FF006100"/>
      </font>
      <fill>
        <patternFill patternType="solid">
          <fgColor rgb="FFC6EFCE"/>
          <bgColor rgb="FFC6EFCE"/>
        </patternFill>
      </fill>
    </dxf>
    <dxf>
      <font>
        <color rgb="FF833C0B"/>
      </font>
      <fill>
        <patternFill patternType="solid">
          <fgColor rgb="FFFCE4D6"/>
          <bgColor rgb="FFFCE4D6"/>
        </patternFill>
      </fill>
    </dxf>
    <dxf>
      <font>
        <b/>
        <color rgb="FF006100"/>
      </font>
      <fill>
        <patternFill patternType="solid">
          <fgColor rgb="FFC6EFCE"/>
          <bgColor rgb="FFC6EFCE"/>
        </patternFill>
      </fill>
    </dxf>
    <dxf>
      <font>
        <b/>
        <color rgb="FF9C5700"/>
      </font>
      <fill>
        <patternFill patternType="solid">
          <fgColor rgb="FFFFEB9C"/>
          <bgColor rgb="FFFFEB9C"/>
        </patternFill>
      </fill>
    </dxf>
    <dxf>
      <font>
        <b/>
        <color rgb="FF9C0006"/>
      </font>
      <fill>
        <patternFill patternType="solid">
          <fgColor rgb="FFFFC7CE"/>
          <bgColor rgb="FFFFC7CE"/>
        </patternFill>
      </fill>
    </dxf>
    <dxf>
      <font>
        <b/>
        <color rgb="FF006100"/>
      </font>
      <fill>
        <patternFill patternType="solid">
          <fgColor rgb="FFC6EFCE"/>
          <bgColor rgb="FFC6EFCE"/>
        </patternFill>
      </fill>
    </dxf>
    <dxf>
      <font>
        <color rgb="FF5B2C6F"/>
      </font>
      <fill>
        <patternFill patternType="solid">
          <fgColor rgb="FFE4DFEC"/>
          <bgColor rgb="FFE4DFEC"/>
        </patternFill>
      </fill>
    </dxf>
    <dxf>
      <font>
        <i/>
        <color rgb="FF808080"/>
      </font>
    </dxf>
    <dxf>
      <font>
        <b/>
        <color rgb="FF9C0006"/>
      </font>
      <fill>
        <patternFill patternType="solid">
          <fgColor rgb="FFFFC7CE"/>
          <bgColor rgb="FFFFC7CE"/>
        </patternFill>
      </fill>
    </dxf>
    <dxf>
      <font>
        <b/>
        <color rgb="FF833C0B"/>
      </font>
      <fill>
        <patternFill patternType="solid">
          <fgColor rgb="FFF8CBAD"/>
          <bgColor rgb="FFF8CBAD"/>
        </patternFill>
      </fill>
    </dxf>
    <dxf>
      <font>
        <i/>
        <color rgb="FF1F4E78"/>
      </font>
      <fill>
        <patternFill patternType="solid">
          <fgColor rgb="FFDDEBF7"/>
          <bgColor rgb="FFDDEBF7"/>
        </patternFill>
      </fill>
    </dxf>
    <dxf>
      <font>
        <color rgb="FF1F4E78"/>
      </font>
      <fill>
        <patternFill patternType="solid">
          <fgColor rgb="FFDDEBF7"/>
          <bgColor rgb="FFDDEBF7"/>
        </patternFill>
      </fill>
    </dxf>
    <dxf>
      <font>
        <b/>
        <color rgb="FF9C5700"/>
      </font>
      <fill>
        <patternFill patternType="solid">
          <fgColor rgb="FFFFEB9C"/>
          <bgColor rgb="FFFFEB9C"/>
        </patternFill>
      </fill>
    </dxf>
    <dxf>
      <font>
        <color rgb="FF375623"/>
      </font>
      <fill>
        <patternFill patternType="solid">
          <fgColor rgb="FFE2EFDA"/>
          <bgColor rgb="FFE2EFDA"/>
        </patternFill>
      </fill>
    </dxf>
    <dxf>
      <font>
        <b/>
        <color rgb="FF006100"/>
      </font>
      <fill>
        <patternFill patternType="solid">
          <fgColor rgb="FFC6EFCE"/>
          <bgColor rgb="FFC6EFCE"/>
        </patternFill>
      </fill>
    </dxf>
    <dxf>
      <font>
        <b/>
        <color rgb="FFC65911"/>
      </font>
    </dxf>
    <dxf>
      <font>
        <b/>
        <color rgb="FF9C0006"/>
      </font>
      <fill>
        <patternFill patternType="solid">
          <fgColor rgb="FFFFC7CE"/>
          <bgColor rgb="FFFFC7CE"/>
        </patternFill>
      </fill>
    </dxf>
    <dxf>
      <font>
        <b/>
        <i/>
        <color rgb="FF9C0006"/>
      </font>
      <fill>
        <patternFill patternType="solid">
          <fgColor rgb="FFFFC7CE"/>
          <bgColor rgb="FFFFC7CE"/>
        </patternFill>
      </fill>
    </dxf>
    <dxf>
      <font>
        <b/>
        <color rgb="FF1F4E78"/>
      </font>
      <fill>
        <patternFill patternType="solid">
          <fgColor rgb="FFDDEBF7"/>
          <bgColor rgb="FFDDEBF7"/>
        </patternFill>
      </fill>
    </dxf>
    <dxf>
      <font>
        <b/>
        <color rgb="FF9C0006"/>
      </font>
      <fill>
        <patternFill patternType="solid">
          <fgColor rgb="FFFFC7CE"/>
          <bgColor rgb="FFFFC7CE"/>
        </patternFill>
      </fill>
    </dxf>
    <dxf>
      <font>
        <b/>
        <color rgb="FF006100"/>
      </font>
      <fill>
        <patternFill patternType="solid">
          <fgColor rgb="FFC6EFCE"/>
          <bgColor rgb="FFC6EFCE"/>
        </patternFill>
      </fill>
    </dxf>
    <dxf>
      <font>
        <color rgb="FF833C0B"/>
      </font>
      <fill>
        <patternFill patternType="solid">
          <fgColor rgb="FFFCE4D6"/>
          <bgColor rgb="FFFCE4D6"/>
        </patternFill>
      </fill>
    </dxf>
    <dxf>
      <font>
        <b/>
        <color rgb="FF006100"/>
      </font>
      <fill>
        <patternFill patternType="solid">
          <fgColor rgb="FFC6EFCE"/>
          <bgColor rgb="FFC6EFCE"/>
        </patternFill>
      </fill>
    </dxf>
    <dxf>
      <font>
        <b/>
        <color rgb="FF9C5700"/>
      </font>
      <fill>
        <patternFill patternType="solid">
          <fgColor rgb="FFFFEB9C"/>
          <bgColor rgb="FFFFEB9C"/>
        </patternFill>
      </fill>
    </dxf>
    <dxf>
      <font>
        <b/>
        <color rgb="FF9C0006"/>
      </font>
      <fill>
        <patternFill patternType="solid">
          <fgColor rgb="FFFFC7CE"/>
          <bgColor rgb="FFFFC7CE"/>
        </patternFill>
      </fill>
    </dxf>
    <dxf>
      <font>
        <b/>
        <color rgb="FF006100"/>
      </font>
      <fill>
        <patternFill patternType="solid">
          <fgColor rgb="FFC6EFCE"/>
          <bgColor rgb="FFC6EFCE"/>
        </patternFill>
      </fill>
    </dxf>
    <dxf>
      <font>
        <color rgb="FF5B2C6F"/>
      </font>
      <fill>
        <patternFill patternType="solid">
          <fgColor rgb="FFE4DFEC"/>
          <bgColor rgb="FFE4DFEC"/>
        </patternFill>
      </fill>
    </dxf>
    <dxf>
      <font>
        <i/>
        <color rgb="FF808080"/>
      </font>
    </dxf>
    <dxf>
      <font>
        <b/>
        <color rgb="FF9C0006"/>
      </font>
      <fill>
        <patternFill patternType="solid">
          <fgColor rgb="FFFFC7CE"/>
          <bgColor rgb="FFFFC7CE"/>
        </patternFill>
      </fill>
    </dxf>
    <dxf>
      <font>
        <b/>
        <color rgb="FF833C0B"/>
      </font>
      <fill>
        <patternFill patternType="solid">
          <fgColor rgb="FFF8CBAD"/>
          <bgColor rgb="FFF8CBAD"/>
        </patternFill>
      </fill>
    </dxf>
    <dxf>
      <font>
        <i/>
        <color rgb="FF1F4E78"/>
      </font>
      <fill>
        <patternFill patternType="solid">
          <fgColor rgb="FFDDEBF7"/>
          <bgColor rgb="FFDDEBF7"/>
        </patternFill>
      </fill>
    </dxf>
    <dxf>
      <font>
        <color rgb="FF1F4E78"/>
      </font>
      <fill>
        <patternFill patternType="solid">
          <fgColor rgb="FFDDEBF7"/>
          <bgColor rgb="FFDDEBF7"/>
        </patternFill>
      </fill>
    </dxf>
    <dxf>
      <font>
        <b/>
        <color rgb="FF9C5700"/>
      </font>
      <fill>
        <patternFill patternType="solid">
          <fgColor rgb="FFFFEB9C"/>
          <bgColor rgb="FFFFEB9C"/>
        </patternFill>
      </fill>
    </dxf>
    <dxf>
      <font>
        <color rgb="FF375623"/>
      </font>
      <fill>
        <patternFill patternType="solid">
          <fgColor rgb="FFE2EFDA"/>
          <bgColor rgb="FFE2EFDA"/>
        </patternFill>
      </fill>
    </dxf>
    <dxf>
      <font>
        <b/>
        <color rgb="FF006100"/>
      </font>
      <fill>
        <patternFill patternType="solid">
          <fgColor rgb="FFC6EFCE"/>
          <bgColor rgb="FFC6EFCE"/>
        </patternFill>
      </fill>
    </dxf>
    <dxf>
      <font>
        <b/>
        <color rgb="FFC65911"/>
      </font>
    </dxf>
    <dxf>
      <font>
        <b/>
        <color rgb="FF9C0006"/>
      </font>
      <fill>
        <patternFill patternType="solid">
          <fgColor rgb="FFFFC7CE"/>
          <bgColor rgb="FFFFC7CE"/>
        </patternFill>
      </fill>
    </dxf>
    <dxf>
      <font>
        <b/>
        <i/>
        <color rgb="FF9C0006"/>
      </font>
      <fill>
        <patternFill patternType="solid">
          <fgColor rgb="FFFFC7CE"/>
          <bgColor rgb="FFFFC7CE"/>
        </patternFill>
      </fill>
    </dxf>
    <dxf>
      <font>
        <b/>
        <color rgb="FF1F4E78"/>
      </font>
      <fill>
        <patternFill patternType="solid">
          <fgColor rgb="FFDDEBF7"/>
          <bgColor rgb="FFDDEBF7"/>
        </patternFill>
      </fill>
    </dxf>
    <dxf>
      <font>
        <b/>
        <color rgb="FF9C0006"/>
      </font>
      <fill>
        <patternFill patternType="solid">
          <fgColor rgb="FFFFC7CE"/>
          <bgColor rgb="FFFFC7CE"/>
        </patternFill>
      </fill>
    </dxf>
    <dxf>
      <font>
        <b/>
        <color rgb="FF006100"/>
      </font>
      <fill>
        <patternFill patternType="solid">
          <fgColor rgb="FFC6EFCE"/>
          <bgColor rgb="FFC6EFCE"/>
        </patternFill>
      </fill>
    </dxf>
    <dxf>
      <font>
        <color rgb="FF833C0B"/>
      </font>
      <fill>
        <patternFill patternType="solid">
          <fgColor rgb="FFFCE4D6"/>
          <bgColor rgb="FFFCE4D6"/>
        </patternFill>
      </fill>
    </dxf>
    <dxf>
      <font>
        <b/>
        <color rgb="FF006100"/>
      </font>
      <fill>
        <patternFill patternType="solid">
          <fgColor rgb="FFC6EFCE"/>
          <bgColor rgb="FFC6EFCE"/>
        </patternFill>
      </fill>
    </dxf>
    <dxf>
      <font>
        <b/>
        <color rgb="FF9C5700"/>
      </font>
      <fill>
        <patternFill patternType="solid">
          <fgColor rgb="FFFFEB9C"/>
          <bgColor rgb="FFFFEB9C"/>
        </patternFill>
      </fill>
    </dxf>
    <dxf>
      <font>
        <b/>
        <color rgb="FF9C0006"/>
      </font>
      <fill>
        <patternFill patternType="solid">
          <fgColor rgb="FFFFC7CE"/>
          <bgColor rgb="FFFFC7CE"/>
        </patternFill>
      </fill>
    </dxf>
    <dxf>
      <font>
        <b/>
        <color rgb="FF006100"/>
      </font>
      <fill>
        <patternFill patternType="solid">
          <fgColor rgb="FFC6EFCE"/>
          <bgColor rgb="FFC6EFCE"/>
        </patternFill>
      </fill>
    </dxf>
    <dxf>
      <font>
        <color rgb="FF5B2C6F"/>
      </font>
      <fill>
        <patternFill patternType="solid">
          <fgColor rgb="FFE4DFEC"/>
          <bgColor rgb="FFE4DFEC"/>
        </patternFill>
      </fill>
    </dxf>
    <dxf>
      <font>
        <i/>
        <color rgb="FF808080"/>
      </font>
    </dxf>
    <dxf>
      <font>
        <b/>
        <color rgb="FF9C0006"/>
      </font>
      <fill>
        <patternFill patternType="solid">
          <fgColor rgb="FFFFC7CE"/>
          <bgColor rgb="FFFFC7CE"/>
        </patternFill>
      </fill>
    </dxf>
    <dxf>
      <font>
        <b/>
        <color rgb="FF833C0B"/>
      </font>
      <fill>
        <patternFill patternType="solid">
          <fgColor rgb="FFF8CBAD"/>
          <bgColor rgb="FFF8CBAD"/>
        </patternFill>
      </fill>
    </dxf>
    <dxf>
      <font>
        <i/>
        <color rgb="FF1F4E78"/>
      </font>
      <fill>
        <patternFill patternType="solid">
          <fgColor rgb="FFDDEBF7"/>
          <bgColor rgb="FFDDEBF7"/>
        </patternFill>
      </fill>
    </dxf>
    <dxf>
      <font>
        <color rgb="FF1F4E78"/>
      </font>
      <fill>
        <patternFill patternType="solid">
          <fgColor rgb="FFDDEBF7"/>
          <bgColor rgb="FFDDEBF7"/>
        </patternFill>
      </fill>
    </dxf>
    <dxf>
      <font>
        <b/>
        <color rgb="FF9C5700"/>
      </font>
      <fill>
        <patternFill patternType="solid">
          <fgColor rgb="FFFFEB9C"/>
          <bgColor rgb="FFFFEB9C"/>
        </patternFill>
      </fill>
    </dxf>
    <dxf>
      <font>
        <color rgb="FF375623"/>
      </font>
      <fill>
        <patternFill patternType="solid">
          <fgColor rgb="FFE2EFDA"/>
          <bgColor rgb="FFE2EFDA"/>
        </patternFill>
      </fill>
    </dxf>
    <dxf>
      <font>
        <b/>
        <color rgb="FF006100"/>
      </font>
      <fill>
        <patternFill patternType="solid">
          <fgColor rgb="FFC6EFCE"/>
          <bgColor rgb="FFC6EFCE"/>
        </patternFill>
      </fill>
    </dxf>
    <dxf>
      <font>
        <b/>
        <color rgb="FFC65911"/>
      </font>
    </dxf>
    <dxf>
      <font>
        <b/>
        <color rgb="FF9C0006"/>
      </font>
      <fill>
        <patternFill patternType="solid">
          <fgColor rgb="FFFFC7CE"/>
          <bgColor rgb="FFFFC7CE"/>
        </patternFill>
      </fill>
    </dxf>
    <dxf>
      <font>
        <b/>
        <i/>
        <color rgb="FF9C0006"/>
      </font>
      <fill>
        <patternFill patternType="solid">
          <fgColor rgb="FFFFC7CE"/>
          <bgColor rgb="FFFFC7CE"/>
        </patternFill>
      </fill>
    </dxf>
    <dxf>
      <font>
        <b/>
        <color rgb="FF1F4E78"/>
      </font>
      <fill>
        <patternFill patternType="solid">
          <fgColor rgb="FFDDEBF7"/>
          <bgColor rgb="FFDDEBF7"/>
        </patternFill>
      </fill>
    </dxf>
    <dxf>
      <font>
        <b/>
        <color rgb="FF9C0006"/>
      </font>
      <fill>
        <patternFill patternType="solid">
          <fgColor rgb="FFFFC7CE"/>
          <bgColor rgb="FFFFC7CE"/>
        </patternFill>
      </fill>
    </dxf>
    <dxf>
      <font>
        <b/>
        <color rgb="FF006100"/>
      </font>
      <fill>
        <patternFill patternType="solid">
          <fgColor rgb="FFC6EFCE"/>
          <bgColor rgb="FFC6EFCE"/>
        </patternFill>
      </fill>
    </dxf>
    <dxf>
      <font>
        <color rgb="FF833C0B"/>
      </font>
      <fill>
        <patternFill patternType="solid">
          <fgColor rgb="FFFCE4D6"/>
          <bgColor rgb="FFFCE4D6"/>
        </patternFill>
      </fill>
    </dxf>
    <dxf>
      <font>
        <b/>
        <color rgb="FF006100"/>
      </font>
      <fill>
        <patternFill patternType="solid">
          <fgColor rgb="FFC6EFCE"/>
          <bgColor rgb="FFC6EFCE"/>
        </patternFill>
      </fill>
    </dxf>
    <dxf>
      <font>
        <b/>
        <color rgb="FF9C5700"/>
      </font>
      <fill>
        <patternFill patternType="solid">
          <fgColor rgb="FFFFEB9C"/>
          <bgColor rgb="FFFFEB9C"/>
        </patternFill>
      </fill>
    </dxf>
    <dxf>
      <font>
        <b/>
        <color rgb="FF9C0006"/>
      </font>
      <fill>
        <patternFill patternType="solid">
          <fgColor rgb="FFFFC7CE"/>
          <bgColor rgb="FFFFC7CE"/>
        </patternFill>
      </fill>
    </dxf>
    <dxf>
      <font>
        <b/>
        <color rgb="FF006100"/>
      </font>
      <fill>
        <patternFill patternType="solid">
          <fgColor rgb="FFC6EFCE"/>
          <bgColor rgb="FFC6EFCE"/>
        </patternFill>
      </fill>
    </dxf>
    <dxf>
      <font>
        <color rgb="FF5B2C6F"/>
      </font>
      <fill>
        <patternFill patternType="solid">
          <fgColor rgb="FFE4DFEC"/>
          <bgColor rgb="FFE4DFEC"/>
        </patternFill>
      </fill>
    </dxf>
    <dxf>
      <font>
        <i/>
        <color rgb="FF808080"/>
      </font>
    </dxf>
    <dxf>
      <font>
        <b/>
        <color rgb="FF9C0006"/>
      </font>
      <fill>
        <patternFill patternType="solid">
          <fgColor rgb="FFFFC7CE"/>
          <bgColor rgb="FFFFC7CE"/>
        </patternFill>
      </fill>
    </dxf>
    <dxf>
      <font>
        <b/>
        <color rgb="FF833C0B"/>
      </font>
      <fill>
        <patternFill patternType="solid">
          <fgColor rgb="FFF8CBAD"/>
          <bgColor rgb="FFF8CBAD"/>
        </patternFill>
      </fill>
    </dxf>
    <dxf>
      <font>
        <i/>
        <color rgb="FF1F4E78"/>
      </font>
      <fill>
        <patternFill patternType="solid">
          <fgColor rgb="FFDDEBF7"/>
          <bgColor rgb="FFDDEBF7"/>
        </patternFill>
      </fill>
    </dxf>
    <dxf>
      <font>
        <color rgb="FF1F4E78"/>
      </font>
      <fill>
        <patternFill patternType="solid">
          <fgColor rgb="FFDDEBF7"/>
          <bgColor rgb="FFDDEBF7"/>
        </patternFill>
      </fill>
    </dxf>
    <dxf>
      <font>
        <b/>
        <color rgb="FF9C5700"/>
      </font>
      <fill>
        <patternFill patternType="solid">
          <fgColor rgb="FFFFEB9C"/>
          <bgColor rgb="FFFFEB9C"/>
        </patternFill>
      </fill>
    </dxf>
    <dxf>
      <font>
        <color rgb="FF375623"/>
      </font>
      <fill>
        <patternFill patternType="solid">
          <fgColor rgb="FFE2EFDA"/>
          <bgColor rgb="FFE2EFDA"/>
        </patternFill>
      </fill>
    </dxf>
    <dxf>
      <font>
        <b/>
        <color rgb="FF006100"/>
      </font>
      <fill>
        <patternFill patternType="solid">
          <fgColor rgb="FFC6EFCE"/>
          <bgColor rgb="FFC6EFCE"/>
        </patternFill>
      </fill>
    </dxf>
    <dxf>
      <font>
        <b/>
        <color rgb="FFC65911"/>
      </font>
    </dxf>
    <dxf>
      <font>
        <b/>
        <color rgb="FF9C0006"/>
      </font>
      <fill>
        <patternFill patternType="solid">
          <fgColor rgb="FFFFC7CE"/>
          <bgColor rgb="FFFFC7CE"/>
        </patternFill>
      </fill>
    </dxf>
    <dxf>
      <font>
        <b/>
        <i/>
        <color rgb="FF9C0006"/>
      </font>
      <fill>
        <patternFill patternType="solid">
          <fgColor rgb="FFFFC7CE"/>
          <bgColor rgb="FFFFC7CE"/>
        </patternFill>
      </fill>
    </dxf>
    <dxf>
      <font>
        <b/>
        <color rgb="FF1F4E78"/>
      </font>
      <fill>
        <patternFill patternType="solid">
          <fgColor rgb="FFDDEBF7"/>
          <bgColor rgb="FFDDEBF7"/>
        </patternFill>
      </fill>
    </dxf>
    <dxf>
      <font>
        <b/>
        <color rgb="FF9C0006"/>
      </font>
      <fill>
        <patternFill patternType="solid">
          <fgColor rgb="FFFFC7CE"/>
          <bgColor rgb="FFFFC7CE"/>
        </patternFill>
      </fill>
    </dxf>
    <dxf>
      <font>
        <b/>
        <color rgb="FF006100"/>
      </font>
      <fill>
        <patternFill patternType="solid">
          <fgColor rgb="FFC6EFCE"/>
          <bgColor rgb="FFC6EFCE"/>
        </patternFill>
      </fill>
    </dxf>
    <dxf>
      <font>
        <color rgb="FF833C0B"/>
      </font>
      <fill>
        <patternFill patternType="solid">
          <fgColor rgb="FFFCE4D6"/>
          <bgColor rgb="FFFCE4D6"/>
        </patternFill>
      </fill>
    </dxf>
    <dxf>
      <font>
        <b/>
        <color rgb="FF006100"/>
      </font>
      <fill>
        <patternFill patternType="solid">
          <fgColor rgb="FFC6EFCE"/>
          <bgColor rgb="FFC6EFCE"/>
        </patternFill>
      </fill>
    </dxf>
    <dxf>
      <font>
        <b/>
        <color rgb="FF9C5700"/>
      </font>
      <fill>
        <patternFill patternType="solid">
          <fgColor rgb="FFFFEB9C"/>
          <bgColor rgb="FFFFEB9C"/>
        </patternFill>
      </fill>
    </dxf>
    <dxf>
      <font>
        <b/>
        <color rgb="FF9C0006"/>
      </font>
      <fill>
        <patternFill patternType="solid">
          <fgColor rgb="FFFFC7CE"/>
          <bgColor rgb="FFFFC7CE"/>
        </patternFill>
      </fill>
    </dxf>
    <dxf>
      <font>
        <b/>
        <color rgb="FF006100"/>
      </font>
      <fill>
        <patternFill patternType="solid">
          <fgColor rgb="FFC6EFCE"/>
          <bgColor rgb="FFC6EFCE"/>
        </patternFill>
      </fill>
    </dxf>
    <dxf>
      <font>
        <color rgb="FF5B2C6F"/>
      </font>
      <fill>
        <patternFill patternType="solid">
          <fgColor rgb="FFE4DFEC"/>
          <bgColor rgb="FFE4DFEC"/>
        </patternFill>
      </fill>
    </dxf>
    <dxf>
      <font>
        <i/>
        <color rgb="FF808080"/>
      </font>
    </dxf>
    <dxf>
      <font>
        <b/>
        <color rgb="FF9C0006"/>
      </font>
      <fill>
        <patternFill patternType="solid">
          <fgColor rgb="FFFFC7CE"/>
          <bgColor rgb="FFFFC7CE"/>
        </patternFill>
      </fill>
    </dxf>
    <dxf>
      <font>
        <b/>
        <color rgb="FF833C0B"/>
      </font>
      <fill>
        <patternFill patternType="solid">
          <fgColor rgb="FFF8CBAD"/>
          <bgColor rgb="FFF8CBAD"/>
        </patternFill>
      </fill>
    </dxf>
    <dxf>
      <font>
        <i/>
        <color rgb="FF1F4E78"/>
      </font>
      <fill>
        <patternFill patternType="solid">
          <fgColor rgb="FFDDEBF7"/>
          <bgColor rgb="FFDDEBF7"/>
        </patternFill>
      </fill>
    </dxf>
    <dxf>
      <font>
        <color rgb="FF1F4E78"/>
      </font>
      <fill>
        <patternFill patternType="solid">
          <fgColor rgb="FFDDEBF7"/>
          <bgColor rgb="FFDDEBF7"/>
        </patternFill>
      </fill>
    </dxf>
    <dxf>
      <font>
        <b/>
        <color rgb="FF9C5700"/>
      </font>
      <fill>
        <patternFill patternType="solid">
          <fgColor rgb="FFFFEB9C"/>
          <bgColor rgb="FFFFEB9C"/>
        </patternFill>
      </fill>
    </dxf>
    <dxf>
      <font>
        <color rgb="FF375623"/>
      </font>
      <fill>
        <patternFill patternType="solid">
          <fgColor rgb="FFE2EFDA"/>
          <bgColor rgb="FFE2EFDA"/>
        </patternFill>
      </fill>
    </dxf>
    <dxf>
      <font>
        <b/>
        <color rgb="FF006100"/>
      </font>
      <fill>
        <patternFill patternType="solid">
          <fgColor rgb="FFC6EFCE"/>
          <bgColor rgb="FFC6EFCE"/>
        </patternFill>
      </fill>
    </dxf>
    <dxf>
      <font>
        <b/>
        <color rgb="FFC65911"/>
      </font>
    </dxf>
    <dxf>
      <font>
        <b/>
        <color rgb="FF9C0006"/>
      </font>
      <fill>
        <patternFill patternType="solid">
          <fgColor rgb="FFFFC7CE"/>
          <bgColor rgb="FFFFC7CE"/>
        </patternFill>
      </fill>
    </dxf>
    <dxf>
      <font>
        <b/>
        <color rgb="FF1F4E78"/>
      </font>
      <fill>
        <patternFill patternType="solid">
          <fgColor rgb="FFDDEBF7"/>
          <bgColor rgb="FFDDEBF7"/>
        </patternFill>
      </fill>
    </dxf>
    <dxf>
      <font>
        <b/>
        <i/>
        <color rgb="FF9C0006"/>
      </font>
      <fill>
        <patternFill patternType="solid">
          <fgColor rgb="FFFFC7CE"/>
          <bgColor rgb="FFFFC7CE"/>
        </patternFill>
      </fill>
    </dxf>
    <dxf>
      <font>
        <b/>
        <color rgb="FF1F4E78"/>
      </font>
      <fill>
        <patternFill patternType="solid">
          <fgColor rgb="FFDDEBF7"/>
          <bgColor rgb="FFDDEBF7"/>
        </patternFill>
      </fill>
    </dxf>
    <dxf>
      <font>
        <b/>
        <color rgb="FF9C0006"/>
      </font>
      <fill>
        <patternFill patternType="solid">
          <fgColor rgb="FFFFC7CE"/>
          <bgColor rgb="FFFFC7CE"/>
        </patternFill>
      </fill>
    </dxf>
    <dxf>
      <font>
        <b/>
        <color rgb="FF006100"/>
      </font>
      <fill>
        <patternFill patternType="solid">
          <fgColor rgb="FFC6EFCE"/>
          <bgColor rgb="FFC6EFCE"/>
        </patternFill>
      </fill>
    </dxf>
    <dxf>
      <font>
        <color rgb="FF833C0B"/>
      </font>
      <fill>
        <patternFill patternType="solid">
          <fgColor rgb="FFFCE4D6"/>
          <bgColor rgb="FFFCE4D6"/>
        </patternFill>
      </fill>
    </dxf>
    <dxf>
      <font>
        <b/>
        <color rgb="FF006100"/>
      </font>
      <fill>
        <patternFill patternType="solid">
          <fgColor rgb="FFC6EFCE"/>
          <bgColor rgb="FFC6EFCE"/>
        </patternFill>
      </fill>
    </dxf>
    <dxf>
      <font>
        <b/>
        <color rgb="FF9C5700"/>
      </font>
      <fill>
        <patternFill patternType="solid">
          <fgColor rgb="FFFFEB9C"/>
          <bgColor rgb="FFFFEB9C"/>
        </patternFill>
      </fill>
    </dxf>
    <dxf>
      <font>
        <b/>
        <color rgb="FF9C0006"/>
      </font>
      <fill>
        <patternFill patternType="solid">
          <fgColor rgb="FFFFC7CE"/>
          <bgColor rgb="FFFFC7CE"/>
        </patternFill>
      </fill>
    </dxf>
    <dxf>
      <font>
        <b/>
        <color rgb="FF006100"/>
      </font>
      <fill>
        <patternFill patternType="solid">
          <fgColor rgb="FFC6EFCE"/>
          <bgColor rgb="FFC6EFCE"/>
        </patternFill>
      </fill>
    </dxf>
    <dxf>
      <font>
        <color rgb="FF5B2C6F"/>
      </font>
      <fill>
        <patternFill patternType="solid">
          <fgColor rgb="FFE4DFEC"/>
          <bgColor rgb="FFE4DFEC"/>
        </patternFill>
      </fill>
    </dxf>
    <dxf>
      <font>
        <i/>
        <color rgb="FF808080"/>
      </font>
    </dxf>
    <dxf>
      <font>
        <b/>
        <color rgb="FF9C0006"/>
      </font>
      <fill>
        <patternFill patternType="solid">
          <fgColor rgb="FFFFC7CE"/>
          <bgColor rgb="FFFFC7CE"/>
        </patternFill>
      </fill>
    </dxf>
    <dxf>
      <font>
        <b/>
        <color rgb="FF833C0B"/>
      </font>
      <fill>
        <patternFill patternType="solid">
          <fgColor rgb="FFF8CBAD"/>
          <bgColor rgb="FFF8CBAD"/>
        </patternFill>
      </fill>
    </dxf>
    <dxf>
      <font>
        <i/>
        <color rgb="FF1F4E78"/>
      </font>
      <fill>
        <patternFill patternType="solid">
          <fgColor rgb="FFDDEBF7"/>
          <bgColor rgb="FFDDEBF7"/>
        </patternFill>
      </fill>
    </dxf>
    <dxf>
      <font>
        <color rgb="FF1F4E78"/>
      </font>
      <fill>
        <patternFill patternType="solid">
          <fgColor rgb="FFDDEBF7"/>
          <bgColor rgb="FFDDEBF7"/>
        </patternFill>
      </fill>
    </dxf>
    <dxf>
      <font>
        <b/>
        <color rgb="FF9C5700"/>
      </font>
      <fill>
        <patternFill patternType="solid">
          <fgColor rgb="FFFFEB9C"/>
          <bgColor rgb="FFFFEB9C"/>
        </patternFill>
      </fill>
    </dxf>
    <dxf>
      <font>
        <color rgb="FF375623"/>
      </font>
      <fill>
        <patternFill patternType="solid">
          <fgColor rgb="FFE2EFDA"/>
          <bgColor rgb="FFE2EFDA"/>
        </patternFill>
      </fill>
    </dxf>
    <dxf>
      <font>
        <b/>
        <color rgb="FF006100"/>
      </font>
      <fill>
        <patternFill patternType="solid">
          <fgColor rgb="FFC6EFCE"/>
          <bgColor rgb="FFC6EFCE"/>
        </patternFill>
      </fill>
    </dxf>
    <dxf>
      <font>
        <b/>
        <color rgb="FFC65911"/>
      </font>
    </dxf>
    <dxf>
      <font>
        <b/>
        <color rgb="FF9C0006"/>
      </font>
      <fill>
        <patternFill patternType="solid">
          <fgColor rgb="FFFFC7CE"/>
          <bgColor rgb="FFFFC7CE"/>
        </patternFill>
      </fill>
    </dxf>
    <dxf>
      <font>
        <b/>
        <color rgb="FF9C5700"/>
      </font>
      <fill>
        <patternFill patternType="solid">
          <fgColor rgb="FFFFEB9C"/>
          <bgColor rgb="FFFFEB9C"/>
        </patternFill>
      </fill>
    </dxf>
    <dxf>
      <font>
        <b/>
        <color rgb="FF9C0006"/>
      </font>
      <fill>
        <patternFill patternType="solid">
          <fgColor rgb="FFFFC7CE"/>
          <bgColor rgb="FFFFC7CE"/>
        </patternFill>
      </fill>
    </dxf>
    <dxf>
      <font>
        <b/>
        <color rgb="FF006100"/>
      </font>
      <fill>
        <patternFill patternType="solid">
          <fgColor rgb="FFC6EFCE"/>
          <bgColor rgb="FFC6EFCE"/>
        </patternFill>
      </fill>
    </dxf>
    <dxf>
      <font>
        <b/>
        <i/>
        <color rgb="FF9C0006"/>
      </font>
      <fill>
        <patternFill patternType="solid">
          <fgColor rgb="FFFFC7CE"/>
          <bgColor rgb="FFFFC7CE"/>
        </patternFill>
      </fill>
    </dxf>
    <dxf>
      <font>
        <b/>
        <color rgb="FF1F4E78"/>
      </font>
      <fill>
        <patternFill patternType="solid">
          <fgColor rgb="FFDDEBF7"/>
          <bgColor rgb="FFDDEBF7"/>
        </patternFill>
      </fill>
    </dxf>
    <dxf>
      <font>
        <b/>
        <color rgb="FF9C0006"/>
      </font>
      <fill>
        <patternFill patternType="solid">
          <fgColor rgb="FFFFC7CE"/>
          <bgColor rgb="FFFFC7CE"/>
        </patternFill>
      </fill>
    </dxf>
    <dxf>
      <font>
        <b/>
        <color rgb="FF006100"/>
      </font>
      <fill>
        <patternFill patternType="solid">
          <fgColor rgb="FFC6EFCE"/>
          <bgColor rgb="FFC6EFCE"/>
        </patternFill>
      </fill>
    </dxf>
    <dxf>
      <font>
        <color rgb="FF833C0B"/>
      </font>
      <fill>
        <patternFill patternType="solid">
          <fgColor rgb="FFFCE4D6"/>
          <bgColor rgb="FFFCE4D6"/>
        </patternFill>
      </fill>
    </dxf>
    <dxf>
      <font>
        <b/>
        <color rgb="FF006100"/>
      </font>
      <fill>
        <patternFill patternType="solid">
          <fgColor rgb="FFC6EFCE"/>
          <bgColor rgb="FFC6EFCE"/>
        </patternFill>
      </fill>
    </dxf>
    <dxf>
      <font>
        <b/>
        <color rgb="FF9C5700"/>
      </font>
      <fill>
        <patternFill patternType="solid">
          <fgColor rgb="FFFFEB9C"/>
          <bgColor rgb="FFFFEB9C"/>
        </patternFill>
      </fill>
    </dxf>
    <dxf>
      <font>
        <b/>
        <color rgb="FF9C0006"/>
      </font>
      <fill>
        <patternFill patternType="solid">
          <fgColor rgb="FFFFC7CE"/>
          <bgColor rgb="FFFFC7CE"/>
        </patternFill>
      </fill>
    </dxf>
    <dxf>
      <font>
        <b/>
        <color rgb="FF006100"/>
      </font>
      <fill>
        <patternFill patternType="solid">
          <fgColor rgb="FFC6EFCE"/>
          <bgColor rgb="FFC6EFCE"/>
        </patternFill>
      </fill>
    </dxf>
    <dxf>
      <font>
        <color rgb="FF5B2C6F"/>
      </font>
      <fill>
        <patternFill patternType="solid">
          <fgColor rgb="FFE4DFEC"/>
          <bgColor rgb="FFE4DFEC"/>
        </patternFill>
      </fill>
    </dxf>
    <dxf>
      <font>
        <i/>
        <color rgb="FF808080"/>
      </font>
    </dxf>
    <dxf>
      <font>
        <b/>
        <color rgb="FF9C0006"/>
      </font>
      <fill>
        <patternFill patternType="solid">
          <fgColor rgb="FFFFC7CE"/>
          <bgColor rgb="FFFFC7CE"/>
        </patternFill>
      </fill>
    </dxf>
    <dxf>
      <font>
        <b/>
        <color rgb="FF833C0B"/>
      </font>
      <fill>
        <patternFill patternType="solid">
          <fgColor rgb="FFF8CBAD"/>
          <bgColor rgb="FFF8CBAD"/>
        </patternFill>
      </fill>
    </dxf>
    <dxf>
      <font>
        <i/>
        <color rgb="FF1F4E78"/>
      </font>
      <fill>
        <patternFill patternType="solid">
          <fgColor rgb="FFDDEBF7"/>
          <bgColor rgb="FFDDEBF7"/>
        </patternFill>
      </fill>
    </dxf>
    <dxf>
      <font>
        <color rgb="FF1F4E78"/>
      </font>
      <fill>
        <patternFill patternType="solid">
          <fgColor rgb="FFDDEBF7"/>
          <bgColor rgb="FFDDEBF7"/>
        </patternFill>
      </fill>
    </dxf>
    <dxf>
      <font>
        <b/>
        <color rgb="FF9C5700"/>
      </font>
      <fill>
        <patternFill patternType="solid">
          <fgColor rgb="FFFFEB9C"/>
          <bgColor rgb="FFFFEB9C"/>
        </patternFill>
      </fill>
    </dxf>
    <dxf>
      <font>
        <color rgb="FF375623"/>
      </font>
      <fill>
        <patternFill patternType="solid">
          <fgColor rgb="FFE2EFDA"/>
          <bgColor rgb="FFE2EFDA"/>
        </patternFill>
      </fill>
    </dxf>
    <dxf>
      <font>
        <b/>
        <color rgb="FF006100"/>
      </font>
      <fill>
        <patternFill patternType="solid">
          <fgColor rgb="FFC6EFCE"/>
          <bgColor rgb="FFC6EFCE"/>
        </patternFill>
      </fill>
    </dxf>
    <dxf>
      <font>
        <b/>
        <color rgb="FF9C0006"/>
      </font>
      <fill>
        <patternFill patternType="solid">
          <fgColor rgb="FFFFC7CE"/>
          <bgColor rgb="FFFFC7CE"/>
        </patternFill>
      </fill>
    </dxf>
    <dxf>
      <font>
        <b/>
        <color rgb="FF006100"/>
      </font>
      <fill>
        <patternFill patternType="solid">
          <fgColor rgb="FFC6EFCE"/>
          <bgColor rgb="FFC6EFCE"/>
        </patternFill>
      </fill>
    </dxf>
    <dxf>
      <font>
        <b/>
        <color rgb="FFC65911"/>
      </font>
    </dxf>
    <dxf>
      <font>
        <b/>
        <color rgb="FF9C0006"/>
      </font>
      <fill>
        <patternFill patternType="solid">
          <fgColor rgb="FFFFC7CE"/>
          <bgColor rgb="FFFFC7CE"/>
        </patternFill>
      </fill>
    </dxf>
    <dxf>
      <font>
        <b/>
        <i/>
        <color rgb="FF9C0006"/>
      </font>
      <fill>
        <patternFill patternType="solid">
          <fgColor rgb="FFFFC7CE"/>
          <bgColor rgb="FFFFC7CE"/>
        </patternFill>
      </fill>
    </dxf>
    <dxf>
      <font>
        <b/>
        <color rgb="FF1F4E78"/>
      </font>
      <fill>
        <patternFill patternType="solid">
          <fgColor rgb="FFDDEBF7"/>
          <bgColor rgb="FFDDEBF7"/>
        </patternFill>
      </fill>
    </dxf>
    <dxf>
      <font>
        <b/>
        <color rgb="FF9C0006"/>
      </font>
      <fill>
        <patternFill patternType="solid">
          <fgColor rgb="FFFFC7CE"/>
          <bgColor rgb="FFFFC7CE"/>
        </patternFill>
      </fill>
    </dxf>
    <dxf>
      <font>
        <b/>
        <color rgb="FF006100"/>
      </font>
      <fill>
        <patternFill patternType="solid">
          <fgColor rgb="FFC6EFCE"/>
          <bgColor rgb="FFC6EFCE"/>
        </patternFill>
      </fill>
    </dxf>
    <dxf>
      <font>
        <color rgb="FF833C0B"/>
      </font>
      <fill>
        <patternFill patternType="solid">
          <fgColor rgb="FFFCE4D6"/>
          <bgColor rgb="FFFCE4D6"/>
        </patternFill>
      </fill>
    </dxf>
    <dxf>
      <font>
        <b/>
        <color rgb="FF006100"/>
      </font>
      <fill>
        <patternFill patternType="solid">
          <fgColor rgb="FFC6EFCE"/>
          <bgColor rgb="FFC6EFCE"/>
        </patternFill>
      </fill>
    </dxf>
    <dxf>
      <font>
        <b/>
        <color rgb="FF9C5700"/>
      </font>
      <fill>
        <patternFill patternType="solid">
          <fgColor rgb="FFFFEB9C"/>
          <bgColor rgb="FFFFEB9C"/>
        </patternFill>
      </fill>
    </dxf>
    <dxf>
      <font>
        <b/>
        <color rgb="FF9C0006"/>
      </font>
      <fill>
        <patternFill patternType="solid">
          <fgColor rgb="FFFFC7CE"/>
          <bgColor rgb="FFFFC7CE"/>
        </patternFill>
      </fill>
    </dxf>
    <dxf>
      <font>
        <b/>
        <color rgb="FF006100"/>
      </font>
      <fill>
        <patternFill patternType="solid">
          <fgColor rgb="FFC6EFCE"/>
          <bgColor rgb="FFC6EFCE"/>
        </patternFill>
      </fill>
    </dxf>
    <dxf>
      <font>
        <color rgb="FF5B2C6F"/>
      </font>
      <fill>
        <patternFill patternType="solid">
          <fgColor rgb="FFE4DFEC"/>
          <bgColor rgb="FFE4DFEC"/>
        </patternFill>
      </fill>
    </dxf>
    <dxf>
      <font>
        <i/>
        <color rgb="FF808080"/>
      </font>
    </dxf>
    <dxf>
      <font>
        <b/>
        <color rgb="FF9C0006"/>
      </font>
      <fill>
        <patternFill patternType="solid">
          <fgColor rgb="FFFFC7CE"/>
          <bgColor rgb="FFFFC7CE"/>
        </patternFill>
      </fill>
    </dxf>
    <dxf>
      <font>
        <b/>
        <color rgb="FF833C0B"/>
      </font>
      <fill>
        <patternFill patternType="solid">
          <fgColor rgb="FFF8CBAD"/>
          <bgColor rgb="FFF8CBAD"/>
        </patternFill>
      </fill>
    </dxf>
    <dxf>
      <font>
        <i/>
        <color rgb="FF1F4E78"/>
      </font>
      <fill>
        <patternFill patternType="solid">
          <fgColor rgb="FFDDEBF7"/>
          <bgColor rgb="FFDDEBF7"/>
        </patternFill>
      </fill>
    </dxf>
    <dxf>
      <font>
        <color rgb="FF1F4E78"/>
      </font>
      <fill>
        <patternFill patternType="solid">
          <fgColor rgb="FFDDEBF7"/>
          <bgColor rgb="FFDDEBF7"/>
        </patternFill>
      </fill>
    </dxf>
    <dxf>
      <font>
        <b/>
        <color rgb="FF9C5700"/>
      </font>
      <fill>
        <patternFill patternType="solid">
          <fgColor rgb="FFFFEB9C"/>
          <bgColor rgb="FFFFEB9C"/>
        </patternFill>
      </fill>
    </dxf>
    <dxf>
      <font>
        <color rgb="FF375623"/>
      </font>
      <fill>
        <patternFill patternType="solid">
          <fgColor rgb="FFE2EFDA"/>
          <bgColor rgb="FFE2EFDA"/>
        </patternFill>
      </fill>
    </dxf>
    <dxf>
      <font>
        <b/>
        <color rgb="FF006100"/>
      </font>
      <fill>
        <patternFill patternType="solid">
          <fgColor rgb="FFC6EFCE"/>
          <bgColor rgb="FFC6EFCE"/>
        </patternFill>
      </fill>
    </dxf>
    <dxf>
      <font>
        <b/>
        <color rgb="FFC65911"/>
      </font>
    </dxf>
    <dxf>
      <font>
        <b/>
        <color rgb="FF9C0006"/>
      </font>
      <fill>
        <patternFill patternType="solid">
          <fgColor rgb="FFFFC7CE"/>
          <bgColor rgb="FFFFC7CE"/>
        </patternFill>
      </fill>
    </dxf>
    <dxf>
      <font>
        <b/>
        <i/>
        <color rgb="FF9C0006"/>
      </font>
      <fill>
        <patternFill patternType="solid">
          <fgColor rgb="FFFFC7CE"/>
          <bgColor rgb="FFFFC7CE"/>
        </patternFill>
      </fill>
    </dxf>
    <dxf>
      <font>
        <b/>
        <color rgb="FF1F4E78"/>
      </font>
      <fill>
        <patternFill patternType="solid">
          <fgColor rgb="FFDDEBF7"/>
          <bgColor rgb="FFDDEBF7"/>
        </patternFill>
      </fill>
    </dxf>
    <dxf>
      <font>
        <b/>
        <color rgb="FF9C0006"/>
      </font>
      <fill>
        <patternFill patternType="solid">
          <fgColor rgb="FFFFC7CE"/>
          <bgColor rgb="FFFFC7CE"/>
        </patternFill>
      </fill>
    </dxf>
    <dxf>
      <font>
        <b/>
        <color rgb="FF006100"/>
      </font>
      <fill>
        <patternFill patternType="solid">
          <fgColor rgb="FFC6EFCE"/>
          <bgColor rgb="FFC6EFCE"/>
        </patternFill>
      </fill>
    </dxf>
    <dxf>
      <font>
        <color rgb="FF833C0B"/>
      </font>
      <fill>
        <patternFill patternType="solid">
          <fgColor rgb="FFFCE4D6"/>
          <bgColor rgb="FFFCE4D6"/>
        </patternFill>
      </fill>
    </dxf>
    <dxf>
      <font>
        <b/>
        <color rgb="FF006100"/>
      </font>
      <fill>
        <patternFill patternType="solid">
          <fgColor rgb="FFC6EFCE"/>
          <bgColor rgb="FFC6EFCE"/>
        </patternFill>
      </fill>
    </dxf>
    <dxf>
      <font>
        <b/>
        <color rgb="FF9C5700"/>
      </font>
      <fill>
        <patternFill patternType="solid">
          <fgColor rgb="FFFFEB9C"/>
          <bgColor rgb="FFFFEB9C"/>
        </patternFill>
      </fill>
    </dxf>
    <dxf>
      <font>
        <b/>
        <color rgb="FF9C0006"/>
      </font>
      <fill>
        <patternFill patternType="solid">
          <fgColor rgb="FFFFC7CE"/>
          <bgColor rgb="FFFFC7CE"/>
        </patternFill>
      </fill>
    </dxf>
    <dxf>
      <font>
        <b/>
        <color rgb="FF006100"/>
      </font>
      <fill>
        <patternFill patternType="solid">
          <fgColor rgb="FFC6EFCE"/>
          <bgColor rgb="FFC6EFCE"/>
        </patternFill>
      </fill>
    </dxf>
    <dxf>
      <font>
        <color rgb="FF5B2C6F"/>
      </font>
      <fill>
        <patternFill patternType="solid">
          <fgColor rgb="FFE4DFEC"/>
          <bgColor rgb="FFE4DFEC"/>
        </patternFill>
      </fill>
    </dxf>
    <dxf>
      <font>
        <i/>
        <color rgb="FF808080"/>
      </font>
    </dxf>
    <dxf>
      <font>
        <b/>
        <color rgb="FF9C0006"/>
      </font>
      <fill>
        <patternFill patternType="solid">
          <fgColor rgb="FFFFC7CE"/>
          <bgColor rgb="FFFFC7CE"/>
        </patternFill>
      </fill>
    </dxf>
    <dxf>
      <font>
        <b/>
        <color rgb="FF833C0B"/>
      </font>
      <fill>
        <patternFill patternType="solid">
          <fgColor rgb="FFF8CBAD"/>
          <bgColor rgb="FFF8CBAD"/>
        </patternFill>
      </fill>
    </dxf>
    <dxf>
      <font>
        <i/>
        <color rgb="FF1F4E78"/>
      </font>
      <fill>
        <patternFill patternType="solid">
          <fgColor rgb="FFDDEBF7"/>
          <bgColor rgb="FFDDEBF7"/>
        </patternFill>
      </fill>
    </dxf>
    <dxf>
      <font>
        <color rgb="FF1F4E78"/>
      </font>
      <fill>
        <patternFill patternType="solid">
          <fgColor rgb="FFDDEBF7"/>
          <bgColor rgb="FFDDEBF7"/>
        </patternFill>
      </fill>
    </dxf>
    <dxf>
      <font>
        <b/>
        <color rgb="FF9C5700"/>
      </font>
      <fill>
        <patternFill patternType="solid">
          <fgColor rgb="FFFFEB9C"/>
          <bgColor rgb="FFFFEB9C"/>
        </patternFill>
      </fill>
    </dxf>
    <dxf>
      <font>
        <color rgb="FF375623"/>
      </font>
      <fill>
        <patternFill patternType="solid">
          <fgColor rgb="FFE2EFDA"/>
          <bgColor rgb="FFE2EFDA"/>
        </patternFill>
      </fill>
    </dxf>
    <dxf>
      <font>
        <b/>
        <color rgb="FF006100"/>
      </font>
      <fill>
        <patternFill patternType="solid">
          <fgColor rgb="FFC6EFCE"/>
          <bgColor rgb="FFC6EFCE"/>
        </patternFill>
      </fill>
    </dxf>
    <dxf>
      <font>
        <b/>
        <color rgb="FFC65911"/>
      </font>
    </dxf>
    <dxf>
      <font>
        <b/>
        <color rgb="FF9C0006"/>
      </font>
      <fill>
        <patternFill patternType="solid">
          <fgColor rgb="FFFFC7CE"/>
          <bgColor rgb="FFFFC7CE"/>
        </patternFill>
      </fill>
    </dxf>
    <dxf>
      <font>
        <b/>
        <i/>
        <color rgb="FF9C0006"/>
      </font>
      <fill>
        <patternFill patternType="solid">
          <fgColor rgb="FFFFC7CE"/>
          <bgColor rgb="FFFFC7CE"/>
        </patternFill>
      </fill>
    </dxf>
    <dxf>
      <font>
        <b/>
        <color rgb="FF1F4E78"/>
      </font>
      <fill>
        <patternFill patternType="solid">
          <fgColor rgb="FFDDEBF7"/>
          <bgColor rgb="FFDDEBF7"/>
        </patternFill>
      </fill>
    </dxf>
    <dxf>
      <font>
        <b/>
        <color rgb="FF9C0006"/>
      </font>
      <fill>
        <patternFill patternType="solid">
          <fgColor rgb="FFFFC7CE"/>
          <bgColor rgb="FFFFC7CE"/>
        </patternFill>
      </fill>
    </dxf>
    <dxf>
      <font>
        <b/>
        <color rgb="FF006100"/>
      </font>
      <fill>
        <patternFill patternType="solid">
          <fgColor rgb="FFC6EFCE"/>
          <bgColor rgb="FFC6EFCE"/>
        </patternFill>
      </fill>
    </dxf>
    <dxf>
      <font>
        <color rgb="FF833C0B"/>
      </font>
      <fill>
        <patternFill patternType="solid">
          <fgColor rgb="FFFCE4D6"/>
          <bgColor rgb="FFFCE4D6"/>
        </patternFill>
      </fill>
    </dxf>
    <dxf>
      <font>
        <b/>
        <color rgb="FF006100"/>
      </font>
      <fill>
        <patternFill patternType="solid">
          <fgColor rgb="FFC6EFCE"/>
          <bgColor rgb="FFC6EFCE"/>
        </patternFill>
      </fill>
    </dxf>
    <dxf>
      <font>
        <b/>
        <color rgb="FF9C5700"/>
      </font>
      <fill>
        <patternFill patternType="solid">
          <fgColor rgb="FFFFEB9C"/>
          <bgColor rgb="FFFFEB9C"/>
        </patternFill>
      </fill>
    </dxf>
    <dxf>
      <font>
        <b/>
        <color rgb="FF9C0006"/>
      </font>
      <fill>
        <patternFill patternType="solid">
          <fgColor rgb="FFFFC7CE"/>
          <bgColor rgb="FFFFC7CE"/>
        </patternFill>
      </fill>
    </dxf>
    <dxf>
      <font>
        <b/>
        <color rgb="FF006100"/>
      </font>
      <fill>
        <patternFill patternType="solid">
          <fgColor rgb="FFC6EFCE"/>
          <bgColor rgb="FFC6EFCE"/>
        </patternFill>
      </fill>
    </dxf>
    <dxf>
      <font>
        <color rgb="FF5B2C6F"/>
      </font>
      <fill>
        <patternFill patternType="solid">
          <fgColor rgb="FFE4DFEC"/>
          <bgColor rgb="FFE4DFEC"/>
        </patternFill>
      </fill>
    </dxf>
    <dxf>
      <font>
        <i/>
        <color rgb="FF808080"/>
      </font>
    </dxf>
    <dxf>
      <font>
        <b/>
        <color rgb="FF9C0006"/>
      </font>
      <fill>
        <patternFill patternType="solid">
          <fgColor rgb="FFFFC7CE"/>
          <bgColor rgb="FFFFC7CE"/>
        </patternFill>
      </fill>
    </dxf>
    <dxf>
      <font>
        <b/>
        <color rgb="FF833C0B"/>
      </font>
      <fill>
        <patternFill patternType="solid">
          <fgColor rgb="FFF8CBAD"/>
          <bgColor rgb="FFF8CBAD"/>
        </patternFill>
      </fill>
    </dxf>
    <dxf>
      <font>
        <i/>
        <color rgb="FF1F4E78"/>
      </font>
      <fill>
        <patternFill patternType="solid">
          <fgColor rgb="FFDDEBF7"/>
          <bgColor rgb="FFDDEBF7"/>
        </patternFill>
      </fill>
    </dxf>
    <dxf>
      <font>
        <color rgb="FF1F4E78"/>
      </font>
      <fill>
        <patternFill patternType="solid">
          <fgColor rgb="FFDDEBF7"/>
          <bgColor rgb="FFDDEBF7"/>
        </patternFill>
      </fill>
    </dxf>
    <dxf>
      <font>
        <b/>
        <color rgb="FF9C5700"/>
      </font>
      <fill>
        <patternFill patternType="solid">
          <fgColor rgb="FFFFEB9C"/>
          <bgColor rgb="FFFFEB9C"/>
        </patternFill>
      </fill>
    </dxf>
    <dxf>
      <font>
        <color rgb="FF375623"/>
      </font>
      <fill>
        <patternFill patternType="solid">
          <fgColor rgb="FFE2EFDA"/>
          <bgColor rgb="FFE2EFDA"/>
        </patternFill>
      </fill>
    </dxf>
    <dxf>
      <font>
        <b/>
        <color rgb="FF006100"/>
      </font>
      <fill>
        <patternFill patternType="solid">
          <fgColor rgb="FFC6EFCE"/>
          <bgColor rgb="FFC6EFCE"/>
        </patternFill>
      </fill>
    </dxf>
    <dxf>
      <font>
        <b/>
        <color rgb="FFC65911"/>
      </font>
    </dxf>
    <dxf>
      <font>
        <b/>
        <color rgb="FF9C0006"/>
      </font>
      <fill>
        <patternFill patternType="solid">
          <fgColor rgb="FFFFC7CE"/>
          <bgColor rgb="FFFFC7CE"/>
        </patternFill>
      </fill>
    </dxf>
    <dxf>
      <font>
        <b/>
        <i/>
        <color rgb="FF9C0006"/>
      </font>
      <fill>
        <patternFill patternType="solid">
          <fgColor rgb="FFFFC7CE"/>
          <bgColor rgb="FFFFC7CE"/>
        </patternFill>
      </fill>
    </dxf>
    <dxf>
      <font>
        <b/>
        <color rgb="FF1F4E78"/>
      </font>
      <fill>
        <patternFill patternType="solid">
          <fgColor rgb="FFDDEBF7"/>
          <bgColor rgb="FFDDEBF7"/>
        </patternFill>
      </fill>
    </dxf>
    <dxf>
      <font>
        <b/>
        <color rgb="FF9C0006"/>
      </font>
      <fill>
        <patternFill patternType="solid">
          <fgColor rgb="FFFFC7CE"/>
          <bgColor rgb="FFFFC7CE"/>
        </patternFill>
      </fill>
    </dxf>
    <dxf>
      <font>
        <b/>
        <color rgb="FF006100"/>
      </font>
      <fill>
        <patternFill patternType="solid">
          <fgColor rgb="FFC6EFCE"/>
          <bgColor rgb="FFC6EFCE"/>
        </patternFill>
      </fill>
    </dxf>
    <dxf>
      <font>
        <color rgb="FF833C0B"/>
      </font>
      <fill>
        <patternFill patternType="solid">
          <fgColor rgb="FFFCE4D6"/>
          <bgColor rgb="FFFCE4D6"/>
        </patternFill>
      </fill>
    </dxf>
    <dxf>
      <font>
        <b/>
        <color rgb="FF006100"/>
      </font>
      <fill>
        <patternFill patternType="solid">
          <fgColor rgb="FFC6EFCE"/>
          <bgColor rgb="FFC6EFCE"/>
        </patternFill>
      </fill>
    </dxf>
    <dxf>
      <font>
        <b/>
        <color rgb="FF9C5700"/>
      </font>
      <fill>
        <patternFill patternType="solid">
          <fgColor rgb="FFFFEB9C"/>
          <bgColor rgb="FFFFEB9C"/>
        </patternFill>
      </fill>
    </dxf>
    <dxf>
      <font>
        <b/>
        <color rgb="FF9C0006"/>
      </font>
      <fill>
        <patternFill patternType="solid">
          <fgColor rgb="FFFFC7CE"/>
          <bgColor rgb="FFFFC7CE"/>
        </patternFill>
      </fill>
    </dxf>
    <dxf>
      <font>
        <b/>
        <color rgb="FF006100"/>
      </font>
      <fill>
        <patternFill patternType="solid">
          <fgColor rgb="FFC6EFCE"/>
          <bgColor rgb="FFC6EFCE"/>
        </patternFill>
      </fill>
    </dxf>
    <dxf>
      <font>
        <color rgb="FF5B2C6F"/>
      </font>
      <fill>
        <patternFill patternType="solid">
          <fgColor rgb="FFE4DFEC"/>
          <bgColor rgb="FFE4DFEC"/>
        </patternFill>
      </fill>
    </dxf>
    <dxf>
      <font>
        <i/>
        <color rgb="FF808080"/>
      </font>
    </dxf>
    <dxf>
      <font>
        <b/>
        <color rgb="FF9C0006"/>
      </font>
      <fill>
        <patternFill patternType="solid">
          <fgColor rgb="FFFFC7CE"/>
          <bgColor rgb="FFFFC7CE"/>
        </patternFill>
      </fill>
    </dxf>
    <dxf>
      <font>
        <b/>
        <color rgb="FF833C0B"/>
      </font>
      <fill>
        <patternFill patternType="solid">
          <fgColor rgb="FFF8CBAD"/>
          <bgColor rgb="FFF8CBAD"/>
        </patternFill>
      </fill>
    </dxf>
    <dxf>
      <font>
        <i/>
        <color rgb="FF1F4E78"/>
      </font>
      <fill>
        <patternFill patternType="solid">
          <fgColor rgb="FFDDEBF7"/>
          <bgColor rgb="FFDDEBF7"/>
        </patternFill>
      </fill>
    </dxf>
    <dxf>
      <font>
        <color rgb="FF1F4E78"/>
      </font>
      <fill>
        <patternFill patternType="solid">
          <fgColor rgb="FFDDEBF7"/>
          <bgColor rgb="FFDDEBF7"/>
        </patternFill>
      </fill>
    </dxf>
    <dxf>
      <font>
        <b/>
        <color rgb="FF9C5700"/>
      </font>
      <fill>
        <patternFill patternType="solid">
          <fgColor rgb="FFFFEB9C"/>
          <bgColor rgb="FFFFEB9C"/>
        </patternFill>
      </fill>
    </dxf>
    <dxf>
      <font>
        <color rgb="FF375623"/>
      </font>
      <fill>
        <patternFill patternType="solid">
          <fgColor rgb="FFE2EFDA"/>
          <bgColor rgb="FFE2EFDA"/>
        </patternFill>
      </fill>
    </dxf>
    <dxf>
      <font>
        <b/>
        <color rgb="FF006100"/>
      </font>
      <fill>
        <patternFill patternType="solid">
          <fgColor rgb="FFC6EFCE"/>
          <bgColor rgb="FFC6EFCE"/>
        </patternFill>
      </fill>
    </dxf>
    <dxf>
      <font>
        <b/>
        <color rgb="FFC65911"/>
      </font>
    </dxf>
    <dxf>
      <font>
        <b/>
        <color rgb="FF9C0006"/>
      </font>
      <fill>
        <patternFill patternType="solid">
          <fgColor rgb="FFFFC7CE"/>
          <bgColor rgb="FFFFC7CE"/>
        </patternFill>
      </fill>
    </dxf>
    <dxf>
      <font>
        <b/>
        <i/>
        <color rgb="FF9C0006"/>
      </font>
      <fill>
        <patternFill patternType="solid">
          <fgColor rgb="FFFFC7CE"/>
          <bgColor rgb="FFFFC7CE"/>
        </patternFill>
      </fill>
    </dxf>
    <dxf>
      <font>
        <b/>
        <color rgb="FF1F4E78"/>
      </font>
      <fill>
        <patternFill patternType="solid">
          <fgColor rgb="FFDDEBF7"/>
          <bgColor rgb="FFDDEBF7"/>
        </patternFill>
      </fill>
    </dxf>
    <dxf>
      <font>
        <b/>
        <color rgb="FF9C0006"/>
      </font>
      <fill>
        <patternFill patternType="solid">
          <fgColor rgb="FFFFC7CE"/>
          <bgColor rgb="FFFFC7CE"/>
        </patternFill>
      </fill>
    </dxf>
    <dxf>
      <font>
        <b/>
        <color rgb="FF006100"/>
      </font>
      <fill>
        <patternFill patternType="solid">
          <fgColor rgb="FFC6EFCE"/>
          <bgColor rgb="FFC6EFCE"/>
        </patternFill>
      </fill>
    </dxf>
    <dxf>
      <font>
        <color rgb="FF833C0B"/>
      </font>
      <fill>
        <patternFill patternType="solid">
          <fgColor rgb="FFFCE4D6"/>
          <bgColor rgb="FFFCE4D6"/>
        </patternFill>
      </fill>
    </dxf>
    <dxf>
      <font>
        <b/>
        <color rgb="FF006100"/>
      </font>
      <fill>
        <patternFill patternType="solid">
          <fgColor rgb="FFC6EFCE"/>
          <bgColor rgb="FFC6EFCE"/>
        </patternFill>
      </fill>
    </dxf>
    <dxf>
      <font>
        <b/>
        <color rgb="FF9C5700"/>
      </font>
      <fill>
        <patternFill patternType="solid">
          <fgColor rgb="FFFFEB9C"/>
          <bgColor rgb="FFFFEB9C"/>
        </patternFill>
      </fill>
    </dxf>
    <dxf>
      <font>
        <b/>
        <color rgb="FF9C0006"/>
      </font>
      <fill>
        <patternFill patternType="solid">
          <fgColor rgb="FFFFC7CE"/>
          <bgColor rgb="FFFFC7CE"/>
        </patternFill>
      </fill>
    </dxf>
    <dxf>
      <font>
        <b/>
        <color rgb="FF006100"/>
      </font>
      <fill>
        <patternFill patternType="solid">
          <fgColor rgb="FFC6EFCE"/>
          <bgColor rgb="FFC6EFCE"/>
        </patternFill>
      </fill>
    </dxf>
    <dxf>
      <font>
        <color rgb="FF5B2C6F"/>
      </font>
      <fill>
        <patternFill patternType="solid">
          <fgColor rgb="FFE4DFEC"/>
          <bgColor rgb="FFE4DFEC"/>
        </patternFill>
      </fill>
    </dxf>
    <dxf>
      <font>
        <i/>
        <color rgb="FF808080"/>
      </font>
    </dxf>
    <dxf>
      <font>
        <b/>
        <color rgb="FF9C0006"/>
      </font>
      <fill>
        <patternFill patternType="solid">
          <fgColor rgb="FFFFC7CE"/>
          <bgColor rgb="FFFFC7CE"/>
        </patternFill>
      </fill>
    </dxf>
    <dxf>
      <font>
        <b/>
        <color rgb="FF833C0B"/>
      </font>
      <fill>
        <patternFill patternType="solid">
          <fgColor rgb="FFF8CBAD"/>
          <bgColor rgb="FFF8CBAD"/>
        </patternFill>
      </fill>
    </dxf>
    <dxf>
      <font>
        <i/>
        <color rgb="FF1F4E78"/>
      </font>
      <fill>
        <patternFill patternType="solid">
          <fgColor rgb="FFDDEBF7"/>
          <bgColor rgb="FFDDEBF7"/>
        </patternFill>
      </fill>
    </dxf>
    <dxf>
      <font>
        <color rgb="FF1F4E78"/>
      </font>
      <fill>
        <patternFill patternType="solid">
          <fgColor rgb="FFDDEBF7"/>
          <bgColor rgb="FFDDEBF7"/>
        </patternFill>
      </fill>
    </dxf>
    <dxf>
      <font>
        <b/>
        <color rgb="FF9C5700"/>
      </font>
      <fill>
        <patternFill patternType="solid">
          <fgColor rgb="FFFFEB9C"/>
          <bgColor rgb="FFFFEB9C"/>
        </patternFill>
      </fill>
    </dxf>
    <dxf>
      <font>
        <color rgb="FF375623"/>
      </font>
      <fill>
        <patternFill patternType="solid">
          <fgColor rgb="FFE2EFDA"/>
          <bgColor rgb="FFE2EFDA"/>
        </patternFill>
      </fill>
    </dxf>
    <dxf>
      <font>
        <b/>
        <color rgb="FF006100"/>
      </font>
      <fill>
        <patternFill patternType="solid">
          <fgColor rgb="FFC6EFCE"/>
          <bgColor rgb="FFC6EFCE"/>
        </patternFill>
      </fill>
    </dxf>
    <dxf>
      <font>
        <b/>
        <color rgb="FFC65911"/>
      </font>
    </dxf>
    <dxf>
      <font>
        <b/>
        <color rgb="FF9C0006"/>
      </font>
      <fill>
        <patternFill patternType="solid">
          <fgColor rgb="FFFFC7CE"/>
          <bgColor rgb="FFFFC7CE"/>
        </patternFill>
      </fill>
    </dxf>
    <dxf>
      <font>
        <b/>
        <i/>
        <color rgb="FF9C0006"/>
      </font>
      <fill>
        <patternFill patternType="solid">
          <fgColor rgb="FFFFC7CE"/>
          <bgColor rgb="FFFFC7CE"/>
        </patternFill>
      </fill>
    </dxf>
    <dxf>
      <font>
        <b/>
        <color rgb="FF1F4E78"/>
      </font>
      <fill>
        <patternFill patternType="solid">
          <fgColor rgb="FFDDEBF7"/>
          <bgColor rgb="FFDDEBF7"/>
        </patternFill>
      </fill>
    </dxf>
    <dxf>
      <font>
        <b/>
        <color rgb="FF9C0006"/>
      </font>
      <fill>
        <patternFill patternType="solid">
          <fgColor rgb="FFFFC7CE"/>
          <bgColor rgb="FFFFC7CE"/>
        </patternFill>
      </fill>
    </dxf>
    <dxf>
      <font>
        <b/>
        <color rgb="FF006100"/>
      </font>
      <fill>
        <patternFill patternType="solid">
          <fgColor rgb="FFC6EFCE"/>
          <bgColor rgb="FFC6EFCE"/>
        </patternFill>
      </fill>
    </dxf>
    <dxf>
      <font>
        <color rgb="FF833C0B"/>
      </font>
      <fill>
        <patternFill patternType="solid">
          <fgColor rgb="FFFCE4D6"/>
          <bgColor rgb="FFFCE4D6"/>
        </patternFill>
      </fill>
    </dxf>
    <dxf>
      <font>
        <b/>
        <color rgb="FF006100"/>
      </font>
      <fill>
        <patternFill patternType="solid">
          <fgColor rgb="FFC6EFCE"/>
          <bgColor rgb="FFC6EFCE"/>
        </patternFill>
      </fill>
    </dxf>
    <dxf>
      <font>
        <b/>
        <color rgb="FF9C5700"/>
      </font>
      <fill>
        <patternFill patternType="solid">
          <fgColor rgb="FFFFEB9C"/>
          <bgColor rgb="FFFFEB9C"/>
        </patternFill>
      </fill>
    </dxf>
    <dxf>
      <font>
        <b/>
        <color rgb="FF9C0006"/>
      </font>
      <fill>
        <patternFill patternType="solid">
          <fgColor rgb="FFFFC7CE"/>
          <bgColor rgb="FFFFC7CE"/>
        </patternFill>
      </fill>
    </dxf>
    <dxf>
      <font>
        <b/>
        <color rgb="FF006100"/>
      </font>
      <fill>
        <patternFill patternType="solid">
          <fgColor rgb="FFC6EFCE"/>
          <bgColor rgb="FFC6EFCE"/>
        </patternFill>
      </fill>
    </dxf>
    <dxf>
      <font>
        <color rgb="FF5B2C6F"/>
      </font>
      <fill>
        <patternFill patternType="solid">
          <fgColor rgb="FFE4DFEC"/>
          <bgColor rgb="FFE4DFEC"/>
        </patternFill>
      </fill>
    </dxf>
    <dxf>
      <font>
        <i/>
        <color rgb="FF808080"/>
      </font>
    </dxf>
    <dxf>
      <font>
        <b/>
        <color rgb="FF9C0006"/>
      </font>
      <fill>
        <patternFill patternType="solid">
          <fgColor rgb="FFFFC7CE"/>
          <bgColor rgb="FFFFC7CE"/>
        </patternFill>
      </fill>
    </dxf>
    <dxf>
      <font>
        <b/>
        <color rgb="FF833C0B"/>
      </font>
      <fill>
        <patternFill patternType="solid">
          <fgColor rgb="FFF8CBAD"/>
          <bgColor rgb="FFF8CBAD"/>
        </patternFill>
      </fill>
    </dxf>
    <dxf>
      <font>
        <i/>
        <color rgb="FF1F4E78"/>
      </font>
      <fill>
        <patternFill patternType="solid">
          <fgColor rgb="FFDDEBF7"/>
          <bgColor rgb="FFDDEBF7"/>
        </patternFill>
      </fill>
    </dxf>
    <dxf>
      <font>
        <color rgb="FF1F4E78"/>
      </font>
      <fill>
        <patternFill patternType="solid">
          <fgColor rgb="FFDDEBF7"/>
          <bgColor rgb="FFDDEBF7"/>
        </patternFill>
      </fill>
    </dxf>
    <dxf>
      <font>
        <b/>
        <color rgb="FF9C5700"/>
      </font>
      <fill>
        <patternFill patternType="solid">
          <fgColor rgb="FFFFEB9C"/>
          <bgColor rgb="FFFFEB9C"/>
        </patternFill>
      </fill>
    </dxf>
    <dxf>
      <font>
        <color rgb="FF375623"/>
      </font>
      <fill>
        <patternFill patternType="solid">
          <fgColor rgb="FFE2EFDA"/>
          <bgColor rgb="FFE2EFDA"/>
        </patternFill>
      </fill>
    </dxf>
    <dxf>
      <font>
        <b/>
        <color rgb="FF006100"/>
      </font>
      <fill>
        <patternFill patternType="solid">
          <fgColor rgb="FFC6EFCE"/>
          <bgColor rgb="FFC6EFCE"/>
        </patternFill>
      </fill>
    </dxf>
    <dxf>
      <font>
        <b/>
        <color rgb="FFC65911"/>
      </font>
    </dxf>
    <dxf>
      <font>
        <b/>
        <color rgb="FF9C0006"/>
      </font>
      <fill>
        <patternFill patternType="solid">
          <fgColor rgb="FFFFC7CE"/>
          <bgColor rgb="FFFFC7CE"/>
        </patternFill>
      </fill>
    </dxf>
    <dxf>
      <font>
        <b/>
        <i/>
        <color rgb="FF9C0006"/>
      </font>
      <fill>
        <patternFill patternType="solid">
          <fgColor rgb="FFFFC7CE"/>
          <bgColor rgb="FFFFC7CE"/>
        </patternFill>
      </fill>
    </dxf>
    <dxf>
      <font>
        <b/>
        <color rgb="FF1F4E78"/>
      </font>
      <fill>
        <patternFill patternType="solid">
          <fgColor rgb="FFDDEBF7"/>
          <bgColor rgb="FFDDEBF7"/>
        </patternFill>
      </fill>
    </dxf>
    <dxf>
      <font>
        <b/>
        <color rgb="FF9C0006"/>
      </font>
      <fill>
        <patternFill patternType="solid">
          <fgColor rgb="FFFFC7CE"/>
          <bgColor rgb="FFFFC7CE"/>
        </patternFill>
      </fill>
    </dxf>
    <dxf>
      <font>
        <b/>
        <color rgb="FF006100"/>
      </font>
      <fill>
        <patternFill patternType="solid">
          <fgColor rgb="FFC6EFCE"/>
          <bgColor rgb="FFC6EFCE"/>
        </patternFill>
      </fill>
    </dxf>
    <dxf>
      <font>
        <color rgb="FF833C0B"/>
      </font>
      <fill>
        <patternFill patternType="solid">
          <fgColor rgb="FFFCE4D6"/>
          <bgColor rgb="FFFCE4D6"/>
        </patternFill>
      </fill>
    </dxf>
    <dxf>
      <font>
        <b/>
        <color rgb="FF006100"/>
      </font>
      <fill>
        <patternFill patternType="solid">
          <fgColor rgb="FFC6EFCE"/>
          <bgColor rgb="FFC6EFCE"/>
        </patternFill>
      </fill>
    </dxf>
    <dxf>
      <font>
        <b/>
        <color rgb="FF9C5700"/>
      </font>
      <fill>
        <patternFill patternType="solid">
          <fgColor rgb="FFFFEB9C"/>
          <bgColor rgb="FFFFEB9C"/>
        </patternFill>
      </fill>
    </dxf>
    <dxf>
      <font>
        <b/>
        <color rgb="FF9C0006"/>
      </font>
      <fill>
        <patternFill patternType="solid">
          <fgColor rgb="FFFFC7CE"/>
          <bgColor rgb="FFFFC7CE"/>
        </patternFill>
      </fill>
    </dxf>
    <dxf>
      <font>
        <b/>
        <color rgb="FF006100"/>
      </font>
      <fill>
        <patternFill patternType="solid">
          <fgColor rgb="FFC6EFCE"/>
          <bgColor rgb="FFC6EFCE"/>
        </patternFill>
      </fill>
    </dxf>
    <dxf>
      <font>
        <color rgb="FF5B2C6F"/>
      </font>
      <fill>
        <patternFill patternType="solid">
          <fgColor rgb="FFE4DFEC"/>
          <bgColor rgb="FFE4DFEC"/>
        </patternFill>
      </fill>
    </dxf>
    <dxf>
      <font>
        <i/>
        <color rgb="FF808080"/>
      </font>
    </dxf>
    <dxf>
      <font>
        <b/>
        <color rgb="FF9C0006"/>
      </font>
      <fill>
        <patternFill patternType="solid">
          <fgColor rgb="FFFFC7CE"/>
          <bgColor rgb="FFFFC7CE"/>
        </patternFill>
      </fill>
    </dxf>
    <dxf>
      <font>
        <b/>
        <color rgb="FF833C0B"/>
      </font>
      <fill>
        <patternFill patternType="solid">
          <fgColor rgb="FFF8CBAD"/>
          <bgColor rgb="FFF8CBAD"/>
        </patternFill>
      </fill>
    </dxf>
    <dxf>
      <font>
        <i/>
        <color rgb="FF1F4E78"/>
      </font>
      <fill>
        <patternFill patternType="solid">
          <fgColor rgb="FFDDEBF7"/>
          <bgColor rgb="FFDDEBF7"/>
        </patternFill>
      </fill>
    </dxf>
    <dxf>
      <font>
        <color rgb="FF1F4E78"/>
      </font>
      <fill>
        <patternFill patternType="solid">
          <fgColor rgb="FFDDEBF7"/>
          <bgColor rgb="FFDDEBF7"/>
        </patternFill>
      </fill>
    </dxf>
    <dxf>
      <font>
        <b/>
        <color rgb="FF9C5700"/>
      </font>
      <fill>
        <patternFill patternType="solid">
          <fgColor rgb="FFFFEB9C"/>
          <bgColor rgb="FFFFEB9C"/>
        </patternFill>
      </fill>
    </dxf>
    <dxf>
      <font>
        <color rgb="FF375623"/>
      </font>
      <fill>
        <patternFill patternType="solid">
          <fgColor rgb="FFE2EFDA"/>
          <bgColor rgb="FFE2EFDA"/>
        </patternFill>
      </fill>
    </dxf>
    <dxf>
      <font>
        <b/>
        <color rgb="FF006100"/>
      </font>
      <fill>
        <patternFill patternType="solid">
          <fgColor rgb="FFC6EFCE"/>
          <bgColor rgb="FFC6EFCE"/>
        </patternFill>
      </fill>
    </dxf>
    <dxf>
      <font>
        <b/>
        <color rgb="FFC65911"/>
      </font>
    </dxf>
    <dxf>
      <font>
        <b/>
        <color rgb="FF9C0006"/>
      </font>
      <fill>
        <patternFill patternType="solid">
          <fgColor rgb="FFFFC7CE"/>
          <bgColor rgb="FFFFC7CE"/>
        </patternFill>
      </fill>
    </dxf>
    <dxf>
      <font>
        <b/>
        <i/>
        <color rgb="FF9C0006"/>
      </font>
      <fill>
        <patternFill patternType="solid">
          <fgColor rgb="FFFFC7CE"/>
          <bgColor rgb="FFFFC7CE"/>
        </patternFill>
      </fill>
    </dxf>
    <dxf>
      <font>
        <b/>
        <color rgb="FF1F4E78"/>
      </font>
      <fill>
        <patternFill patternType="solid">
          <fgColor rgb="FFDDEBF7"/>
          <bgColor rgb="FFDDEBF7"/>
        </patternFill>
      </fill>
    </dxf>
    <dxf>
      <font>
        <b/>
        <color rgb="FF9C0006"/>
      </font>
      <fill>
        <patternFill patternType="solid">
          <fgColor rgb="FFFFC7CE"/>
          <bgColor rgb="FFFFC7CE"/>
        </patternFill>
      </fill>
    </dxf>
    <dxf>
      <font>
        <b/>
        <color rgb="FF006100"/>
      </font>
      <fill>
        <patternFill patternType="solid">
          <fgColor rgb="FFC6EFCE"/>
          <bgColor rgb="FFC6EFCE"/>
        </patternFill>
      </fill>
    </dxf>
    <dxf>
      <font>
        <color rgb="FF833C0B"/>
      </font>
      <fill>
        <patternFill patternType="solid">
          <fgColor rgb="FFFCE4D6"/>
          <bgColor rgb="FFFCE4D6"/>
        </patternFill>
      </fill>
    </dxf>
    <dxf>
      <font>
        <b/>
        <color rgb="FF006100"/>
      </font>
      <fill>
        <patternFill patternType="solid">
          <fgColor rgb="FFC6EFCE"/>
          <bgColor rgb="FFC6EFCE"/>
        </patternFill>
      </fill>
    </dxf>
    <dxf>
      <font>
        <b/>
        <color rgb="FF9C5700"/>
      </font>
      <fill>
        <patternFill patternType="solid">
          <fgColor rgb="FFFFEB9C"/>
          <bgColor rgb="FFFFEB9C"/>
        </patternFill>
      </fill>
    </dxf>
    <dxf>
      <font>
        <b/>
        <color rgb="FF9C0006"/>
      </font>
      <fill>
        <patternFill patternType="solid">
          <fgColor rgb="FFFFC7CE"/>
          <bgColor rgb="FFFFC7CE"/>
        </patternFill>
      </fill>
    </dxf>
    <dxf>
      <font>
        <b/>
        <color rgb="FF006100"/>
      </font>
      <fill>
        <patternFill patternType="solid">
          <fgColor rgb="FFC6EFCE"/>
          <bgColor rgb="FFC6EFCE"/>
        </patternFill>
      </fill>
    </dxf>
    <dxf>
      <font>
        <color rgb="FF5B2C6F"/>
      </font>
      <fill>
        <patternFill patternType="solid">
          <fgColor rgb="FFE4DFEC"/>
          <bgColor rgb="FFE4DFEC"/>
        </patternFill>
      </fill>
    </dxf>
    <dxf>
      <font>
        <i/>
        <color rgb="FF808080"/>
      </font>
    </dxf>
    <dxf>
      <font>
        <b/>
        <color rgb="FF9C0006"/>
      </font>
      <fill>
        <patternFill patternType="solid">
          <fgColor rgb="FFFFC7CE"/>
          <bgColor rgb="FFFFC7CE"/>
        </patternFill>
      </fill>
    </dxf>
    <dxf>
      <font>
        <b/>
        <color rgb="FF833C0B"/>
      </font>
      <fill>
        <patternFill patternType="solid">
          <fgColor rgb="FFF8CBAD"/>
          <bgColor rgb="FFF8CBAD"/>
        </patternFill>
      </fill>
    </dxf>
    <dxf>
      <font>
        <i/>
        <color rgb="FF1F4E78"/>
      </font>
      <fill>
        <patternFill patternType="solid">
          <fgColor rgb="FFDDEBF7"/>
          <bgColor rgb="FFDDEBF7"/>
        </patternFill>
      </fill>
    </dxf>
    <dxf>
      <font>
        <color rgb="FF1F4E78"/>
      </font>
      <fill>
        <patternFill patternType="solid">
          <fgColor rgb="FFDDEBF7"/>
          <bgColor rgb="FFDDEBF7"/>
        </patternFill>
      </fill>
    </dxf>
    <dxf>
      <font>
        <b/>
        <color rgb="FF9C5700"/>
      </font>
      <fill>
        <patternFill patternType="solid">
          <fgColor rgb="FFFFEB9C"/>
          <bgColor rgb="FFFFEB9C"/>
        </patternFill>
      </fill>
    </dxf>
    <dxf>
      <font>
        <color rgb="FF375623"/>
      </font>
      <fill>
        <patternFill patternType="solid">
          <fgColor rgb="FFE2EFDA"/>
          <bgColor rgb="FFE2EFDA"/>
        </patternFill>
      </fill>
    </dxf>
    <dxf>
      <font>
        <b/>
        <color rgb="FF006100"/>
      </font>
      <fill>
        <patternFill patternType="solid">
          <fgColor rgb="FFC6EFCE"/>
          <bgColor rgb="FFC6EFCE"/>
        </patternFill>
      </fill>
    </dxf>
    <dxf>
      <font>
        <b/>
        <color rgb="FFC65911"/>
      </font>
    </dxf>
    <dxf>
      <font>
        <b/>
        <color rgb="FF9C0006"/>
      </font>
      <fill>
        <patternFill patternType="solid">
          <fgColor rgb="FFFFC7CE"/>
          <bgColor rgb="FFFFC7CE"/>
        </patternFill>
      </fill>
    </dxf>
    <dxf>
      <font>
        <color rgb="FF833C0B"/>
      </font>
      <fill>
        <patternFill patternType="solid">
          <fgColor rgb="FFFCE4D6"/>
          <bgColor rgb="FFFCE4D6"/>
        </patternFill>
      </fill>
    </dxf>
    <dxf>
      <font>
        <b/>
        <color rgb="FF833C0B"/>
      </font>
      <fill>
        <patternFill patternType="solid">
          <fgColor rgb="FFF8CBAD"/>
          <bgColor rgb="FFF8CBAD"/>
        </patternFill>
      </fill>
    </dxf>
    <dxf>
      <font>
        <b/>
        <color rgb="FF9C5700"/>
      </font>
      <fill>
        <patternFill patternType="solid">
          <fgColor rgb="FFFFEB9C"/>
          <bgColor rgb="FFFFEB9C"/>
        </patternFill>
      </fill>
    </dxf>
    <dxf>
      <font>
        <b/>
        <color rgb="FF006100"/>
      </font>
      <fill>
        <patternFill patternType="solid">
          <fgColor rgb="FFC6EFCE"/>
          <bgColor rgb="FFC6EFCE"/>
        </patternFill>
      </fill>
    </dxf>
    <dxf>
      <font>
        <color rgb="FF5B2C6F"/>
      </font>
      <fill>
        <patternFill patternType="solid">
          <fgColor rgb="FFE4DFEC"/>
          <bgColor rgb="FFE4DFEC"/>
        </patternFill>
      </fill>
    </dxf>
    <dxf>
      <font>
        <i/>
        <color rgb="FF808080"/>
      </font>
    </dxf>
    <dxf>
      <font>
        <b/>
        <color rgb="FF9C0006"/>
      </font>
      <fill>
        <patternFill patternType="solid">
          <fgColor rgb="FFFFC7CE"/>
          <bgColor rgb="FFFFC7CE"/>
        </patternFill>
      </fill>
    </dxf>
    <dxf>
      <font>
        <b/>
        <color rgb="FF006100"/>
      </font>
      <fill>
        <patternFill patternType="solid">
          <fgColor rgb="FFC6EFCE"/>
          <bgColor rgb="FFC6EFCE"/>
        </patternFill>
      </fill>
    </dxf>
    <dxf>
      <font>
        <color rgb="FF375623"/>
      </font>
      <fill>
        <patternFill patternType="solid">
          <fgColor rgb="FFE2EFDA"/>
          <bgColor rgb="FFE2EFDA"/>
        </patternFill>
      </fill>
    </dxf>
    <dxf>
      <font>
        <i/>
        <color rgb="FF1F4E78"/>
      </font>
      <fill>
        <patternFill patternType="solid">
          <fgColor rgb="FFDDEBF7"/>
          <bgColor rgb="FFDDEBF7"/>
        </patternFill>
      </fill>
    </dxf>
    <dxf>
      <font>
        <color rgb="FF1F4E78"/>
      </font>
      <fill>
        <patternFill patternType="solid">
          <fgColor rgb="FFDDEBF7"/>
          <bgColor rgb="FFDDEBF7"/>
        </patternFill>
      </fill>
    </dxf>
    <dxf>
      <font>
        <b/>
        <color rgb="FF833C0B"/>
      </font>
      <fill>
        <patternFill patternType="solid">
          <fgColor rgb="FFF8CBAD"/>
          <bgColor rgb="FFF8CBAD"/>
        </patternFill>
      </fill>
    </dxf>
    <dxf>
      <font>
        <b/>
        <color rgb="FF9C5700"/>
      </font>
      <fill>
        <patternFill patternType="solid">
          <fgColor rgb="FFFFEB9C"/>
          <bgColor rgb="FFFFEB9C"/>
        </patternFill>
      </fill>
    </dxf>
    <dxf>
      <font>
        <b/>
        <color rgb="FFC65911"/>
      </font>
    </dxf>
    <dxf>
      <font>
        <b/>
        <color rgb="FF9C0006"/>
      </font>
      <fill>
        <patternFill patternType="solid">
          <fgColor rgb="FFFFC7CE"/>
          <bgColor rgb="FFFFC7CE"/>
        </patternFill>
      </fill>
    </dxf>
    <dxf>
      <font>
        <b/>
        <color rgb="FF9C5700"/>
      </font>
      <fill>
        <patternFill patternType="solid">
          <fgColor rgb="FFFFEB9C"/>
          <bgColor rgb="FFFFEB9C"/>
        </patternFill>
      </fill>
    </dxf>
    <dxf>
      <font>
        <b/>
        <color rgb="FF9C0006"/>
      </font>
      <fill>
        <patternFill patternType="solid">
          <fgColor rgb="FFFFC7CE"/>
          <bgColor rgb="FFFFC7CE"/>
        </patternFill>
      </fill>
    </dxf>
    <dxf>
      <font>
        <b/>
        <color rgb="FF006100"/>
      </font>
      <fill>
        <patternFill patternType="solid">
          <fgColor rgb="FFC6EFCE"/>
          <bgColor rgb="FFC6EFCE"/>
        </patternFill>
      </fill>
    </dxf>
    <dxf>
      <font>
        <b/>
        <color rgb="FF9C0006"/>
      </font>
      <fill>
        <patternFill patternType="solid">
          <fgColor rgb="FFFFC7CE"/>
          <bgColor rgb="FFFFC7CE"/>
        </patternFill>
      </fill>
    </dxf>
    <dxf>
      <font>
        <b/>
        <color rgb="FF9C0006"/>
      </font>
      <fill>
        <patternFill patternType="solid">
          <fgColor rgb="FFFFC7CE"/>
          <bgColor rgb="FFFFC7CE"/>
        </patternFill>
      </fill>
    </dxf>
    <dxf>
      <font>
        <b/>
        <color rgb="FF9C0006"/>
      </font>
      <fill>
        <patternFill patternType="solid">
          <fgColor rgb="FFFFC7CE"/>
          <bgColor rgb="FFFFC7CE"/>
        </patternFill>
      </fill>
    </dxf>
    <dxf>
      <font>
        <color rgb="FF5B2C6F"/>
      </font>
      <fill>
        <patternFill patternType="solid">
          <fgColor rgb="FFE4DFEC"/>
          <bgColor rgb="FFE4DFEC"/>
        </patternFill>
      </fill>
    </dxf>
    <dxf>
      <font>
        <i/>
        <color rgb="FF808080"/>
      </font>
    </dxf>
    <dxf>
      <font>
        <b/>
        <color rgb="FF9C0006"/>
      </font>
      <fill>
        <patternFill patternType="solid">
          <fgColor rgb="FFFFC7CE"/>
          <bgColor rgb="FFFFC7CE"/>
        </patternFill>
      </fill>
    </dxf>
    <dxf>
      <font>
        <b/>
        <color rgb="FF006100"/>
      </font>
      <fill>
        <patternFill patternType="solid">
          <fgColor rgb="FFC6EFCE"/>
          <bgColor rgb="FFC6EFCE"/>
        </patternFill>
      </fill>
    </dxf>
    <dxf>
      <font>
        <color rgb="FF375623"/>
      </font>
      <fill>
        <patternFill patternType="solid">
          <fgColor rgb="FFE2EFDA"/>
          <bgColor rgb="FFE2EFDA"/>
        </patternFill>
      </fill>
    </dxf>
    <dxf>
      <font>
        <i/>
        <color rgb="FF1F4E78"/>
      </font>
      <fill>
        <patternFill patternType="solid">
          <fgColor rgb="FFDDEBF7"/>
          <bgColor rgb="FFDDEBF7"/>
        </patternFill>
      </fill>
    </dxf>
    <dxf>
      <font>
        <color rgb="FF1F4E78"/>
      </font>
      <fill>
        <patternFill patternType="solid">
          <fgColor rgb="FFDDEBF7"/>
          <bgColor rgb="FFDDEBF7"/>
        </patternFill>
      </fill>
    </dxf>
    <dxf>
      <font>
        <b/>
        <color rgb="FF833C0B"/>
      </font>
      <fill>
        <patternFill patternType="solid">
          <fgColor rgb="FFF8CBAD"/>
          <bgColor rgb="FFF8CBAD"/>
        </patternFill>
      </fill>
    </dxf>
    <dxf>
      <font>
        <b/>
        <color rgb="FF9C5700"/>
      </font>
      <fill>
        <patternFill patternType="solid">
          <fgColor rgb="FFFFEB9C"/>
          <bgColor rgb="FFFFEB9C"/>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F3864"/>
    <pageSetUpPr fitToPage="1"/>
  </sheetPr>
  <dimension ref="A1:N73"/>
  <sheetViews>
    <sheetView tabSelected="1" workbookViewId="0">
      <pane ySplit="3" topLeftCell="A4" activePane="bottomLeft" state="frozen"/>
      <selection pane="bottomLeft"/>
    </sheetView>
  </sheetViews>
  <sheetFormatPr defaultRowHeight="15" x14ac:dyDescent="0.25"/>
  <cols>
    <col min="1" max="1" width="34" customWidth="1"/>
    <col min="2" max="2" width="13" customWidth="1"/>
    <col min="3" max="3" width="50" customWidth="1"/>
    <col min="4" max="4" width="3" customWidth="1"/>
    <col min="5" max="5" width="16" customWidth="1"/>
    <col min="6" max="6" width="36" customWidth="1"/>
    <col min="7" max="8" width="9" customWidth="1"/>
    <col min="9" max="9" width="10" customWidth="1"/>
    <col min="10" max="10" width="11" customWidth="1"/>
    <col min="11" max="12" width="9" customWidth="1"/>
    <col min="13" max="13" width="10" customWidth="1"/>
    <col min="14" max="14" width="11" customWidth="1"/>
  </cols>
  <sheetData>
    <row r="1" spans="1:6" ht="20.25" x14ac:dyDescent="0.3">
      <c r="A1" s="3" t="s">
        <v>0</v>
      </c>
    </row>
    <row r="2" spans="1:6" x14ac:dyDescent="0.25">
      <c r="A2" s="4" t="s">
        <v>1</v>
      </c>
    </row>
    <row r="4" spans="1:6" ht="15.75" x14ac:dyDescent="0.25">
      <c r="A4" s="5" t="s">
        <v>2</v>
      </c>
      <c r="E4" s="5" t="s">
        <v>3</v>
      </c>
    </row>
    <row r="5" spans="1:6" x14ac:dyDescent="0.25">
      <c r="A5" s="6" t="s">
        <v>4</v>
      </c>
      <c r="B5" s="7">
        <f>COUNTIF(MASTER!$A$2:$A$2000,"?*")</f>
        <v>217</v>
      </c>
      <c r="C5" s="8" t="s">
        <v>5</v>
      </c>
      <c r="E5" s="6" t="s">
        <v>6</v>
      </c>
      <c r="F5" s="1" t="str">
        <f>IF(SESSION_STATE!$B$5="","",SESSION_STATE!$B$5)</f>
        <v>3 — DOCX follow-ups (P2) — IN_PROGRESS</v>
      </c>
    </row>
    <row r="6" spans="1:6" x14ac:dyDescent="0.25">
      <c r="A6" s="6" t="s">
        <v>7</v>
      </c>
      <c r="B6" s="7">
        <f>COUNTIF(MASTER!$G$2:$G$2000,"DONE")</f>
        <v>188</v>
      </c>
      <c r="C6" s="8" t="s">
        <v>8</v>
      </c>
      <c r="E6" s="6" t="s">
        <v>9</v>
      </c>
      <c r="F6" s="1" t="str">
        <f>IF(SESSION_STATE!$B$6="","",SESSION_STATE!$B$6)</f>
        <v>REL-005 — CRITICAL: production storage settings missing; waiting for the owner's approval to add them and redeploy.</v>
      </c>
    </row>
    <row r="7" spans="1:6" x14ac:dyDescent="0.25">
      <c r="A7" s="6" t="s">
        <v>10</v>
      </c>
      <c r="B7" s="7">
        <f>COUNTIF(MASTER!$G$2:$G$2000,"VERIFIED")+B6</f>
        <v>188</v>
      </c>
      <c r="C7" s="8" t="s">
        <v>11</v>
      </c>
      <c r="E7" s="6" t="s">
        <v>12</v>
      </c>
      <c r="F7" s="1" t="str">
        <f>IF(SESSION_STATE!$B$7="","",SESSION_STATE!$B$7)</f>
        <v>REL-021 — E-mail off said plainly (ad60739); image keeps bodies under Vercel's limit (e94afca); pooler fix (2490e5d). Preview only.</v>
      </c>
    </row>
    <row r="8" spans="1:6" x14ac:dyDescent="0.25">
      <c r="A8" s="6" t="s">
        <v>13</v>
      </c>
      <c r="B8" s="7">
        <f>COUNTIF(MASTER!$G$2:$G$2000,"IN_PROGRESS")+COUNTIF(MASTER!$G$2:$G$2000,"IMPLEMENTED")+COUNTIF(MASTER!$G$2:$G$2000,"TESTING")</f>
        <v>8</v>
      </c>
      <c r="C8" s="8" t="s">
        <v>14</v>
      </c>
      <c r="E8" s="6" t="s">
        <v>15</v>
      </c>
      <c r="F8" s="1" t="str">
        <f>IF(SESSION_STATE!$B$8="","",SESSION_STATE!$B$8)</f>
        <v>REL-021/REL-006/REL-013 — backend 2588/11, Vitest 368, tsc, next build, Playwright 59/1 local; e-mail-off pages seen on a throwaway local server — PASS — 2026-10-13</v>
      </c>
    </row>
    <row r="9" spans="1:6" x14ac:dyDescent="0.25">
      <c r="A9" s="6" t="s">
        <v>16</v>
      </c>
      <c r="B9" s="7">
        <f>COUNTIF(MASTER!$G$2:$G$2000,"BLOCKED")</f>
        <v>5</v>
      </c>
      <c r="C9" s="8" t="s">
        <v>17</v>
      </c>
      <c r="E9" s="6" t="s">
        <v>18</v>
      </c>
      <c r="F9" s="1" t="str">
        <f>IF(SESSION_STATE!$B$14="","",SESSION_STATE!$B$14)</f>
        <v>REL-003 — On the owner's approval: add the missing Production settings (storage first), redeploy, promote e94afca, check /api/ready and the logs.</v>
      </c>
    </row>
    <row r="10" spans="1:6" x14ac:dyDescent="0.25">
      <c r="A10" s="6" t="s">
        <v>19</v>
      </c>
      <c r="B10" s="7">
        <f>COUNTIF(MASTER!$G$2:$G$2000,"FAILED")</f>
        <v>0</v>
      </c>
      <c r="C10" s="8" t="s">
        <v>20</v>
      </c>
      <c r="E10" s="6" t="s">
        <v>21</v>
      </c>
      <c r="F10" s="1" t="str">
        <f>IF(SESSION_STATE!$B$15="","",SESSION_STATE!$B$15)</f>
        <v/>
      </c>
    </row>
    <row r="11" spans="1:6" x14ac:dyDescent="0.25">
      <c r="A11" s="6" t="s">
        <v>22</v>
      </c>
      <c r="B11" s="7">
        <f>COUNTIF(MASTER!$G$2:$G$2000,"DEFERRED")</f>
        <v>2</v>
      </c>
      <c r="C11" s="8" t="s">
        <v>23</v>
      </c>
      <c r="E11" s="6" t="s">
        <v>24</v>
      </c>
      <c r="F11" s="1" t="str">
        <f>IF(SESSION_STATE!$B$16="","",SESSION_STATE!$B$16)</f>
        <v/>
      </c>
    </row>
    <row r="12" spans="1:6" x14ac:dyDescent="0.25">
      <c r="A12" s="6" t="s">
        <v>25</v>
      </c>
      <c r="B12" s="7">
        <f>COUNTIF(MASTER!$G$2:$G$2000,"NOT_STARTED")</f>
        <v>14</v>
      </c>
      <c r="C12" s="8"/>
      <c r="E12" s="6" t="s">
        <v>26</v>
      </c>
      <c r="F12" s="1" t="str">
        <f>IF(SESSION_STATE!$B$11="","",SESSION_STATE!$B$11)</f>
        <v>backend 2588/11; Vitest 368; Playwright 59 (Chromium, local); next build; tsc</v>
      </c>
    </row>
    <row r="13" spans="1:6" x14ac:dyDescent="0.25">
      <c r="A13" s="6" t="s">
        <v>27</v>
      </c>
      <c r="B13" s="7">
        <f>B5-B6</f>
        <v>29</v>
      </c>
      <c r="C13" s="8" t="s">
        <v>28</v>
      </c>
      <c r="E13" s="6" t="s">
        <v>29</v>
      </c>
      <c r="F13" s="1" t="str">
        <f>IF(SESSION_STATE!$B$12="","",SESSION_STATE!$B$12)</f>
        <v>none</v>
      </c>
    </row>
    <row r="14" spans="1:6" x14ac:dyDescent="0.25">
      <c r="A14" s="6" t="s">
        <v>30</v>
      </c>
      <c r="B14" s="9">
        <f>IF(B5=0,0,B6/B5)</f>
        <v>0.86635944700460832</v>
      </c>
      <c r="C14" s="8" t="s">
        <v>31</v>
      </c>
      <c r="E14" s="6" t="s">
        <v>32</v>
      </c>
      <c r="F14" s="1" t="str">
        <f>IF(SESSION_STATE!$B$13="","",SESSION_STATE!$B$13)</f>
        <v>INFRA-010: no Docker on this machine; real deployment needs Boril's hosting target; GATE-004/013: CI's PostgreSQL job result; TEST-021A: the expected-loss-linux CI artifact must be downloaded and merged (python -m scripts.merge_expected_losses DIR)</v>
      </c>
    </row>
    <row r="15" spans="1:6" x14ac:dyDescent="0.25">
      <c r="A15" s="6" t="s">
        <v>33</v>
      </c>
      <c r="B15" s="9">
        <f>IF(B5=0,0,B7/B5)</f>
        <v>0.86635944700460832</v>
      </c>
      <c r="C15" s="8" t="s">
        <v>34</v>
      </c>
      <c r="E15" s="6" t="s">
        <v>35</v>
      </c>
      <c r="F15" s="1" t="str">
        <f>IF(SESSION_STATE!$B$17="","",SESSION_STATE!$B$17)</f>
        <v>2026-10-13T17:19:01+03:00</v>
      </c>
    </row>
    <row r="16" spans="1:6" x14ac:dyDescent="0.25">
      <c r="A16" s="6" t="s">
        <v>36</v>
      </c>
      <c r="B16" s="7">
        <f>COUNTIFS(MASTER!$F$2:$F$2000,"P0",MASTER!$G$2:$G$2000,"&lt;&gt;DONE")</f>
        <v>9</v>
      </c>
      <c r="C16" s="8" t="s">
        <v>37</v>
      </c>
    </row>
    <row r="17" spans="1:14" ht="15.75" x14ac:dyDescent="0.25">
      <c r="A17" s="6" t="s">
        <v>38</v>
      </c>
      <c r="B17" s="7">
        <f>COUNTIFS(MASTER!$F$2:$F$2000,"P1",MASTER!$G$2:$G$2000,"&lt;&gt;DONE")</f>
        <v>8</v>
      </c>
      <c r="C17" s="8" t="s">
        <v>39</v>
      </c>
      <c r="E17" s="5" t="s">
        <v>40</v>
      </c>
    </row>
    <row r="18" spans="1:14" x14ac:dyDescent="0.25">
      <c r="A18" s="6" t="s">
        <v>41</v>
      </c>
      <c r="B18" s="7">
        <f>CRITICAL_FIXES!B4</f>
        <v>19</v>
      </c>
      <c r="C18" s="8" t="s">
        <v>42</v>
      </c>
      <c r="E18" s="10" t="s">
        <v>43</v>
      </c>
      <c r="F18" s="10" t="s">
        <v>44</v>
      </c>
      <c r="G18" s="10" t="s">
        <v>45</v>
      </c>
      <c r="H18" s="10" t="s">
        <v>46</v>
      </c>
      <c r="I18" s="10" t="s">
        <v>47</v>
      </c>
      <c r="J18" s="10" t="s">
        <v>13</v>
      </c>
      <c r="K18" s="10" t="s">
        <v>16</v>
      </c>
      <c r="L18" s="10" t="s">
        <v>19</v>
      </c>
      <c r="M18" s="10" t="s">
        <v>48</v>
      </c>
      <c r="N18" s="10" t="s">
        <v>33</v>
      </c>
    </row>
    <row r="19" spans="1:14" x14ac:dyDescent="0.25">
      <c r="A19" s="6" t="s">
        <v>49</v>
      </c>
      <c r="B19" s="7">
        <f>RELEASE_GATES!B4</f>
        <v>13</v>
      </c>
      <c r="C19" s="8" t="s">
        <v>50</v>
      </c>
      <c r="E19" s="11">
        <v>0</v>
      </c>
      <c r="F19" s="12" t="s">
        <v>51</v>
      </c>
      <c r="G19" s="13">
        <f>COUNTIF(MASTER!$B$2:$B$2000,$E19)</f>
        <v>11</v>
      </c>
      <c r="H19" s="13">
        <f>COUNTIFS(MASTER!$B$2:$B$2000,$E19,MASTER!$G$2:$G$2000,"DONE")</f>
        <v>11</v>
      </c>
      <c r="I19" s="13">
        <f>COUNTIFS(MASTER!$B$2:$B$2000,$E19,MASTER!$G$2:$G$2000,"VERIFIED")+H19</f>
        <v>11</v>
      </c>
      <c r="J19" s="13">
        <f>COUNTIFS(MASTER!$B$2:$B$2000,$E19,MASTER!$G$2:$G$2000,"IN_PROGRESS")+COUNTIFS(MASTER!$B$2:$B$2000,$E19,MASTER!$G$2:$G$2000,"IMPLEMENTED")+COUNTIFS(MASTER!$B$2:$B$2000,$E19,MASTER!$G$2:$G$2000,"TESTING")</f>
        <v>0</v>
      </c>
      <c r="K19" s="13">
        <f>COUNTIFS(MASTER!$B$2:$B$2000,$E19,MASTER!$G$2:$G$2000,"BLOCKED")</f>
        <v>0</v>
      </c>
      <c r="L19" s="13">
        <f>COUNTIFS(MASTER!$B$2:$B$2000,$E19,MASTER!$G$2:$G$2000,"FAILED")</f>
        <v>0</v>
      </c>
      <c r="M19" s="14">
        <f t="shared" ref="M19:M38" si="0">IF(G19=0,0,H19/G19)</f>
        <v>1</v>
      </c>
      <c r="N19" s="14">
        <f t="shared" ref="N19:N38" si="1">IF(G19=0,0,I19/G19)</f>
        <v>1</v>
      </c>
    </row>
    <row r="20" spans="1:14" x14ac:dyDescent="0.25">
      <c r="A20" s="6" t="s">
        <v>52</v>
      </c>
      <c r="B20" s="7">
        <f>RELEASE_GATES!C4</f>
        <v>0</v>
      </c>
      <c r="C20" s="8"/>
      <c r="E20" s="11">
        <v>1</v>
      </c>
      <c r="F20" s="12" t="s">
        <v>53</v>
      </c>
      <c r="G20" s="13">
        <f>COUNTIF(MASTER!$B$2:$B$2000,$E20)</f>
        <v>26</v>
      </c>
      <c r="H20" s="13">
        <f>COUNTIFS(MASTER!$B$2:$B$2000,$E20,MASTER!$G$2:$G$2000,"DONE")</f>
        <v>26</v>
      </c>
      <c r="I20" s="13">
        <f>COUNTIFS(MASTER!$B$2:$B$2000,$E20,MASTER!$G$2:$G$2000,"VERIFIED")+H20</f>
        <v>26</v>
      </c>
      <c r="J20" s="13">
        <f>COUNTIFS(MASTER!$B$2:$B$2000,$E20,MASTER!$G$2:$G$2000,"IN_PROGRESS")+COUNTIFS(MASTER!$B$2:$B$2000,$E20,MASTER!$G$2:$G$2000,"IMPLEMENTED")+COUNTIFS(MASTER!$B$2:$B$2000,$E20,MASTER!$G$2:$G$2000,"TESTING")</f>
        <v>0</v>
      </c>
      <c r="K20" s="13">
        <f>COUNTIFS(MASTER!$B$2:$B$2000,$E20,MASTER!$G$2:$G$2000,"BLOCKED")</f>
        <v>0</v>
      </c>
      <c r="L20" s="13">
        <f>COUNTIFS(MASTER!$B$2:$B$2000,$E20,MASTER!$G$2:$G$2000,"FAILED")</f>
        <v>0</v>
      </c>
      <c r="M20" s="14">
        <f t="shared" si="0"/>
        <v>1</v>
      </c>
      <c r="N20" s="14">
        <f t="shared" si="1"/>
        <v>1</v>
      </c>
    </row>
    <row r="21" spans="1:14" x14ac:dyDescent="0.25">
      <c r="E21" s="11">
        <v>2</v>
      </c>
      <c r="F21" s="12" t="s">
        <v>54</v>
      </c>
      <c r="G21" s="13">
        <f>COUNTIF(MASTER!$B$2:$B$2000,$E21)</f>
        <v>11</v>
      </c>
      <c r="H21" s="13">
        <f>COUNTIFS(MASTER!$B$2:$B$2000,$E21,MASTER!$G$2:$G$2000,"DONE")</f>
        <v>10</v>
      </c>
      <c r="I21" s="13">
        <f>COUNTIFS(MASTER!$B$2:$B$2000,$E21,MASTER!$G$2:$G$2000,"VERIFIED")+H21</f>
        <v>10</v>
      </c>
      <c r="J21" s="13">
        <f>COUNTIFS(MASTER!$B$2:$B$2000,$E21,MASTER!$G$2:$G$2000,"IN_PROGRESS")+COUNTIFS(MASTER!$B$2:$B$2000,$E21,MASTER!$G$2:$G$2000,"IMPLEMENTED")+COUNTIFS(MASTER!$B$2:$B$2000,$E21,MASTER!$G$2:$G$2000,"TESTING")</f>
        <v>0</v>
      </c>
      <c r="K21" s="13">
        <f>COUNTIFS(MASTER!$B$2:$B$2000,$E21,MASTER!$G$2:$G$2000,"BLOCKED")</f>
        <v>0</v>
      </c>
      <c r="L21" s="13">
        <f>COUNTIFS(MASTER!$B$2:$B$2000,$E21,MASTER!$G$2:$G$2000,"FAILED")</f>
        <v>0</v>
      </c>
      <c r="M21" s="14">
        <f t="shared" si="0"/>
        <v>0.90909090909090906</v>
      </c>
      <c r="N21" s="14">
        <f t="shared" si="1"/>
        <v>0.90909090909090906</v>
      </c>
    </row>
    <row r="22" spans="1:14" ht="15.75" x14ac:dyDescent="0.25">
      <c r="A22" s="5" t="s">
        <v>55</v>
      </c>
      <c r="E22" s="11">
        <v>3</v>
      </c>
      <c r="F22" s="12" t="s">
        <v>56</v>
      </c>
      <c r="G22" s="13">
        <f>COUNTIF(MASTER!$B$2:$B$2000,$E22)</f>
        <v>46</v>
      </c>
      <c r="H22" s="13">
        <f>COUNTIFS(MASTER!$B$2:$B$2000,$E22,MASTER!$G$2:$G$2000,"DONE")</f>
        <v>44</v>
      </c>
      <c r="I22" s="13">
        <f>COUNTIFS(MASTER!$B$2:$B$2000,$E22,MASTER!$G$2:$G$2000,"VERIFIED")+H22</f>
        <v>44</v>
      </c>
      <c r="J22" s="13">
        <f>COUNTIFS(MASTER!$B$2:$B$2000,$E22,MASTER!$G$2:$G$2000,"IN_PROGRESS")+COUNTIFS(MASTER!$B$2:$B$2000,$E22,MASTER!$G$2:$G$2000,"IMPLEMENTED")+COUNTIFS(MASTER!$B$2:$B$2000,$E22,MASTER!$G$2:$G$2000,"TESTING")</f>
        <v>0</v>
      </c>
      <c r="K22" s="13">
        <f>COUNTIFS(MASTER!$B$2:$B$2000,$E22,MASTER!$G$2:$G$2000,"BLOCKED")</f>
        <v>1</v>
      </c>
      <c r="L22" s="13">
        <f>COUNTIFS(MASTER!$B$2:$B$2000,$E22,MASTER!$G$2:$G$2000,"FAILED")</f>
        <v>0</v>
      </c>
      <c r="M22" s="14">
        <f t="shared" si="0"/>
        <v>0.95652173913043481</v>
      </c>
      <c r="N22" s="14">
        <f t="shared" si="1"/>
        <v>0.95652173913043481</v>
      </c>
    </row>
    <row r="23" spans="1:14" x14ac:dyDescent="0.25">
      <c r="A23" s="10" t="s">
        <v>57</v>
      </c>
      <c r="B23" s="10" t="s">
        <v>45</v>
      </c>
      <c r="C23" s="10" t="s">
        <v>58</v>
      </c>
      <c r="E23" s="11">
        <v>4</v>
      </c>
      <c r="F23" s="12" t="s">
        <v>59</v>
      </c>
      <c r="G23" s="13">
        <f>COUNTIF(MASTER!$B$2:$B$2000,$E23)</f>
        <v>15</v>
      </c>
      <c r="H23" s="13">
        <f>COUNTIFS(MASTER!$B$2:$B$2000,$E23,MASTER!$G$2:$G$2000,"DONE")</f>
        <v>14</v>
      </c>
      <c r="I23" s="13">
        <f>COUNTIFS(MASTER!$B$2:$B$2000,$E23,MASTER!$G$2:$G$2000,"VERIFIED")+H23</f>
        <v>14</v>
      </c>
      <c r="J23" s="13">
        <f>COUNTIFS(MASTER!$B$2:$B$2000,$E23,MASTER!$G$2:$G$2000,"IN_PROGRESS")+COUNTIFS(MASTER!$B$2:$B$2000,$E23,MASTER!$G$2:$G$2000,"IMPLEMENTED")+COUNTIFS(MASTER!$B$2:$B$2000,$E23,MASTER!$G$2:$G$2000,"TESTING")</f>
        <v>0</v>
      </c>
      <c r="K23" s="13">
        <f>COUNTIFS(MASTER!$B$2:$B$2000,$E23,MASTER!$G$2:$G$2000,"BLOCKED")</f>
        <v>1</v>
      </c>
      <c r="L23" s="13">
        <f>COUNTIFS(MASTER!$B$2:$B$2000,$E23,MASTER!$G$2:$G$2000,"FAILED")</f>
        <v>0</v>
      </c>
      <c r="M23" s="14">
        <f t="shared" si="0"/>
        <v>0.93333333333333335</v>
      </c>
      <c r="N23" s="14">
        <f t="shared" si="1"/>
        <v>0.93333333333333335</v>
      </c>
    </row>
    <row r="24" spans="1:14" x14ac:dyDescent="0.25">
      <c r="A24" s="15" t="s">
        <v>60</v>
      </c>
      <c r="B24" s="13">
        <f>COUNTIF(MASTER!$G$2:$G$2000,A24)</f>
        <v>14</v>
      </c>
      <c r="C24" s="12" t="s">
        <v>61</v>
      </c>
      <c r="E24" s="11">
        <v>5</v>
      </c>
      <c r="F24" s="12" t="s">
        <v>62</v>
      </c>
      <c r="G24" s="13">
        <f>COUNTIF(MASTER!$B$2:$B$2000,$E24)</f>
        <v>11</v>
      </c>
      <c r="H24" s="13">
        <f>COUNTIFS(MASTER!$B$2:$B$2000,$E24,MASTER!$G$2:$G$2000,"DONE")</f>
        <v>10</v>
      </c>
      <c r="I24" s="13">
        <f>COUNTIFS(MASTER!$B$2:$B$2000,$E24,MASTER!$G$2:$G$2000,"VERIFIED")+H24</f>
        <v>10</v>
      </c>
      <c r="J24" s="13">
        <f>COUNTIFS(MASTER!$B$2:$B$2000,$E24,MASTER!$G$2:$G$2000,"IN_PROGRESS")+COUNTIFS(MASTER!$B$2:$B$2000,$E24,MASTER!$G$2:$G$2000,"IMPLEMENTED")+COUNTIFS(MASTER!$B$2:$B$2000,$E24,MASTER!$G$2:$G$2000,"TESTING")</f>
        <v>0</v>
      </c>
      <c r="K24" s="13">
        <f>COUNTIFS(MASTER!$B$2:$B$2000,$E24,MASTER!$G$2:$G$2000,"BLOCKED")</f>
        <v>0</v>
      </c>
      <c r="L24" s="13">
        <f>COUNTIFS(MASTER!$B$2:$B$2000,$E24,MASTER!$G$2:$G$2000,"FAILED")</f>
        <v>0</v>
      </c>
      <c r="M24" s="14">
        <f t="shared" si="0"/>
        <v>0.90909090909090906</v>
      </c>
      <c r="N24" s="14">
        <f t="shared" si="1"/>
        <v>0.90909090909090906</v>
      </c>
    </row>
    <row r="25" spans="1:14" x14ac:dyDescent="0.25">
      <c r="A25" s="15" t="s">
        <v>63</v>
      </c>
      <c r="B25" s="13">
        <f>COUNTIF(MASTER!$G$2:$G$2000,A25)</f>
        <v>3</v>
      </c>
      <c r="C25" s="12" t="s">
        <v>64</v>
      </c>
      <c r="E25" s="11">
        <v>6</v>
      </c>
      <c r="F25" s="12" t="s">
        <v>65</v>
      </c>
      <c r="G25" s="13">
        <f>COUNTIF(MASTER!$B$2:$B$2000,$E25)</f>
        <v>14</v>
      </c>
      <c r="H25" s="13">
        <f>COUNTIFS(MASTER!$B$2:$B$2000,$E25,MASTER!$G$2:$G$2000,"DONE")</f>
        <v>14</v>
      </c>
      <c r="I25" s="13">
        <f>COUNTIFS(MASTER!$B$2:$B$2000,$E25,MASTER!$G$2:$G$2000,"VERIFIED")+H25</f>
        <v>14</v>
      </c>
      <c r="J25" s="13">
        <f>COUNTIFS(MASTER!$B$2:$B$2000,$E25,MASTER!$G$2:$G$2000,"IN_PROGRESS")+COUNTIFS(MASTER!$B$2:$B$2000,$E25,MASTER!$G$2:$G$2000,"IMPLEMENTED")+COUNTIFS(MASTER!$B$2:$B$2000,$E25,MASTER!$G$2:$G$2000,"TESTING")</f>
        <v>0</v>
      </c>
      <c r="K25" s="13">
        <f>COUNTIFS(MASTER!$B$2:$B$2000,$E25,MASTER!$G$2:$G$2000,"BLOCKED")</f>
        <v>0</v>
      </c>
      <c r="L25" s="13">
        <f>COUNTIFS(MASTER!$B$2:$B$2000,$E25,MASTER!$G$2:$G$2000,"FAILED")</f>
        <v>0</v>
      </c>
      <c r="M25" s="14">
        <f t="shared" si="0"/>
        <v>1</v>
      </c>
      <c r="N25" s="14">
        <f t="shared" si="1"/>
        <v>1</v>
      </c>
    </row>
    <row r="26" spans="1:14" x14ac:dyDescent="0.25">
      <c r="A26" s="15" t="s">
        <v>66</v>
      </c>
      <c r="B26" s="13">
        <f>COUNTIF(MASTER!$G$2:$G$2000,A26)</f>
        <v>5</v>
      </c>
      <c r="C26" s="12" t="s">
        <v>67</v>
      </c>
      <c r="E26" s="11">
        <v>7</v>
      </c>
      <c r="F26" s="12" t="s">
        <v>68</v>
      </c>
      <c r="G26" s="13">
        <f>COUNTIF(MASTER!$B$2:$B$2000,$E26)</f>
        <v>3</v>
      </c>
      <c r="H26" s="13">
        <f>COUNTIFS(MASTER!$B$2:$B$2000,$E26,MASTER!$G$2:$G$2000,"DONE")</f>
        <v>3</v>
      </c>
      <c r="I26" s="13">
        <f>COUNTIFS(MASTER!$B$2:$B$2000,$E26,MASTER!$G$2:$G$2000,"VERIFIED")+H26</f>
        <v>3</v>
      </c>
      <c r="J26" s="13">
        <f>COUNTIFS(MASTER!$B$2:$B$2000,$E26,MASTER!$G$2:$G$2000,"IN_PROGRESS")+COUNTIFS(MASTER!$B$2:$B$2000,$E26,MASTER!$G$2:$G$2000,"IMPLEMENTED")+COUNTIFS(MASTER!$B$2:$B$2000,$E26,MASTER!$G$2:$G$2000,"TESTING")</f>
        <v>0</v>
      </c>
      <c r="K26" s="13">
        <f>COUNTIFS(MASTER!$B$2:$B$2000,$E26,MASTER!$G$2:$G$2000,"BLOCKED")</f>
        <v>0</v>
      </c>
      <c r="L26" s="13">
        <f>COUNTIFS(MASTER!$B$2:$B$2000,$E26,MASTER!$G$2:$G$2000,"FAILED")</f>
        <v>0</v>
      </c>
      <c r="M26" s="14">
        <f t="shared" si="0"/>
        <v>1</v>
      </c>
      <c r="N26" s="14">
        <f t="shared" si="1"/>
        <v>1</v>
      </c>
    </row>
    <row r="27" spans="1:14" x14ac:dyDescent="0.25">
      <c r="A27" s="15" t="s">
        <v>69</v>
      </c>
      <c r="B27" s="13">
        <f>COUNTIF(MASTER!$G$2:$G$2000,A27)</f>
        <v>5</v>
      </c>
      <c r="C27" s="12" t="s">
        <v>70</v>
      </c>
      <c r="E27" s="11">
        <v>8</v>
      </c>
      <c r="F27" s="12" t="s">
        <v>71</v>
      </c>
      <c r="G27" s="13">
        <f>COUNTIF(MASTER!$B$2:$B$2000,$E27)</f>
        <v>9</v>
      </c>
      <c r="H27" s="13">
        <f>COUNTIFS(MASTER!$B$2:$B$2000,$E27,MASTER!$G$2:$G$2000,"DONE")</f>
        <v>9</v>
      </c>
      <c r="I27" s="13">
        <f>COUNTIFS(MASTER!$B$2:$B$2000,$E27,MASTER!$G$2:$G$2000,"VERIFIED")+H27</f>
        <v>9</v>
      </c>
      <c r="J27" s="13">
        <f>COUNTIFS(MASTER!$B$2:$B$2000,$E27,MASTER!$G$2:$G$2000,"IN_PROGRESS")+COUNTIFS(MASTER!$B$2:$B$2000,$E27,MASTER!$G$2:$G$2000,"IMPLEMENTED")+COUNTIFS(MASTER!$B$2:$B$2000,$E27,MASTER!$G$2:$G$2000,"TESTING")</f>
        <v>0</v>
      </c>
      <c r="K27" s="13">
        <f>COUNTIFS(MASTER!$B$2:$B$2000,$E27,MASTER!$G$2:$G$2000,"BLOCKED")</f>
        <v>0</v>
      </c>
      <c r="L27" s="13">
        <f>COUNTIFS(MASTER!$B$2:$B$2000,$E27,MASTER!$G$2:$G$2000,"FAILED")</f>
        <v>0</v>
      </c>
      <c r="M27" s="14">
        <f t="shared" si="0"/>
        <v>1</v>
      </c>
      <c r="N27" s="14">
        <f t="shared" si="1"/>
        <v>1</v>
      </c>
    </row>
    <row r="28" spans="1:14" x14ac:dyDescent="0.25">
      <c r="A28" s="15" t="s">
        <v>72</v>
      </c>
      <c r="B28" s="13">
        <f>COUNTIF(MASTER!$G$2:$G$2000,A28)</f>
        <v>0</v>
      </c>
      <c r="C28" s="12" t="s">
        <v>73</v>
      </c>
      <c r="E28" s="11">
        <v>9</v>
      </c>
      <c r="F28" s="12" t="s">
        <v>74</v>
      </c>
      <c r="G28" s="13">
        <f>COUNTIF(MASTER!$B$2:$B$2000,$E28)</f>
        <v>4</v>
      </c>
      <c r="H28" s="13">
        <f>COUNTIFS(MASTER!$B$2:$B$2000,$E28,MASTER!$G$2:$G$2000,"DONE")</f>
        <v>3</v>
      </c>
      <c r="I28" s="13">
        <f>COUNTIFS(MASTER!$B$2:$B$2000,$E28,MASTER!$G$2:$G$2000,"VERIFIED")+H28</f>
        <v>3</v>
      </c>
      <c r="J28" s="13">
        <f>COUNTIFS(MASTER!$B$2:$B$2000,$E28,MASTER!$G$2:$G$2000,"IN_PROGRESS")+COUNTIFS(MASTER!$B$2:$B$2000,$E28,MASTER!$G$2:$G$2000,"IMPLEMENTED")+COUNTIFS(MASTER!$B$2:$B$2000,$E28,MASTER!$G$2:$G$2000,"TESTING")</f>
        <v>0</v>
      </c>
      <c r="K28" s="13">
        <f>COUNTIFS(MASTER!$B$2:$B$2000,$E28,MASTER!$G$2:$G$2000,"BLOCKED")</f>
        <v>0</v>
      </c>
      <c r="L28" s="13">
        <f>COUNTIFS(MASTER!$B$2:$B$2000,$E28,MASTER!$G$2:$G$2000,"FAILED")</f>
        <v>0</v>
      </c>
      <c r="M28" s="14">
        <f t="shared" si="0"/>
        <v>0.75</v>
      </c>
      <c r="N28" s="14">
        <f t="shared" si="1"/>
        <v>0.75</v>
      </c>
    </row>
    <row r="29" spans="1:14" x14ac:dyDescent="0.25">
      <c r="A29" s="15" t="s">
        <v>75</v>
      </c>
      <c r="B29" s="13">
        <f>COUNTIF(MASTER!$G$2:$G$2000,A29)</f>
        <v>0</v>
      </c>
      <c r="C29" s="12" t="s">
        <v>76</v>
      </c>
      <c r="E29" s="11">
        <v>10</v>
      </c>
      <c r="F29" s="12" t="s">
        <v>77</v>
      </c>
      <c r="G29" s="13">
        <f>COUNTIF(MASTER!$B$2:$B$2000,$E29)</f>
        <v>10</v>
      </c>
      <c r="H29" s="13">
        <f>COUNTIFS(MASTER!$B$2:$B$2000,$E29,MASTER!$G$2:$G$2000,"DONE")</f>
        <v>10</v>
      </c>
      <c r="I29" s="13">
        <f>COUNTIFS(MASTER!$B$2:$B$2000,$E29,MASTER!$G$2:$G$2000,"VERIFIED")+H29</f>
        <v>10</v>
      </c>
      <c r="J29" s="13">
        <f>COUNTIFS(MASTER!$B$2:$B$2000,$E29,MASTER!$G$2:$G$2000,"IN_PROGRESS")+COUNTIFS(MASTER!$B$2:$B$2000,$E29,MASTER!$G$2:$G$2000,"IMPLEMENTED")+COUNTIFS(MASTER!$B$2:$B$2000,$E29,MASTER!$G$2:$G$2000,"TESTING")</f>
        <v>0</v>
      </c>
      <c r="K29" s="13">
        <f>COUNTIFS(MASTER!$B$2:$B$2000,$E29,MASTER!$G$2:$G$2000,"BLOCKED")</f>
        <v>0</v>
      </c>
      <c r="L29" s="13">
        <f>COUNTIFS(MASTER!$B$2:$B$2000,$E29,MASTER!$G$2:$G$2000,"FAILED")</f>
        <v>0</v>
      </c>
      <c r="M29" s="14">
        <f t="shared" si="0"/>
        <v>1</v>
      </c>
      <c r="N29" s="14">
        <f t="shared" si="1"/>
        <v>1</v>
      </c>
    </row>
    <row r="30" spans="1:14" x14ac:dyDescent="0.25">
      <c r="A30" s="15" t="s">
        <v>78</v>
      </c>
      <c r="B30" s="13">
        <f>COUNTIF(MASTER!$G$2:$G$2000,A30)</f>
        <v>188</v>
      </c>
      <c r="C30" s="12" t="s">
        <v>79</v>
      </c>
      <c r="E30" s="11">
        <v>11</v>
      </c>
      <c r="F30" s="12" t="s">
        <v>80</v>
      </c>
      <c r="G30" s="13">
        <f>COUNTIF(MASTER!$B$2:$B$2000,$E30)</f>
        <v>6</v>
      </c>
      <c r="H30" s="13">
        <f>COUNTIFS(MASTER!$B$2:$B$2000,$E30,MASTER!$G$2:$G$2000,"DONE")</f>
        <v>6</v>
      </c>
      <c r="I30" s="13">
        <f>COUNTIFS(MASTER!$B$2:$B$2000,$E30,MASTER!$G$2:$G$2000,"VERIFIED")+H30</f>
        <v>6</v>
      </c>
      <c r="J30" s="13">
        <f>COUNTIFS(MASTER!$B$2:$B$2000,$E30,MASTER!$G$2:$G$2000,"IN_PROGRESS")+COUNTIFS(MASTER!$B$2:$B$2000,$E30,MASTER!$G$2:$G$2000,"IMPLEMENTED")+COUNTIFS(MASTER!$B$2:$B$2000,$E30,MASTER!$G$2:$G$2000,"TESTING")</f>
        <v>0</v>
      </c>
      <c r="K30" s="13">
        <f>COUNTIFS(MASTER!$B$2:$B$2000,$E30,MASTER!$G$2:$G$2000,"BLOCKED")</f>
        <v>0</v>
      </c>
      <c r="L30" s="13">
        <f>COUNTIFS(MASTER!$B$2:$B$2000,$E30,MASTER!$G$2:$G$2000,"FAILED")</f>
        <v>0</v>
      </c>
      <c r="M30" s="14">
        <f t="shared" si="0"/>
        <v>1</v>
      </c>
      <c r="N30" s="14">
        <f t="shared" si="1"/>
        <v>1</v>
      </c>
    </row>
    <row r="31" spans="1:14" x14ac:dyDescent="0.25">
      <c r="A31" s="15" t="s">
        <v>81</v>
      </c>
      <c r="B31" s="13">
        <f>COUNTIF(MASTER!$G$2:$G$2000,A31)</f>
        <v>0</v>
      </c>
      <c r="C31" s="12" t="s">
        <v>82</v>
      </c>
      <c r="E31" s="11">
        <v>12</v>
      </c>
      <c r="F31" s="12" t="s">
        <v>83</v>
      </c>
      <c r="G31" s="13">
        <f>COUNTIF(MASTER!$B$2:$B$2000,$E31)</f>
        <v>4</v>
      </c>
      <c r="H31" s="13">
        <f>COUNTIFS(MASTER!$B$2:$B$2000,$E31,MASTER!$G$2:$G$2000,"DONE")</f>
        <v>4</v>
      </c>
      <c r="I31" s="13">
        <f>COUNTIFS(MASTER!$B$2:$B$2000,$E31,MASTER!$G$2:$G$2000,"VERIFIED")+H31</f>
        <v>4</v>
      </c>
      <c r="J31" s="13">
        <f>COUNTIFS(MASTER!$B$2:$B$2000,$E31,MASTER!$G$2:$G$2000,"IN_PROGRESS")+COUNTIFS(MASTER!$B$2:$B$2000,$E31,MASTER!$G$2:$G$2000,"IMPLEMENTED")+COUNTIFS(MASTER!$B$2:$B$2000,$E31,MASTER!$G$2:$G$2000,"TESTING")</f>
        <v>0</v>
      </c>
      <c r="K31" s="13">
        <f>COUNTIFS(MASTER!$B$2:$B$2000,$E31,MASTER!$G$2:$G$2000,"BLOCKED")</f>
        <v>0</v>
      </c>
      <c r="L31" s="13">
        <f>COUNTIFS(MASTER!$B$2:$B$2000,$E31,MASTER!$G$2:$G$2000,"FAILED")</f>
        <v>0</v>
      </c>
      <c r="M31" s="14">
        <f t="shared" si="0"/>
        <v>1</v>
      </c>
      <c r="N31" s="14">
        <f t="shared" si="1"/>
        <v>1</v>
      </c>
    </row>
    <row r="32" spans="1:14" x14ac:dyDescent="0.25">
      <c r="A32" s="15" t="s">
        <v>84</v>
      </c>
      <c r="B32" s="13">
        <f>COUNTIF(MASTER!$G$2:$G$2000,A32)</f>
        <v>2</v>
      </c>
      <c r="C32" s="12" t="s">
        <v>85</v>
      </c>
      <c r="E32" s="11">
        <v>13</v>
      </c>
      <c r="F32" s="12" t="s">
        <v>86</v>
      </c>
      <c r="G32" s="13">
        <f>COUNTIF(MASTER!$B$2:$B$2000,$E32)</f>
        <v>3</v>
      </c>
      <c r="H32" s="13">
        <f>COUNTIFS(MASTER!$B$2:$B$2000,$E32,MASTER!$G$2:$G$2000,"DONE")</f>
        <v>3</v>
      </c>
      <c r="I32" s="13">
        <f>COUNTIFS(MASTER!$B$2:$B$2000,$E32,MASTER!$G$2:$G$2000,"VERIFIED")+H32</f>
        <v>3</v>
      </c>
      <c r="J32" s="13">
        <f>COUNTIFS(MASTER!$B$2:$B$2000,$E32,MASTER!$G$2:$G$2000,"IN_PROGRESS")+COUNTIFS(MASTER!$B$2:$B$2000,$E32,MASTER!$G$2:$G$2000,"IMPLEMENTED")+COUNTIFS(MASTER!$B$2:$B$2000,$E32,MASTER!$G$2:$G$2000,"TESTING")</f>
        <v>0</v>
      </c>
      <c r="K32" s="13">
        <f>COUNTIFS(MASTER!$B$2:$B$2000,$E32,MASTER!$G$2:$G$2000,"BLOCKED")</f>
        <v>0</v>
      </c>
      <c r="L32" s="13">
        <f>COUNTIFS(MASTER!$B$2:$B$2000,$E32,MASTER!$G$2:$G$2000,"FAILED")</f>
        <v>0</v>
      </c>
      <c r="M32" s="14">
        <f t="shared" si="0"/>
        <v>1</v>
      </c>
      <c r="N32" s="14">
        <f t="shared" si="1"/>
        <v>1</v>
      </c>
    </row>
    <row r="33" spans="1:14" x14ac:dyDescent="0.25">
      <c r="A33" s="15" t="s">
        <v>87</v>
      </c>
      <c r="B33" s="13">
        <f>COUNTIF(MASTER!$G$2:$G$2000,A33)</f>
        <v>0</v>
      </c>
      <c r="C33" s="12" t="s">
        <v>88</v>
      </c>
      <c r="E33" s="11">
        <v>14</v>
      </c>
      <c r="F33" s="12" t="s">
        <v>89</v>
      </c>
      <c r="G33" s="13">
        <f>COUNTIF(MASTER!$B$2:$B$2000,$E33)</f>
        <v>4</v>
      </c>
      <c r="H33" s="13">
        <f>COUNTIFS(MASTER!$B$2:$B$2000,$E33,MASTER!$G$2:$G$2000,"DONE")</f>
        <v>4</v>
      </c>
      <c r="I33" s="13">
        <f>COUNTIFS(MASTER!$B$2:$B$2000,$E33,MASTER!$G$2:$G$2000,"VERIFIED")+H33</f>
        <v>4</v>
      </c>
      <c r="J33" s="13">
        <f>COUNTIFS(MASTER!$B$2:$B$2000,$E33,MASTER!$G$2:$G$2000,"IN_PROGRESS")+COUNTIFS(MASTER!$B$2:$B$2000,$E33,MASTER!$G$2:$G$2000,"IMPLEMENTED")+COUNTIFS(MASTER!$B$2:$B$2000,$E33,MASTER!$G$2:$G$2000,"TESTING")</f>
        <v>0</v>
      </c>
      <c r="K33" s="13">
        <f>COUNTIFS(MASTER!$B$2:$B$2000,$E33,MASTER!$G$2:$G$2000,"BLOCKED")</f>
        <v>0</v>
      </c>
      <c r="L33" s="13">
        <f>COUNTIFS(MASTER!$B$2:$B$2000,$E33,MASTER!$G$2:$G$2000,"FAILED")</f>
        <v>0</v>
      </c>
      <c r="M33" s="14">
        <f t="shared" si="0"/>
        <v>1</v>
      </c>
      <c r="N33" s="14">
        <f t="shared" si="1"/>
        <v>1</v>
      </c>
    </row>
    <row r="34" spans="1:14" x14ac:dyDescent="0.25">
      <c r="E34" s="11">
        <v>15</v>
      </c>
      <c r="F34" s="12" t="s">
        <v>90</v>
      </c>
      <c r="G34" s="13">
        <f>COUNTIF(MASTER!$B$2:$B$2000,$E34)</f>
        <v>3</v>
      </c>
      <c r="H34" s="13">
        <f>COUNTIFS(MASTER!$B$2:$B$2000,$E34,MASTER!$G$2:$G$2000,"DONE")</f>
        <v>3</v>
      </c>
      <c r="I34" s="13">
        <f>COUNTIFS(MASTER!$B$2:$B$2000,$E34,MASTER!$G$2:$G$2000,"VERIFIED")+H34</f>
        <v>3</v>
      </c>
      <c r="J34" s="13">
        <f>COUNTIFS(MASTER!$B$2:$B$2000,$E34,MASTER!$G$2:$G$2000,"IN_PROGRESS")+COUNTIFS(MASTER!$B$2:$B$2000,$E34,MASTER!$G$2:$G$2000,"IMPLEMENTED")+COUNTIFS(MASTER!$B$2:$B$2000,$E34,MASTER!$G$2:$G$2000,"TESTING")</f>
        <v>0</v>
      </c>
      <c r="K34" s="13">
        <f>COUNTIFS(MASTER!$B$2:$B$2000,$E34,MASTER!$G$2:$G$2000,"BLOCKED")</f>
        <v>0</v>
      </c>
      <c r="L34" s="13">
        <f>COUNTIFS(MASTER!$B$2:$B$2000,$E34,MASTER!$G$2:$G$2000,"FAILED")</f>
        <v>0</v>
      </c>
      <c r="M34" s="14">
        <f t="shared" si="0"/>
        <v>1</v>
      </c>
      <c r="N34" s="14">
        <f t="shared" si="1"/>
        <v>1</v>
      </c>
    </row>
    <row r="35" spans="1:14" ht="15.75" x14ac:dyDescent="0.25">
      <c r="A35" s="5" t="s">
        <v>91</v>
      </c>
      <c r="E35" s="11">
        <v>16</v>
      </c>
      <c r="F35" s="12" t="s">
        <v>92</v>
      </c>
      <c r="G35" s="13">
        <f>COUNTIF(MASTER!$B$2:$B$2000,$E35)</f>
        <v>5</v>
      </c>
      <c r="H35" s="13">
        <f>COUNTIFS(MASTER!$B$2:$B$2000,$E35,MASTER!$G$2:$G$2000,"DONE")</f>
        <v>5</v>
      </c>
      <c r="I35" s="13">
        <f>COUNTIFS(MASTER!$B$2:$B$2000,$E35,MASTER!$G$2:$G$2000,"VERIFIED")+H35</f>
        <v>5</v>
      </c>
      <c r="J35" s="13">
        <f>COUNTIFS(MASTER!$B$2:$B$2000,$E35,MASTER!$G$2:$G$2000,"IN_PROGRESS")+COUNTIFS(MASTER!$B$2:$B$2000,$E35,MASTER!$G$2:$G$2000,"IMPLEMENTED")+COUNTIFS(MASTER!$B$2:$B$2000,$E35,MASTER!$G$2:$G$2000,"TESTING")</f>
        <v>0</v>
      </c>
      <c r="K35" s="13">
        <f>COUNTIFS(MASTER!$B$2:$B$2000,$E35,MASTER!$G$2:$G$2000,"BLOCKED")</f>
        <v>0</v>
      </c>
      <c r="L35" s="13">
        <f>COUNTIFS(MASTER!$B$2:$B$2000,$E35,MASTER!$G$2:$G$2000,"FAILED")</f>
        <v>0</v>
      </c>
      <c r="M35" s="14">
        <f t="shared" si="0"/>
        <v>1</v>
      </c>
      <c r="N35" s="14">
        <f t="shared" si="1"/>
        <v>1</v>
      </c>
    </row>
    <row r="36" spans="1:14" x14ac:dyDescent="0.25">
      <c r="A36" s="10" t="s">
        <v>93</v>
      </c>
      <c r="B36" s="10" t="s">
        <v>94</v>
      </c>
      <c r="C36" s="10" t="s">
        <v>95</v>
      </c>
      <c r="E36" s="11">
        <v>17</v>
      </c>
      <c r="F36" s="12" t="s">
        <v>96</v>
      </c>
      <c r="G36" s="13">
        <f>COUNTIF(MASTER!$B$2:$B$2000,$E36)</f>
        <v>6</v>
      </c>
      <c r="H36" s="13">
        <f>COUNTIFS(MASTER!$B$2:$B$2000,$E36,MASTER!$G$2:$G$2000,"DONE")</f>
        <v>4</v>
      </c>
      <c r="I36" s="13">
        <f>COUNTIFS(MASTER!$B$2:$B$2000,$E36,MASTER!$G$2:$G$2000,"VERIFIED")+H36</f>
        <v>4</v>
      </c>
      <c r="J36" s="13">
        <f>COUNTIFS(MASTER!$B$2:$B$2000,$E36,MASTER!$G$2:$G$2000,"IN_PROGRESS")+COUNTIFS(MASTER!$B$2:$B$2000,$E36,MASTER!$G$2:$G$2000,"IMPLEMENTED")+COUNTIFS(MASTER!$B$2:$B$2000,$E36,MASTER!$G$2:$G$2000,"TESTING")</f>
        <v>1</v>
      </c>
      <c r="K36" s="13">
        <f>COUNTIFS(MASTER!$B$2:$B$2000,$E36,MASTER!$G$2:$G$2000,"BLOCKED")</f>
        <v>1</v>
      </c>
      <c r="L36" s="13">
        <f>COUNTIFS(MASTER!$B$2:$B$2000,$E36,MASTER!$G$2:$G$2000,"FAILED")</f>
        <v>0</v>
      </c>
      <c r="M36" s="14">
        <f t="shared" si="0"/>
        <v>0.66666666666666663</v>
      </c>
      <c r="N36" s="14">
        <f t="shared" si="1"/>
        <v>0.66666666666666663</v>
      </c>
    </row>
    <row r="37" spans="1:14" x14ac:dyDescent="0.25">
      <c r="A37" s="15" t="str">
        <f>TESTING!B314&amp;" — "&amp;TESTING!A314</f>
        <v>e2e — RUN-0307</v>
      </c>
      <c r="B37" s="16" t="str">
        <f>TESTING!C314&amp;""</f>
        <v>PASS</v>
      </c>
      <c r="C37" s="12" t="str">
        <f>TESTING!E314&amp;" passed · "&amp;TESTING!F314&amp;" failed · "&amp;TESTING!H314&amp;" skipped"</f>
        <v>59 passed · 0 failed · 1 skipped</v>
      </c>
      <c r="E37" s="11">
        <v>18</v>
      </c>
      <c r="F37" s="12" t="s">
        <v>97</v>
      </c>
      <c r="G37" s="13">
        <f>COUNTIF(MASTER!$B$2:$B$2000,$E37)</f>
        <v>2</v>
      </c>
      <c r="H37" s="13">
        <f>COUNTIFS(MASTER!$B$2:$B$2000,$E37,MASTER!$G$2:$G$2000,"DONE")</f>
        <v>2</v>
      </c>
      <c r="I37" s="13">
        <f>COUNTIFS(MASTER!$B$2:$B$2000,$E37,MASTER!$G$2:$G$2000,"VERIFIED")+H37</f>
        <v>2</v>
      </c>
      <c r="J37" s="13">
        <f>COUNTIFS(MASTER!$B$2:$B$2000,$E37,MASTER!$G$2:$G$2000,"IN_PROGRESS")+COUNTIFS(MASTER!$B$2:$B$2000,$E37,MASTER!$G$2:$G$2000,"IMPLEMENTED")+COUNTIFS(MASTER!$B$2:$B$2000,$E37,MASTER!$G$2:$G$2000,"TESTING")</f>
        <v>0</v>
      </c>
      <c r="K37" s="13">
        <f>COUNTIFS(MASTER!$B$2:$B$2000,$E37,MASTER!$G$2:$G$2000,"BLOCKED")</f>
        <v>0</v>
      </c>
      <c r="L37" s="13">
        <f>COUNTIFS(MASTER!$B$2:$B$2000,$E37,MASTER!$G$2:$G$2000,"FAILED")</f>
        <v>0</v>
      </c>
      <c r="M37" s="14">
        <f t="shared" si="0"/>
        <v>1</v>
      </c>
      <c r="N37" s="14">
        <f t="shared" si="1"/>
        <v>1</v>
      </c>
    </row>
    <row r="38" spans="1:14" x14ac:dyDescent="0.25">
      <c r="A38" s="15" t="str">
        <f>TESTING!B313&amp;" — "&amp;TESTING!A313</f>
        <v>frontend — RUN-0306</v>
      </c>
      <c r="B38" s="16" t="str">
        <f>TESTING!C313&amp;""</f>
        <v>PASS</v>
      </c>
      <c r="C38" s="12" t="str">
        <f>TESTING!E313&amp;" passed · "&amp;TESTING!F313&amp;" failed · "&amp;TESTING!H313&amp;" skipped"</f>
        <v>368 passed · 0 failed · 0 skipped</v>
      </c>
      <c r="E38" s="11">
        <v>19</v>
      </c>
      <c r="F38" s="12" t="s">
        <v>98</v>
      </c>
      <c r="G38" s="13">
        <f>COUNTIF(MASTER!$B$2:$B$2000,$E38)</f>
        <v>24</v>
      </c>
      <c r="H38" s="13">
        <f>COUNTIFS(MASTER!$B$2:$B$2000,$E38,MASTER!$G$2:$G$2000,"DONE")</f>
        <v>3</v>
      </c>
      <c r="I38" s="13">
        <f>COUNTIFS(MASTER!$B$2:$B$2000,$E38,MASTER!$G$2:$G$2000,"VERIFIED")+H38</f>
        <v>3</v>
      </c>
      <c r="J38" s="13">
        <f>COUNTIFS(MASTER!$B$2:$B$2000,$E38,MASTER!$G$2:$G$2000,"IN_PROGRESS")+COUNTIFS(MASTER!$B$2:$B$2000,$E38,MASTER!$G$2:$G$2000,"IMPLEMENTED")+COUNTIFS(MASTER!$B$2:$B$2000,$E38,MASTER!$G$2:$G$2000,"TESTING")</f>
        <v>7</v>
      </c>
      <c r="K38" s="13">
        <f>COUNTIFS(MASTER!$B$2:$B$2000,$E38,MASTER!$G$2:$G$2000,"BLOCKED")</f>
        <v>2</v>
      </c>
      <c r="L38" s="13">
        <f>COUNTIFS(MASTER!$B$2:$B$2000,$E38,MASTER!$G$2:$G$2000,"FAILED")</f>
        <v>0</v>
      </c>
      <c r="M38" s="14">
        <f t="shared" si="0"/>
        <v>0.125</v>
      </c>
      <c r="N38" s="14">
        <f t="shared" si="1"/>
        <v>0.125</v>
      </c>
    </row>
    <row r="39" spans="1:14" x14ac:dyDescent="0.25">
      <c r="A39" s="15" t="str">
        <f>TESTING!B312&amp;" — "&amp;TESTING!A312</f>
        <v>backend — RUN-0305</v>
      </c>
      <c r="B39" s="16" t="str">
        <f>TESTING!C312&amp;""</f>
        <v>PASS</v>
      </c>
      <c r="C39" s="12" t="str">
        <f>TESTING!E312&amp;" passed · "&amp;TESTING!F312&amp;" failed · "&amp;TESTING!H312&amp;" skipped"</f>
        <v>2588 passed · 0 failed · 11 skipped</v>
      </c>
    </row>
    <row r="40" spans="1:14" ht="15.75" x14ac:dyDescent="0.25">
      <c r="A40" s="15" t="str">
        <f>TESTING!B311&amp;" — "&amp;TESTING!A311</f>
        <v>backend — RUN-0304</v>
      </c>
      <c r="B40" s="16" t="str">
        <f>TESTING!C311&amp;""</f>
        <v>PASS</v>
      </c>
      <c r="C40" s="12" t="str">
        <f>TESTING!E311&amp;" passed · "&amp;TESTING!F311&amp;" failed · "&amp;TESTING!H311&amp;" skipped"</f>
        <v>2578 passed · 0 failed · 11 skipped</v>
      </c>
      <c r="E40" s="5" t="s">
        <v>99</v>
      </c>
    </row>
    <row r="41" spans="1:14" x14ac:dyDescent="0.25">
      <c r="A41" s="15" t="str">
        <f>TESTING!B310&amp;" — "&amp;TESTING!A310</f>
        <v>backend — RUN-0303</v>
      </c>
      <c r="B41" s="16" t="str">
        <f>TESTING!C310&amp;""</f>
        <v>PASS</v>
      </c>
      <c r="C41" s="12" t="str">
        <f>TESTING!E310&amp;" passed · "&amp;TESTING!F310&amp;" failed · "&amp;TESTING!H310&amp;" skipped"</f>
        <v>2571 passed · 0 failed · 11 skipped</v>
      </c>
      <c r="E41" s="10" t="s">
        <v>100</v>
      </c>
      <c r="F41" s="10" t="s">
        <v>101</v>
      </c>
      <c r="G41" s="10" t="s">
        <v>45</v>
      </c>
      <c r="H41" s="10" t="s">
        <v>46</v>
      </c>
      <c r="I41" s="10" t="s">
        <v>47</v>
      </c>
      <c r="J41" s="10" t="s">
        <v>13</v>
      </c>
      <c r="K41" s="10" t="s">
        <v>16</v>
      </c>
      <c r="L41" s="10" t="s">
        <v>19</v>
      </c>
      <c r="M41" s="10" t="s">
        <v>48</v>
      </c>
      <c r="N41" s="10" t="s">
        <v>33</v>
      </c>
    </row>
    <row r="42" spans="1:14" x14ac:dyDescent="0.25">
      <c r="A42" s="15" t="str">
        <f>TESTING!B309&amp;" — "&amp;TESTING!A309</f>
        <v>playwright — RUN-0302</v>
      </c>
      <c r="B42" s="16" t="str">
        <f>TESTING!C309&amp;""</f>
        <v>PASS</v>
      </c>
      <c r="C42" s="12" t="str">
        <f>TESTING!E309&amp;" passed · "&amp;TESTING!F309&amp;" failed · "&amp;TESTING!H309&amp;" skipped"</f>
        <v>59 passed · 0 failed · 1 skipped</v>
      </c>
      <c r="E42" s="15" t="s">
        <v>102</v>
      </c>
      <c r="F42" s="17" t="s">
        <v>103</v>
      </c>
      <c r="G42" s="13">
        <f>COUNTIF(MASTER!$C$2:$C$2000,$E42)</f>
        <v>5</v>
      </c>
      <c r="H42" s="13">
        <f>COUNTIFS(MASTER!$C$2:$C$2000,$E42,MASTER!$G$2:$G$2000,"DONE")</f>
        <v>4</v>
      </c>
      <c r="I42" s="13">
        <f>COUNTIFS(MASTER!$C$2:$C$2000,$E42,MASTER!$G$2:$G$2000,"VERIFIED")+H42</f>
        <v>4</v>
      </c>
      <c r="J42" s="13">
        <f>COUNTIFS(MASTER!$C$2:$C$2000,$E42,MASTER!$G$2:$G$2000,"IN_PROGRESS")+COUNTIFS(MASTER!$C$2:$C$2000,$E42,MASTER!$G$2:$G$2000,"IMPLEMENTED")+COUNTIFS(MASTER!$C$2:$C$2000,$E42,MASTER!$G$2:$G$2000,"TESTING")</f>
        <v>0</v>
      </c>
      <c r="K42" s="13">
        <f>COUNTIFS(MASTER!$C$2:$C$2000,$E42,MASTER!$G$2:$G$2000,"BLOCKED")</f>
        <v>0</v>
      </c>
      <c r="L42" s="13">
        <f>COUNTIFS(MASTER!$C$2:$C$2000,$E42,MASTER!$G$2:$G$2000,"FAILED")</f>
        <v>0</v>
      </c>
      <c r="M42" s="14">
        <f t="shared" ref="M42:M65" si="2">IF(G42=0,0,H42/G42)</f>
        <v>0.8</v>
      </c>
      <c r="N42" s="14">
        <f t="shared" ref="N42:N65" si="3">IF(G42=0,0,I42/G42)</f>
        <v>0.8</v>
      </c>
    </row>
    <row r="43" spans="1:14" x14ac:dyDescent="0.25">
      <c r="E43" s="15" t="s">
        <v>104</v>
      </c>
      <c r="F43" s="17" t="s">
        <v>103</v>
      </c>
      <c r="G43" s="13">
        <f>COUNTIF(MASTER!$C$2:$C$2000,$E43)</f>
        <v>7</v>
      </c>
      <c r="H43" s="13">
        <f>COUNTIFS(MASTER!$C$2:$C$2000,$E43,MASTER!$G$2:$G$2000,"DONE")</f>
        <v>7</v>
      </c>
      <c r="I43" s="13">
        <f>COUNTIFS(MASTER!$C$2:$C$2000,$E43,MASTER!$G$2:$G$2000,"VERIFIED")+H43</f>
        <v>7</v>
      </c>
      <c r="J43" s="13">
        <f>COUNTIFS(MASTER!$C$2:$C$2000,$E43,MASTER!$G$2:$G$2000,"IN_PROGRESS")+COUNTIFS(MASTER!$C$2:$C$2000,$E43,MASTER!$G$2:$G$2000,"IMPLEMENTED")+COUNTIFS(MASTER!$C$2:$C$2000,$E43,MASTER!$G$2:$G$2000,"TESTING")</f>
        <v>0</v>
      </c>
      <c r="K43" s="13">
        <f>COUNTIFS(MASTER!$C$2:$C$2000,$E43,MASTER!$G$2:$G$2000,"BLOCKED")</f>
        <v>0</v>
      </c>
      <c r="L43" s="13">
        <f>COUNTIFS(MASTER!$C$2:$C$2000,$E43,MASTER!$G$2:$G$2000,"FAILED")</f>
        <v>0</v>
      </c>
      <c r="M43" s="14">
        <f t="shared" si="2"/>
        <v>1</v>
      </c>
      <c r="N43" s="14">
        <f t="shared" si="3"/>
        <v>1</v>
      </c>
    </row>
    <row r="44" spans="1:14" ht="15.75" x14ac:dyDescent="0.25">
      <c r="A44" s="5" t="s">
        <v>105</v>
      </c>
      <c r="E44" s="15" t="s">
        <v>106</v>
      </c>
      <c r="F44" s="17" t="s">
        <v>103</v>
      </c>
      <c r="G44" s="13">
        <f>COUNTIF(MASTER!$C$2:$C$2000,$E44)</f>
        <v>5</v>
      </c>
      <c r="H44" s="13">
        <f>COUNTIFS(MASTER!$C$2:$C$2000,$E44,MASTER!$G$2:$G$2000,"DONE")</f>
        <v>5</v>
      </c>
      <c r="I44" s="13">
        <f>COUNTIFS(MASTER!$C$2:$C$2000,$E44,MASTER!$G$2:$G$2000,"VERIFIED")+H44</f>
        <v>5</v>
      </c>
      <c r="J44" s="13">
        <f>COUNTIFS(MASTER!$C$2:$C$2000,$E44,MASTER!$G$2:$G$2000,"IN_PROGRESS")+COUNTIFS(MASTER!$C$2:$C$2000,$E44,MASTER!$G$2:$G$2000,"IMPLEMENTED")+COUNTIFS(MASTER!$C$2:$C$2000,$E44,MASTER!$G$2:$G$2000,"TESTING")</f>
        <v>0</v>
      </c>
      <c r="K44" s="13">
        <f>COUNTIFS(MASTER!$C$2:$C$2000,$E44,MASTER!$G$2:$G$2000,"BLOCKED")</f>
        <v>0</v>
      </c>
      <c r="L44" s="13">
        <f>COUNTIFS(MASTER!$C$2:$C$2000,$E44,MASTER!$G$2:$G$2000,"FAILED")</f>
        <v>0</v>
      </c>
      <c r="M44" s="14">
        <f t="shared" si="2"/>
        <v>1</v>
      </c>
      <c r="N44" s="14">
        <f t="shared" si="3"/>
        <v>1</v>
      </c>
    </row>
    <row r="45" spans="1:14" x14ac:dyDescent="0.25">
      <c r="A45" s="17" t="s">
        <v>107</v>
      </c>
      <c r="B45" s="1" t="s">
        <v>108</v>
      </c>
      <c r="E45" s="15" t="s">
        <v>109</v>
      </c>
      <c r="F45" s="17" t="s">
        <v>110</v>
      </c>
      <c r="G45" s="13">
        <f>COUNTIF(MASTER!$C$2:$C$2000,$E45)</f>
        <v>37</v>
      </c>
      <c r="H45" s="13">
        <f>COUNTIFS(MASTER!$C$2:$C$2000,$E45,MASTER!$G$2:$G$2000,"DONE")</f>
        <v>37</v>
      </c>
      <c r="I45" s="13">
        <f>COUNTIFS(MASTER!$C$2:$C$2000,$E45,MASTER!$G$2:$G$2000,"VERIFIED")+H45</f>
        <v>37</v>
      </c>
      <c r="J45" s="13">
        <f>COUNTIFS(MASTER!$C$2:$C$2000,$E45,MASTER!$G$2:$G$2000,"IN_PROGRESS")+COUNTIFS(MASTER!$C$2:$C$2000,$E45,MASTER!$G$2:$G$2000,"IMPLEMENTED")+COUNTIFS(MASTER!$C$2:$C$2000,$E45,MASTER!$G$2:$G$2000,"TESTING")</f>
        <v>0</v>
      </c>
      <c r="K45" s="13">
        <f>COUNTIFS(MASTER!$C$2:$C$2000,$E45,MASTER!$G$2:$G$2000,"BLOCKED")</f>
        <v>0</v>
      </c>
      <c r="L45" s="13">
        <f>COUNTIFS(MASTER!$C$2:$C$2000,$E45,MASTER!$G$2:$G$2000,"FAILED")</f>
        <v>0</v>
      </c>
      <c r="M45" s="14">
        <f t="shared" si="2"/>
        <v>1</v>
      </c>
      <c r="N45" s="14">
        <f t="shared" si="3"/>
        <v>1</v>
      </c>
    </row>
    <row r="46" spans="1:14" x14ac:dyDescent="0.25">
      <c r="A46" s="17" t="s">
        <v>111</v>
      </c>
      <c r="B46" s="1" t="s">
        <v>112</v>
      </c>
      <c r="E46" s="15" t="s">
        <v>113</v>
      </c>
      <c r="F46" s="17" t="s">
        <v>113</v>
      </c>
      <c r="G46" s="13">
        <f>COUNTIF(MASTER!$C$2:$C$2000,$E46)</f>
        <v>7</v>
      </c>
      <c r="H46" s="13">
        <f>COUNTIFS(MASTER!$C$2:$C$2000,$E46,MASTER!$G$2:$G$2000,"DONE")</f>
        <v>7</v>
      </c>
      <c r="I46" s="13">
        <f>COUNTIFS(MASTER!$C$2:$C$2000,$E46,MASTER!$G$2:$G$2000,"VERIFIED")+H46</f>
        <v>7</v>
      </c>
      <c r="J46" s="13">
        <f>COUNTIFS(MASTER!$C$2:$C$2000,$E46,MASTER!$G$2:$G$2000,"IN_PROGRESS")+COUNTIFS(MASTER!$C$2:$C$2000,$E46,MASTER!$G$2:$G$2000,"IMPLEMENTED")+COUNTIFS(MASTER!$C$2:$C$2000,$E46,MASTER!$G$2:$G$2000,"TESTING")</f>
        <v>0</v>
      </c>
      <c r="K46" s="13">
        <f>COUNTIFS(MASTER!$C$2:$C$2000,$E46,MASTER!$G$2:$G$2000,"BLOCKED")</f>
        <v>0</v>
      </c>
      <c r="L46" s="13">
        <f>COUNTIFS(MASTER!$C$2:$C$2000,$E46,MASTER!$G$2:$G$2000,"FAILED")</f>
        <v>0</v>
      </c>
      <c r="M46" s="14">
        <f t="shared" si="2"/>
        <v>1</v>
      </c>
      <c r="N46" s="14">
        <f t="shared" si="3"/>
        <v>1</v>
      </c>
    </row>
    <row r="47" spans="1:14" x14ac:dyDescent="0.25">
      <c r="A47" s="17" t="s">
        <v>114</v>
      </c>
      <c r="B47" s="1" t="s">
        <v>115</v>
      </c>
      <c r="E47" s="15" t="s">
        <v>116</v>
      </c>
      <c r="F47" s="17" t="s">
        <v>116</v>
      </c>
      <c r="G47" s="13">
        <f>COUNTIF(MASTER!$C$2:$C$2000,$E47)</f>
        <v>14</v>
      </c>
      <c r="H47" s="13">
        <f>COUNTIFS(MASTER!$C$2:$C$2000,$E47,MASTER!$G$2:$G$2000,"DONE")</f>
        <v>13</v>
      </c>
      <c r="I47" s="13">
        <f>COUNTIFS(MASTER!$C$2:$C$2000,$E47,MASTER!$G$2:$G$2000,"VERIFIED")+H47</f>
        <v>13</v>
      </c>
      <c r="J47" s="13">
        <f>COUNTIFS(MASTER!$C$2:$C$2000,$E47,MASTER!$G$2:$G$2000,"IN_PROGRESS")+COUNTIFS(MASTER!$C$2:$C$2000,$E47,MASTER!$G$2:$G$2000,"IMPLEMENTED")+COUNTIFS(MASTER!$C$2:$C$2000,$E47,MASTER!$G$2:$G$2000,"TESTING")</f>
        <v>0</v>
      </c>
      <c r="K47" s="13">
        <f>COUNTIFS(MASTER!$C$2:$C$2000,$E47,MASTER!$G$2:$G$2000,"BLOCKED")</f>
        <v>0</v>
      </c>
      <c r="L47" s="13">
        <f>COUNTIFS(MASTER!$C$2:$C$2000,$E47,MASTER!$G$2:$G$2000,"FAILED")</f>
        <v>0</v>
      </c>
      <c r="M47" s="14">
        <f t="shared" si="2"/>
        <v>0.9285714285714286</v>
      </c>
      <c r="N47" s="14">
        <f t="shared" si="3"/>
        <v>0.9285714285714286</v>
      </c>
    </row>
    <row r="48" spans="1:14" x14ac:dyDescent="0.25">
      <c r="A48" s="17" t="s">
        <v>103</v>
      </c>
      <c r="B48" s="1" t="s">
        <v>117</v>
      </c>
      <c r="E48" s="15" t="s">
        <v>118</v>
      </c>
      <c r="F48" s="17" t="s">
        <v>118</v>
      </c>
      <c r="G48" s="13">
        <f>COUNTIF(MASTER!$C$2:$C$2000,$E48)</f>
        <v>5</v>
      </c>
      <c r="H48" s="13">
        <f>COUNTIFS(MASTER!$C$2:$C$2000,$E48,MASTER!$G$2:$G$2000,"DONE")</f>
        <v>5</v>
      </c>
      <c r="I48" s="13">
        <f>COUNTIFS(MASTER!$C$2:$C$2000,$E48,MASTER!$G$2:$G$2000,"VERIFIED")+H48</f>
        <v>5</v>
      </c>
      <c r="J48" s="13">
        <f>COUNTIFS(MASTER!$C$2:$C$2000,$E48,MASTER!$G$2:$G$2000,"IN_PROGRESS")+COUNTIFS(MASTER!$C$2:$C$2000,$E48,MASTER!$G$2:$G$2000,"IMPLEMENTED")+COUNTIFS(MASTER!$C$2:$C$2000,$E48,MASTER!$G$2:$G$2000,"TESTING")</f>
        <v>0</v>
      </c>
      <c r="K48" s="13">
        <f>COUNTIFS(MASTER!$C$2:$C$2000,$E48,MASTER!$G$2:$G$2000,"BLOCKED")</f>
        <v>0</v>
      </c>
      <c r="L48" s="13">
        <f>COUNTIFS(MASTER!$C$2:$C$2000,$E48,MASTER!$G$2:$G$2000,"FAILED")</f>
        <v>0</v>
      </c>
      <c r="M48" s="14">
        <f t="shared" si="2"/>
        <v>1</v>
      </c>
      <c r="N48" s="14">
        <f t="shared" si="3"/>
        <v>1</v>
      </c>
    </row>
    <row r="49" spans="1:14" x14ac:dyDescent="0.25">
      <c r="A49" s="17" t="s">
        <v>110</v>
      </c>
      <c r="B49" s="1" t="s">
        <v>119</v>
      </c>
      <c r="E49" s="15" t="s">
        <v>120</v>
      </c>
      <c r="F49" s="17" t="s">
        <v>118</v>
      </c>
      <c r="G49" s="13">
        <f>COUNTIF(MASTER!$C$2:$C$2000,$E49)</f>
        <v>3</v>
      </c>
      <c r="H49" s="13">
        <f>COUNTIFS(MASTER!$C$2:$C$2000,$E49,MASTER!$G$2:$G$2000,"DONE")</f>
        <v>3</v>
      </c>
      <c r="I49" s="13">
        <f>COUNTIFS(MASTER!$C$2:$C$2000,$E49,MASTER!$G$2:$G$2000,"VERIFIED")+H49</f>
        <v>3</v>
      </c>
      <c r="J49" s="13">
        <f>COUNTIFS(MASTER!$C$2:$C$2000,$E49,MASTER!$G$2:$G$2000,"IN_PROGRESS")+COUNTIFS(MASTER!$C$2:$C$2000,$E49,MASTER!$G$2:$G$2000,"IMPLEMENTED")+COUNTIFS(MASTER!$C$2:$C$2000,$E49,MASTER!$G$2:$G$2000,"TESTING")</f>
        <v>0</v>
      </c>
      <c r="K49" s="13">
        <f>COUNTIFS(MASTER!$C$2:$C$2000,$E49,MASTER!$G$2:$G$2000,"BLOCKED")</f>
        <v>0</v>
      </c>
      <c r="L49" s="13">
        <f>COUNTIFS(MASTER!$C$2:$C$2000,$E49,MASTER!$G$2:$G$2000,"FAILED")</f>
        <v>0</v>
      </c>
      <c r="M49" s="14">
        <f t="shared" si="2"/>
        <v>1</v>
      </c>
      <c r="N49" s="14">
        <f t="shared" si="3"/>
        <v>1</v>
      </c>
    </row>
    <row r="50" spans="1:14" x14ac:dyDescent="0.25">
      <c r="A50" s="17" t="s">
        <v>113</v>
      </c>
      <c r="B50" s="1" t="s">
        <v>121</v>
      </c>
      <c r="E50" s="15" t="s">
        <v>122</v>
      </c>
      <c r="F50" s="17" t="s">
        <v>122</v>
      </c>
      <c r="G50" s="13">
        <f>COUNTIF(MASTER!$C$2:$C$2000,$E50)</f>
        <v>9</v>
      </c>
      <c r="H50" s="13">
        <f>COUNTIFS(MASTER!$C$2:$C$2000,$E50,MASTER!$G$2:$G$2000,"DONE")</f>
        <v>9</v>
      </c>
      <c r="I50" s="13">
        <f>COUNTIFS(MASTER!$C$2:$C$2000,$E50,MASTER!$G$2:$G$2000,"VERIFIED")+H50</f>
        <v>9</v>
      </c>
      <c r="J50" s="13">
        <f>COUNTIFS(MASTER!$C$2:$C$2000,$E50,MASTER!$G$2:$G$2000,"IN_PROGRESS")+COUNTIFS(MASTER!$C$2:$C$2000,$E50,MASTER!$G$2:$G$2000,"IMPLEMENTED")+COUNTIFS(MASTER!$C$2:$C$2000,$E50,MASTER!$G$2:$G$2000,"TESTING")</f>
        <v>0</v>
      </c>
      <c r="K50" s="13">
        <f>COUNTIFS(MASTER!$C$2:$C$2000,$E50,MASTER!$G$2:$G$2000,"BLOCKED")</f>
        <v>0</v>
      </c>
      <c r="L50" s="13">
        <f>COUNTIFS(MASTER!$C$2:$C$2000,$E50,MASTER!$G$2:$G$2000,"FAILED")</f>
        <v>0</v>
      </c>
      <c r="M50" s="14">
        <f t="shared" si="2"/>
        <v>1</v>
      </c>
      <c r="N50" s="14">
        <f t="shared" si="3"/>
        <v>1</v>
      </c>
    </row>
    <row r="51" spans="1:14" x14ac:dyDescent="0.25">
      <c r="A51" s="17" t="s">
        <v>116</v>
      </c>
      <c r="B51" s="1" t="s">
        <v>123</v>
      </c>
      <c r="E51" s="15" t="s">
        <v>124</v>
      </c>
      <c r="F51" s="17" t="s">
        <v>124</v>
      </c>
      <c r="G51" s="13">
        <f>COUNTIF(MASTER!$C$2:$C$2000,$E51)</f>
        <v>15</v>
      </c>
      <c r="H51" s="13">
        <f>COUNTIFS(MASTER!$C$2:$C$2000,$E51,MASTER!$G$2:$G$2000,"DONE")</f>
        <v>14</v>
      </c>
      <c r="I51" s="13">
        <f>COUNTIFS(MASTER!$C$2:$C$2000,$E51,MASTER!$G$2:$G$2000,"VERIFIED")+H51</f>
        <v>14</v>
      </c>
      <c r="J51" s="13">
        <f>COUNTIFS(MASTER!$C$2:$C$2000,$E51,MASTER!$G$2:$G$2000,"IN_PROGRESS")+COUNTIFS(MASTER!$C$2:$C$2000,$E51,MASTER!$G$2:$G$2000,"IMPLEMENTED")+COUNTIFS(MASTER!$C$2:$C$2000,$E51,MASTER!$G$2:$G$2000,"TESTING")</f>
        <v>0</v>
      </c>
      <c r="K51" s="13">
        <f>COUNTIFS(MASTER!$C$2:$C$2000,$E51,MASTER!$G$2:$G$2000,"BLOCKED")</f>
        <v>1</v>
      </c>
      <c r="L51" s="13">
        <f>COUNTIFS(MASTER!$C$2:$C$2000,$E51,MASTER!$G$2:$G$2000,"FAILED")</f>
        <v>0</v>
      </c>
      <c r="M51" s="14">
        <f t="shared" si="2"/>
        <v>0.93333333333333335</v>
      </c>
      <c r="N51" s="14">
        <f t="shared" si="3"/>
        <v>0.93333333333333335</v>
      </c>
    </row>
    <row r="52" spans="1:14" x14ac:dyDescent="0.25">
      <c r="A52" s="17" t="s">
        <v>118</v>
      </c>
      <c r="B52" s="1" t="s">
        <v>125</v>
      </c>
      <c r="E52" s="15" t="s">
        <v>126</v>
      </c>
      <c r="F52" s="17" t="s">
        <v>124</v>
      </c>
      <c r="G52" s="13">
        <f>COUNTIF(MASTER!$C$2:$C$2000,$E52)</f>
        <v>7</v>
      </c>
      <c r="H52" s="13">
        <f>COUNTIFS(MASTER!$C$2:$C$2000,$E52,MASTER!$G$2:$G$2000,"DONE")</f>
        <v>7</v>
      </c>
      <c r="I52" s="13">
        <f>COUNTIFS(MASTER!$C$2:$C$2000,$E52,MASTER!$G$2:$G$2000,"VERIFIED")+H52</f>
        <v>7</v>
      </c>
      <c r="J52" s="13">
        <f>COUNTIFS(MASTER!$C$2:$C$2000,$E52,MASTER!$G$2:$G$2000,"IN_PROGRESS")+COUNTIFS(MASTER!$C$2:$C$2000,$E52,MASTER!$G$2:$G$2000,"IMPLEMENTED")+COUNTIFS(MASTER!$C$2:$C$2000,$E52,MASTER!$G$2:$G$2000,"TESTING")</f>
        <v>0</v>
      </c>
      <c r="K52" s="13">
        <f>COUNTIFS(MASTER!$C$2:$C$2000,$E52,MASTER!$G$2:$G$2000,"BLOCKED")</f>
        <v>0</v>
      </c>
      <c r="L52" s="13">
        <f>COUNTIFS(MASTER!$C$2:$C$2000,$E52,MASTER!$G$2:$G$2000,"FAILED")</f>
        <v>0</v>
      </c>
      <c r="M52" s="14">
        <f t="shared" si="2"/>
        <v>1</v>
      </c>
      <c r="N52" s="14">
        <f t="shared" si="3"/>
        <v>1</v>
      </c>
    </row>
    <row r="53" spans="1:14" x14ac:dyDescent="0.25">
      <c r="A53" s="17" t="s">
        <v>122</v>
      </c>
      <c r="B53" s="1" t="s">
        <v>127</v>
      </c>
      <c r="E53" s="15" t="s">
        <v>128</v>
      </c>
      <c r="F53" s="17" t="s">
        <v>128</v>
      </c>
      <c r="G53" s="13">
        <f>COUNTIF(MASTER!$C$2:$C$2000,$E53)</f>
        <v>10</v>
      </c>
      <c r="H53" s="13">
        <f>COUNTIFS(MASTER!$C$2:$C$2000,$E53,MASTER!$G$2:$G$2000,"DONE")</f>
        <v>9</v>
      </c>
      <c r="I53" s="13">
        <f>COUNTIFS(MASTER!$C$2:$C$2000,$E53,MASTER!$G$2:$G$2000,"VERIFIED")+H53</f>
        <v>9</v>
      </c>
      <c r="J53" s="13">
        <f>COUNTIFS(MASTER!$C$2:$C$2000,$E53,MASTER!$G$2:$G$2000,"IN_PROGRESS")+COUNTIFS(MASTER!$C$2:$C$2000,$E53,MASTER!$G$2:$G$2000,"IMPLEMENTED")+COUNTIFS(MASTER!$C$2:$C$2000,$E53,MASTER!$G$2:$G$2000,"TESTING")</f>
        <v>0</v>
      </c>
      <c r="K53" s="13">
        <f>COUNTIFS(MASTER!$C$2:$C$2000,$E53,MASTER!$G$2:$G$2000,"BLOCKED")</f>
        <v>0</v>
      </c>
      <c r="L53" s="13">
        <f>COUNTIFS(MASTER!$C$2:$C$2000,$E53,MASTER!$G$2:$G$2000,"FAILED")</f>
        <v>0</v>
      </c>
      <c r="M53" s="14">
        <f t="shared" si="2"/>
        <v>0.9</v>
      </c>
      <c r="N53" s="14">
        <f t="shared" si="3"/>
        <v>0.9</v>
      </c>
    </row>
    <row r="54" spans="1:14" x14ac:dyDescent="0.25">
      <c r="A54" s="17" t="s">
        <v>124</v>
      </c>
      <c r="B54" s="1" t="s">
        <v>129</v>
      </c>
      <c r="E54" s="15" t="s">
        <v>72</v>
      </c>
      <c r="F54" s="17" t="s">
        <v>72</v>
      </c>
      <c r="G54" s="13">
        <f>COUNTIF(MASTER!$C$2:$C$2000,$E54)</f>
        <v>17</v>
      </c>
      <c r="H54" s="13">
        <f>COUNTIFS(MASTER!$C$2:$C$2000,$E54,MASTER!$G$2:$G$2000,"DONE")</f>
        <v>15</v>
      </c>
      <c r="I54" s="13">
        <f>COUNTIFS(MASTER!$C$2:$C$2000,$E54,MASTER!$G$2:$G$2000,"VERIFIED")+H54</f>
        <v>15</v>
      </c>
      <c r="J54" s="13">
        <f>COUNTIFS(MASTER!$C$2:$C$2000,$E54,MASTER!$G$2:$G$2000,"IN_PROGRESS")+COUNTIFS(MASTER!$C$2:$C$2000,$E54,MASTER!$G$2:$G$2000,"IMPLEMENTED")+COUNTIFS(MASTER!$C$2:$C$2000,$E54,MASTER!$G$2:$G$2000,"TESTING")</f>
        <v>1</v>
      </c>
      <c r="K54" s="13">
        <f>COUNTIFS(MASTER!$C$2:$C$2000,$E54,MASTER!$G$2:$G$2000,"BLOCKED")</f>
        <v>1</v>
      </c>
      <c r="L54" s="13">
        <f>COUNTIFS(MASTER!$C$2:$C$2000,$E54,MASTER!$G$2:$G$2000,"FAILED")</f>
        <v>0</v>
      </c>
      <c r="M54" s="14">
        <f t="shared" si="2"/>
        <v>0.88235294117647056</v>
      </c>
      <c r="N54" s="14">
        <f t="shared" si="3"/>
        <v>0.88235294117647056</v>
      </c>
    </row>
    <row r="55" spans="1:14" x14ac:dyDescent="0.25">
      <c r="A55" s="17" t="s">
        <v>128</v>
      </c>
      <c r="B55" s="1" t="s">
        <v>130</v>
      </c>
      <c r="E55" s="15" t="s">
        <v>131</v>
      </c>
      <c r="F55" s="17" t="s">
        <v>132</v>
      </c>
      <c r="G55" s="13">
        <f>COUNTIF(MASTER!$C$2:$C$2000,$E55)</f>
        <v>5</v>
      </c>
      <c r="H55" s="13">
        <f>COUNTIFS(MASTER!$C$2:$C$2000,$E55,MASTER!$G$2:$G$2000,"DONE")</f>
        <v>5</v>
      </c>
      <c r="I55" s="13">
        <f>COUNTIFS(MASTER!$C$2:$C$2000,$E55,MASTER!$G$2:$G$2000,"VERIFIED")+H55</f>
        <v>5</v>
      </c>
      <c r="J55" s="13">
        <f>COUNTIFS(MASTER!$C$2:$C$2000,$E55,MASTER!$G$2:$G$2000,"IN_PROGRESS")+COUNTIFS(MASTER!$C$2:$C$2000,$E55,MASTER!$G$2:$G$2000,"IMPLEMENTED")+COUNTIFS(MASTER!$C$2:$C$2000,$E55,MASTER!$G$2:$G$2000,"TESTING")</f>
        <v>0</v>
      </c>
      <c r="K55" s="13">
        <f>COUNTIFS(MASTER!$C$2:$C$2000,$E55,MASTER!$G$2:$G$2000,"BLOCKED")</f>
        <v>0</v>
      </c>
      <c r="L55" s="13">
        <f>COUNTIFS(MASTER!$C$2:$C$2000,$E55,MASTER!$G$2:$G$2000,"FAILED")</f>
        <v>0</v>
      </c>
      <c r="M55" s="14">
        <f t="shared" si="2"/>
        <v>1</v>
      </c>
      <c r="N55" s="14">
        <f t="shared" si="3"/>
        <v>1</v>
      </c>
    </row>
    <row r="56" spans="1:14" x14ac:dyDescent="0.25">
      <c r="A56" s="17" t="s">
        <v>72</v>
      </c>
      <c r="B56" s="1" t="s">
        <v>133</v>
      </c>
      <c r="E56" s="15" t="s">
        <v>134</v>
      </c>
      <c r="F56" s="17" t="s">
        <v>134</v>
      </c>
      <c r="G56" s="13">
        <f>COUNTIF(MASTER!$C$2:$C$2000,$E56)</f>
        <v>10</v>
      </c>
      <c r="H56" s="13">
        <f>COUNTIFS(MASTER!$C$2:$C$2000,$E56,MASTER!$G$2:$G$2000,"DONE")</f>
        <v>10</v>
      </c>
      <c r="I56" s="13">
        <f>COUNTIFS(MASTER!$C$2:$C$2000,$E56,MASTER!$G$2:$G$2000,"VERIFIED")+H56</f>
        <v>10</v>
      </c>
      <c r="J56" s="13">
        <f>COUNTIFS(MASTER!$C$2:$C$2000,$E56,MASTER!$G$2:$G$2000,"IN_PROGRESS")+COUNTIFS(MASTER!$C$2:$C$2000,$E56,MASTER!$G$2:$G$2000,"IMPLEMENTED")+COUNTIFS(MASTER!$C$2:$C$2000,$E56,MASTER!$G$2:$G$2000,"TESTING")</f>
        <v>0</v>
      </c>
      <c r="K56" s="13">
        <f>COUNTIFS(MASTER!$C$2:$C$2000,$E56,MASTER!$G$2:$G$2000,"BLOCKED")</f>
        <v>0</v>
      </c>
      <c r="L56" s="13">
        <f>COUNTIFS(MASTER!$C$2:$C$2000,$E56,MASTER!$G$2:$G$2000,"FAILED")</f>
        <v>0</v>
      </c>
      <c r="M56" s="14">
        <f t="shared" si="2"/>
        <v>1</v>
      </c>
      <c r="N56" s="14">
        <f t="shared" si="3"/>
        <v>1</v>
      </c>
    </row>
    <row r="57" spans="1:14" x14ac:dyDescent="0.25">
      <c r="A57" s="17" t="s">
        <v>132</v>
      </c>
      <c r="B57" s="1" t="s">
        <v>135</v>
      </c>
      <c r="E57" s="15" t="s">
        <v>136</v>
      </c>
      <c r="F57" s="17" t="s">
        <v>134</v>
      </c>
      <c r="G57" s="13">
        <f>COUNTIF(MASTER!$C$2:$C$2000,$E57)</f>
        <v>6</v>
      </c>
      <c r="H57" s="13">
        <f>COUNTIFS(MASTER!$C$2:$C$2000,$E57,MASTER!$G$2:$G$2000,"DONE")</f>
        <v>6</v>
      </c>
      <c r="I57" s="13">
        <f>COUNTIFS(MASTER!$C$2:$C$2000,$E57,MASTER!$G$2:$G$2000,"VERIFIED")+H57</f>
        <v>6</v>
      </c>
      <c r="J57" s="13">
        <f>COUNTIFS(MASTER!$C$2:$C$2000,$E57,MASTER!$G$2:$G$2000,"IN_PROGRESS")+COUNTIFS(MASTER!$C$2:$C$2000,$E57,MASTER!$G$2:$G$2000,"IMPLEMENTED")+COUNTIFS(MASTER!$C$2:$C$2000,$E57,MASTER!$G$2:$G$2000,"TESTING")</f>
        <v>0</v>
      </c>
      <c r="K57" s="13">
        <f>COUNTIFS(MASTER!$C$2:$C$2000,$E57,MASTER!$G$2:$G$2000,"BLOCKED")</f>
        <v>0</v>
      </c>
      <c r="L57" s="13">
        <f>COUNTIFS(MASTER!$C$2:$C$2000,$E57,MASTER!$G$2:$G$2000,"FAILED")</f>
        <v>0</v>
      </c>
      <c r="M57" s="14">
        <f t="shared" si="2"/>
        <v>1</v>
      </c>
      <c r="N57" s="14">
        <f t="shared" si="3"/>
        <v>1</v>
      </c>
    </row>
    <row r="58" spans="1:14" x14ac:dyDescent="0.25">
      <c r="A58" s="17" t="s">
        <v>134</v>
      </c>
      <c r="B58" s="1" t="s">
        <v>137</v>
      </c>
      <c r="E58" s="15" t="s">
        <v>138</v>
      </c>
      <c r="F58" s="17" t="s">
        <v>139</v>
      </c>
      <c r="G58" s="13">
        <f>COUNTIF(MASTER!$C$2:$C$2000,$E58)</f>
        <v>11</v>
      </c>
      <c r="H58" s="13">
        <f>COUNTIFS(MASTER!$C$2:$C$2000,$E58,MASTER!$G$2:$G$2000,"DONE")</f>
        <v>10</v>
      </c>
      <c r="I58" s="13">
        <f>COUNTIFS(MASTER!$C$2:$C$2000,$E58,MASTER!$G$2:$G$2000,"VERIFIED")+H58</f>
        <v>10</v>
      </c>
      <c r="J58" s="13">
        <f>COUNTIFS(MASTER!$C$2:$C$2000,$E58,MASTER!$G$2:$G$2000,"IN_PROGRESS")+COUNTIFS(MASTER!$C$2:$C$2000,$E58,MASTER!$G$2:$G$2000,"IMPLEMENTED")+COUNTIFS(MASTER!$C$2:$C$2000,$E58,MASTER!$G$2:$G$2000,"TESTING")</f>
        <v>0</v>
      </c>
      <c r="K58" s="13">
        <f>COUNTIFS(MASTER!$C$2:$C$2000,$E58,MASTER!$G$2:$G$2000,"BLOCKED")</f>
        <v>0</v>
      </c>
      <c r="L58" s="13">
        <f>COUNTIFS(MASTER!$C$2:$C$2000,$E58,MASTER!$G$2:$G$2000,"FAILED")</f>
        <v>0</v>
      </c>
      <c r="M58" s="14">
        <f t="shared" si="2"/>
        <v>0.90909090909090906</v>
      </c>
      <c r="N58" s="14">
        <f t="shared" si="3"/>
        <v>0.90909090909090906</v>
      </c>
    </row>
    <row r="59" spans="1:14" x14ac:dyDescent="0.25">
      <c r="A59" s="17" t="s">
        <v>139</v>
      </c>
      <c r="B59" s="1" t="s">
        <v>140</v>
      </c>
      <c r="E59" s="15" t="s">
        <v>141</v>
      </c>
      <c r="F59" s="17" t="s">
        <v>142</v>
      </c>
      <c r="G59" s="13">
        <f>COUNTIF(MASTER!$C$2:$C$2000,$E59)</f>
        <v>5</v>
      </c>
      <c r="H59" s="13">
        <f>COUNTIFS(MASTER!$C$2:$C$2000,$E59,MASTER!$G$2:$G$2000,"DONE")</f>
        <v>5</v>
      </c>
      <c r="I59" s="13">
        <f>COUNTIFS(MASTER!$C$2:$C$2000,$E59,MASTER!$G$2:$G$2000,"VERIFIED")+H59</f>
        <v>5</v>
      </c>
      <c r="J59" s="13">
        <f>COUNTIFS(MASTER!$C$2:$C$2000,$E59,MASTER!$G$2:$G$2000,"IN_PROGRESS")+COUNTIFS(MASTER!$C$2:$C$2000,$E59,MASTER!$G$2:$G$2000,"IMPLEMENTED")+COUNTIFS(MASTER!$C$2:$C$2000,$E59,MASTER!$G$2:$G$2000,"TESTING")</f>
        <v>0</v>
      </c>
      <c r="K59" s="13">
        <f>COUNTIFS(MASTER!$C$2:$C$2000,$E59,MASTER!$G$2:$G$2000,"BLOCKED")</f>
        <v>0</v>
      </c>
      <c r="L59" s="13">
        <f>COUNTIFS(MASTER!$C$2:$C$2000,$E59,MASTER!$G$2:$G$2000,"FAILED")</f>
        <v>0</v>
      </c>
      <c r="M59" s="14">
        <f t="shared" si="2"/>
        <v>1</v>
      </c>
      <c r="N59" s="14">
        <f t="shared" si="3"/>
        <v>1</v>
      </c>
    </row>
    <row r="60" spans="1:14" x14ac:dyDescent="0.25">
      <c r="A60" s="17" t="s">
        <v>142</v>
      </c>
      <c r="B60" s="1" t="s">
        <v>143</v>
      </c>
      <c r="E60" s="15" t="s">
        <v>144</v>
      </c>
      <c r="F60" s="17" t="s">
        <v>144</v>
      </c>
      <c r="G60" s="13">
        <f>COUNTIF(MASTER!$C$2:$C$2000,$E60)</f>
        <v>7</v>
      </c>
      <c r="H60" s="13">
        <f>COUNTIFS(MASTER!$C$2:$C$2000,$E60,MASTER!$G$2:$G$2000,"DONE")</f>
        <v>6</v>
      </c>
      <c r="I60" s="13">
        <f>COUNTIFS(MASTER!$C$2:$C$2000,$E60,MASTER!$G$2:$G$2000,"VERIFIED")+H60</f>
        <v>6</v>
      </c>
      <c r="J60" s="13">
        <f>COUNTIFS(MASTER!$C$2:$C$2000,$E60,MASTER!$G$2:$G$2000,"IN_PROGRESS")+COUNTIFS(MASTER!$C$2:$C$2000,$E60,MASTER!$G$2:$G$2000,"IMPLEMENTED")+COUNTIFS(MASTER!$C$2:$C$2000,$E60,MASTER!$G$2:$G$2000,"TESTING")</f>
        <v>0</v>
      </c>
      <c r="K60" s="13">
        <f>COUNTIFS(MASTER!$C$2:$C$2000,$E60,MASTER!$G$2:$G$2000,"BLOCKED")</f>
        <v>1</v>
      </c>
      <c r="L60" s="13">
        <f>COUNTIFS(MASTER!$C$2:$C$2000,$E60,MASTER!$G$2:$G$2000,"FAILED")</f>
        <v>0</v>
      </c>
      <c r="M60" s="14">
        <f t="shared" si="2"/>
        <v>0.8571428571428571</v>
      </c>
      <c r="N60" s="14">
        <f t="shared" si="3"/>
        <v>0.8571428571428571</v>
      </c>
    </row>
    <row r="61" spans="1:14" x14ac:dyDescent="0.25">
      <c r="A61" s="17" t="s">
        <v>144</v>
      </c>
      <c r="B61" s="1" t="s">
        <v>145</v>
      </c>
      <c r="E61" s="15" t="s">
        <v>146</v>
      </c>
      <c r="F61" s="17" t="s">
        <v>144</v>
      </c>
      <c r="G61" s="13">
        <f>COUNTIF(MASTER!$C$2:$C$2000,$E61)</f>
        <v>1</v>
      </c>
      <c r="H61" s="13">
        <f>COUNTIFS(MASTER!$C$2:$C$2000,$E61,MASTER!$G$2:$G$2000,"DONE")</f>
        <v>1</v>
      </c>
      <c r="I61" s="13">
        <f>COUNTIFS(MASTER!$C$2:$C$2000,$E61,MASTER!$G$2:$G$2000,"VERIFIED")+H61</f>
        <v>1</v>
      </c>
      <c r="J61" s="13">
        <f>COUNTIFS(MASTER!$C$2:$C$2000,$E61,MASTER!$G$2:$G$2000,"IN_PROGRESS")+COUNTIFS(MASTER!$C$2:$C$2000,$E61,MASTER!$G$2:$G$2000,"IMPLEMENTED")+COUNTIFS(MASTER!$C$2:$C$2000,$E61,MASTER!$G$2:$G$2000,"TESTING")</f>
        <v>0</v>
      </c>
      <c r="K61" s="13">
        <f>COUNTIFS(MASTER!$C$2:$C$2000,$E61,MASTER!$G$2:$G$2000,"BLOCKED")</f>
        <v>0</v>
      </c>
      <c r="L61" s="13">
        <f>COUNTIFS(MASTER!$C$2:$C$2000,$E61,MASTER!$G$2:$G$2000,"FAILED")</f>
        <v>0</v>
      </c>
      <c r="M61" s="14">
        <f t="shared" si="2"/>
        <v>1</v>
      </c>
      <c r="N61" s="14">
        <f t="shared" si="3"/>
        <v>1</v>
      </c>
    </row>
    <row r="62" spans="1:14" x14ac:dyDescent="0.25">
      <c r="A62" s="17" t="s">
        <v>147</v>
      </c>
      <c r="B62" s="1" t="s">
        <v>148</v>
      </c>
      <c r="E62" s="15" t="s">
        <v>149</v>
      </c>
      <c r="F62" s="17" t="s">
        <v>144</v>
      </c>
      <c r="G62" s="13">
        <f>COUNTIF(MASTER!$C$2:$C$2000,$E62)</f>
        <v>1</v>
      </c>
      <c r="H62" s="13">
        <f>COUNTIFS(MASTER!$C$2:$C$2000,$E62,MASTER!$G$2:$G$2000,"DONE")</f>
        <v>1</v>
      </c>
      <c r="I62" s="13">
        <f>COUNTIFS(MASTER!$C$2:$C$2000,$E62,MASTER!$G$2:$G$2000,"VERIFIED")+H62</f>
        <v>1</v>
      </c>
      <c r="J62" s="13">
        <f>COUNTIFS(MASTER!$C$2:$C$2000,$E62,MASTER!$G$2:$G$2000,"IN_PROGRESS")+COUNTIFS(MASTER!$C$2:$C$2000,$E62,MASTER!$G$2:$G$2000,"IMPLEMENTED")+COUNTIFS(MASTER!$C$2:$C$2000,$E62,MASTER!$G$2:$G$2000,"TESTING")</f>
        <v>0</v>
      </c>
      <c r="K62" s="13">
        <f>COUNTIFS(MASTER!$C$2:$C$2000,$E62,MASTER!$G$2:$G$2000,"BLOCKED")</f>
        <v>0</v>
      </c>
      <c r="L62" s="13">
        <f>COUNTIFS(MASTER!$C$2:$C$2000,$E62,MASTER!$G$2:$G$2000,"FAILED")</f>
        <v>0</v>
      </c>
      <c r="M62" s="14">
        <f t="shared" si="2"/>
        <v>1</v>
      </c>
      <c r="N62" s="14">
        <f t="shared" si="3"/>
        <v>1</v>
      </c>
    </row>
    <row r="63" spans="1:14" x14ac:dyDescent="0.25">
      <c r="A63" s="17" t="s">
        <v>150</v>
      </c>
      <c r="B63" s="1" t="s">
        <v>151</v>
      </c>
      <c r="E63" s="15" t="s">
        <v>152</v>
      </c>
      <c r="F63" s="17" t="s">
        <v>144</v>
      </c>
      <c r="G63" s="13">
        <f>COUNTIF(MASTER!$C$2:$C$2000,$E63)</f>
        <v>3</v>
      </c>
      <c r="H63" s="13">
        <f>COUNTIFS(MASTER!$C$2:$C$2000,$E63,MASTER!$G$2:$G$2000,"DONE")</f>
        <v>3</v>
      </c>
      <c r="I63" s="13">
        <f>COUNTIFS(MASTER!$C$2:$C$2000,$E63,MASTER!$G$2:$G$2000,"VERIFIED")+H63</f>
        <v>3</v>
      </c>
      <c r="J63" s="13">
        <f>COUNTIFS(MASTER!$C$2:$C$2000,$E63,MASTER!$G$2:$G$2000,"IN_PROGRESS")+COUNTIFS(MASTER!$C$2:$C$2000,$E63,MASTER!$G$2:$G$2000,"IMPLEMENTED")+COUNTIFS(MASTER!$C$2:$C$2000,$E63,MASTER!$G$2:$G$2000,"TESTING")</f>
        <v>0</v>
      </c>
      <c r="K63" s="13">
        <f>COUNTIFS(MASTER!$C$2:$C$2000,$E63,MASTER!$G$2:$G$2000,"BLOCKED")</f>
        <v>0</v>
      </c>
      <c r="L63" s="13">
        <f>COUNTIFS(MASTER!$C$2:$C$2000,$E63,MASTER!$G$2:$G$2000,"FAILED")</f>
        <v>0</v>
      </c>
      <c r="M63" s="14">
        <f t="shared" si="2"/>
        <v>1</v>
      </c>
      <c r="N63" s="14">
        <f t="shared" si="3"/>
        <v>1</v>
      </c>
    </row>
    <row r="64" spans="1:14" x14ac:dyDescent="0.25">
      <c r="A64" s="17" t="s">
        <v>153</v>
      </c>
      <c r="B64" s="1" t="s">
        <v>154</v>
      </c>
      <c r="E64" s="15" t="s">
        <v>155</v>
      </c>
      <c r="F64" s="17" t="s">
        <v>144</v>
      </c>
      <c r="G64" s="13">
        <f>COUNTIF(MASTER!$C$2:$C$2000,$E64)</f>
        <v>3</v>
      </c>
      <c r="H64" s="13">
        <f>COUNTIFS(MASTER!$C$2:$C$2000,$E64,MASTER!$G$2:$G$2000,"DONE")</f>
        <v>3</v>
      </c>
      <c r="I64" s="13">
        <f>COUNTIFS(MASTER!$C$2:$C$2000,$E64,MASTER!$G$2:$G$2000,"VERIFIED")+H64</f>
        <v>3</v>
      </c>
      <c r="J64" s="13">
        <f>COUNTIFS(MASTER!$C$2:$C$2000,$E64,MASTER!$G$2:$G$2000,"IN_PROGRESS")+COUNTIFS(MASTER!$C$2:$C$2000,$E64,MASTER!$G$2:$G$2000,"IMPLEMENTED")+COUNTIFS(MASTER!$C$2:$C$2000,$E64,MASTER!$G$2:$G$2000,"TESTING")</f>
        <v>0</v>
      </c>
      <c r="K64" s="13">
        <f>COUNTIFS(MASTER!$C$2:$C$2000,$E64,MASTER!$G$2:$G$2000,"BLOCKED")</f>
        <v>0</v>
      </c>
      <c r="L64" s="13">
        <f>COUNTIFS(MASTER!$C$2:$C$2000,$E64,MASTER!$G$2:$G$2000,"FAILED")</f>
        <v>0</v>
      </c>
      <c r="M64" s="14">
        <f t="shared" si="2"/>
        <v>1</v>
      </c>
      <c r="N64" s="14">
        <f t="shared" si="3"/>
        <v>1</v>
      </c>
    </row>
    <row r="65" spans="1:14" x14ac:dyDescent="0.25">
      <c r="A65" s="17" t="s">
        <v>156</v>
      </c>
      <c r="B65" s="1" t="s">
        <v>157</v>
      </c>
      <c r="E65" s="15" t="s">
        <v>158</v>
      </c>
      <c r="F65" s="17" t="s">
        <v>147</v>
      </c>
      <c r="G65" s="13">
        <f>COUNTIF(MASTER!$C$2:$C$2000,$E65)</f>
        <v>24</v>
      </c>
      <c r="H65" s="13">
        <f>COUNTIFS(MASTER!$C$2:$C$2000,$E65,MASTER!$G$2:$G$2000,"DONE")</f>
        <v>3</v>
      </c>
      <c r="I65" s="13">
        <f>COUNTIFS(MASTER!$C$2:$C$2000,$E65,MASTER!$G$2:$G$2000,"VERIFIED")+H65</f>
        <v>3</v>
      </c>
      <c r="J65" s="13">
        <f>COUNTIFS(MASTER!$C$2:$C$2000,$E65,MASTER!$G$2:$G$2000,"IN_PROGRESS")+COUNTIFS(MASTER!$C$2:$C$2000,$E65,MASTER!$G$2:$G$2000,"IMPLEMENTED")+COUNTIFS(MASTER!$C$2:$C$2000,$E65,MASTER!$G$2:$G$2000,"TESTING")</f>
        <v>7</v>
      </c>
      <c r="K65" s="13">
        <f>COUNTIFS(MASTER!$C$2:$C$2000,$E65,MASTER!$G$2:$G$2000,"BLOCKED")</f>
        <v>2</v>
      </c>
      <c r="L65" s="13">
        <f>COUNTIFS(MASTER!$C$2:$C$2000,$E65,MASTER!$G$2:$G$2000,"FAILED")</f>
        <v>0</v>
      </c>
      <c r="M65" s="14">
        <f t="shared" si="2"/>
        <v>0.125</v>
      </c>
      <c r="N65" s="14">
        <f t="shared" si="3"/>
        <v>0.125</v>
      </c>
    </row>
    <row r="67" spans="1:14" ht="15.75" x14ac:dyDescent="0.25">
      <c r="A67" s="5" t="s">
        <v>159</v>
      </c>
    </row>
    <row r="68" spans="1:14" x14ac:dyDescent="0.25">
      <c r="A68" s="1" t="s">
        <v>160</v>
      </c>
    </row>
    <row r="69" spans="1:14" x14ac:dyDescent="0.25">
      <c r="A69" s="1" t="s">
        <v>161</v>
      </c>
    </row>
    <row r="70" spans="1:14" x14ac:dyDescent="0.25">
      <c r="A70" s="1" t="s">
        <v>162</v>
      </c>
    </row>
    <row r="71" spans="1:14" x14ac:dyDescent="0.25">
      <c r="A71" s="1" t="s">
        <v>163</v>
      </c>
    </row>
    <row r="72" spans="1:14" x14ac:dyDescent="0.25">
      <c r="A72" s="1" t="s">
        <v>164</v>
      </c>
    </row>
    <row r="73" spans="1:14" x14ac:dyDescent="0.25">
      <c r="A73" s="1" t="s">
        <v>165</v>
      </c>
    </row>
  </sheetData>
  <conditionalFormatting sqref="A24:A33">
    <cfRule type="cellIs" dxfId="360" priority="5" operator="equal">
      <formula>"IN_PROGRESS"</formula>
    </cfRule>
    <cfRule type="cellIs" dxfId="359" priority="6" operator="equal">
      <formula>"BLOCKED"</formula>
    </cfRule>
    <cfRule type="cellIs" dxfId="358" priority="7" operator="equal">
      <formula>"IMPLEMENTED"</formula>
    </cfRule>
    <cfRule type="cellIs" dxfId="357" priority="8" operator="equal">
      <formula>"TESTING"</formula>
    </cfRule>
    <cfRule type="cellIs" dxfId="356" priority="9" operator="equal">
      <formula>"VERIFIED"</formula>
    </cfRule>
    <cfRule type="cellIs" dxfId="355" priority="10" operator="equal">
      <formula>"DONE"</formula>
    </cfRule>
    <cfRule type="cellIs" dxfId="354" priority="11" operator="equal">
      <formula>"FAILED"</formula>
    </cfRule>
    <cfRule type="cellIs" dxfId="353" priority="12" operator="equal">
      <formula>"DEFERRED"</formula>
    </cfRule>
    <cfRule type="cellIs" dxfId="352" priority="13" operator="equal">
      <formula>"UNKNOWN"</formula>
    </cfRule>
  </conditionalFormatting>
  <conditionalFormatting sqref="B9:B10">
    <cfRule type="cellIs" dxfId="351" priority="1" operator="greaterThan">
      <formula>0</formula>
    </cfRule>
  </conditionalFormatting>
  <conditionalFormatting sqref="B16">
    <cfRule type="cellIs" dxfId="350" priority="3" operator="greaterThan">
      <formula>0</formula>
    </cfRule>
  </conditionalFormatting>
  <conditionalFormatting sqref="B20">
    <cfRule type="cellIs" dxfId="349" priority="4" operator="greaterThan">
      <formula>0</formula>
    </cfRule>
  </conditionalFormatting>
  <conditionalFormatting sqref="B37:B42">
    <cfRule type="cellIs" dxfId="348" priority="14" operator="equal">
      <formula>"PASS"</formula>
    </cfRule>
    <cfRule type="cellIs" dxfId="347" priority="15" operator="equal">
      <formula>"FAIL"</formula>
    </cfRule>
    <cfRule type="cellIs" dxfId="346" priority="16" operator="equal">
      <formula>"PARTIAL"</formula>
    </cfRule>
  </conditionalFormatting>
  <conditionalFormatting sqref="M19:N38">
    <cfRule type="dataBar" priority="17">
      <dataBar>
        <cfvo type="num" val="0"/>
        <cfvo type="num" val="1"/>
        <color rgb="FF63BE7B"/>
      </dataBar>
    </cfRule>
  </conditionalFormatting>
  <conditionalFormatting sqref="M42:N65">
    <cfRule type="dataBar" priority="18">
      <dataBar>
        <cfvo type="num" val="0"/>
        <cfvo type="num" val="1"/>
        <color rgb="FF63BE7B"/>
      </dataBar>
    </cfRule>
  </conditionalFormatting>
  <hyperlinks>
    <hyperlink ref="F42" location="'DOCUMENT_FIDELITY'!A1" display="DOCUMENT_FIDELITY" xr:uid="{00000000-0004-0000-0000-000000000000}"/>
    <hyperlink ref="F43" location="'DOCUMENT_FIDELITY'!A1" display="DOCUMENT_FIDELITY" xr:uid="{00000000-0004-0000-0000-000001000000}"/>
    <hyperlink ref="F44" location="'DOCUMENT_FIDELITY'!A1" display="DOCUMENT_FIDELITY" xr:uid="{00000000-0004-0000-0000-000002000000}"/>
    <hyperlink ref="A45" location="'DASHBOARD'!A1" display="DASHBOARD" xr:uid="{00000000-0004-0000-0000-000003000000}"/>
    <hyperlink ref="F45" location="'DOCX_OOXML'!A1" display="DOCX_OOXML" xr:uid="{00000000-0004-0000-0000-000004000000}"/>
    <hyperlink ref="A46" location="'MASTER'!A1" display="MASTER" xr:uid="{00000000-0004-0000-0000-000005000000}"/>
    <hyperlink ref="F46" location="'PDF'!A1" display="PDF" xr:uid="{00000000-0004-0000-0000-000006000000}"/>
    <hyperlink ref="A47" location="'CRITICAL_FIXES'!A1" display="CRITICAL_FIXES" xr:uid="{00000000-0004-0000-0000-000007000000}"/>
    <hyperlink ref="F47" location="'EDITOR'!A1" display="EDITOR" xr:uid="{00000000-0004-0000-0000-000008000000}"/>
    <hyperlink ref="A48" location="'DOCUMENT_FIDELITY'!A1" display="DOCUMENT_FIDELITY" xr:uid="{00000000-0004-0000-0000-000009000000}"/>
    <hyperlink ref="F48" location="'FORMATTING'!A1" display="FORMATTING" xr:uid="{00000000-0004-0000-0000-00000A000000}"/>
    <hyperlink ref="A49" location="'DOCX_OOXML'!A1" display="DOCX_OOXML" xr:uid="{00000000-0004-0000-0000-00000B000000}"/>
    <hyperlink ref="F49" location="'FORMATTING'!A1" display="FORMATTING" xr:uid="{00000000-0004-0000-0000-00000C000000}"/>
    <hyperlink ref="A50" location="'PDF'!A1" display="PDF" xr:uid="{00000000-0004-0000-0000-00000D000000}"/>
    <hyperlink ref="F50" location="'AI'!A1" display="AI" xr:uid="{00000000-0004-0000-0000-00000E000000}"/>
    <hyperlink ref="A51" location="'EDITOR'!A1" display="EDITOR" xr:uid="{00000000-0004-0000-0000-00000F000000}"/>
    <hyperlink ref="F51" location="'SECURITY'!A1" display="SECURITY" xr:uid="{00000000-0004-0000-0000-000010000000}"/>
    <hyperlink ref="A52" location="'FORMATTING'!A1" display="FORMATTING" xr:uid="{00000000-0004-0000-0000-000011000000}"/>
    <hyperlink ref="F52" location="'SECURITY'!A1" display="SECURITY" xr:uid="{00000000-0004-0000-0000-000012000000}"/>
    <hyperlink ref="A53" location="'AI'!A1" display="AI" xr:uid="{00000000-0004-0000-0000-000013000000}"/>
    <hyperlink ref="F53" location="'PERFORMANCE'!A1" display="PERFORMANCE" xr:uid="{00000000-0004-0000-0000-000014000000}"/>
    <hyperlink ref="A54" location="'SECURITY'!A1" display="SECURITY" xr:uid="{00000000-0004-0000-0000-000015000000}"/>
    <hyperlink ref="F54" location="'TESTING'!A1" display="TESTING" xr:uid="{00000000-0004-0000-0000-000016000000}"/>
    <hyperlink ref="A55" location="'PERFORMANCE'!A1" display="PERFORMANCE" xr:uid="{00000000-0004-0000-0000-000017000000}"/>
    <hyperlink ref="F55" location="'PRODUCT_FEATURES'!A1" display="PRODUCT_FEATURES" xr:uid="{00000000-0004-0000-0000-000018000000}"/>
    <hyperlink ref="A56" location="'TESTING'!A1" display="TESTING" xr:uid="{00000000-0004-0000-0000-000019000000}"/>
    <hyperlink ref="F56" location="'TRANSLATION'!A1" display="TRANSLATION" xr:uid="{00000000-0004-0000-0000-00001A000000}"/>
    <hyperlink ref="A57" location="'PRODUCT_FEATURES'!A1" display="PRODUCT_FEATURES" xr:uid="{00000000-0004-0000-0000-00001B000000}"/>
    <hyperlink ref="F57" location="'TRANSLATION'!A1" display="TRANSLATION" xr:uid="{00000000-0004-0000-0000-00001C000000}"/>
    <hyperlink ref="A58" location="'TRANSLATION'!A1" display="TRANSLATION" xr:uid="{00000000-0004-0000-0000-00001D000000}"/>
    <hyperlink ref="F58" location="'PDF_TO_EDITABLE'!A1" display="PDF_TO_EDITABLE" xr:uid="{00000000-0004-0000-0000-00001E000000}"/>
    <hyperlink ref="A59" location="'PDF_TO_EDITABLE'!A1" display="PDF_TO_EDITABLE" xr:uid="{00000000-0004-0000-0000-00001F000000}"/>
    <hyperlink ref="F59" location="'BILLING_PLANS'!A1" display="BILLING_PLANS" xr:uid="{00000000-0004-0000-0000-000020000000}"/>
    <hyperlink ref="A60" location="'BILLING_PLANS'!A1" display="BILLING_PLANS" xr:uid="{00000000-0004-0000-0000-000021000000}"/>
    <hyperlink ref="F60" location="'INFRA'!A1" display="INFRA" xr:uid="{00000000-0004-0000-0000-000022000000}"/>
    <hyperlink ref="A61" location="'INFRA'!A1" display="INFRA" xr:uid="{00000000-0004-0000-0000-000023000000}"/>
    <hyperlink ref="F61" location="'INFRA'!A1" display="INFRA" xr:uid="{00000000-0004-0000-0000-000024000000}"/>
    <hyperlink ref="A62" location="'FIRST_RELEASE'!A1" display="FIRST_RELEASE" xr:uid="{00000000-0004-0000-0000-000025000000}"/>
    <hyperlink ref="F62" location="'INFRA'!A1" display="INFRA" xr:uid="{00000000-0004-0000-0000-000026000000}"/>
    <hyperlink ref="A63" location="'CHANGE_LOG'!A1" display="CHANGE_LOG" xr:uid="{00000000-0004-0000-0000-000027000000}"/>
    <hyperlink ref="F63" location="'INFRA'!A1" display="INFRA" xr:uid="{00000000-0004-0000-0000-000028000000}"/>
    <hyperlink ref="A64" location="'SESSION_STATE'!A1" display="SESSION_STATE" xr:uid="{00000000-0004-0000-0000-000029000000}"/>
    <hyperlink ref="F64" location="'INFRA'!A1" display="INFRA" xr:uid="{00000000-0004-0000-0000-00002A000000}"/>
    <hyperlink ref="A65" location="'RELEASE_GATES'!A1" display="RELEASE_GATES" xr:uid="{00000000-0004-0000-0000-00002B000000}"/>
    <hyperlink ref="F65" location="'FIRST_RELEASE'!A1" display="FIRST_RELEASE" xr:uid="{00000000-0004-0000-0000-00002C000000}"/>
  </hyperlinks>
  <pageMargins left="0.75" right="0.75" top="1" bottom="1" header="0.5" footer="0.5"/>
  <pageSetup fitToHeight="0"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1F3864"/>
    <pageSetUpPr fitToPage="1"/>
  </sheetPr>
  <dimension ref="A1:S218"/>
  <sheetViews>
    <sheetView workbookViewId="0">
      <pane xSplit="1" ySplit="1" topLeftCell="B2" activePane="bottomRight" state="frozen"/>
      <selection pane="topRight"/>
      <selection pane="bottomLeft"/>
      <selection pane="bottomRight"/>
    </sheetView>
  </sheetViews>
  <sheetFormatPr defaultRowHeight="15" x14ac:dyDescent="0.25"/>
  <cols>
    <col min="1" max="1" width="12" customWidth="1"/>
    <col min="2" max="2" width="7" customWidth="1"/>
    <col min="3" max="3" width="14" customWidth="1"/>
    <col min="4" max="4" width="42" customWidth="1"/>
    <col min="5" max="5" width="60" customWidth="1"/>
    <col min="6" max="6" width="9" customWidth="1"/>
    <col min="7" max="7" width="14" customWidth="1"/>
    <col min="8" max="8" width="45" customWidth="1"/>
    <col min="9" max="9" width="40" customWidth="1"/>
    <col min="10" max="10" width="24" customWidth="1"/>
    <col min="11" max="11" width="22" customWidth="1"/>
    <col min="12" max="12" width="9" customWidth="1"/>
    <col min="13" max="15" width="17" customWidth="1"/>
    <col min="16" max="16" width="10" customWidth="1"/>
    <col min="17" max="17" width="45" customWidth="1"/>
    <col min="18" max="18" width="11" customWidth="1"/>
    <col min="19" max="19" width="16" customWidth="1"/>
  </cols>
  <sheetData>
    <row r="1" spans="1:19" x14ac:dyDescent="0.25">
      <c r="A1" s="10" t="s">
        <v>166</v>
      </c>
      <c r="B1" s="10" t="s">
        <v>43</v>
      </c>
      <c r="C1" s="10" t="s">
        <v>100</v>
      </c>
      <c r="D1" s="10" t="s">
        <v>167</v>
      </c>
      <c r="E1" s="10" t="s">
        <v>168</v>
      </c>
      <c r="F1" s="10" t="s">
        <v>169</v>
      </c>
      <c r="G1" s="10" t="s">
        <v>57</v>
      </c>
      <c r="H1" s="10" t="s">
        <v>170</v>
      </c>
      <c r="I1" s="10" t="s">
        <v>171</v>
      </c>
      <c r="J1" s="10" t="s">
        <v>172</v>
      </c>
      <c r="K1" s="10" t="s">
        <v>173</v>
      </c>
      <c r="L1" s="10" t="s">
        <v>174</v>
      </c>
      <c r="M1" s="10" t="s">
        <v>175</v>
      </c>
      <c r="N1" s="10" t="s">
        <v>176</v>
      </c>
      <c r="O1" s="10" t="s">
        <v>15</v>
      </c>
      <c r="P1" s="10" t="s">
        <v>177</v>
      </c>
      <c r="Q1" s="10" t="s">
        <v>178</v>
      </c>
      <c r="R1" s="10" t="s">
        <v>179</v>
      </c>
      <c r="S1" s="10" t="s">
        <v>180</v>
      </c>
    </row>
    <row r="2" spans="1:19" ht="76.5" x14ac:dyDescent="0.25">
      <c r="A2" s="15" t="s">
        <v>181</v>
      </c>
      <c r="B2" s="16">
        <v>0</v>
      </c>
      <c r="C2" s="12" t="s">
        <v>144</v>
      </c>
      <c r="D2" s="18" t="s">
        <v>182</v>
      </c>
      <c r="E2" s="18" t="s">
        <v>183</v>
      </c>
      <c r="F2" s="12" t="s">
        <v>184</v>
      </c>
      <c r="G2" s="12" t="s">
        <v>78</v>
      </c>
      <c r="H2" s="18" t="s">
        <v>185</v>
      </c>
      <c r="I2" s="18" t="s">
        <v>186</v>
      </c>
      <c r="J2" s="18" t="s">
        <v>187</v>
      </c>
      <c r="K2" s="18"/>
      <c r="L2" s="12" t="s">
        <v>188</v>
      </c>
      <c r="M2" s="19">
        <v>46292.160995370366</v>
      </c>
      <c r="N2" s="19">
        <v>46292.171400462961</v>
      </c>
      <c r="O2" s="19">
        <v>46292.171400462961</v>
      </c>
      <c r="P2" s="12" t="s">
        <v>189</v>
      </c>
      <c r="Q2" s="18"/>
      <c r="R2" s="12"/>
      <c r="S2" s="12"/>
    </row>
    <row r="3" spans="1:19" ht="51" x14ac:dyDescent="0.25">
      <c r="A3" s="15" t="s">
        <v>190</v>
      </c>
      <c r="B3" s="16">
        <v>0</v>
      </c>
      <c r="C3" s="12" t="s">
        <v>144</v>
      </c>
      <c r="D3" s="18" t="s">
        <v>191</v>
      </c>
      <c r="E3" s="18" t="s">
        <v>192</v>
      </c>
      <c r="F3" s="12" t="s">
        <v>184</v>
      </c>
      <c r="G3" s="12" t="s">
        <v>78</v>
      </c>
      <c r="H3" s="18" t="s">
        <v>193</v>
      </c>
      <c r="I3" s="18" t="s">
        <v>194</v>
      </c>
      <c r="J3" s="18" t="s">
        <v>195</v>
      </c>
      <c r="K3" s="18" t="s">
        <v>181</v>
      </c>
      <c r="L3" s="12" t="s">
        <v>188</v>
      </c>
      <c r="M3" s="19">
        <v>46292.161874999998</v>
      </c>
      <c r="N3" s="19">
        <v>46292.171435185177</v>
      </c>
      <c r="O3" s="19">
        <v>46292.171435185177</v>
      </c>
      <c r="P3" s="12" t="s">
        <v>189</v>
      </c>
      <c r="Q3" s="18"/>
      <c r="R3" s="12"/>
      <c r="S3" s="12"/>
    </row>
    <row r="4" spans="1:19" ht="38.25" x14ac:dyDescent="0.25">
      <c r="A4" s="15" t="s">
        <v>196</v>
      </c>
      <c r="B4" s="16">
        <v>0</v>
      </c>
      <c r="C4" s="12" t="s">
        <v>144</v>
      </c>
      <c r="D4" s="18" t="s">
        <v>197</v>
      </c>
      <c r="E4" s="18" t="s">
        <v>198</v>
      </c>
      <c r="F4" s="12" t="s">
        <v>199</v>
      </c>
      <c r="G4" s="12" t="s">
        <v>78</v>
      </c>
      <c r="H4" s="18" t="s">
        <v>200</v>
      </c>
      <c r="I4" s="18" t="s">
        <v>201</v>
      </c>
      <c r="J4" s="18" t="s">
        <v>202</v>
      </c>
      <c r="K4" s="18"/>
      <c r="L4" s="12" t="s">
        <v>188</v>
      </c>
      <c r="M4" s="19">
        <v>46292.161030092589</v>
      </c>
      <c r="N4" s="19">
        <v>46292.171469907407</v>
      </c>
      <c r="O4" s="19">
        <v>46292.171469907407</v>
      </c>
      <c r="P4" s="12" t="s">
        <v>189</v>
      </c>
      <c r="Q4" s="18"/>
      <c r="R4" s="12"/>
      <c r="S4" s="12"/>
    </row>
    <row r="5" spans="1:19" ht="25.5" x14ac:dyDescent="0.25">
      <c r="A5" s="15" t="s">
        <v>203</v>
      </c>
      <c r="B5" s="16">
        <v>0</v>
      </c>
      <c r="C5" s="12" t="s">
        <v>72</v>
      </c>
      <c r="D5" s="18" t="s">
        <v>204</v>
      </c>
      <c r="E5" s="18" t="s">
        <v>205</v>
      </c>
      <c r="F5" s="12" t="s">
        <v>184</v>
      </c>
      <c r="G5" s="12" t="s">
        <v>78</v>
      </c>
      <c r="H5" s="18" t="s">
        <v>206</v>
      </c>
      <c r="I5" s="18" t="s">
        <v>207</v>
      </c>
      <c r="J5" s="18" t="s">
        <v>208</v>
      </c>
      <c r="K5" s="18"/>
      <c r="L5" s="12" t="s">
        <v>188</v>
      </c>
      <c r="M5" s="19">
        <v>46292.167349537027</v>
      </c>
      <c r="N5" s="19">
        <v>46292.17150462963</v>
      </c>
      <c r="O5" s="19">
        <v>46292.17150462963</v>
      </c>
      <c r="P5" s="12" t="s">
        <v>189</v>
      </c>
      <c r="Q5" s="18"/>
      <c r="R5" s="12"/>
      <c r="S5" s="12"/>
    </row>
    <row r="6" spans="1:19" ht="25.5" x14ac:dyDescent="0.25">
      <c r="A6" s="15" t="s">
        <v>209</v>
      </c>
      <c r="B6" s="16">
        <v>0</v>
      </c>
      <c r="C6" s="12" t="s">
        <v>72</v>
      </c>
      <c r="D6" s="18" t="s">
        <v>210</v>
      </c>
      <c r="E6" s="18" t="s">
        <v>211</v>
      </c>
      <c r="F6" s="12" t="s">
        <v>184</v>
      </c>
      <c r="G6" s="12" t="s">
        <v>78</v>
      </c>
      <c r="H6" s="18" t="s">
        <v>212</v>
      </c>
      <c r="I6" s="18" t="s">
        <v>213</v>
      </c>
      <c r="J6" s="18" t="s">
        <v>214</v>
      </c>
      <c r="K6" s="18"/>
      <c r="L6" s="12" t="s">
        <v>188</v>
      </c>
      <c r="M6" s="19">
        <v>46292.167395833327</v>
      </c>
      <c r="N6" s="19">
        <v>46292.171550925923</v>
      </c>
      <c r="O6" s="19">
        <v>46292.171550925923</v>
      </c>
      <c r="P6" s="12" t="s">
        <v>189</v>
      </c>
      <c r="Q6" s="18"/>
      <c r="R6" s="12"/>
      <c r="S6" s="12"/>
    </row>
    <row r="7" spans="1:19" ht="25.5" x14ac:dyDescent="0.25">
      <c r="A7" s="15" t="s">
        <v>215</v>
      </c>
      <c r="B7" s="16">
        <v>0</v>
      </c>
      <c r="C7" s="12" t="s">
        <v>72</v>
      </c>
      <c r="D7" s="18" t="s">
        <v>216</v>
      </c>
      <c r="E7" s="18" t="s">
        <v>217</v>
      </c>
      <c r="F7" s="12" t="s">
        <v>184</v>
      </c>
      <c r="G7" s="12" t="s">
        <v>78</v>
      </c>
      <c r="H7" s="18" t="s">
        <v>218</v>
      </c>
      <c r="I7" s="18" t="s">
        <v>219</v>
      </c>
      <c r="J7" s="18" t="s">
        <v>220</v>
      </c>
      <c r="K7" s="18"/>
      <c r="L7" s="12" t="s">
        <v>188</v>
      </c>
      <c r="M7" s="19">
        <v>46292.167430555557</v>
      </c>
      <c r="N7" s="19">
        <v>46292.171585648153</v>
      </c>
      <c r="O7" s="19">
        <v>46292.171585648153</v>
      </c>
      <c r="P7" s="12" t="s">
        <v>189</v>
      </c>
      <c r="Q7" s="18"/>
      <c r="R7" s="12"/>
      <c r="S7" s="12"/>
    </row>
    <row r="8" spans="1:19" ht="38.25" x14ac:dyDescent="0.25">
      <c r="A8" s="15" t="s">
        <v>221</v>
      </c>
      <c r="B8" s="16">
        <v>0</v>
      </c>
      <c r="C8" s="12" t="s">
        <v>72</v>
      </c>
      <c r="D8" s="18" t="s">
        <v>222</v>
      </c>
      <c r="E8" s="18" t="s">
        <v>223</v>
      </c>
      <c r="F8" s="12" t="s">
        <v>184</v>
      </c>
      <c r="G8" s="12" t="s">
        <v>78</v>
      </c>
      <c r="H8" s="18" t="s">
        <v>224</v>
      </c>
      <c r="I8" s="18" t="s">
        <v>225</v>
      </c>
      <c r="J8" s="18" t="s">
        <v>226</v>
      </c>
      <c r="K8" s="18"/>
      <c r="L8" s="12" t="s">
        <v>188</v>
      </c>
      <c r="M8" s="19">
        <v>46292.16746527778</v>
      </c>
      <c r="N8" s="19">
        <v>46292.171620370369</v>
      </c>
      <c r="O8" s="19">
        <v>46292.171620370369</v>
      </c>
      <c r="P8" s="12" t="s">
        <v>189</v>
      </c>
      <c r="Q8" s="18"/>
      <c r="R8" s="12"/>
      <c r="S8" s="12"/>
    </row>
    <row r="9" spans="1:19" ht="38.25" x14ac:dyDescent="0.25">
      <c r="A9" s="15" t="s">
        <v>227</v>
      </c>
      <c r="B9" s="16">
        <v>0</v>
      </c>
      <c r="C9" s="12" t="s">
        <v>124</v>
      </c>
      <c r="D9" s="18" t="s">
        <v>228</v>
      </c>
      <c r="E9" s="18" t="s">
        <v>229</v>
      </c>
      <c r="F9" s="12" t="s">
        <v>199</v>
      </c>
      <c r="G9" s="12" t="s">
        <v>78</v>
      </c>
      <c r="H9" s="18" t="s">
        <v>230</v>
      </c>
      <c r="I9" s="18" t="s">
        <v>231</v>
      </c>
      <c r="J9" s="18" t="s">
        <v>232</v>
      </c>
      <c r="K9" s="18"/>
      <c r="L9" s="12" t="s">
        <v>188</v>
      </c>
      <c r="M9" s="19">
        <v>46292.167500000003</v>
      </c>
      <c r="N9" s="19">
        <v>46292.171689814822</v>
      </c>
      <c r="O9" s="19">
        <v>46292.171689814822</v>
      </c>
      <c r="P9" s="12" t="s">
        <v>189</v>
      </c>
      <c r="Q9" s="18"/>
      <c r="R9" s="12"/>
      <c r="S9" s="12"/>
    </row>
    <row r="10" spans="1:19" ht="51" x14ac:dyDescent="0.25">
      <c r="A10" s="15" t="s">
        <v>233</v>
      </c>
      <c r="B10" s="16">
        <v>0</v>
      </c>
      <c r="C10" s="12" t="s">
        <v>144</v>
      </c>
      <c r="D10" s="18" t="s">
        <v>234</v>
      </c>
      <c r="E10" s="18" t="s">
        <v>235</v>
      </c>
      <c r="F10" s="12" t="s">
        <v>199</v>
      </c>
      <c r="G10" s="12" t="s">
        <v>78</v>
      </c>
      <c r="H10" s="18" t="s">
        <v>236</v>
      </c>
      <c r="I10" s="18" t="s">
        <v>237</v>
      </c>
      <c r="J10" s="18" t="s">
        <v>238</v>
      </c>
      <c r="K10" s="18"/>
      <c r="L10" s="12" t="s">
        <v>188</v>
      </c>
      <c r="M10" s="19">
        <v>46292.167534722219</v>
      </c>
      <c r="N10" s="19">
        <v>46292.171736111108</v>
      </c>
      <c r="O10" s="19">
        <v>46292.171736111108</v>
      </c>
      <c r="P10" s="12" t="s">
        <v>189</v>
      </c>
      <c r="Q10" s="18" t="s">
        <v>239</v>
      </c>
      <c r="R10" s="12"/>
      <c r="S10" s="12"/>
    </row>
    <row r="11" spans="1:19" ht="38.25" x14ac:dyDescent="0.25">
      <c r="A11" s="15" t="s">
        <v>240</v>
      </c>
      <c r="B11" s="16">
        <v>0</v>
      </c>
      <c r="C11" s="12" t="s">
        <v>72</v>
      </c>
      <c r="D11" s="18" t="s">
        <v>241</v>
      </c>
      <c r="E11" s="18" t="s">
        <v>242</v>
      </c>
      <c r="F11" s="12" t="s">
        <v>199</v>
      </c>
      <c r="G11" s="12" t="s">
        <v>78</v>
      </c>
      <c r="H11" s="18" t="s">
        <v>243</v>
      </c>
      <c r="I11" s="18" t="s">
        <v>244</v>
      </c>
      <c r="J11" s="18" t="s">
        <v>245</v>
      </c>
      <c r="K11" s="18"/>
      <c r="L11" s="12" t="s">
        <v>188</v>
      </c>
      <c r="M11" s="19">
        <v>46292.167569444442</v>
      </c>
      <c r="N11" s="19">
        <v>46292.171655092592</v>
      </c>
      <c r="O11" s="19">
        <v>46292.171655092592</v>
      </c>
      <c r="P11" s="12" t="s">
        <v>189</v>
      </c>
      <c r="Q11" s="18"/>
      <c r="R11" s="12"/>
      <c r="S11" s="12"/>
    </row>
    <row r="12" spans="1:19" ht="38.25" x14ac:dyDescent="0.25">
      <c r="A12" s="15" t="s">
        <v>246</v>
      </c>
      <c r="B12" s="16">
        <v>0</v>
      </c>
      <c r="C12" s="12" t="s">
        <v>155</v>
      </c>
      <c r="D12" s="18" t="s">
        <v>247</v>
      </c>
      <c r="E12" s="18" t="s">
        <v>248</v>
      </c>
      <c r="F12" s="12" t="s">
        <v>184</v>
      </c>
      <c r="G12" s="12" t="s">
        <v>78</v>
      </c>
      <c r="H12" s="18" t="s">
        <v>249</v>
      </c>
      <c r="I12" s="18" t="s">
        <v>250</v>
      </c>
      <c r="J12" s="18" t="s">
        <v>195</v>
      </c>
      <c r="K12" s="18" t="s">
        <v>251</v>
      </c>
      <c r="L12" s="12" t="s">
        <v>188</v>
      </c>
      <c r="M12" s="19">
        <v>46292.16815972222</v>
      </c>
      <c r="N12" s="19">
        <v>46292.171770833331</v>
      </c>
      <c r="O12" s="19">
        <v>46292.171770833331</v>
      </c>
      <c r="P12" s="12" t="s">
        <v>189</v>
      </c>
      <c r="Q12" s="18"/>
      <c r="R12" s="12"/>
      <c r="S12" s="12"/>
    </row>
    <row r="13" spans="1:19" ht="76.5" x14ac:dyDescent="0.25">
      <c r="A13" s="15" t="s">
        <v>252</v>
      </c>
      <c r="B13" s="16">
        <v>1</v>
      </c>
      <c r="C13" s="12" t="s">
        <v>102</v>
      </c>
      <c r="D13" s="18" t="s">
        <v>253</v>
      </c>
      <c r="E13" s="18" t="s">
        <v>254</v>
      </c>
      <c r="F13" s="12" t="s">
        <v>184</v>
      </c>
      <c r="G13" s="12" t="s">
        <v>78</v>
      </c>
      <c r="H13" s="18" t="s">
        <v>255</v>
      </c>
      <c r="I13" s="18" t="s">
        <v>256</v>
      </c>
      <c r="J13" s="18" t="s">
        <v>257</v>
      </c>
      <c r="K13" s="18"/>
      <c r="L13" s="12" t="s">
        <v>258</v>
      </c>
      <c r="M13" s="19">
        <v>46292.175925925927</v>
      </c>
      <c r="N13" s="19">
        <v>46292.196493055562</v>
      </c>
      <c r="O13" s="19">
        <v>46292.196493055562</v>
      </c>
      <c r="P13" s="12" t="s">
        <v>259</v>
      </c>
      <c r="Q13" s="18" t="s">
        <v>260</v>
      </c>
      <c r="R13" s="12"/>
      <c r="S13" s="12" t="s">
        <v>261</v>
      </c>
    </row>
    <row r="14" spans="1:19" ht="38.25" x14ac:dyDescent="0.25">
      <c r="A14" s="15" t="s">
        <v>262</v>
      </c>
      <c r="B14" s="16">
        <v>1</v>
      </c>
      <c r="C14" s="12" t="s">
        <v>102</v>
      </c>
      <c r="D14" s="18" t="s">
        <v>263</v>
      </c>
      <c r="E14" s="18" t="s">
        <v>264</v>
      </c>
      <c r="F14" s="12" t="s">
        <v>184</v>
      </c>
      <c r="G14" s="12" t="s">
        <v>78</v>
      </c>
      <c r="H14" s="18" t="s">
        <v>265</v>
      </c>
      <c r="I14" s="18" t="s">
        <v>266</v>
      </c>
      <c r="J14" s="18" t="s">
        <v>267</v>
      </c>
      <c r="K14" s="18" t="s">
        <v>252</v>
      </c>
      <c r="L14" s="12" t="s">
        <v>268</v>
      </c>
      <c r="M14" s="19">
        <v>46292.189768518518</v>
      </c>
      <c r="N14" s="19">
        <v>46292.196527777778</v>
      </c>
      <c r="O14" s="19">
        <v>46292.196527777778</v>
      </c>
      <c r="P14" s="12" t="s">
        <v>259</v>
      </c>
      <c r="Q14" s="18"/>
      <c r="R14" s="12" t="s">
        <v>252</v>
      </c>
      <c r="S14" s="12" t="s">
        <v>269</v>
      </c>
    </row>
    <row r="15" spans="1:19" ht="76.5" x14ac:dyDescent="0.25">
      <c r="A15" s="15" t="s">
        <v>270</v>
      </c>
      <c r="B15" s="16">
        <v>1</v>
      </c>
      <c r="C15" s="12" t="s">
        <v>102</v>
      </c>
      <c r="D15" s="18" t="s">
        <v>271</v>
      </c>
      <c r="E15" s="18" t="s">
        <v>272</v>
      </c>
      <c r="F15" s="12" t="s">
        <v>184</v>
      </c>
      <c r="G15" s="12" t="s">
        <v>78</v>
      </c>
      <c r="H15" s="18" t="s">
        <v>273</v>
      </c>
      <c r="I15" s="18" t="s">
        <v>274</v>
      </c>
      <c r="J15" s="18" t="s">
        <v>275</v>
      </c>
      <c r="K15" s="18" t="s">
        <v>252</v>
      </c>
      <c r="L15" s="12" t="s">
        <v>258</v>
      </c>
      <c r="M15" s="19">
        <v>46292.189803240741</v>
      </c>
      <c r="N15" s="19">
        <v>46292.196562500001</v>
      </c>
      <c r="O15" s="19">
        <v>46292.196562500001</v>
      </c>
      <c r="P15" s="12" t="s">
        <v>259</v>
      </c>
      <c r="Q15" s="18"/>
      <c r="R15" s="12" t="s">
        <v>252</v>
      </c>
      <c r="S15" s="12" t="s">
        <v>269</v>
      </c>
    </row>
    <row r="16" spans="1:19" ht="51" x14ac:dyDescent="0.25">
      <c r="A16" s="15" t="s">
        <v>276</v>
      </c>
      <c r="B16" s="16">
        <v>1</v>
      </c>
      <c r="C16" s="12" t="s">
        <v>116</v>
      </c>
      <c r="D16" s="18" t="s">
        <v>277</v>
      </c>
      <c r="E16" s="18" t="s">
        <v>278</v>
      </c>
      <c r="F16" s="12" t="s">
        <v>184</v>
      </c>
      <c r="G16" s="12" t="s">
        <v>78</v>
      </c>
      <c r="H16" s="18" t="s">
        <v>279</v>
      </c>
      <c r="I16" s="18" t="s">
        <v>280</v>
      </c>
      <c r="J16" s="18" t="s">
        <v>281</v>
      </c>
      <c r="K16" s="18" t="s">
        <v>262</v>
      </c>
      <c r="L16" s="12" t="s">
        <v>258</v>
      </c>
      <c r="M16" s="19">
        <v>46292.18990740741</v>
      </c>
      <c r="N16" s="19">
        <v>46292.196597222217</v>
      </c>
      <c r="O16" s="19">
        <v>46292.196597222217</v>
      </c>
      <c r="P16" s="12" t="s">
        <v>259</v>
      </c>
      <c r="Q16" s="18"/>
      <c r="R16" s="12"/>
      <c r="S16" s="12" t="s">
        <v>269</v>
      </c>
    </row>
    <row r="17" spans="1:19" ht="51" x14ac:dyDescent="0.25">
      <c r="A17" s="15" t="s">
        <v>282</v>
      </c>
      <c r="B17" s="16">
        <v>1</v>
      </c>
      <c r="C17" s="12" t="s">
        <v>116</v>
      </c>
      <c r="D17" s="18" t="s">
        <v>283</v>
      </c>
      <c r="E17" s="18" t="s">
        <v>284</v>
      </c>
      <c r="F17" s="12" t="s">
        <v>184</v>
      </c>
      <c r="G17" s="12" t="s">
        <v>78</v>
      </c>
      <c r="H17" s="18" t="s">
        <v>279</v>
      </c>
      <c r="I17" s="18" t="s">
        <v>280</v>
      </c>
      <c r="J17" s="18" t="s">
        <v>281</v>
      </c>
      <c r="K17" s="18" t="s">
        <v>262</v>
      </c>
      <c r="L17" s="12" t="s">
        <v>258</v>
      </c>
      <c r="M17" s="19">
        <v>46292.190300925933</v>
      </c>
      <c r="N17" s="19">
        <v>46292.196643518517</v>
      </c>
      <c r="O17" s="19">
        <v>46292.196643518517</v>
      </c>
      <c r="P17" s="12" t="s">
        <v>259</v>
      </c>
      <c r="Q17" s="18"/>
      <c r="R17" s="12"/>
      <c r="S17" s="12" t="s">
        <v>269</v>
      </c>
    </row>
    <row r="18" spans="1:19" ht="51" x14ac:dyDescent="0.25">
      <c r="A18" s="15" t="s">
        <v>285</v>
      </c>
      <c r="B18" s="16">
        <v>1</v>
      </c>
      <c r="C18" s="12" t="s">
        <v>116</v>
      </c>
      <c r="D18" s="18" t="s">
        <v>286</v>
      </c>
      <c r="E18" s="18" t="s">
        <v>287</v>
      </c>
      <c r="F18" s="12" t="s">
        <v>184</v>
      </c>
      <c r="G18" s="12" t="s">
        <v>78</v>
      </c>
      <c r="H18" s="18" t="s">
        <v>279</v>
      </c>
      <c r="I18" s="18" t="s">
        <v>280</v>
      </c>
      <c r="J18" s="18" t="s">
        <v>281</v>
      </c>
      <c r="K18" s="18" t="s">
        <v>262</v>
      </c>
      <c r="L18" s="12" t="s">
        <v>258</v>
      </c>
      <c r="M18" s="19">
        <v>46292.189988425933</v>
      </c>
      <c r="N18" s="19">
        <v>46292.19667824074</v>
      </c>
      <c r="O18" s="19">
        <v>46292.19667824074</v>
      </c>
      <c r="P18" s="12" t="s">
        <v>259</v>
      </c>
      <c r="Q18" s="18"/>
      <c r="R18" s="12"/>
      <c r="S18" s="12" t="s">
        <v>269</v>
      </c>
    </row>
    <row r="19" spans="1:19" ht="51" x14ac:dyDescent="0.25">
      <c r="A19" s="15" t="s">
        <v>288</v>
      </c>
      <c r="B19" s="16">
        <v>1</v>
      </c>
      <c r="C19" s="12" t="s">
        <v>116</v>
      </c>
      <c r="D19" s="18" t="s">
        <v>289</v>
      </c>
      <c r="E19" s="18" t="s">
        <v>290</v>
      </c>
      <c r="F19" s="12" t="s">
        <v>184</v>
      </c>
      <c r="G19" s="12" t="s">
        <v>78</v>
      </c>
      <c r="H19" s="18" t="s">
        <v>279</v>
      </c>
      <c r="I19" s="18" t="s">
        <v>280</v>
      </c>
      <c r="J19" s="18" t="s">
        <v>281</v>
      </c>
      <c r="K19" s="18" t="s">
        <v>291</v>
      </c>
      <c r="L19" s="12" t="s">
        <v>258</v>
      </c>
      <c r="M19" s="19">
        <v>46292.190023148149</v>
      </c>
      <c r="N19" s="19">
        <v>46292.196712962963</v>
      </c>
      <c r="O19" s="19">
        <v>46292.196712962963</v>
      </c>
      <c r="P19" s="12" t="s">
        <v>259</v>
      </c>
      <c r="Q19" s="18"/>
      <c r="R19" s="12"/>
      <c r="S19" s="12" t="s">
        <v>269</v>
      </c>
    </row>
    <row r="20" spans="1:19" ht="63.75" x14ac:dyDescent="0.25">
      <c r="A20" s="15" t="s">
        <v>292</v>
      </c>
      <c r="B20" s="16">
        <v>1</v>
      </c>
      <c r="C20" s="12" t="s">
        <v>116</v>
      </c>
      <c r="D20" s="18" t="s">
        <v>293</v>
      </c>
      <c r="E20" s="18" t="s">
        <v>294</v>
      </c>
      <c r="F20" s="12" t="s">
        <v>184</v>
      </c>
      <c r="G20" s="12" t="s">
        <v>78</v>
      </c>
      <c r="H20" s="18" t="s">
        <v>295</v>
      </c>
      <c r="I20" s="18" t="s">
        <v>296</v>
      </c>
      <c r="J20" s="18" t="s">
        <v>281</v>
      </c>
      <c r="K20" s="18" t="s">
        <v>288</v>
      </c>
      <c r="L20" s="12" t="s">
        <v>258</v>
      </c>
      <c r="M20" s="19">
        <v>46292.190057870372</v>
      </c>
      <c r="N20" s="19">
        <v>46292.196747685193</v>
      </c>
      <c r="O20" s="19">
        <v>46292.196747685193</v>
      </c>
      <c r="P20" s="12" t="s">
        <v>259</v>
      </c>
      <c r="Q20" s="18"/>
      <c r="R20" s="12"/>
      <c r="S20" s="12" t="s">
        <v>269</v>
      </c>
    </row>
    <row r="21" spans="1:19" ht="204" x14ac:dyDescent="0.25">
      <c r="A21" s="15" t="s">
        <v>297</v>
      </c>
      <c r="B21" s="16">
        <v>1</v>
      </c>
      <c r="C21" s="12" t="s">
        <v>116</v>
      </c>
      <c r="D21" s="18" t="s">
        <v>298</v>
      </c>
      <c r="E21" s="18" t="s">
        <v>299</v>
      </c>
      <c r="F21" s="12" t="s">
        <v>199</v>
      </c>
      <c r="G21" s="12" t="s">
        <v>78</v>
      </c>
      <c r="H21" s="18" t="s">
        <v>300</v>
      </c>
      <c r="I21" s="18" t="s">
        <v>301</v>
      </c>
      <c r="J21" s="18" t="s">
        <v>281</v>
      </c>
      <c r="K21" s="18"/>
      <c r="L21" s="12" t="s">
        <v>268</v>
      </c>
      <c r="M21" s="19">
        <v>46292.397581018522</v>
      </c>
      <c r="N21" s="19">
        <v>46292.398900462962</v>
      </c>
      <c r="O21" s="19">
        <v>46292.398900462962</v>
      </c>
      <c r="P21" s="12" t="s">
        <v>302</v>
      </c>
      <c r="Q21" s="18"/>
      <c r="R21" s="12" t="s">
        <v>292</v>
      </c>
      <c r="S21" s="12" t="s">
        <v>303</v>
      </c>
    </row>
    <row r="22" spans="1:19" ht="102" x14ac:dyDescent="0.25">
      <c r="A22" s="15" t="s">
        <v>304</v>
      </c>
      <c r="B22" s="16">
        <v>1</v>
      </c>
      <c r="C22" s="12" t="s">
        <v>116</v>
      </c>
      <c r="D22" s="18" t="s">
        <v>305</v>
      </c>
      <c r="E22" s="18" t="s">
        <v>306</v>
      </c>
      <c r="F22" s="12" t="s">
        <v>199</v>
      </c>
      <c r="G22" s="12" t="s">
        <v>78</v>
      </c>
      <c r="H22" s="18" t="s">
        <v>307</v>
      </c>
      <c r="I22" s="18" t="s">
        <v>308</v>
      </c>
      <c r="J22" s="18" t="s">
        <v>281</v>
      </c>
      <c r="K22" s="18"/>
      <c r="L22" s="12" t="s">
        <v>268</v>
      </c>
      <c r="M22" s="19">
        <v>46292.397627314807</v>
      </c>
      <c r="N22" s="19">
        <v>46292.398935185192</v>
      </c>
      <c r="O22" s="19">
        <v>46292.398935185192</v>
      </c>
      <c r="P22" s="12" t="s">
        <v>302</v>
      </c>
      <c r="Q22" s="18"/>
      <c r="R22" s="12" t="s">
        <v>292</v>
      </c>
      <c r="S22" s="12" t="s">
        <v>309</v>
      </c>
    </row>
    <row r="23" spans="1:19" ht="89.25" x14ac:dyDescent="0.25">
      <c r="A23" s="15" t="s">
        <v>310</v>
      </c>
      <c r="B23" s="16">
        <v>1</v>
      </c>
      <c r="C23" s="12" t="s">
        <v>116</v>
      </c>
      <c r="D23" s="18" t="s">
        <v>311</v>
      </c>
      <c r="E23" s="18" t="s">
        <v>312</v>
      </c>
      <c r="F23" s="12" t="s">
        <v>313</v>
      </c>
      <c r="G23" s="12" t="s">
        <v>78</v>
      </c>
      <c r="H23" s="18" t="s">
        <v>314</v>
      </c>
      <c r="I23" s="18" t="s">
        <v>315</v>
      </c>
      <c r="J23" s="18" t="s">
        <v>281</v>
      </c>
      <c r="K23" s="18"/>
      <c r="L23" s="12" t="s">
        <v>188</v>
      </c>
      <c r="M23" s="19">
        <v>46292.406631944446</v>
      </c>
      <c r="N23" s="19">
        <v>46292.41609953704</v>
      </c>
      <c r="O23" s="19">
        <v>46292.41609953704</v>
      </c>
      <c r="P23" s="12" t="s">
        <v>316</v>
      </c>
      <c r="Q23" s="18"/>
      <c r="R23" s="12" t="s">
        <v>292</v>
      </c>
      <c r="S23" s="12" t="s">
        <v>269</v>
      </c>
    </row>
    <row r="24" spans="1:19" ht="140.25" x14ac:dyDescent="0.25">
      <c r="A24" s="15" t="s">
        <v>317</v>
      </c>
      <c r="B24" s="16">
        <v>1</v>
      </c>
      <c r="C24" s="12" t="s">
        <v>116</v>
      </c>
      <c r="D24" s="18" t="s">
        <v>318</v>
      </c>
      <c r="E24" s="18" t="s">
        <v>319</v>
      </c>
      <c r="F24" s="12" t="s">
        <v>313</v>
      </c>
      <c r="G24" s="12" t="s">
        <v>78</v>
      </c>
      <c r="H24" s="18" t="s">
        <v>320</v>
      </c>
      <c r="I24" s="18" t="s">
        <v>321</v>
      </c>
      <c r="J24" s="18" t="s">
        <v>281</v>
      </c>
      <c r="K24" s="18"/>
      <c r="L24" s="12" t="s">
        <v>188</v>
      </c>
      <c r="M24" s="19">
        <v>46292.397696759261</v>
      </c>
      <c r="N24" s="19">
        <v>46292.416145833333</v>
      </c>
      <c r="O24" s="19">
        <v>46292.416145833333</v>
      </c>
      <c r="P24" s="12" t="s">
        <v>316</v>
      </c>
      <c r="Q24" s="18" t="s">
        <v>322</v>
      </c>
      <c r="R24" s="12" t="s">
        <v>292</v>
      </c>
      <c r="S24" s="12" t="s">
        <v>323</v>
      </c>
    </row>
    <row r="25" spans="1:19" ht="114.75" x14ac:dyDescent="0.25">
      <c r="A25" s="15" t="s">
        <v>324</v>
      </c>
      <c r="B25" s="16">
        <v>1</v>
      </c>
      <c r="C25" s="12" t="s">
        <v>116</v>
      </c>
      <c r="D25" s="18" t="s">
        <v>325</v>
      </c>
      <c r="E25" s="18" t="s">
        <v>326</v>
      </c>
      <c r="F25" s="12" t="s">
        <v>327</v>
      </c>
      <c r="G25" s="12" t="s">
        <v>78</v>
      </c>
      <c r="H25" s="18" t="s">
        <v>328</v>
      </c>
      <c r="I25" s="18" t="s">
        <v>329</v>
      </c>
      <c r="J25" s="18" t="s">
        <v>281</v>
      </c>
      <c r="K25" s="18"/>
      <c r="L25" s="12" t="s">
        <v>188</v>
      </c>
      <c r="M25" s="19">
        <v>46292.397662037038</v>
      </c>
      <c r="N25" s="19">
        <v>46292.398969907408</v>
      </c>
      <c r="O25" s="19">
        <v>46292.398969907408</v>
      </c>
      <c r="P25" s="12" t="s">
        <v>302</v>
      </c>
      <c r="Q25" s="18"/>
      <c r="R25" s="12" t="s">
        <v>292</v>
      </c>
      <c r="S25" s="12" t="s">
        <v>269</v>
      </c>
    </row>
    <row r="26" spans="1:19" ht="25.5" x14ac:dyDescent="0.25">
      <c r="A26" s="15" t="s">
        <v>330</v>
      </c>
      <c r="B26" s="16">
        <v>1</v>
      </c>
      <c r="C26" s="12" t="s">
        <v>116</v>
      </c>
      <c r="D26" s="18" t="s">
        <v>331</v>
      </c>
      <c r="E26" s="18" t="s">
        <v>332</v>
      </c>
      <c r="F26" s="12" t="s">
        <v>184</v>
      </c>
      <c r="G26" s="12" t="s">
        <v>78</v>
      </c>
      <c r="H26" s="18" t="s">
        <v>333</v>
      </c>
      <c r="I26" s="18" t="s">
        <v>334</v>
      </c>
      <c r="J26" s="18" t="s">
        <v>281</v>
      </c>
      <c r="K26" s="18" t="s">
        <v>292</v>
      </c>
      <c r="L26" s="12" t="s">
        <v>258</v>
      </c>
      <c r="M26" s="19">
        <v>46292.193043981482</v>
      </c>
      <c r="N26" s="19">
        <v>46292.196782407409</v>
      </c>
      <c r="O26" s="19">
        <v>46292.196782407409</v>
      </c>
      <c r="P26" s="12" t="s">
        <v>259</v>
      </c>
      <c r="Q26" s="18"/>
      <c r="R26" s="12"/>
      <c r="S26" s="12" t="s">
        <v>269</v>
      </c>
    </row>
    <row r="27" spans="1:19" ht="127.5" x14ac:dyDescent="0.25">
      <c r="A27" s="15" t="s">
        <v>335</v>
      </c>
      <c r="B27" s="16">
        <v>1</v>
      </c>
      <c r="C27" s="12" t="s">
        <v>116</v>
      </c>
      <c r="D27" s="18" t="s">
        <v>336</v>
      </c>
      <c r="E27" s="18" t="s">
        <v>337</v>
      </c>
      <c r="F27" s="12" t="s">
        <v>313</v>
      </c>
      <c r="G27" s="12" t="s">
        <v>78</v>
      </c>
      <c r="H27" s="18" t="s">
        <v>338</v>
      </c>
      <c r="I27" s="18" t="s">
        <v>339</v>
      </c>
      <c r="J27" s="18" t="s">
        <v>281</v>
      </c>
      <c r="K27" s="18"/>
      <c r="L27" s="12" t="s">
        <v>188</v>
      </c>
      <c r="M27" s="19">
        <v>46292.408773148149</v>
      </c>
      <c r="N27" s="19">
        <v>46292.416064814817</v>
      </c>
      <c r="O27" s="19">
        <v>46292.416064814817</v>
      </c>
      <c r="P27" s="12" t="s">
        <v>316</v>
      </c>
      <c r="Q27" s="18"/>
      <c r="R27" s="12"/>
      <c r="S27" s="12" t="s">
        <v>340</v>
      </c>
    </row>
    <row r="28" spans="1:19" ht="89.25" x14ac:dyDescent="0.25">
      <c r="A28" s="15" t="s">
        <v>341</v>
      </c>
      <c r="B28" s="16">
        <v>1</v>
      </c>
      <c r="C28" s="12" t="s">
        <v>109</v>
      </c>
      <c r="D28" s="18" t="s">
        <v>342</v>
      </c>
      <c r="E28" s="18" t="s">
        <v>343</v>
      </c>
      <c r="F28" s="12" t="s">
        <v>184</v>
      </c>
      <c r="G28" s="12" t="s">
        <v>78</v>
      </c>
      <c r="H28" s="18" t="s">
        <v>344</v>
      </c>
      <c r="I28" s="18" t="s">
        <v>345</v>
      </c>
      <c r="J28" s="18" t="s">
        <v>346</v>
      </c>
      <c r="K28" s="18" t="s">
        <v>270</v>
      </c>
      <c r="L28" s="12" t="s">
        <v>258</v>
      </c>
      <c r="M28" s="19">
        <v>46292.189837962957</v>
      </c>
      <c r="N28" s="19">
        <v>46292.196828703702</v>
      </c>
      <c r="O28" s="19">
        <v>46292.196828703702</v>
      </c>
      <c r="P28" s="12" t="s">
        <v>259</v>
      </c>
      <c r="Q28" s="18"/>
      <c r="R28" s="12"/>
      <c r="S28" s="12" t="s">
        <v>269</v>
      </c>
    </row>
    <row r="29" spans="1:19" ht="63.75" x14ac:dyDescent="0.25">
      <c r="A29" s="15" t="s">
        <v>347</v>
      </c>
      <c r="B29" s="16">
        <v>1</v>
      </c>
      <c r="C29" s="12" t="s">
        <v>113</v>
      </c>
      <c r="D29" s="18" t="s">
        <v>348</v>
      </c>
      <c r="E29" s="18" t="s">
        <v>349</v>
      </c>
      <c r="F29" s="12" t="s">
        <v>184</v>
      </c>
      <c r="G29" s="12" t="s">
        <v>78</v>
      </c>
      <c r="H29" s="18" t="s">
        <v>350</v>
      </c>
      <c r="I29" s="18" t="s">
        <v>351</v>
      </c>
      <c r="J29" s="18" t="s">
        <v>346</v>
      </c>
      <c r="K29" s="18" t="s">
        <v>270</v>
      </c>
      <c r="L29" s="12" t="s">
        <v>268</v>
      </c>
      <c r="M29" s="19">
        <v>46292.189872685187</v>
      </c>
      <c r="N29" s="19">
        <v>46292.196863425917</v>
      </c>
      <c r="O29" s="19">
        <v>46292.196863425917</v>
      </c>
      <c r="P29" s="12" t="s">
        <v>259</v>
      </c>
      <c r="Q29" s="18"/>
      <c r="R29" s="12"/>
      <c r="S29" s="12" t="s">
        <v>269</v>
      </c>
    </row>
    <row r="30" spans="1:19" ht="51" x14ac:dyDescent="0.25">
      <c r="A30" s="15" t="s">
        <v>352</v>
      </c>
      <c r="B30" s="16">
        <v>1</v>
      </c>
      <c r="C30" s="12" t="s">
        <v>104</v>
      </c>
      <c r="D30" s="18" t="s">
        <v>353</v>
      </c>
      <c r="E30" s="18" t="s">
        <v>354</v>
      </c>
      <c r="F30" s="12" t="s">
        <v>184</v>
      </c>
      <c r="G30" s="12" t="s">
        <v>78</v>
      </c>
      <c r="H30" s="18" t="s">
        <v>355</v>
      </c>
      <c r="I30" s="18" t="s">
        <v>356</v>
      </c>
      <c r="J30" s="18" t="s">
        <v>257</v>
      </c>
      <c r="K30" s="18"/>
      <c r="L30" s="12" t="s">
        <v>268</v>
      </c>
      <c r="M30" s="19">
        <v>46292.217905092592</v>
      </c>
      <c r="N30" s="19">
        <v>46292.219282407408</v>
      </c>
      <c r="O30" s="19">
        <v>46292.219282407408</v>
      </c>
      <c r="P30" s="12" t="s">
        <v>357</v>
      </c>
      <c r="Q30" s="18"/>
      <c r="R30" s="12"/>
      <c r="S30" s="12" t="s">
        <v>303</v>
      </c>
    </row>
    <row r="31" spans="1:19" ht="204" x14ac:dyDescent="0.25">
      <c r="A31" s="15" t="s">
        <v>358</v>
      </c>
      <c r="B31" s="16">
        <v>1</v>
      </c>
      <c r="C31" s="12" t="s">
        <v>104</v>
      </c>
      <c r="D31" s="18" t="s">
        <v>359</v>
      </c>
      <c r="E31" s="18" t="s">
        <v>360</v>
      </c>
      <c r="F31" s="12" t="s">
        <v>184</v>
      </c>
      <c r="G31" s="12" t="s">
        <v>78</v>
      </c>
      <c r="H31" s="18" t="s">
        <v>361</v>
      </c>
      <c r="I31" s="18" t="s">
        <v>362</v>
      </c>
      <c r="J31" s="18" t="s">
        <v>363</v>
      </c>
      <c r="K31" s="18" t="s">
        <v>352</v>
      </c>
      <c r="L31" s="12" t="s">
        <v>258</v>
      </c>
      <c r="M31" s="19">
        <v>46292.21802083333</v>
      </c>
      <c r="N31" s="19">
        <v>46292.376377314817</v>
      </c>
      <c r="O31" s="19">
        <v>46292.376377314817</v>
      </c>
      <c r="P31" s="12" t="s">
        <v>364</v>
      </c>
      <c r="Q31" s="18" t="s">
        <v>365</v>
      </c>
      <c r="R31" s="12" t="s">
        <v>352</v>
      </c>
      <c r="S31" s="12" t="s">
        <v>366</v>
      </c>
    </row>
    <row r="32" spans="1:19" ht="89.25" x14ac:dyDescent="0.25">
      <c r="A32" s="15" t="s">
        <v>367</v>
      </c>
      <c r="B32" s="16">
        <v>1</v>
      </c>
      <c r="C32" s="12" t="s">
        <v>104</v>
      </c>
      <c r="D32" s="18" t="s">
        <v>368</v>
      </c>
      <c r="E32" s="18" t="s">
        <v>369</v>
      </c>
      <c r="F32" s="12" t="s">
        <v>184</v>
      </c>
      <c r="G32" s="12" t="s">
        <v>78</v>
      </c>
      <c r="H32" s="18" t="s">
        <v>370</v>
      </c>
      <c r="I32" s="18" t="s">
        <v>371</v>
      </c>
      <c r="J32" s="18" t="s">
        <v>346</v>
      </c>
      <c r="K32" s="18" t="s">
        <v>352</v>
      </c>
      <c r="L32" s="12" t="s">
        <v>268</v>
      </c>
      <c r="M32" s="19">
        <v>46292.349918981483</v>
      </c>
      <c r="N32" s="19">
        <v>46292.351134259261</v>
      </c>
      <c r="O32" s="19">
        <v>46292.351134259261</v>
      </c>
      <c r="P32" s="12" t="s">
        <v>372</v>
      </c>
      <c r="Q32" s="18"/>
      <c r="R32" s="12" t="s">
        <v>352</v>
      </c>
      <c r="S32" s="12" t="s">
        <v>373</v>
      </c>
    </row>
    <row r="33" spans="1:19" ht="51" x14ac:dyDescent="0.25">
      <c r="A33" s="15" t="s">
        <v>374</v>
      </c>
      <c r="B33" s="16">
        <v>1</v>
      </c>
      <c r="C33" s="12" t="s">
        <v>104</v>
      </c>
      <c r="D33" s="18" t="s">
        <v>375</v>
      </c>
      <c r="E33" s="18" t="s">
        <v>376</v>
      </c>
      <c r="F33" s="12" t="s">
        <v>184</v>
      </c>
      <c r="G33" s="12" t="s">
        <v>78</v>
      </c>
      <c r="H33" s="18" t="s">
        <v>377</v>
      </c>
      <c r="I33" s="18" t="s">
        <v>378</v>
      </c>
      <c r="J33" s="18" t="s">
        <v>281</v>
      </c>
      <c r="K33" s="18" t="s">
        <v>358</v>
      </c>
      <c r="L33" s="12" t="s">
        <v>268</v>
      </c>
      <c r="M33" s="19">
        <v>46292.217986111107</v>
      </c>
      <c r="N33" s="19">
        <v>46292.219317129631</v>
      </c>
      <c r="O33" s="19">
        <v>46292.219317129631</v>
      </c>
      <c r="P33" s="12" t="s">
        <v>357</v>
      </c>
      <c r="Q33" s="18"/>
      <c r="R33" s="12" t="s">
        <v>352</v>
      </c>
      <c r="S33" s="12" t="s">
        <v>303</v>
      </c>
    </row>
    <row r="34" spans="1:19" ht="51" x14ac:dyDescent="0.25">
      <c r="A34" s="15" t="s">
        <v>379</v>
      </c>
      <c r="B34" s="16">
        <v>1</v>
      </c>
      <c r="C34" s="12" t="s">
        <v>104</v>
      </c>
      <c r="D34" s="18" t="s">
        <v>380</v>
      </c>
      <c r="E34" s="18" t="s">
        <v>381</v>
      </c>
      <c r="F34" s="12" t="s">
        <v>184</v>
      </c>
      <c r="G34" s="12" t="s">
        <v>78</v>
      </c>
      <c r="H34" s="18" t="s">
        <v>382</v>
      </c>
      <c r="I34" s="18" t="s">
        <v>383</v>
      </c>
      <c r="J34" s="18" t="s">
        <v>257</v>
      </c>
      <c r="K34" s="18" t="s">
        <v>352</v>
      </c>
      <c r="L34" s="12" t="s">
        <v>188</v>
      </c>
      <c r="M34" s="19">
        <v>46292.217939814807</v>
      </c>
      <c r="N34" s="19">
        <v>46292.219351851847</v>
      </c>
      <c r="O34" s="19">
        <v>46292.219351851847</v>
      </c>
      <c r="P34" s="12" t="s">
        <v>357</v>
      </c>
      <c r="Q34" s="18"/>
      <c r="R34" s="12" t="s">
        <v>352</v>
      </c>
      <c r="S34" s="12" t="s">
        <v>303</v>
      </c>
    </row>
    <row r="35" spans="1:19" ht="63.75" x14ac:dyDescent="0.25">
      <c r="A35" s="15" t="s">
        <v>384</v>
      </c>
      <c r="B35" s="16">
        <v>1</v>
      </c>
      <c r="C35" s="12" t="s">
        <v>102</v>
      </c>
      <c r="D35" s="18" t="s">
        <v>385</v>
      </c>
      <c r="E35" s="18" t="s">
        <v>386</v>
      </c>
      <c r="F35" s="12" t="s">
        <v>199</v>
      </c>
      <c r="G35" s="12" t="s">
        <v>78</v>
      </c>
      <c r="H35" s="18" t="s">
        <v>387</v>
      </c>
      <c r="I35" s="18" t="s">
        <v>388</v>
      </c>
      <c r="J35" s="18" t="s">
        <v>389</v>
      </c>
      <c r="K35" s="18" t="s">
        <v>379</v>
      </c>
      <c r="L35" s="12" t="s">
        <v>188</v>
      </c>
      <c r="M35" s="19">
        <v>46292.356574074067</v>
      </c>
      <c r="N35" s="19">
        <v>46292.357858796298</v>
      </c>
      <c r="O35" s="19">
        <v>46292.357858796298</v>
      </c>
      <c r="P35" s="12" t="s">
        <v>390</v>
      </c>
      <c r="Q35" s="18" t="s">
        <v>391</v>
      </c>
      <c r="R35" s="12"/>
      <c r="S35" s="12" t="s">
        <v>392</v>
      </c>
    </row>
    <row r="36" spans="1:19" ht="127.5" x14ac:dyDescent="0.25">
      <c r="A36" s="15" t="s">
        <v>393</v>
      </c>
      <c r="B36" s="16">
        <v>1</v>
      </c>
      <c r="C36" s="12" t="s">
        <v>72</v>
      </c>
      <c r="D36" s="18" t="s">
        <v>394</v>
      </c>
      <c r="E36" s="18" t="s">
        <v>395</v>
      </c>
      <c r="F36" s="12" t="s">
        <v>184</v>
      </c>
      <c r="G36" s="12" t="s">
        <v>78</v>
      </c>
      <c r="H36" s="18" t="s">
        <v>396</v>
      </c>
      <c r="I36" s="18" t="s">
        <v>397</v>
      </c>
      <c r="J36" s="18" t="s">
        <v>398</v>
      </c>
      <c r="K36" s="18" t="s">
        <v>399</v>
      </c>
      <c r="L36" s="12" t="s">
        <v>268</v>
      </c>
      <c r="M36" s="19">
        <v>46292.193078703713</v>
      </c>
      <c r="N36" s="19">
        <v>46292.416215277779</v>
      </c>
      <c r="O36" s="19">
        <v>46292.416215277779</v>
      </c>
      <c r="P36" s="12" t="s">
        <v>316</v>
      </c>
      <c r="Q36" s="18"/>
      <c r="R36" s="12"/>
      <c r="S36" s="12" t="s">
        <v>269</v>
      </c>
    </row>
    <row r="37" spans="1:19" ht="51" x14ac:dyDescent="0.25">
      <c r="A37" s="15" t="s">
        <v>400</v>
      </c>
      <c r="B37" s="16">
        <v>1</v>
      </c>
      <c r="C37" s="12" t="s">
        <v>144</v>
      </c>
      <c r="D37" s="18" t="s">
        <v>401</v>
      </c>
      <c r="E37" s="18" t="s">
        <v>402</v>
      </c>
      <c r="F37" s="12" t="s">
        <v>313</v>
      </c>
      <c r="G37" s="12" t="s">
        <v>78</v>
      </c>
      <c r="H37" s="18" t="s">
        <v>403</v>
      </c>
      <c r="I37" s="18" t="s">
        <v>404</v>
      </c>
      <c r="J37" s="18" t="s">
        <v>405</v>
      </c>
      <c r="K37" s="18"/>
      <c r="L37" s="12" t="s">
        <v>188</v>
      </c>
      <c r="M37" s="19">
        <v>46292.218136574083</v>
      </c>
      <c r="N37" s="19">
        <v>46292.219386574077</v>
      </c>
      <c r="O37" s="19">
        <v>46292.219386574077</v>
      </c>
      <c r="P37" s="12" t="s">
        <v>357</v>
      </c>
      <c r="Q37" s="18"/>
      <c r="R37" s="12"/>
      <c r="S37" s="12"/>
    </row>
    <row r="38" spans="1:19" ht="127.5" x14ac:dyDescent="0.25">
      <c r="A38" s="15" t="s">
        <v>406</v>
      </c>
      <c r="B38" s="16">
        <v>1</v>
      </c>
      <c r="C38" s="12" t="s">
        <v>104</v>
      </c>
      <c r="D38" s="18" t="s">
        <v>407</v>
      </c>
      <c r="E38" s="18" t="s">
        <v>408</v>
      </c>
      <c r="F38" s="12" t="s">
        <v>199</v>
      </c>
      <c r="G38" s="12" t="s">
        <v>78</v>
      </c>
      <c r="H38" s="18" t="s">
        <v>409</v>
      </c>
      <c r="I38" s="18" t="s">
        <v>410</v>
      </c>
      <c r="J38" s="18" t="s">
        <v>363</v>
      </c>
      <c r="K38" s="18" t="s">
        <v>352</v>
      </c>
      <c r="L38" s="12" t="s">
        <v>268</v>
      </c>
      <c r="M38" s="19">
        <v>46292.406701388893</v>
      </c>
      <c r="N38" s="19">
        <v>46292.416180555563</v>
      </c>
      <c r="O38" s="19">
        <v>46292.416180555563</v>
      </c>
      <c r="P38" s="12" t="s">
        <v>316</v>
      </c>
      <c r="Q38" s="18" t="s">
        <v>411</v>
      </c>
      <c r="R38" s="12"/>
      <c r="S38" s="12"/>
    </row>
    <row r="39" spans="1:19" ht="165.75" x14ac:dyDescent="0.25">
      <c r="A39" s="15" t="s">
        <v>412</v>
      </c>
      <c r="B39" s="16">
        <v>2</v>
      </c>
      <c r="C39" s="12" t="s">
        <v>122</v>
      </c>
      <c r="D39" s="18" t="s">
        <v>413</v>
      </c>
      <c r="E39" s="18" t="s">
        <v>414</v>
      </c>
      <c r="F39" s="12" t="s">
        <v>184</v>
      </c>
      <c r="G39" s="12" t="s">
        <v>78</v>
      </c>
      <c r="H39" s="18" t="s">
        <v>415</v>
      </c>
      <c r="I39" s="18" t="s">
        <v>416</v>
      </c>
      <c r="J39" s="18" t="s">
        <v>417</v>
      </c>
      <c r="K39" s="18"/>
      <c r="L39" s="12" t="s">
        <v>258</v>
      </c>
      <c r="M39" s="19">
        <v>46292.218055555553</v>
      </c>
      <c r="N39" s="19">
        <v>46292.605937499997</v>
      </c>
      <c r="O39" s="19">
        <v>46292.605937499997</v>
      </c>
      <c r="P39" s="12" t="s">
        <v>418</v>
      </c>
      <c r="Q39" s="18" t="s">
        <v>419</v>
      </c>
      <c r="R39" s="12"/>
      <c r="S39" s="12" t="s">
        <v>420</v>
      </c>
    </row>
    <row r="40" spans="1:19" ht="114.75" x14ac:dyDescent="0.25">
      <c r="A40" s="15" t="s">
        <v>421</v>
      </c>
      <c r="B40" s="16">
        <v>2</v>
      </c>
      <c r="C40" s="12" t="s">
        <v>122</v>
      </c>
      <c r="D40" s="18" t="s">
        <v>422</v>
      </c>
      <c r="E40" s="18" t="s">
        <v>423</v>
      </c>
      <c r="F40" s="12" t="s">
        <v>184</v>
      </c>
      <c r="G40" s="12" t="s">
        <v>78</v>
      </c>
      <c r="H40" s="18" t="s">
        <v>424</v>
      </c>
      <c r="I40" s="18" t="s">
        <v>425</v>
      </c>
      <c r="J40" s="18" t="s">
        <v>417</v>
      </c>
      <c r="K40" s="18" t="s">
        <v>412</v>
      </c>
      <c r="L40" s="12" t="s">
        <v>258</v>
      </c>
      <c r="M40" s="19">
        <v>46292.605706018519</v>
      </c>
      <c r="N40" s="19">
        <v>46292.60597222222</v>
      </c>
      <c r="O40" s="19">
        <v>46292.60597222222</v>
      </c>
      <c r="P40" s="12" t="s">
        <v>418</v>
      </c>
      <c r="Q40" s="18" t="s">
        <v>426</v>
      </c>
      <c r="R40" s="12" t="s">
        <v>412</v>
      </c>
      <c r="S40" s="12" t="s">
        <v>420</v>
      </c>
    </row>
    <row r="41" spans="1:19" ht="127.5" x14ac:dyDescent="0.25">
      <c r="A41" s="15" t="s">
        <v>427</v>
      </c>
      <c r="B41" s="16">
        <v>2</v>
      </c>
      <c r="C41" s="12" t="s">
        <v>122</v>
      </c>
      <c r="D41" s="18" t="s">
        <v>428</v>
      </c>
      <c r="E41" s="18" t="s">
        <v>429</v>
      </c>
      <c r="F41" s="12" t="s">
        <v>184</v>
      </c>
      <c r="G41" s="12" t="s">
        <v>78</v>
      </c>
      <c r="H41" s="18" t="s">
        <v>430</v>
      </c>
      <c r="I41" s="18" t="s">
        <v>431</v>
      </c>
      <c r="J41" s="18" t="s">
        <v>417</v>
      </c>
      <c r="K41" s="18" t="s">
        <v>412</v>
      </c>
      <c r="L41" s="12" t="s">
        <v>268</v>
      </c>
      <c r="M41" s="19">
        <v>46292.605740740742</v>
      </c>
      <c r="N41" s="19">
        <v>46292.60601851852</v>
      </c>
      <c r="O41" s="19">
        <v>46292.60601851852</v>
      </c>
      <c r="P41" s="12" t="s">
        <v>418</v>
      </c>
      <c r="Q41" s="18"/>
      <c r="R41" s="12" t="s">
        <v>412</v>
      </c>
      <c r="S41" s="12" t="s">
        <v>420</v>
      </c>
    </row>
    <row r="42" spans="1:19" ht="102" x14ac:dyDescent="0.25">
      <c r="A42" s="15" t="s">
        <v>432</v>
      </c>
      <c r="B42" s="16">
        <v>2</v>
      </c>
      <c r="C42" s="12" t="s">
        <v>122</v>
      </c>
      <c r="D42" s="18" t="s">
        <v>433</v>
      </c>
      <c r="E42" s="18" t="s">
        <v>434</v>
      </c>
      <c r="F42" s="12" t="s">
        <v>184</v>
      </c>
      <c r="G42" s="12" t="s">
        <v>78</v>
      </c>
      <c r="H42" s="18" t="s">
        <v>435</v>
      </c>
      <c r="I42" s="18" t="s">
        <v>436</v>
      </c>
      <c r="J42" s="18" t="s">
        <v>208</v>
      </c>
      <c r="K42" s="18" t="s">
        <v>427</v>
      </c>
      <c r="L42" s="12" t="s">
        <v>188</v>
      </c>
      <c r="M42" s="19">
        <v>46292.605787037042</v>
      </c>
      <c r="N42" s="19">
        <v>46292.606053240743</v>
      </c>
      <c r="O42" s="19">
        <v>46292.606053240743</v>
      </c>
      <c r="P42" s="12" t="s">
        <v>418</v>
      </c>
      <c r="Q42" s="18"/>
      <c r="R42" s="12" t="s">
        <v>412</v>
      </c>
      <c r="S42" s="12" t="s">
        <v>420</v>
      </c>
    </row>
    <row r="43" spans="1:19" ht="140.25" x14ac:dyDescent="0.25">
      <c r="A43" s="15" t="s">
        <v>437</v>
      </c>
      <c r="B43" s="16">
        <v>2</v>
      </c>
      <c r="C43" s="12" t="s">
        <v>122</v>
      </c>
      <c r="D43" s="18" t="s">
        <v>438</v>
      </c>
      <c r="E43" s="18" t="s">
        <v>439</v>
      </c>
      <c r="F43" s="12" t="s">
        <v>184</v>
      </c>
      <c r="G43" s="12" t="s">
        <v>78</v>
      </c>
      <c r="H43" s="18" t="s">
        <v>440</v>
      </c>
      <c r="I43" s="18" t="s">
        <v>441</v>
      </c>
      <c r="J43" s="18" t="s">
        <v>417</v>
      </c>
      <c r="K43" s="18"/>
      <c r="L43" s="12" t="s">
        <v>268</v>
      </c>
      <c r="M43" s="19">
        <v>46292.606134259258</v>
      </c>
      <c r="N43" s="19">
        <v>46292.606504629628</v>
      </c>
      <c r="O43" s="19">
        <v>46292.606504629628</v>
      </c>
      <c r="P43" s="12" t="s">
        <v>442</v>
      </c>
      <c r="Q43" s="18"/>
      <c r="R43" s="12"/>
      <c r="S43" s="12" t="s">
        <v>443</v>
      </c>
    </row>
    <row r="44" spans="1:19" ht="153" x14ac:dyDescent="0.25">
      <c r="A44" s="15" t="s">
        <v>444</v>
      </c>
      <c r="B44" s="16">
        <v>2</v>
      </c>
      <c r="C44" s="12" t="s">
        <v>122</v>
      </c>
      <c r="D44" s="18" t="s">
        <v>445</v>
      </c>
      <c r="E44" s="18" t="s">
        <v>446</v>
      </c>
      <c r="F44" s="12" t="s">
        <v>184</v>
      </c>
      <c r="G44" s="12" t="s">
        <v>78</v>
      </c>
      <c r="H44" s="18" t="s">
        <v>447</v>
      </c>
      <c r="I44" s="18" t="s">
        <v>448</v>
      </c>
      <c r="J44" s="18" t="s">
        <v>449</v>
      </c>
      <c r="K44" s="18" t="s">
        <v>450</v>
      </c>
      <c r="L44" s="12" t="s">
        <v>258</v>
      </c>
      <c r="M44" s="19">
        <v>46292.606215277781</v>
      </c>
      <c r="N44" s="19">
        <v>46292.606585648151</v>
      </c>
      <c r="O44" s="19">
        <v>46292.606585648151</v>
      </c>
      <c r="P44" s="12" t="s">
        <v>442</v>
      </c>
      <c r="Q44" s="18"/>
      <c r="R44" s="12" t="s">
        <v>437</v>
      </c>
      <c r="S44" s="12" t="s">
        <v>443</v>
      </c>
    </row>
    <row r="45" spans="1:19" ht="102" x14ac:dyDescent="0.25">
      <c r="A45" s="15" t="s">
        <v>451</v>
      </c>
      <c r="B45" s="16">
        <v>2</v>
      </c>
      <c r="C45" s="12" t="s">
        <v>122</v>
      </c>
      <c r="D45" s="18" t="s">
        <v>452</v>
      </c>
      <c r="E45" s="18" t="s">
        <v>453</v>
      </c>
      <c r="F45" s="12" t="s">
        <v>184</v>
      </c>
      <c r="G45" s="12" t="s">
        <v>78</v>
      </c>
      <c r="H45" s="18" t="s">
        <v>454</v>
      </c>
      <c r="I45" s="18" t="s">
        <v>455</v>
      </c>
      <c r="J45" s="18" t="s">
        <v>281</v>
      </c>
      <c r="K45" s="18" t="s">
        <v>444</v>
      </c>
      <c r="L45" s="12" t="s">
        <v>268</v>
      </c>
      <c r="M45" s="19">
        <v>46292.606261574067</v>
      </c>
      <c r="N45" s="19">
        <v>46292.606620370367</v>
      </c>
      <c r="O45" s="19">
        <v>46292.606620370367</v>
      </c>
      <c r="P45" s="12" t="s">
        <v>442</v>
      </c>
      <c r="Q45" s="18"/>
      <c r="R45" s="12" t="s">
        <v>444</v>
      </c>
      <c r="S45" s="12" t="s">
        <v>443</v>
      </c>
    </row>
    <row r="46" spans="1:19" ht="178.5" x14ac:dyDescent="0.25">
      <c r="A46" s="15" t="s">
        <v>456</v>
      </c>
      <c r="B46" s="16">
        <v>2</v>
      </c>
      <c r="C46" s="12" t="s">
        <v>122</v>
      </c>
      <c r="D46" s="18" t="s">
        <v>457</v>
      </c>
      <c r="E46" s="18" t="s">
        <v>458</v>
      </c>
      <c r="F46" s="12" t="s">
        <v>199</v>
      </c>
      <c r="G46" s="12" t="s">
        <v>78</v>
      </c>
      <c r="H46" s="18" t="s">
        <v>459</v>
      </c>
      <c r="I46" s="18" t="s">
        <v>460</v>
      </c>
      <c r="J46" s="18" t="s">
        <v>417</v>
      </c>
      <c r="K46" s="18"/>
      <c r="L46" s="12" t="s">
        <v>268</v>
      </c>
      <c r="M46" s="19">
        <v>46292.60670138889</v>
      </c>
      <c r="N46" s="19">
        <v>46292.606782407413</v>
      </c>
      <c r="O46" s="19">
        <v>46292.606782407413</v>
      </c>
      <c r="P46" s="12" t="s">
        <v>461</v>
      </c>
      <c r="Q46" s="18"/>
      <c r="R46" s="12"/>
      <c r="S46" s="12" t="s">
        <v>420</v>
      </c>
    </row>
    <row r="47" spans="1:19" ht="191.25" x14ac:dyDescent="0.25">
      <c r="A47" s="15" t="s">
        <v>462</v>
      </c>
      <c r="B47" s="16">
        <v>2</v>
      </c>
      <c r="C47" s="12" t="s">
        <v>122</v>
      </c>
      <c r="D47" s="18" t="s">
        <v>463</v>
      </c>
      <c r="E47" s="18" t="s">
        <v>464</v>
      </c>
      <c r="F47" s="12" t="s">
        <v>199</v>
      </c>
      <c r="G47" s="12" t="s">
        <v>78</v>
      </c>
      <c r="H47" s="18" t="s">
        <v>465</v>
      </c>
      <c r="I47" s="18" t="s">
        <v>466</v>
      </c>
      <c r="J47" s="18" t="s">
        <v>417</v>
      </c>
      <c r="K47" s="18"/>
      <c r="L47" s="12" t="s">
        <v>268</v>
      </c>
      <c r="M47" s="19">
        <v>46292.606863425928</v>
      </c>
      <c r="N47" s="19">
        <v>46292.606979166667</v>
      </c>
      <c r="O47" s="19">
        <v>46292.606979166667</v>
      </c>
      <c r="P47" s="12" t="s">
        <v>467</v>
      </c>
      <c r="Q47" s="18"/>
      <c r="R47" s="12"/>
      <c r="S47" s="12"/>
    </row>
    <row r="48" spans="1:19" ht="89.25" x14ac:dyDescent="0.25">
      <c r="A48" s="15" t="s">
        <v>468</v>
      </c>
      <c r="B48" s="16">
        <v>2</v>
      </c>
      <c r="C48" s="12" t="s">
        <v>106</v>
      </c>
      <c r="D48" s="18" t="s">
        <v>469</v>
      </c>
      <c r="E48" s="18" t="s">
        <v>470</v>
      </c>
      <c r="F48" s="12" t="s">
        <v>184</v>
      </c>
      <c r="G48" s="12" t="s">
        <v>78</v>
      </c>
      <c r="H48" s="18" t="s">
        <v>471</v>
      </c>
      <c r="I48" s="18" t="s">
        <v>472</v>
      </c>
      <c r="J48" s="18" t="s">
        <v>257</v>
      </c>
      <c r="K48" s="18"/>
      <c r="L48" s="12" t="s">
        <v>268</v>
      </c>
      <c r="M48" s="19">
        <v>46292.606180555558</v>
      </c>
      <c r="N48" s="19">
        <v>46292.606539351851</v>
      </c>
      <c r="O48" s="19">
        <v>46292.606539351851</v>
      </c>
      <c r="P48" s="12" t="s">
        <v>442</v>
      </c>
      <c r="Q48" s="18"/>
      <c r="R48" s="12"/>
      <c r="S48" s="12" t="s">
        <v>443</v>
      </c>
    </row>
    <row r="49" spans="1:19" ht="102" x14ac:dyDescent="0.25">
      <c r="A49" s="15" t="s">
        <v>473</v>
      </c>
      <c r="B49" s="16">
        <v>2</v>
      </c>
      <c r="C49" s="12" t="s">
        <v>102</v>
      </c>
      <c r="D49" s="18" t="s">
        <v>474</v>
      </c>
      <c r="E49" s="18" t="s">
        <v>475</v>
      </c>
      <c r="F49" s="12" t="s">
        <v>199</v>
      </c>
      <c r="G49" s="12" t="s">
        <v>84</v>
      </c>
      <c r="H49" s="18"/>
      <c r="I49" s="18"/>
      <c r="J49" s="18" t="s">
        <v>449</v>
      </c>
      <c r="K49" s="18" t="s">
        <v>468</v>
      </c>
      <c r="L49" s="12" t="s">
        <v>268</v>
      </c>
      <c r="M49" s="19">
        <v>46292.606296296297</v>
      </c>
      <c r="N49" s="19"/>
      <c r="O49" s="19"/>
      <c r="P49" s="12"/>
      <c r="Q49" s="18" t="s">
        <v>476</v>
      </c>
      <c r="R49" s="12"/>
      <c r="S49" s="12" t="s">
        <v>443</v>
      </c>
    </row>
    <row r="50" spans="1:19" ht="114.75" x14ac:dyDescent="0.25">
      <c r="A50" s="15" t="s">
        <v>477</v>
      </c>
      <c r="B50" s="16">
        <v>3</v>
      </c>
      <c r="C50" s="12" t="s">
        <v>109</v>
      </c>
      <c r="D50" s="18" t="s">
        <v>478</v>
      </c>
      <c r="E50" s="18" t="s">
        <v>479</v>
      </c>
      <c r="F50" s="12" t="s">
        <v>184</v>
      </c>
      <c r="G50" s="12" t="s">
        <v>78</v>
      </c>
      <c r="H50" s="18" t="s">
        <v>480</v>
      </c>
      <c r="I50" s="18" t="s">
        <v>481</v>
      </c>
      <c r="J50" s="18" t="s">
        <v>482</v>
      </c>
      <c r="K50" s="18"/>
      <c r="L50" s="12" t="s">
        <v>268</v>
      </c>
      <c r="M50" s="19">
        <v>46292.607222222221</v>
      </c>
      <c r="N50" s="19">
        <v>46292.607546296298</v>
      </c>
      <c r="O50" s="19">
        <v>46292.607546296298</v>
      </c>
      <c r="P50" s="12" t="s">
        <v>483</v>
      </c>
      <c r="Q50" s="18" t="s">
        <v>484</v>
      </c>
      <c r="R50" s="12"/>
      <c r="S50" s="12" t="s">
        <v>485</v>
      </c>
    </row>
    <row r="51" spans="1:19" ht="229.5" x14ac:dyDescent="0.25">
      <c r="A51" s="15" t="s">
        <v>486</v>
      </c>
      <c r="B51" s="16">
        <v>3</v>
      </c>
      <c r="C51" s="12" t="s">
        <v>109</v>
      </c>
      <c r="D51" s="18" t="s">
        <v>487</v>
      </c>
      <c r="E51" s="18" t="s">
        <v>488</v>
      </c>
      <c r="F51" s="12" t="s">
        <v>184</v>
      </c>
      <c r="G51" s="12" t="s">
        <v>78</v>
      </c>
      <c r="H51" s="18" t="s">
        <v>489</v>
      </c>
      <c r="I51" s="18" t="s">
        <v>490</v>
      </c>
      <c r="J51" s="18" t="s">
        <v>346</v>
      </c>
      <c r="K51" s="18" t="s">
        <v>477</v>
      </c>
      <c r="L51" s="12" t="s">
        <v>258</v>
      </c>
      <c r="M51" s="19">
        <v>46292.607268518521</v>
      </c>
      <c r="N51" s="19">
        <v>46292.607581018521</v>
      </c>
      <c r="O51" s="19">
        <v>46292.607581018521</v>
      </c>
      <c r="P51" s="12" t="s">
        <v>483</v>
      </c>
      <c r="Q51" s="18" t="s">
        <v>491</v>
      </c>
      <c r="R51" s="12" t="s">
        <v>477</v>
      </c>
      <c r="S51" s="12" t="s">
        <v>485</v>
      </c>
    </row>
    <row r="52" spans="1:19" ht="140.25" x14ac:dyDescent="0.25">
      <c r="A52" s="15" t="s">
        <v>492</v>
      </c>
      <c r="B52" s="16">
        <v>3</v>
      </c>
      <c r="C52" s="12" t="s">
        <v>109</v>
      </c>
      <c r="D52" s="18" t="s">
        <v>493</v>
      </c>
      <c r="E52" s="18" t="s">
        <v>494</v>
      </c>
      <c r="F52" s="12" t="s">
        <v>184</v>
      </c>
      <c r="G52" s="12" t="s">
        <v>78</v>
      </c>
      <c r="H52" s="18" t="s">
        <v>495</v>
      </c>
      <c r="I52" s="18" t="s">
        <v>496</v>
      </c>
      <c r="J52" s="18" t="s">
        <v>346</v>
      </c>
      <c r="K52" s="18" t="s">
        <v>477</v>
      </c>
      <c r="L52" s="12" t="s">
        <v>268</v>
      </c>
      <c r="M52" s="19">
        <v>46292.374016203707</v>
      </c>
      <c r="N52" s="19">
        <v>46292.607627314806</v>
      </c>
      <c r="O52" s="19">
        <v>46292.607627314806</v>
      </c>
      <c r="P52" s="12" t="s">
        <v>483</v>
      </c>
      <c r="Q52" s="18" t="s">
        <v>497</v>
      </c>
      <c r="R52" s="12"/>
      <c r="S52" s="12" t="s">
        <v>498</v>
      </c>
    </row>
    <row r="53" spans="1:19" ht="293.25" x14ac:dyDescent="0.25">
      <c r="A53" s="15" t="s">
        <v>499</v>
      </c>
      <c r="B53" s="16">
        <v>3</v>
      </c>
      <c r="C53" s="12" t="s">
        <v>109</v>
      </c>
      <c r="D53" s="18" t="s">
        <v>500</v>
      </c>
      <c r="E53" s="18" t="s">
        <v>501</v>
      </c>
      <c r="F53" s="12" t="s">
        <v>184</v>
      </c>
      <c r="G53" s="12" t="s">
        <v>78</v>
      </c>
      <c r="H53" s="18" t="s">
        <v>502</v>
      </c>
      <c r="I53" s="18" t="s">
        <v>503</v>
      </c>
      <c r="J53" s="18" t="s">
        <v>504</v>
      </c>
      <c r="K53" s="18" t="s">
        <v>486</v>
      </c>
      <c r="L53" s="12" t="s">
        <v>258</v>
      </c>
      <c r="M53" s="19">
        <v>46292.807187500002</v>
      </c>
      <c r="N53" s="19">
        <v>46292.818067129629</v>
      </c>
      <c r="O53" s="19">
        <v>46292.818067129629</v>
      </c>
      <c r="P53" s="12" t="s">
        <v>505</v>
      </c>
      <c r="Q53" s="18" t="s">
        <v>506</v>
      </c>
      <c r="R53" s="12"/>
      <c r="S53" s="12" t="s">
        <v>303</v>
      </c>
    </row>
    <row r="54" spans="1:19" ht="306" x14ac:dyDescent="0.25">
      <c r="A54" s="15" t="s">
        <v>507</v>
      </c>
      <c r="B54" s="16">
        <v>3</v>
      </c>
      <c r="C54" s="12" t="s">
        <v>109</v>
      </c>
      <c r="D54" s="18" t="s">
        <v>508</v>
      </c>
      <c r="E54" s="18" t="s">
        <v>509</v>
      </c>
      <c r="F54" s="12" t="s">
        <v>199</v>
      </c>
      <c r="G54" s="12" t="s">
        <v>78</v>
      </c>
      <c r="H54" s="18" t="s">
        <v>510</v>
      </c>
      <c r="I54" s="18" t="s">
        <v>511</v>
      </c>
      <c r="J54" s="18" t="s">
        <v>504</v>
      </c>
      <c r="K54" s="18" t="s">
        <v>486</v>
      </c>
      <c r="L54" s="12" t="s">
        <v>268</v>
      </c>
      <c r="M54" s="19">
        <v>46292.826909722222</v>
      </c>
      <c r="N54" s="19">
        <v>46292.834537037037</v>
      </c>
      <c r="O54" s="19">
        <v>46292.834537037037</v>
      </c>
      <c r="P54" s="12" t="s">
        <v>512</v>
      </c>
      <c r="Q54" s="18" t="s">
        <v>513</v>
      </c>
      <c r="R54" s="12"/>
      <c r="S54" s="12" t="s">
        <v>303</v>
      </c>
    </row>
    <row r="55" spans="1:19" ht="267.75" x14ac:dyDescent="0.25">
      <c r="A55" s="15" t="s">
        <v>514</v>
      </c>
      <c r="B55" s="16">
        <v>3</v>
      </c>
      <c r="C55" s="12" t="s">
        <v>109</v>
      </c>
      <c r="D55" s="18" t="s">
        <v>515</v>
      </c>
      <c r="E55" s="18" t="s">
        <v>516</v>
      </c>
      <c r="F55" s="12" t="s">
        <v>184</v>
      </c>
      <c r="G55" s="12" t="s">
        <v>78</v>
      </c>
      <c r="H55" s="18" t="s">
        <v>517</v>
      </c>
      <c r="I55" s="18" t="s">
        <v>518</v>
      </c>
      <c r="J55" s="18" t="s">
        <v>519</v>
      </c>
      <c r="K55" s="18" t="s">
        <v>486</v>
      </c>
      <c r="L55" s="12" t="s">
        <v>258</v>
      </c>
      <c r="M55" s="19">
        <v>46292.373935185176</v>
      </c>
      <c r="N55" s="19">
        <v>46294.65284722222</v>
      </c>
      <c r="O55" s="19">
        <v>46294.65284722222</v>
      </c>
      <c r="P55" s="12" t="s">
        <v>520</v>
      </c>
      <c r="Q55" s="18" t="s">
        <v>521</v>
      </c>
      <c r="R55" s="12"/>
      <c r="S55" s="12" t="s">
        <v>303</v>
      </c>
    </row>
    <row r="56" spans="1:19" ht="89.25" x14ac:dyDescent="0.25">
      <c r="A56" s="15" t="s">
        <v>522</v>
      </c>
      <c r="B56" s="16">
        <v>3</v>
      </c>
      <c r="C56" s="12" t="s">
        <v>109</v>
      </c>
      <c r="D56" s="18" t="s">
        <v>523</v>
      </c>
      <c r="E56" s="18" t="s">
        <v>524</v>
      </c>
      <c r="F56" s="12" t="s">
        <v>313</v>
      </c>
      <c r="G56" s="12" t="s">
        <v>78</v>
      </c>
      <c r="H56" s="18" t="s">
        <v>525</v>
      </c>
      <c r="I56" s="18" t="s">
        <v>526</v>
      </c>
      <c r="J56" s="18" t="s">
        <v>519</v>
      </c>
      <c r="K56" s="18"/>
      <c r="L56" s="12" t="s">
        <v>188</v>
      </c>
      <c r="M56" s="19">
        <v>46302.368518518517</v>
      </c>
      <c r="N56" s="19">
        <v>46302.368518518517</v>
      </c>
      <c r="O56" s="19">
        <v>46302.368518518517</v>
      </c>
      <c r="P56" s="12" t="s">
        <v>527</v>
      </c>
      <c r="Q56" s="18" t="s">
        <v>528</v>
      </c>
      <c r="R56" s="12" t="s">
        <v>514</v>
      </c>
      <c r="S56" s="12" t="s">
        <v>303</v>
      </c>
    </row>
    <row r="57" spans="1:19" ht="140.25" x14ac:dyDescent="0.25">
      <c r="A57" s="15" t="s">
        <v>529</v>
      </c>
      <c r="B57" s="16">
        <v>3</v>
      </c>
      <c r="C57" s="12" t="s">
        <v>116</v>
      </c>
      <c r="D57" s="18" t="s">
        <v>530</v>
      </c>
      <c r="E57" s="18" t="s">
        <v>531</v>
      </c>
      <c r="F57" s="12" t="s">
        <v>313</v>
      </c>
      <c r="G57" s="12" t="s">
        <v>84</v>
      </c>
      <c r="H57" s="18"/>
      <c r="I57" s="18"/>
      <c r="J57" s="18" t="s">
        <v>519</v>
      </c>
      <c r="K57" s="18"/>
      <c r="L57" s="12" t="s">
        <v>268</v>
      </c>
      <c r="M57" s="19"/>
      <c r="N57" s="19"/>
      <c r="O57" s="19"/>
      <c r="P57" s="12"/>
      <c r="Q57" s="18" t="s">
        <v>532</v>
      </c>
      <c r="R57" s="12" t="s">
        <v>514</v>
      </c>
      <c r="S57" s="12" t="s">
        <v>303</v>
      </c>
    </row>
    <row r="58" spans="1:19" ht="102" x14ac:dyDescent="0.25">
      <c r="A58" s="15" t="s">
        <v>533</v>
      </c>
      <c r="B58" s="16">
        <v>3</v>
      </c>
      <c r="C58" s="12" t="s">
        <v>116</v>
      </c>
      <c r="D58" s="18" t="s">
        <v>534</v>
      </c>
      <c r="E58" s="18" t="s">
        <v>535</v>
      </c>
      <c r="F58" s="12" t="s">
        <v>313</v>
      </c>
      <c r="G58" s="12" t="s">
        <v>78</v>
      </c>
      <c r="H58" s="18" t="s">
        <v>536</v>
      </c>
      <c r="I58" s="18" t="s">
        <v>537</v>
      </c>
      <c r="J58" s="18" t="s">
        <v>519</v>
      </c>
      <c r="K58" s="18"/>
      <c r="L58" s="12" t="s">
        <v>188</v>
      </c>
      <c r="M58" s="19">
        <v>46302.368807870371</v>
      </c>
      <c r="N58" s="19">
        <v>46302.368807870371</v>
      </c>
      <c r="O58" s="19">
        <v>46302.368807870371</v>
      </c>
      <c r="P58" s="12" t="s">
        <v>538</v>
      </c>
      <c r="Q58" s="18" t="s">
        <v>539</v>
      </c>
      <c r="R58" s="12" t="s">
        <v>514</v>
      </c>
      <c r="S58" s="12" t="s">
        <v>303</v>
      </c>
    </row>
    <row r="59" spans="1:19" ht="242.25" x14ac:dyDescent="0.25">
      <c r="A59" s="15" t="s">
        <v>540</v>
      </c>
      <c r="B59" s="16">
        <v>3</v>
      </c>
      <c r="C59" s="12" t="s">
        <v>109</v>
      </c>
      <c r="D59" s="18" t="s">
        <v>541</v>
      </c>
      <c r="E59" s="18" t="s">
        <v>542</v>
      </c>
      <c r="F59" s="12" t="s">
        <v>184</v>
      </c>
      <c r="G59" s="12" t="s">
        <v>78</v>
      </c>
      <c r="H59" s="18" t="s">
        <v>543</v>
      </c>
      <c r="I59" s="18" t="s">
        <v>544</v>
      </c>
      <c r="J59" s="18" t="s">
        <v>519</v>
      </c>
      <c r="K59" s="18" t="s">
        <v>486</v>
      </c>
      <c r="L59" s="12" t="s">
        <v>258</v>
      </c>
      <c r="M59" s="19">
        <v>46292.373981481483</v>
      </c>
      <c r="N59" s="19">
        <v>46294.696053240739</v>
      </c>
      <c r="O59" s="19">
        <v>46294.696053240739</v>
      </c>
      <c r="P59" s="12" t="s">
        <v>545</v>
      </c>
      <c r="Q59" s="18" t="s">
        <v>546</v>
      </c>
      <c r="R59" s="12"/>
      <c r="S59" s="12" t="s">
        <v>547</v>
      </c>
    </row>
    <row r="60" spans="1:19" ht="408" x14ac:dyDescent="0.25">
      <c r="A60" s="15" t="s">
        <v>548</v>
      </c>
      <c r="B60" s="16">
        <v>3</v>
      </c>
      <c r="C60" s="12" t="s">
        <v>109</v>
      </c>
      <c r="D60" s="18" t="s">
        <v>549</v>
      </c>
      <c r="E60" s="18" t="s">
        <v>550</v>
      </c>
      <c r="F60" s="12" t="s">
        <v>199</v>
      </c>
      <c r="G60" s="12" t="s">
        <v>78</v>
      </c>
      <c r="H60" s="18" t="s">
        <v>551</v>
      </c>
      <c r="I60" s="18" t="s">
        <v>552</v>
      </c>
      <c r="J60" s="18" t="s">
        <v>519</v>
      </c>
      <c r="K60" s="18"/>
      <c r="L60" s="12" t="s">
        <v>268</v>
      </c>
      <c r="M60" s="19">
        <v>46295.566481481481</v>
      </c>
      <c r="N60" s="19">
        <v>46295.589953703697</v>
      </c>
      <c r="O60" s="19">
        <v>46295.589953703697</v>
      </c>
      <c r="P60" s="12" t="s">
        <v>553</v>
      </c>
      <c r="Q60" s="18"/>
      <c r="R60" s="12" t="s">
        <v>540</v>
      </c>
      <c r="S60" s="12" t="s">
        <v>547</v>
      </c>
    </row>
    <row r="61" spans="1:19" ht="242.25" x14ac:dyDescent="0.25">
      <c r="A61" s="15" t="s">
        <v>554</v>
      </c>
      <c r="B61" s="16">
        <v>3</v>
      </c>
      <c r="C61" s="12" t="s">
        <v>109</v>
      </c>
      <c r="D61" s="18" t="s">
        <v>555</v>
      </c>
      <c r="E61" s="18" t="s">
        <v>556</v>
      </c>
      <c r="F61" s="12" t="s">
        <v>327</v>
      </c>
      <c r="G61" s="12" t="s">
        <v>78</v>
      </c>
      <c r="H61" s="18" t="s">
        <v>557</v>
      </c>
      <c r="I61" s="18" t="s">
        <v>558</v>
      </c>
      <c r="J61" s="18" t="s">
        <v>519</v>
      </c>
      <c r="K61" s="18"/>
      <c r="L61" s="12" t="s">
        <v>188</v>
      </c>
      <c r="M61" s="19">
        <v>46302.921712962961</v>
      </c>
      <c r="N61" s="19">
        <v>46302.921712962961</v>
      </c>
      <c r="O61" s="19">
        <v>46302.921712962961</v>
      </c>
      <c r="P61" s="12" t="s">
        <v>559</v>
      </c>
      <c r="Q61" s="18" t="s">
        <v>560</v>
      </c>
      <c r="R61" s="12" t="s">
        <v>540</v>
      </c>
      <c r="S61" s="12" t="s">
        <v>547</v>
      </c>
    </row>
    <row r="62" spans="1:19" ht="191.25" x14ac:dyDescent="0.25">
      <c r="A62" s="15" t="s">
        <v>561</v>
      </c>
      <c r="B62" s="16">
        <v>3</v>
      </c>
      <c r="C62" s="12" t="s">
        <v>109</v>
      </c>
      <c r="D62" s="18" t="s">
        <v>562</v>
      </c>
      <c r="E62" s="18" t="s">
        <v>563</v>
      </c>
      <c r="F62" s="12" t="s">
        <v>327</v>
      </c>
      <c r="G62" s="12" t="s">
        <v>78</v>
      </c>
      <c r="H62" s="18" t="s">
        <v>564</v>
      </c>
      <c r="I62" s="18" t="s">
        <v>565</v>
      </c>
      <c r="J62" s="18" t="s">
        <v>519</v>
      </c>
      <c r="K62" s="18"/>
      <c r="L62" s="12" t="s">
        <v>188</v>
      </c>
      <c r="M62" s="19">
        <v>46303.091087962966</v>
      </c>
      <c r="N62" s="19">
        <v>46303.091087962966</v>
      </c>
      <c r="O62" s="19">
        <v>46303.091087962966</v>
      </c>
      <c r="P62" s="12" t="s">
        <v>566</v>
      </c>
      <c r="Q62" s="18" t="s">
        <v>567</v>
      </c>
      <c r="R62" s="12" t="s">
        <v>540</v>
      </c>
      <c r="S62" s="12" t="s">
        <v>547</v>
      </c>
    </row>
    <row r="63" spans="1:19" ht="204" x14ac:dyDescent="0.25">
      <c r="A63" s="15" t="s">
        <v>568</v>
      </c>
      <c r="B63" s="16">
        <v>3</v>
      </c>
      <c r="C63" s="12" t="s">
        <v>109</v>
      </c>
      <c r="D63" s="18" t="s">
        <v>569</v>
      </c>
      <c r="E63" s="18" t="s">
        <v>570</v>
      </c>
      <c r="F63" s="12" t="s">
        <v>184</v>
      </c>
      <c r="G63" s="12" t="s">
        <v>78</v>
      </c>
      <c r="H63" s="18" t="s">
        <v>571</v>
      </c>
      <c r="I63" s="18" t="s">
        <v>572</v>
      </c>
      <c r="J63" s="18" t="s">
        <v>519</v>
      </c>
      <c r="K63" s="18" t="s">
        <v>486</v>
      </c>
      <c r="L63" s="12" t="s">
        <v>258</v>
      </c>
      <c r="M63" s="19">
        <v>46294.906423611108</v>
      </c>
      <c r="N63" s="19">
        <v>46294.923842592587</v>
      </c>
      <c r="O63" s="19">
        <v>46294.923842592587</v>
      </c>
      <c r="P63" s="12" t="s">
        <v>573</v>
      </c>
      <c r="Q63" s="18" t="s">
        <v>574</v>
      </c>
      <c r="R63" s="12"/>
      <c r="S63" s="12" t="s">
        <v>323</v>
      </c>
    </row>
    <row r="64" spans="1:19" ht="76.5" x14ac:dyDescent="0.25">
      <c r="A64" s="15" t="s">
        <v>575</v>
      </c>
      <c r="B64" s="16">
        <v>3</v>
      </c>
      <c r="C64" s="12" t="s">
        <v>109</v>
      </c>
      <c r="D64" s="18" t="s">
        <v>576</v>
      </c>
      <c r="E64" s="18" t="s">
        <v>577</v>
      </c>
      <c r="F64" s="12" t="s">
        <v>313</v>
      </c>
      <c r="G64" s="12" t="s">
        <v>78</v>
      </c>
      <c r="H64" s="18" t="s">
        <v>578</v>
      </c>
      <c r="I64" s="18" t="s">
        <v>579</v>
      </c>
      <c r="J64" s="18" t="s">
        <v>519</v>
      </c>
      <c r="K64" s="18"/>
      <c r="L64" s="12" t="s">
        <v>268</v>
      </c>
      <c r="M64" s="19">
        <v>46302.369062500002</v>
      </c>
      <c r="N64" s="19">
        <v>46302.369062500002</v>
      </c>
      <c r="O64" s="19">
        <v>46302.369062500002</v>
      </c>
      <c r="P64" s="12" t="s">
        <v>580</v>
      </c>
      <c r="Q64" s="18" t="s">
        <v>581</v>
      </c>
      <c r="R64" s="12" t="s">
        <v>568</v>
      </c>
      <c r="S64" s="12" t="s">
        <v>323</v>
      </c>
    </row>
    <row r="65" spans="1:19" ht="140.25" x14ac:dyDescent="0.25">
      <c r="A65" s="15" t="s">
        <v>582</v>
      </c>
      <c r="B65" s="16">
        <v>3</v>
      </c>
      <c r="C65" s="12" t="s">
        <v>109</v>
      </c>
      <c r="D65" s="18" t="s">
        <v>583</v>
      </c>
      <c r="E65" s="18" t="s">
        <v>584</v>
      </c>
      <c r="F65" s="12" t="s">
        <v>327</v>
      </c>
      <c r="G65" s="12" t="s">
        <v>78</v>
      </c>
      <c r="H65" s="18" t="s">
        <v>585</v>
      </c>
      <c r="I65" s="18" t="s">
        <v>586</v>
      </c>
      <c r="J65" s="18" t="s">
        <v>519</v>
      </c>
      <c r="K65" s="18"/>
      <c r="L65" s="12" t="s">
        <v>268</v>
      </c>
      <c r="M65" s="19">
        <v>46302.939097222217</v>
      </c>
      <c r="N65" s="19">
        <v>46302.939097222217</v>
      </c>
      <c r="O65" s="19">
        <v>46302.939097222217</v>
      </c>
      <c r="P65" s="12" t="s">
        <v>587</v>
      </c>
      <c r="Q65" s="18"/>
      <c r="R65" s="12" t="s">
        <v>568</v>
      </c>
      <c r="S65" s="12" t="s">
        <v>323</v>
      </c>
    </row>
    <row r="66" spans="1:19" ht="369.75" x14ac:dyDescent="0.25">
      <c r="A66" s="15" t="s">
        <v>588</v>
      </c>
      <c r="B66" s="16">
        <v>3</v>
      </c>
      <c r="C66" s="12" t="s">
        <v>109</v>
      </c>
      <c r="D66" s="18" t="s">
        <v>589</v>
      </c>
      <c r="E66" s="18" t="s">
        <v>590</v>
      </c>
      <c r="F66" s="12" t="s">
        <v>184</v>
      </c>
      <c r="G66" s="12" t="s">
        <v>78</v>
      </c>
      <c r="H66" s="18" t="s">
        <v>591</v>
      </c>
      <c r="I66" s="18" t="s">
        <v>592</v>
      </c>
      <c r="J66" s="18" t="s">
        <v>519</v>
      </c>
      <c r="K66" s="18" t="s">
        <v>486</v>
      </c>
      <c r="L66" s="12" t="s">
        <v>268</v>
      </c>
      <c r="M66" s="19">
        <v>46292.190092592587</v>
      </c>
      <c r="N66" s="19">
        <v>46294.95752314815</v>
      </c>
      <c r="O66" s="19">
        <v>46294.95752314815</v>
      </c>
      <c r="P66" s="12" t="s">
        <v>593</v>
      </c>
      <c r="Q66" s="18" t="s">
        <v>594</v>
      </c>
      <c r="R66" s="12"/>
      <c r="S66" s="12" t="s">
        <v>309</v>
      </c>
    </row>
    <row r="67" spans="1:19" ht="89.25" x14ac:dyDescent="0.25">
      <c r="A67" s="15" t="s">
        <v>595</v>
      </c>
      <c r="B67" s="16">
        <v>3</v>
      </c>
      <c r="C67" s="12" t="s">
        <v>109</v>
      </c>
      <c r="D67" s="18" t="s">
        <v>596</v>
      </c>
      <c r="E67" s="18" t="s">
        <v>597</v>
      </c>
      <c r="F67" s="12" t="s">
        <v>313</v>
      </c>
      <c r="G67" s="12" t="s">
        <v>78</v>
      </c>
      <c r="H67" s="18" t="s">
        <v>598</v>
      </c>
      <c r="I67" s="18" t="s">
        <v>599</v>
      </c>
      <c r="J67" s="18" t="s">
        <v>519</v>
      </c>
      <c r="K67" s="18"/>
      <c r="L67" s="12" t="s">
        <v>268</v>
      </c>
      <c r="M67" s="19">
        <v>46302.364317129628</v>
      </c>
      <c r="N67" s="19">
        <v>46302.364317129628</v>
      </c>
      <c r="O67" s="19">
        <v>46302.364317129628</v>
      </c>
      <c r="P67" s="12" t="s">
        <v>600</v>
      </c>
      <c r="Q67" s="18" t="s">
        <v>601</v>
      </c>
      <c r="R67" s="12" t="s">
        <v>588</v>
      </c>
      <c r="S67" s="12" t="s">
        <v>309</v>
      </c>
    </row>
    <row r="68" spans="1:19" ht="127.5" x14ac:dyDescent="0.25">
      <c r="A68" s="15" t="s">
        <v>602</v>
      </c>
      <c r="B68" s="16">
        <v>3</v>
      </c>
      <c r="C68" s="12" t="s">
        <v>109</v>
      </c>
      <c r="D68" s="18" t="s">
        <v>603</v>
      </c>
      <c r="E68" s="18" t="s">
        <v>604</v>
      </c>
      <c r="F68" s="12" t="s">
        <v>327</v>
      </c>
      <c r="G68" s="12" t="s">
        <v>78</v>
      </c>
      <c r="H68" s="18" t="s">
        <v>605</v>
      </c>
      <c r="I68" s="18" t="s">
        <v>606</v>
      </c>
      <c r="J68" s="18" t="s">
        <v>519</v>
      </c>
      <c r="K68" s="18"/>
      <c r="L68" s="12" t="s">
        <v>188</v>
      </c>
      <c r="M68" s="19">
        <v>46302.945914351847</v>
      </c>
      <c r="N68" s="19">
        <v>46302.945914351847</v>
      </c>
      <c r="O68" s="19">
        <v>46302.945914351847</v>
      </c>
      <c r="P68" s="12" t="s">
        <v>607</v>
      </c>
      <c r="Q68" s="18"/>
      <c r="R68" s="12" t="s">
        <v>588</v>
      </c>
      <c r="S68" s="12" t="s">
        <v>309</v>
      </c>
    </row>
    <row r="69" spans="1:19" ht="63.75" x14ac:dyDescent="0.25">
      <c r="A69" s="15" t="s">
        <v>608</v>
      </c>
      <c r="B69" s="16">
        <v>3</v>
      </c>
      <c r="C69" s="12" t="s">
        <v>109</v>
      </c>
      <c r="D69" s="18" t="s">
        <v>609</v>
      </c>
      <c r="E69" s="18" t="s">
        <v>610</v>
      </c>
      <c r="F69" s="12" t="s">
        <v>313</v>
      </c>
      <c r="G69" s="12" t="s">
        <v>78</v>
      </c>
      <c r="H69" s="18" t="s">
        <v>611</v>
      </c>
      <c r="I69" s="18" t="s">
        <v>612</v>
      </c>
      <c r="J69" s="18" t="s">
        <v>613</v>
      </c>
      <c r="K69" s="18"/>
      <c r="L69" s="12" t="s">
        <v>188</v>
      </c>
      <c r="M69" s="19">
        <v>46302.429178240738</v>
      </c>
      <c r="N69" s="19">
        <v>46302.429178240738</v>
      </c>
      <c r="O69" s="19">
        <v>46302.429178240738</v>
      </c>
      <c r="P69" s="12" t="s">
        <v>614</v>
      </c>
      <c r="Q69" s="18" t="s">
        <v>615</v>
      </c>
      <c r="R69" s="12" t="s">
        <v>588</v>
      </c>
      <c r="S69" s="12" t="s">
        <v>309</v>
      </c>
    </row>
    <row r="70" spans="1:19" ht="344.25" x14ac:dyDescent="0.25">
      <c r="A70" s="15" t="s">
        <v>616</v>
      </c>
      <c r="B70" s="16">
        <v>3</v>
      </c>
      <c r="C70" s="12" t="s">
        <v>109</v>
      </c>
      <c r="D70" s="18" t="s">
        <v>617</v>
      </c>
      <c r="E70" s="18" t="s">
        <v>618</v>
      </c>
      <c r="F70" s="12" t="s">
        <v>199</v>
      </c>
      <c r="G70" s="12" t="s">
        <v>78</v>
      </c>
      <c r="H70" s="18" t="s">
        <v>619</v>
      </c>
      <c r="I70" s="18" t="s">
        <v>620</v>
      </c>
      <c r="J70" s="18" t="s">
        <v>346</v>
      </c>
      <c r="K70" s="18" t="s">
        <v>486</v>
      </c>
      <c r="L70" s="12" t="s">
        <v>268</v>
      </c>
      <c r="M70" s="19">
        <v>46295.137453703697</v>
      </c>
      <c r="N70" s="19">
        <v>46295.149537037039</v>
      </c>
      <c r="O70" s="19">
        <v>46295.149537037039</v>
      </c>
      <c r="P70" s="12" t="s">
        <v>621</v>
      </c>
      <c r="Q70" s="18" t="s">
        <v>622</v>
      </c>
      <c r="R70" s="12"/>
      <c r="S70" s="12" t="s">
        <v>303</v>
      </c>
    </row>
    <row r="71" spans="1:19" ht="89.25" x14ac:dyDescent="0.25">
      <c r="A71" s="15" t="s">
        <v>623</v>
      </c>
      <c r="B71" s="16">
        <v>3</v>
      </c>
      <c r="C71" s="12" t="s">
        <v>109</v>
      </c>
      <c r="D71" s="18" t="s">
        <v>624</v>
      </c>
      <c r="E71" s="18" t="s">
        <v>625</v>
      </c>
      <c r="F71" s="12" t="s">
        <v>313</v>
      </c>
      <c r="G71" s="12" t="s">
        <v>78</v>
      </c>
      <c r="H71" s="18" t="s">
        <v>626</v>
      </c>
      <c r="I71" s="18" t="s">
        <v>627</v>
      </c>
      <c r="J71" s="18" t="s">
        <v>346</v>
      </c>
      <c r="K71" s="18"/>
      <c r="L71" s="12" t="s">
        <v>268</v>
      </c>
      <c r="M71" s="19">
        <v>46302.452025462961</v>
      </c>
      <c r="N71" s="19">
        <v>46302.452025462961</v>
      </c>
      <c r="O71" s="19">
        <v>46302.452025462961</v>
      </c>
      <c r="P71" s="12" t="s">
        <v>628</v>
      </c>
      <c r="Q71" s="18" t="s">
        <v>629</v>
      </c>
      <c r="R71" s="12" t="s">
        <v>616</v>
      </c>
      <c r="S71" s="12" t="s">
        <v>303</v>
      </c>
    </row>
    <row r="72" spans="1:19" ht="306" x14ac:dyDescent="0.25">
      <c r="A72" s="15" t="s">
        <v>630</v>
      </c>
      <c r="B72" s="16">
        <v>3</v>
      </c>
      <c r="C72" s="12" t="s">
        <v>109</v>
      </c>
      <c r="D72" s="18" t="s">
        <v>631</v>
      </c>
      <c r="E72" s="18" t="s">
        <v>632</v>
      </c>
      <c r="F72" s="12" t="s">
        <v>199</v>
      </c>
      <c r="G72" s="12" t="s">
        <v>78</v>
      </c>
      <c r="H72" s="18" t="s">
        <v>633</v>
      </c>
      <c r="I72" s="18" t="s">
        <v>634</v>
      </c>
      <c r="J72" s="18" t="s">
        <v>635</v>
      </c>
      <c r="K72" s="18" t="s">
        <v>486</v>
      </c>
      <c r="L72" s="12" t="s">
        <v>268</v>
      </c>
      <c r="M72" s="19">
        <v>46295.149583333332</v>
      </c>
      <c r="N72" s="19">
        <v>46295.315393518518</v>
      </c>
      <c r="O72" s="19">
        <v>46295.315393518518</v>
      </c>
      <c r="P72" s="12" t="s">
        <v>636</v>
      </c>
      <c r="Q72" s="18" t="s">
        <v>637</v>
      </c>
      <c r="R72" s="12"/>
      <c r="S72" s="12" t="s">
        <v>638</v>
      </c>
    </row>
    <row r="73" spans="1:19" ht="89.25" x14ac:dyDescent="0.25">
      <c r="A73" s="15" t="s">
        <v>639</v>
      </c>
      <c r="B73" s="16">
        <v>3</v>
      </c>
      <c r="C73" s="12" t="s">
        <v>109</v>
      </c>
      <c r="D73" s="18" t="s">
        <v>640</v>
      </c>
      <c r="E73" s="18" t="s">
        <v>641</v>
      </c>
      <c r="F73" s="12" t="s">
        <v>313</v>
      </c>
      <c r="G73" s="12" t="s">
        <v>78</v>
      </c>
      <c r="H73" s="18" t="s">
        <v>642</v>
      </c>
      <c r="I73" s="18" t="s">
        <v>643</v>
      </c>
      <c r="J73" s="18" t="s">
        <v>635</v>
      </c>
      <c r="K73" s="18"/>
      <c r="L73" s="12" t="s">
        <v>268</v>
      </c>
      <c r="M73" s="19">
        <v>46302.468935185178</v>
      </c>
      <c r="N73" s="19">
        <v>46302.468935185178</v>
      </c>
      <c r="O73" s="19">
        <v>46302.468935185178</v>
      </c>
      <c r="P73" s="12" t="s">
        <v>644</v>
      </c>
      <c r="Q73" s="18" t="s">
        <v>645</v>
      </c>
      <c r="R73" s="12" t="s">
        <v>630</v>
      </c>
      <c r="S73" s="12" t="s">
        <v>638</v>
      </c>
    </row>
    <row r="74" spans="1:19" ht="409.5" x14ac:dyDescent="0.25">
      <c r="A74" s="15" t="s">
        <v>646</v>
      </c>
      <c r="B74" s="16">
        <v>3</v>
      </c>
      <c r="C74" s="12" t="s">
        <v>109</v>
      </c>
      <c r="D74" s="18" t="s">
        <v>647</v>
      </c>
      <c r="E74" s="18" t="s">
        <v>648</v>
      </c>
      <c r="F74" s="12" t="s">
        <v>199</v>
      </c>
      <c r="G74" s="12" t="s">
        <v>78</v>
      </c>
      <c r="H74" s="18" t="s">
        <v>649</v>
      </c>
      <c r="I74" s="18" t="s">
        <v>650</v>
      </c>
      <c r="J74" s="18" t="s">
        <v>346</v>
      </c>
      <c r="K74" s="18" t="s">
        <v>486</v>
      </c>
      <c r="L74" s="12" t="s">
        <v>188</v>
      </c>
      <c r="M74" s="19">
        <v>46295.315439814818</v>
      </c>
      <c r="N74" s="19">
        <v>46295.344861111109</v>
      </c>
      <c r="O74" s="19">
        <v>46295.344861111109</v>
      </c>
      <c r="P74" s="12" t="s">
        <v>651</v>
      </c>
      <c r="Q74" s="18" t="s">
        <v>652</v>
      </c>
      <c r="R74" s="12"/>
      <c r="S74" s="12" t="s">
        <v>653</v>
      </c>
    </row>
    <row r="75" spans="1:19" ht="408" x14ac:dyDescent="0.25">
      <c r="A75" s="15" t="s">
        <v>654</v>
      </c>
      <c r="B75" s="16">
        <v>3</v>
      </c>
      <c r="C75" s="12" t="s">
        <v>109</v>
      </c>
      <c r="D75" s="18" t="s">
        <v>655</v>
      </c>
      <c r="E75" s="18" t="s">
        <v>656</v>
      </c>
      <c r="F75" s="12" t="s">
        <v>199</v>
      </c>
      <c r="G75" s="12" t="s">
        <v>78</v>
      </c>
      <c r="H75" s="18" t="s">
        <v>657</v>
      </c>
      <c r="I75" s="18" t="s">
        <v>658</v>
      </c>
      <c r="J75" s="18" t="s">
        <v>635</v>
      </c>
      <c r="K75" s="18" t="s">
        <v>486</v>
      </c>
      <c r="L75" s="12" t="s">
        <v>268</v>
      </c>
      <c r="M75" s="19">
        <v>46295.35429398148</v>
      </c>
      <c r="N75" s="19">
        <v>46295.373912037037</v>
      </c>
      <c r="O75" s="19">
        <v>46295.373912037037</v>
      </c>
      <c r="P75" s="12" t="s">
        <v>659</v>
      </c>
      <c r="Q75" s="18" t="s">
        <v>660</v>
      </c>
      <c r="R75" s="12"/>
      <c r="S75" s="12" t="s">
        <v>303</v>
      </c>
    </row>
    <row r="76" spans="1:19" ht="191.25" x14ac:dyDescent="0.25">
      <c r="A76" s="15" t="s">
        <v>661</v>
      </c>
      <c r="B76" s="16">
        <v>3</v>
      </c>
      <c r="C76" s="12" t="s">
        <v>109</v>
      </c>
      <c r="D76" s="18" t="s">
        <v>662</v>
      </c>
      <c r="E76" s="18" t="s">
        <v>663</v>
      </c>
      <c r="F76" s="12" t="s">
        <v>313</v>
      </c>
      <c r="G76" s="12" t="s">
        <v>78</v>
      </c>
      <c r="H76" s="18" t="s">
        <v>664</v>
      </c>
      <c r="I76" s="18" t="s">
        <v>665</v>
      </c>
      <c r="J76" s="18" t="s">
        <v>363</v>
      </c>
      <c r="K76" s="18" t="s">
        <v>654</v>
      </c>
      <c r="L76" s="12" t="s">
        <v>268</v>
      </c>
      <c r="M76" s="19">
        <v>46302.500347222223</v>
      </c>
      <c r="N76" s="19">
        <v>46302.500347222223</v>
      </c>
      <c r="O76" s="19">
        <v>46302.500347222223</v>
      </c>
      <c r="P76" s="12" t="s">
        <v>666</v>
      </c>
      <c r="Q76" s="18" t="s">
        <v>667</v>
      </c>
      <c r="R76" s="12" t="s">
        <v>654</v>
      </c>
      <c r="S76" s="12" t="s">
        <v>303</v>
      </c>
    </row>
    <row r="77" spans="1:19" ht="409.5" x14ac:dyDescent="0.25">
      <c r="A77" s="15" t="s">
        <v>668</v>
      </c>
      <c r="B77" s="16">
        <v>3</v>
      </c>
      <c r="C77" s="12" t="s">
        <v>109</v>
      </c>
      <c r="D77" s="18" t="s">
        <v>669</v>
      </c>
      <c r="E77" s="18" t="s">
        <v>670</v>
      </c>
      <c r="F77" s="12" t="s">
        <v>199</v>
      </c>
      <c r="G77" s="12" t="s">
        <v>78</v>
      </c>
      <c r="H77" s="18" t="s">
        <v>671</v>
      </c>
      <c r="I77" s="18" t="s">
        <v>672</v>
      </c>
      <c r="J77" s="18" t="s">
        <v>635</v>
      </c>
      <c r="K77" s="18" t="s">
        <v>486</v>
      </c>
      <c r="L77" s="12" t="s">
        <v>268</v>
      </c>
      <c r="M77" s="19">
        <v>46295.37395833333</v>
      </c>
      <c r="N77" s="19">
        <v>46295.550324074073</v>
      </c>
      <c r="O77" s="19">
        <v>46295.550324074073</v>
      </c>
      <c r="P77" s="12" t="s">
        <v>673</v>
      </c>
      <c r="Q77" s="18" t="s">
        <v>674</v>
      </c>
      <c r="R77" s="12"/>
      <c r="S77" s="12" t="s">
        <v>653</v>
      </c>
    </row>
    <row r="78" spans="1:19" ht="204" x14ac:dyDescent="0.25">
      <c r="A78" s="15" t="s">
        <v>675</v>
      </c>
      <c r="B78" s="16">
        <v>3</v>
      </c>
      <c r="C78" s="12" t="s">
        <v>109</v>
      </c>
      <c r="D78" s="18" t="s">
        <v>676</v>
      </c>
      <c r="E78" s="18" t="s">
        <v>677</v>
      </c>
      <c r="F78" s="12" t="s">
        <v>313</v>
      </c>
      <c r="G78" s="12" t="s">
        <v>78</v>
      </c>
      <c r="H78" s="18" t="s">
        <v>678</v>
      </c>
      <c r="I78" s="18" t="s">
        <v>679</v>
      </c>
      <c r="J78" s="18" t="s">
        <v>635</v>
      </c>
      <c r="K78" s="18" t="s">
        <v>668</v>
      </c>
      <c r="L78" s="12" t="s">
        <v>268</v>
      </c>
      <c r="M78" s="19">
        <v>46302.524733796286</v>
      </c>
      <c r="N78" s="19">
        <v>46302.524733796286</v>
      </c>
      <c r="O78" s="19">
        <v>46302.524733796286</v>
      </c>
      <c r="P78" s="12" t="s">
        <v>680</v>
      </c>
      <c r="Q78" s="18" t="s">
        <v>681</v>
      </c>
      <c r="R78" s="12" t="s">
        <v>668</v>
      </c>
      <c r="S78" s="12" t="s">
        <v>653</v>
      </c>
    </row>
    <row r="79" spans="1:19" ht="408" x14ac:dyDescent="0.25">
      <c r="A79" s="15" t="s">
        <v>682</v>
      </c>
      <c r="B79" s="16">
        <v>3</v>
      </c>
      <c r="C79" s="12" t="s">
        <v>109</v>
      </c>
      <c r="D79" s="18" t="s">
        <v>683</v>
      </c>
      <c r="E79" s="18" t="s">
        <v>684</v>
      </c>
      <c r="F79" s="12" t="s">
        <v>199</v>
      </c>
      <c r="G79" s="12" t="s">
        <v>78</v>
      </c>
      <c r="H79" s="18" t="s">
        <v>685</v>
      </c>
      <c r="I79" s="18" t="s">
        <v>686</v>
      </c>
      <c r="J79" s="18" t="s">
        <v>346</v>
      </c>
      <c r="K79" s="18" t="s">
        <v>486</v>
      </c>
      <c r="L79" s="12" t="s">
        <v>268</v>
      </c>
      <c r="M79" s="19">
        <v>46295.550358796303</v>
      </c>
      <c r="N79" s="19">
        <v>46295.566446759258</v>
      </c>
      <c r="O79" s="19">
        <v>46295.566446759258</v>
      </c>
      <c r="P79" s="12" t="s">
        <v>687</v>
      </c>
      <c r="Q79" s="18"/>
      <c r="R79" s="12"/>
      <c r="S79" s="12" t="s">
        <v>303</v>
      </c>
    </row>
    <row r="80" spans="1:19" ht="293.25" x14ac:dyDescent="0.25">
      <c r="A80" s="15" t="s">
        <v>688</v>
      </c>
      <c r="B80" s="16">
        <v>3</v>
      </c>
      <c r="C80" s="12" t="s">
        <v>109</v>
      </c>
      <c r="D80" s="18" t="s">
        <v>689</v>
      </c>
      <c r="E80" s="18" t="s">
        <v>690</v>
      </c>
      <c r="F80" s="12" t="s">
        <v>184</v>
      </c>
      <c r="G80" s="12" t="s">
        <v>78</v>
      </c>
      <c r="H80" s="18" t="s">
        <v>691</v>
      </c>
      <c r="I80" s="18" t="s">
        <v>692</v>
      </c>
      <c r="J80" s="18" t="s">
        <v>693</v>
      </c>
      <c r="K80" s="18" t="s">
        <v>499</v>
      </c>
      <c r="L80" s="12" t="s">
        <v>268</v>
      </c>
      <c r="M80" s="19">
        <v>46292.792407407411</v>
      </c>
      <c r="N80" s="19">
        <v>46292.793113425927</v>
      </c>
      <c r="O80" s="19">
        <v>46292.793113425927</v>
      </c>
      <c r="P80" s="12" t="s">
        <v>694</v>
      </c>
      <c r="Q80" s="18" t="s">
        <v>695</v>
      </c>
      <c r="R80" s="12"/>
      <c r="S80" s="12" t="s">
        <v>303</v>
      </c>
    </row>
    <row r="81" spans="1:19" ht="229.5" x14ac:dyDescent="0.25">
      <c r="A81" s="15" t="s">
        <v>696</v>
      </c>
      <c r="B81" s="16">
        <v>3</v>
      </c>
      <c r="C81" s="12" t="s">
        <v>109</v>
      </c>
      <c r="D81" s="18" t="s">
        <v>697</v>
      </c>
      <c r="E81" s="18" t="s">
        <v>698</v>
      </c>
      <c r="F81" s="12" t="s">
        <v>184</v>
      </c>
      <c r="G81" s="12" t="s">
        <v>78</v>
      </c>
      <c r="H81" s="18" t="s">
        <v>699</v>
      </c>
      <c r="I81" s="18" t="s">
        <v>700</v>
      </c>
      <c r="J81" s="18" t="s">
        <v>363</v>
      </c>
      <c r="K81" s="18"/>
      <c r="L81" s="12" t="s">
        <v>188</v>
      </c>
      <c r="M81" s="19">
        <v>46292.374050925922</v>
      </c>
      <c r="N81" s="19">
        <v>46295.115312499998</v>
      </c>
      <c r="O81" s="19">
        <v>46295.115312499998</v>
      </c>
      <c r="P81" s="12" t="s">
        <v>701</v>
      </c>
      <c r="Q81" s="18" t="s">
        <v>702</v>
      </c>
      <c r="R81" s="12"/>
      <c r="S81" s="12" t="s">
        <v>703</v>
      </c>
    </row>
    <row r="82" spans="1:19" ht="267.75" x14ac:dyDescent="0.25">
      <c r="A82" s="15" t="s">
        <v>704</v>
      </c>
      <c r="B82" s="16">
        <v>3</v>
      </c>
      <c r="C82" s="12" t="s">
        <v>118</v>
      </c>
      <c r="D82" s="18" t="s">
        <v>705</v>
      </c>
      <c r="E82" s="18" t="s">
        <v>706</v>
      </c>
      <c r="F82" s="12" t="s">
        <v>184</v>
      </c>
      <c r="G82" s="12" t="s">
        <v>78</v>
      </c>
      <c r="H82" s="18" t="s">
        <v>707</v>
      </c>
      <c r="I82" s="18" t="s">
        <v>708</v>
      </c>
      <c r="J82" s="18" t="s">
        <v>709</v>
      </c>
      <c r="K82" s="18"/>
      <c r="L82" s="12" t="s">
        <v>268</v>
      </c>
      <c r="M82" s="19">
        <v>46294.96601851852</v>
      </c>
      <c r="N82" s="19">
        <v>46295.10664351852</v>
      </c>
      <c r="O82" s="19">
        <v>46295.10664351852</v>
      </c>
      <c r="P82" s="12" t="s">
        <v>710</v>
      </c>
      <c r="Q82" s="18"/>
      <c r="R82" s="12"/>
      <c r="S82" s="12" t="s">
        <v>303</v>
      </c>
    </row>
    <row r="83" spans="1:19" ht="216.75" x14ac:dyDescent="0.25">
      <c r="A83" s="15" t="s">
        <v>711</v>
      </c>
      <c r="B83" s="16">
        <v>3</v>
      </c>
      <c r="C83" s="12" t="s">
        <v>72</v>
      </c>
      <c r="D83" s="18" t="s">
        <v>712</v>
      </c>
      <c r="E83" s="18" t="s">
        <v>713</v>
      </c>
      <c r="F83" s="12" t="s">
        <v>184</v>
      </c>
      <c r="G83" s="12" t="s">
        <v>78</v>
      </c>
      <c r="H83" s="18" t="s">
        <v>714</v>
      </c>
      <c r="I83" s="18" t="s">
        <v>715</v>
      </c>
      <c r="J83" s="18" t="s">
        <v>716</v>
      </c>
      <c r="K83" s="18"/>
      <c r="L83" s="12" t="s">
        <v>188</v>
      </c>
      <c r="M83" s="19">
        <v>46295.115347222221</v>
      </c>
      <c r="N83" s="19">
        <v>46295.122604166667</v>
      </c>
      <c r="O83" s="19">
        <v>46295.122604166667</v>
      </c>
      <c r="P83" s="12" t="s">
        <v>717</v>
      </c>
      <c r="Q83" s="18"/>
      <c r="R83" s="12"/>
      <c r="S83" s="12" t="s">
        <v>392</v>
      </c>
    </row>
    <row r="84" spans="1:19" ht="280.5" x14ac:dyDescent="0.25">
      <c r="A84" s="15" t="s">
        <v>718</v>
      </c>
      <c r="B84" s="16">
        <v>3</v>
      </c>
      <c r="C84" s="12" t="s">
        <v>72</v>
      </c>
      <c r="D84" s="18" t="s">
        <v>719</v>
      </c>
      <c r="E84" s="18" t="s">
        <v>720</v>
      </c>
      <c r="F84" s="12" t="s">
        <v>184</v>
      </c>
      <c r="G84" s="12" t="s">
        <v>78</v>
      </c>
      <c r="H84" s="18" t="s">
        <v>721</v>
      </c>
      <c r="I84" s="18" t="s">
        <v>722</v>
      </c>
      <c r="J84" s="18" t="s">
        <v>208</v>
      </c>
      <c r="K84" s="18" t="s">
        <v>711</v>
      </c>
      <c r="L84" s="12" t="s">
        <v>188</v>
      </c>
      <c r="M84" s="19">
        <v>46295.12263888889</v>
      </c>
      <c r="N84" s="19">
        <v>46295.127291666657</v>
      </c>
      <c r="O84" s="19">
        <v>46295.127291666657</v>
      </c>
      <c r="P84" s="12" t="s">
        <v>723</v>
      </c>
      <c r="Q84" s="18"/>
      <c r="R84" s="12" t="s">
        <v>711</v>
      </c>
      <c r="S84" s="12" t="s">
        <v>392</v>
      </c>
    </row>
    <row r="85" spans="1:19" ht="89.25" x14ac:dyDescent="0.25">
      <c r="A85" s="15" t="s">
        <v>724</v>
      </c>
      <c r="B85" s="16">
        <v>3</v>
      </c>
      <c r="C85" s="12" t="s">
        <v>72</v>
      </c>
      <c r="D85" s="18" t="s">
        <v>725</v>
      </c>
      <c r="E85" s="18" t="s">
        <v>726</v>
      </c>
      <c r="F85" s="12" t="s">
        <v>313</v>
      </c>
      <c r="G85" s="12" t="s">
        <v>66</v>
      </c>
      <c r="H85" s="18" t="s">
        <v>727</v>
      </c>
      <c r="I85" s="18" t="s">
        <v>728</v>
      </c>
      <c r="J85" s="18" t="s">
        <v>208</v>
      </c>
      <c r="K85" s="18"/>
      <c r="L85" s="12" t="s">
        <v>188</v>
      </c>
      <c r="M85" s="19">
        <v>46302.52752314815</v>
      </c>
      <c r="N85" s="19"/>
      <c r="O85" s="19"/>
      <c r="P85" s="12" t="s">
        <v>729</v>
      </c>
      <c r="Q85" s="18" t="s">
        <v>730</v>
      </c>
      <c r="R85" s="12" t="s">
        <v>718</v>
      </c>
      <c r="S85" s="12" t="s">
        <v>392</v>
      </c>
    </row>
    <row r="86" spans="1:19" ht="395.25" x14ac:dyDescent="0.25">
      <c r="A86" s="15" t="s">
        <v>731</v>
      </c>
      <c r="B86" s="16">
        <v>3</v>
      </c>
      <c r="C86" s="12" t="s">
        <v>72</v>
      </c>
      <c r="D86" s="18" t="s">
        <v>732</v>
      </c>
      <c r="E86" s="18" t="s">
        <v>733</v>
      </c>
      <c r="F86" s="12" t="s">
        <v>184</v>
      </c>
      <c r="G86" s="12" t="s">
        <v>78</v>
      </c>
      <c r="H86" s="18" t="s">
        <v>734</v>
      </c>
      <c r="I86" s="18" t="s">
        <v>735</v>
      </c>
      <c r="J86" s="18" t="s">
        <v>208</v>
      </c>
      <c r="K86" s="18" t="s">
        <v>718</v>
      </c>
      <c r="L86" s="12" t="s">
        <v>268</v>
      </c>
      <c r="M86" s="19">
        <v>46295.127337962957</v>
      </c>
      <c r="N86" s="19">
        <v>46295.137418981481</v>
      </c>
      <c r="O86" s="19">
        <v>46295.137418981481</v>
      </c>
      <c r="P86" s="12" t="s">
        <v>736</v>
      </c>
      <c r="Q86" s="18"/>
      <c r="R86" s="12" t="s">
        <v>711</v>
      </c>
      <c r="S86" s="12" t="s">
        <v>392</v>
      </c>
    </row>
    <row r="87" spans="1:19" ht="114.75" x14ac:dyDescent="0.25">
      <c r="A87" s="15" t="s">
        <v>737</v>
      </c>
      <c r="B87" s="16">
        <v>3</v>
      </c>
      <c r="C87" s="12" t="s">
        <v>72</v>
      </c>
      <c r="D87" s="18" t="s">
        <v>738</v>
      </c>
      <c r="E87" s="18" t="s">
        <v>739</v>
      </c>
      <c r="F87" s="12" t="s">
        <v>199</v>
      </c>
      <c r="G87" s="12" t="s">
        <v>78</v>
      </c>
      <c r="H87" s="18" t="s">
        <v>740</v>
      </c>
      <c r="I87" s="18" t="s">
        <v>741</v>
      </c>
      <c r="J87" s="18" t="s">
        <v>208</v>
      </c>
      <c r="K87" s="18" t="s">
        <v>731</v>
      </c>
      <c r="L87" s="12" t="s">
        <v>188</v>
      </c>
      <c r="M87" s="19">
        <v>46292.607303240737</v>
      </c>
      <c r="N87" s="19">
        <v>46292.607662037037</v>
      </c>
      <c r="O87" s="19">
        <v>46292.607662037037</v>
      </c>
      <c r="P87" s="12" t="s">
        <v>483</v>
      </c>
      <c r="Q87" s="18" t="s">
        <v>742</v>
      </c>
      <c r="R87" s="12"/>
      <c r="S87" s="12" t="s">
        <v>392</v>
      </c>
    </row>
    <row r="88" spans="1:19" ht="229.5" x14ac:dyDescent="0.25">
      <c r="A88" s="15" t="s">
        <v>743</v>
      </c>
      <c r="B88" s="16">
        <v>3</v>
      </c>
      <c r="C88" s="12" t="s">
        <v>109</v>
      </c>
      <c r="D88" s="18" t="s">
        <v>744</v>
      </c>
      <c r="E88" s="18" t="s">
        <v>745</v>
      </c>
      <c r="F88" s="12" t="s">
        <v>184</v>
      </c>
      <c r="G88" s="12" t="s">
        <v>78</v>
      </c>
      <c r="H88" s="18" t="s">
        <v>746</v>
      </c>
      <c r="I88" s="18" t="s">
        <v>747</v>
      </c>
      <c r="J88" s="18" t="s">
        <v>363</v>
      </c>
      <c r="K88" s="18" t="s">
        <v>252</v>
      </c>
      <c r="L88" s="12" t="s">
        <v>258</v>
      </c>
      <c r="M88" s="19">
        <v>46294.957870370366</v>
      </c>
      <c r="N88" s="19">
        <v>46294.96597222222</v>
      </c>
      <c r="O88" s="19">
        <v>46294.96597222222</v>
      </c>
      <c r="P88" s="12" t="s">
        <v>748</v>
      </c>
      <c r="Q88" s="18"/>
      <c r="R88" s="12"/>
      <c r="S88" s="12" t="s">
        <v>749</v>
      </c>
    </row>
    <row r="89" spans="1:19" ht="140.25" x14ac:dyDescent="0.25">
      <c r="A89" s="15" t="s">
        <v>750</v>
      </c>
      <c r="B89" s="16">
        <v>3</v>
      </c>
      <c r="C89" s="12" t="s">
        <v>109</v>
      </c>
      <c r="D89" s="18" t="s">
        <v>751</v>
      </c>
      <c r="E89" s="18" t="s">
        <v>752</v>
      </c>
      <c r="F89" s="12" t="s">
        <v>327</v>
      </c>
      <c r="G89" s="12" t="s">
        <v>78</v>
      </c>
      <c r="H89" s="18" t="s">
        <v>753</v>
      </c>
      <c r="I89" s="18" t="s">
        <v>754</v>
      </c>
      <c r="J89" s="18" t="s">
        <v>363</v>
      </c>
      <c r="K89" s="18"/>
      <c r="L89" s="12" t="s">
        <v>188</v>
      </c>
      <c r="M89" s="19">
        <v>46302.96539351852</v>
      </c>
      <c r="N89" s="19">
        <v>46302.96539351852</v>
      </c>
      <c r="O89" s="19">
        <v>46302.96539351852</v>
      </c>
      <c r="P89" s="12" t="s">
        <v>755</v>
      </c>
      <c r="Q89" s="18"/>
      <c r="R89" s="12" t="s">
        <v>743</v>
      </c>
      <c r="S89" s="12" t="s">
        <v>749</v>
      </c>
    </row>
    <row r="90" spans="1:19" ht="357" x14ac:dyDescent="0.25">
      <c r="A90" s="15" t="s">
        <v>756</v>
      </c>
      <c r="B90" s="16">
        <v>3</v>
      </c>
      <c r="C90" s="12" t="s">
        <v>109</v>
      </c>
      <c r="D90" s="18" t="s">
        <v>757</v>
      </c>
      <c r="E90" s="18" t="s">
        <v>758</v>
      </c>
      <c r="F90" s="12" t="s">
        <v>199</v>
      </c>
      <c r="G90" s="12" t="s">
        <v>78</v>
      </c>
      <c r="H90" s="18" t="s">
        <v>759</v>
      </c>
      <c r="I90" s="18" t="s">
        <v>760</v>
      </c>
      <c r="J90" s="18" t="s">
        <v>346</v>
      </c>
      <c r="K90" s="18" t="s">
        <v>486</v>
      </c>
      <c r="L90" s="12" t="s">
        <v>258</v>
      </c>
      <c r="M90" s="19">
        <v>46292.77983796296</v>
      </c>
      <c r="N90" s="19">
        <v>46292.781261574077</v>
      </c>
      <c r="O90" s="19">
        <v>46292.781261574077</v>
      </c>
      <c r="P90" s="12" t="s">
        <v>761</v>
      </c>
      <c r="Q90" s="18" t="s">
        <v>762</v>
      </c>
      <c r="R90" s="12"/>
      <c r="S90" s="12"/>
    </row>
    <row r="91" spans="1:19" ht="127.5" x14ac:dyDescent="0.25">
      <c r="A91" s="15" t="s">
        <v>763</v>
      </c>
      <c r="B91" s="16">
        <v>3</v>
      </c>
      <c r="C91" s="12" t="s">
        <v>109</v>
      </c>
      <c r="D91" s="18" t="s">
        <v>764</v>
      </c>
      <c r="E91" s="18" t="s">
        <v>765</v>
      </c>
      <c r="F91" s="12" t="s">
        <v>199</v>
      </c>
      <c r="G91" s="12" t="s">
        <v>78</v>
      </c>
      <c r="H91" s="18" t="s">
        <v>766</v>
      </c>
      <c r="I91" s="18" t="s">
        <v>767</v>
      </c>
      <c r="J91" s="18" t="s">
        <v>346</v>
      </c>
      <c r="K91" s="18"/>
      <c r="L91" s="12" t="s">
        <v>258</v>
      </c>
      <c r="M91" s="19">
        <v>46294.956192129634</v>
      </c>
      <c r="N91" s="19">
        <v>46294.957557870373</v>
      </c>
      <c r="O91" s="19">
        <v>46294.957557870373</v>
      </c>
      <c r="P91" s="12" t="s">
        <v>593</v>
      </c>
      <c r="Q91" s="18"/>
      <c r="R91" s="12" t="s">
        <v>756</v>
      </c>
      <c r="S91" s="12"/>
    </row>
    <row r="92" spans="1:19" ht="267.75" x14ac:dyDescent="0.25">
      <c r="A92" s="15" t="s">
        <v>768</v>
      </c>
      <c r="B92" s="16">
        <v>3</v>
      </c>
      <c r="C92" s="12" t="s">
        <v>109</v>
      </c>
      <c r="D92" s="18" t="s">
        <v>769</v>
      </c>
      <c r="E92" s="18" t="s">
        <v>770</v>
      </c>
      <c r="F92" s="12" t="s">
        <v>184</v>
      </c>
      <c r="G92" s="12" t="s">
        <v>78</v>
      </c>
      <c r="H92" s="18" t="s">
        <v>771</v>
      </c>
      <c r="I92" s="18" t="s">
        <v>772</v>
      </c>
      <c r="J92" s="18" t="s">
        <v>346</v>
      </c>
      <c r="K92" s="18" t="s">
        <v>756</v>
      </c>
      <c r="L92" s="12" t="s">
        <v>258</v>
      </c>
      <c r="M92" s="19">
        <v>46295.344166666669</v>
      </c>
      <c r="N92" s="19">
        <v>46295.354259259257</v>
      </c>
      <c r="O92" s="19">
        <v>46295.354259259257</v>
      </c>
      <c r="P92" s="12" t="s">
        <v>773</v>
      </c>
      <c r="Q92" s="18" t="s">
        <v>774</v>
      </c>
      <c r="R92" s="12" t="s">
        <v>756</v>
      </c>
      <c r="S92" s="12"/>
    </row>
    <row r="93" spans="1:19" ht="165.75" x14ac:dyDescent="0.25">
      <c r="A93" s="15" t="s">
        <v>775</v>
      </c>
      <c r="B93" s="16">
        <v>3</v>
      </c>
      <c r="C93" s="12" t="s">
        <v>109</v>
      </c>
      <c r="D93" s="18" t="s">
        <v>776</v>
      </c>
      <c r="E93" s="18" t="s">
        <v>777</v>
      </c>
      <c r="F93" s="12" t="s">
        <v>313</v>
      </c>
      <c r="G93" s="12" t="s">
        <v>78</v>
      </c>
      <c r="H93" s="18" t="s">
        <v>778</v>
      </c>
      <c r="I93" s="18" t="s">
        <v>779</v>
      </c>
      <c r="J93" s="18"/>
      <c r="K93" s="18" t="s">
        <v>756</v>
      </c>
      <c r="L93" s="12" t="s">
        <v>268</v>
      </c>
      <c r="M93" s="19">
        <v>46302.636307870373</v>
      </c>
      <c r="N93" s="19">
        <v>46302.636307870373</v>
      </c>
      <c r="O93" s="19">
        <v>46302.636307870373</v>
      </c>
      <c r="P93" s="12" t="s">
        <v>780</v>
      </c>
      <c r="Q93" s="18" t="s">
        <v>781</v>
      </c>
      <c r="R93" s="12"/>
      <c r="S93" s="12"/>
    </row>
    <row r="94" spans="1:19" ht="178.5" x14ac:dyDescent="0.25">
      <c r="A94" s="15" t="s">
        <v>782</v>
      </c>
      <c r="B94" s="16">
        <v>3</v>
      </c>
      <c r="C94" s="12" t="s">
        <v>104</v>
      </c>
      <c r="D94" s="18" t="s">
        <v>783</v>
      </c>
      <c r="E94" s="18" t="s">
        <v>784</v>
      </c>
      <c r="F94" s="12" t="s">
        <v>199</v>
      </c>
      <c r="G94" s="12" t="s">
        <v>78</v>
      </c>
      <c r="H94" s="18" t="s">
        <v>785</v>
      </c>
      <c r="I94" s="18" t="s">
        <v>786</v>
      </c>
      <c r="J94" s="18"/>
      <c r="K94" s="18" t="s">
        <v>756</v>
      </c>
      <c r="L94" s="12" t="s">
        <v>268</v>
      </c>
      <c r="M94" s="19">
        <v>46292.817372685182</v>
      </c>
      <c r="N94" s="19">
        <v>46292.818101851852</v>
      </c>
      <c r="O94" s="19">
        <v>46292.818101851852</v>
      </c>
      <c r="P94" s="12" t="s">
        <v>505</v>
      </c>
      <c r="Q94" s="18" t="s">
        <v>787</v>
      </c>
      <c r="R94" s="12"/>
      <c r="S94" s="12"/>
    </row>
    <row r="95" spans="1:19" ht="102" x14ac:dyDescent="0.25">
      <c r="A95" s="15" t="s">
        <v>788</v>
      </c>
      <c r="B95" s="16">
        <v>3</v>
      </c>
      <c r="C95" s="12" t="s">
        <v>113</v>
      </c>
      <c r="D95" s="18" t="s">
        <v>789</v>
      </c>
      <c r="E95" s="18" t="s">
        <v>790</v>
      </c>
      <c r="F95" s="12" t="s">
        <v>199</v>
      </c>
      <c r="G95" s="12" t="s">
        <v>78</v>
      </c>
      <c r="H95" s="18" t="s">
        <v>791</v>
      </c>
      <c r="I95" s="18" t="s">
        <v>792</v>
      </c>
      <c r="J95" s="18"/>
      <c r="K95" s="18"/>
      <c r="L95" s="12" t="s">
        <v>268</v>
      </c>
      <c r="M95" s="19">
        <v>46294.956238425933</v>
      </c>
      <c r="N95" s="19">
        <v>46294.957604166673</v>
      </c>
      <c r="O95" s="19">
        <v>46294.957604166673</v>
      </c>
      <c r="P95" s="12" t="s">
        <v>593</v>
      </c>
      <c r="Q95" s="18"/>
      <c r="R95" s="12"/>
      <c r="S95" s="12"/>
    </row>
    <row r="96" spans="1:19" ht="191.25" x14ac:dyDescent="0.25">
      <c r="A96" s="15" t="s">
        <v>793</v>
      </c>
      <c r="B96" s="16">
        <v>4</v>
      </c>
      <c r="C96" s="12" t="s">
        <v>124</v>
      </c>
      <c r="D96" s="18" t="s">
        <v>794</v>
      </c>
      <c r="E96" s="18" t="s">
        <v>795</v>
      </c>
      <c r="F96" s="12" t="s">
        <v>184</v>
      </c>
      <c r="G96" s="12" t="s">
        <v>78</v>
      </c>
      <c r="H96" s="18" t="s">
        <v>796</v>
      </c>
      <c r="I96" s="18" t="s">
        <v>797</v>
      </c>
      <c r="J96" s="18" t="s">
        <v>363</v>
      </c>
      <c r="K96" s="18"/>
      <c r="L96" s="12" t="s">
        <v>268</v>
      </c>
      <c r="M96" s="19">
        <v>46295.598460648151</v>
      </c>
      <c r="N96" s="19">
        <v>46295.626087962963</v>
      </c>
      <c r="O96" s="19">
        <v>46295.626087962963</v>
      </c>
      <c r="P96" s="12" t="s">
        <v>798</v>
      </c>
      <c r="Q96" s="18"/>
      <c r="R96" s="12"/>
      <c r="S96" s="12" t="s">
        <v>799</v>
      </c>
    </row>
    <row r="97" spans="1:19" ht="204" x14ac:dyDescent="0.25">
      <c r="A97" s="15" t="s">
        <v>800</v>
      </c>
      <c r="B97" s="16">
        <v>4</v>
      </c>
      <c r="C97" s="12" t="s">
        <v>124</v>
      </c>
      <c r="D97" s="18" t="s">
        <v>801</v>
      </c>
      <c r="E97" s="18" t="s">
        <v>802</v>
      </c>
      <c r="F97" s="12" t="s">
        <v>184</v>
      </c>
      <c r="G97" s="12" t="s">
        <v>78</v>
      </c>
      <c r="H97" s="18" t="s">
        <v>803</v>
      </c>
      <c r="I97" s="18" t="s">
        <v>804</v>
      </c>
      <c r="J97" s="18" t="s">
        <v>363</v>
      </c>
      <c r="K97" s="18"/>
      <c r="L97" s="12" t="s">
        <v>188</v>
      </c>
      <c r="M97" s="19">
        <v>46295.914097222223</v>
      </c>
      <c r="N97" s="19">
        <v>46295.91511574074</v>
      </c>
      <c r="O97" s="19">
        <v>46295.91511574074</v>
      </c>
      <c r="P97" s="12" t="s">
        <v>805</v>
      </c>
      <c r="Q97" s="18"/>
      <c r="R97" s="12"/>
      <c r="S97" s="12" t="s">
        <v>799</v>
      </c>
    </row>
    <row r="98" spans="1:19" ht="267.75" x14ac:dyDescent="0.25">
      <c r="A98" s="15" t="s">
        <v>806</v>
      </c>
      <c r="B98" s="16">
        <v>4</v>
      </c>
      <c r="C98" s="12" t="s">
        <v>124</v>
      </c>
      <c r="D98" s="18" t="s">
        <v>807</v>
      </c>
      <c r="E98" s="18" t="s">
        <v>808</v>
      </c>
      <c r="F98" s="12" t="s">
        <v>184</v>
      </c>
      <c r="G98" s="12" t="s">
        <v>78</v>
      </c>
      <c r="H98" s="18" t="s">
        <v>809</v>
      </c>
      <c r="I98" s="18" t="s">
        <v>810</v>
      </c>
      <c r="J98" s="18" t="s">
        <v>811</v>
      </c>
      <c r="K98" s="18"/>
      <c r="L98" s="12" t="s">
        <v>258</v>
      </c>
      <c r="M98" s="19">
        <v>46295.935115740736</v>
      </c>
      <c r="N98" s="19">
        <v>46295.935868055552</v>
      </c>
      <c r="O98" s="19">
        <v>46295.935868055552</v>
      </c>
      <c r="P98" s="12" t="s">
        <v>812</v>
      </c>
      <c r="Q98" s="18"/>
      <c r="R98" s="12"/>
      <c r="S98" s="12" t="s">
        <v>813</v>
      </c>
    </row>
    <row r="99" spans="1:19" ht="153" x14ac:dyDescent="0.25">
      <c r="A99" s="15" t="s">
        <v>814</v>
      </c>
      <c r="B99" s="16">
        <v>4</v>
      </c>
      <c r="C99" s="12" t="s">
        <v>124</v>
      </c>
      <c r="D99" s="18" t="s">
        <v>815</v>
      </c>
      <c r="E99" s="18" t="s">
        <v>816</v>
      </c>
      <c r="F99" s="12" t="s">
        <v>199</v>
      </c>
      <c r="G99" s="12" t="s">
        <v>78</v>
      </c>
      <c r="H99" s="18" t="s">
        <v>817</v>
      </c>
      <c r="I99" s="18" t="s">
        <v>818</v>
      </c>
      <c r="J99" s="18" t="s">
        <v>811</v>
      </c>
      <c r="K99" s="18"/>
      <c r="L99" s="12" t="s">
        <v>268</v>
      </c>
      <c r="M99" s="19">
        <v>46296.447638888887</v>
      </c>
      <c r="N99" s="19">
        <v>46296.449016203696</v>
      </c>
      <c r="O99" s="19">
        <v>46296.449016203696</v>
      </c>
      <c r="P99" s="12" t="s">
        <v>819</v>
      </c>
      <c r="Q99" s="18"/>
      <c r="R99" s="12"/>
      <c r="S99" s="12" t="s">
        <v>813</v>
      </c>
    </row>
    <row r="100" spans="1:19" ht="255" x14ac:dyDescent="0.25">
      <c r="A100" s="15" t="s">
        <v>820</v>
      </c>
      <c r="B100" s="16">
        <v>4</v>
      </c>
      <c r="C100" s="12" t="s">
        <v>124</v>
      </c>
      <c r="D100" s="18" t="s">
        <v>821</v>
      </c>
      <c r="E100" s="18" t="s">
        <v>822</v>
      </c>
      <c r="F100" s="12" t="s">
        <v>184</v>
      </c>
      <c r="G100" s="12" t="s">
        <v>78</v>
      </c>
      <c r="H100" s="18" t="s">
        <v>823</v>
      </c>
      <c r="I100" s="18" t="s">
        <v>824</v>
      </c>
      <c r="J100" s="18" t="s">
        <v>825</v>
      </c>
      <c r="K100" s="18"/>
      <c r="L100" s="12" t="s">
        <v>268</v>
      </c>
      <c r="M100" s="19">
        <v>46295.949259259258</v>
      </c>
      <c r="N100" s="19">
        <v>46295.95</v>
      </c>
      <c r="O100" s="19">
        <v>46295.95</v>
      </c>
      <c r="P100" s="12" t="s">
        <v>826</v>
      </c>
      <c r="Q100" s="18"/>
      <c r="R100" s="12"/>
      <c r="S100" s="12" t="s">
        <v>827</v>
      </c>
    </row>
    <row r="101" spans="1:19" ht="267.75" x14ac:dyDescent="0.25">
      <c r="A101" s="15" t="s">
        <v>828</v>
      </c>
      <c r="B101" s="16">
        <v>4</v>
      </c>
      <c r="C101" s="12" t="s">
        <v>124</v>
      </c>
      <c r="D101" s="18" t="s">
        <v>829</v>
      </c>
      <c r="E101" s="18" t="s">
        <v>830</v>
      </c>
      <c r="F101" s="12" t="s">
        <v>184</v>
      </c>
      <c r="G101" s="12" t="s">
        <v>78</v>
      </c>
      <c r="H101" s="18" t="s">
        <v>831</v>
      </c>
      <c r="I101" s="18" t="s">
        <v>832</v>
      </c>
      <c r="J101" s="18" t="s">
        <v>346</v>
      </c>
      <c r="K101" s="18"/>
      <c r="L101" s="12" t="s">
        <v>268</v>
      </c>
      <c r="M101" s="19">
        <v>46295.965289351851</v>
      </c>
      <c r="N101" s="19">
        <v>46295.96601851852</v>
      </c>
      <c r="O101" s="19">
        <v>46295.96601851852</v>
      </c>
      <c r="P101" s="12" t="s">
        <v>833</v>
      </c>
      <c r="Q101" s="18"/>
      <c r="R101" s="12"/>
      <c r="S101" s="12" t="s">
        <v>827</v>
      </c>
    </row>
    <row r="102" spans="1:19" ht="216.75" x14ac:dyDescent="0.25">
      <c r="A102" s="15" t="s">
        <v>834</v>
      </c>
      <c r="B102" s="16">
        <v>4</v>
      </c>
      <c r="C102" s="12" t="s">
        <v>124</v>
      </c>
      <c r="D102" s="18" t="s">
        <v>835</v>
      </c>
      <c r="E102" s="18" t="s">
        <v>836</v>
      </c>
      <c r="F102" s="12" t="s">
        <v>199</v>
      </c>
      <c r="G102" s="12" t="s">
        <v>78</v>
      </c>
      <c r="H102" s="18" t="s">
        <v>837</v>
      </c>
      <c r="I102" s="18" t="s">
        <v>838</v>
      </c>
      <c r="J102" s="18" t="s">
        <v>346</v>
      </c>
      <c r="K102" s="18" t="s">
        <v>820</v>
      </c>
      <c r="L102" s="12" t="s">
        <v>188</v>
      </c>
      <c r="M102" s="19">
        <v>46295.985347222217</v>
      </c>
      <c r="N102" s="19">
        <v>46295.986030092587</v>
      </c>
      <c r="O102" s="19">
        <v>46295.986030092587</v>
      </c>
      <c r="P102" s="12" t="s">
        <v>839</v>
      </c>
      <c r="Q102" s="18"/>
      <c r="R102" s="12"/>
      <c r="S102" s="12" t="s">
        <v>827</v>
      </c>
    </row>
    <row r="103" spans="1:19" ht="165.75" x14ac:dyDescent="0.25">
      <c r="A103" s="15" t="s">
        <v>840</v>
      </c>
      <c r="B103" s="16">
        <v>4</v>
      </c>
      <c r="C103" s="12" t="s">
        <v>124</v>
      </c>
      <c r="D103" s="18" t="s">
        <v>841</v>
      </c>
      <c r="E103" s="18" t="s">
        <v>842</v>
      </c>
      <c r="F103" s="12" t="s">
        <v>199</v>
      </c>
      <c r="G103" s="12" t="s">
        <v>78</v>
      </c>
      <c r="H103" s="18" t="s">
        <v>843</v>
      </c>
      <c r="I103" s="18" t="s">
        <v>844</v>
      </c>
      <c r="J103" s="18" t="s">
        <v>811</v>
      </c>
      <c r="K103" s="18"/>
      <c r="L103" s="12" t="s">
        <v>188</v>
      </c>
      <c r="M103" s="19">
        <v>46295.990624999999</v>
      </c>
      <c r="N103" s="19">
        <v>46295.99114583333</v>
      </c>
      <c r="O103" s="19">
        <v>46295.99114583333</v>
      </c>
      <c r="P103" s="12" t="s">
        <v>845</v>
      </c>
      <c r="Q103" s="18"/>
      <c r="R103" s="12"/>
      <c r="S103" s="12"/>
    </row>
    <row r="104" spans="1:19" ht="76.5" x14ac:dyDescent="0.25">
      <c r="A104" s="15" t="s">
        <v>846</v>
      </c>
      <c r="B104" s="16">
        <v>4</v>
      </c>
      <c r="C104" s="12" t="s">
        <v>124</v>
      </c>
      <c r="D104" s="18" t="s">
        <v>847</v>
      </c>
      <c r="E104" s="18" t="s">
        <v>848</v>
      </c>
      <c r="F104" s="12" t="s">
        <v>199</v>
      </c>
      <c r="G104" s="12" t="s">
        <v>78</v>
      </c>
      <c r="H104" s="18" t="s">
        <v>849</v>
      </c>
      <c r="I104" s="18" t="s">
        <v>850</v>
      </c>
      <c r="J104" s="18" t="s">
        <v>417</v>
      </c>
      <c r="K104" s="18" t="s">
        <v>462</v>
      </c>
      <c r="L104" s="12" t="s">
        <v>268</v>
      </c>
      <c r="M104" s="19">
        <v>46292.606898148151</v>
      </c>
      <c r="N104" s="19">
        <v>46292.60701388889</v>
      </c>
      <c r="O104" s="19">
        <v>46292.60701388889</v>
      </c>
      <c r="P104" s="12" t="s">
        <v>467</v>
      </c>
      <c r="Q104" s="18"/>
      <c r="R104" s="12"/>
      <c r="S104" s="12"/>
    </row>
    <row r="105" spans="1:19" ht="191.25" x14ac:dyDescent="0.25">
      <c r="A105" s="15" t="s">
        <v>851</v>
      </c>
      <c r="B105" s="16">
        <v>4</v>
      </c>
      <c r="C105" s="12" t="s">
        <v>124</v>
      </c>
      <c r="D105" s="18" t="s">
        <v>852</v>
      </c>
      <c r="E105" s="18" t="s">
        <v>853</v>
      </c>
      <c r="F105" s="12" t="s">
        <v>199</v>
      </c>
      <c r="G105" s="12" t="s">
        <v>78</v>
      </c>
      <c r="H105" s="18" t="s">
        <v>854</v>
      </c>
      <c r="I105" s="18" t="s">
        <v>855</v>
      </c>
      <c r="J105" s="18" t="s">
        <v>856</v>
      </c>
      <c r="K105" s="18"/>
      <c r="L105" s="12" t="s">
        <v>188</v>
      </c>
      <c r="M105" s="19">
        <v>46296.425092592603</v>
      </c>
      <c r="N105" s="19">
        <v>46296.426018518519</v>
      </c>
      <c r="O105" s="19">
        <v>46296.426018518519</v>
      </c>
      <c r="P105" s="12" t="s">
        <v>857</v>
      </c>
      <c r="Q105" s="18"/>
      <c r="R105" s="12"/>
      <c r="S105" s="12" t="s">
        <v>799</v>
      </c>
    </row>
    <row r="106" spans="1:19" ht="25.5" x14ac:dyDescent="0.25">
      <c r="A106" s="15" t="s">
        <v>858</v>
      </c>
      <c r="B106" s="16">
        <v>4</v>
      </c>
      <c r="C106" s="12" t="s">
        <v>124</v>
      </c>
      <c r="D106" s="18" t="s">
        <v>859</v>
      </c>
      <c r="E106" s="18" t="s">
        <v>860</v>
      </c>
      <c r="F106" s="12" t="s">
        <v>313</v>
      </c>
      <c r="G106" s="12" t="s">
        <v>78</v>
      </c>
      <c r="H106" s="18" t="s">
        <v>861</v>
      </c>
      <c r="I106" s="18" t="s">
        <v>862</v>
      </c>
      <c r="J106" s="18" t="s">
        <v>214</v>
      </c>
      <c r="K106" s="18"/>
      <c r="L106" s="12" t="s">
        <v>268</v>
      </c>
      <c r="M106" s="19">
        <v>46301.615798611107</v>
      </c>
      <c r="N106" s="19">
        <v>46301.615798611107</v>
      </c>
      <c r="O106" s="19">
        <v>46301.615798611107</v>
      </c>
      <c r="P106" s="12" t="s">
        <v>863</v>
      </c>
      <c r="Q106" s="18"/>
      <c r="R106" s="12"/>
      <c r="S106" s="12"/>
    </row>
    <row r="107" spans="1:19" ht="229.5" x14ac:dyDescent="0.25">
      <c r="A107" s="15" t="s">
        <v>864</v>
      </c>
      <c r="B107" s="16">
        <v>4</v>
      </c>
      <c r="C107" s="12" t="s">
        <v>72</v>
      </c>
      <c r="D107" s="18" t="s">
        <v>865</v>
      </c>
      <c r="E107" s="18" t="s">
        <v>866</v>
      </c>
      <c r="F107" s="12" t="s">
        <v>184</v>
      </c>
      <c r="G107" s="12" t="s">
        <v>78</v>
      </c>
      <c r="H107" s="18" t="s">
        <v>867</v>
      </c>
      <c r="I107" s="18" t="s">
        <v>868</v>
      </c>
      <c r="J107" s="18" t="s">
        <v>208</v>
      </c>
      <c r="K107" s="18" t="s">
        <v>869</v>
      </c>
      <c r="L107" s="12" t="s">
        <v>188</v>
      </c>
      <c r="M107" s="19">
        <v>46295.975208333337</v>
      </c>
      <c r="N107" s="19">
        <v>46295.975891203707</v>
      </c>
      <c r="O107" s="19">
        <v>46295.975891203707</v>
      </c>
      <c r="P107" s="12" t="s">
        <v>870</v>
      </c>
      <c r="Q107" s="18"/>
      <c r="R107" s="12"/>
      <c r="S107" s="12" t="s">
        <v>871</v>
      </c>
    </row>
    <row r="108" spans="1:19" ht="63.75" x14ac:dyDescent="0.25">
      <c r="A108" s="15" t="s">
        <v>872</v>
      </c>
      <c r="B108" s="16">
        <v>4</v>
      </c>
      <c r="C108" s="12" t="s">
        <v>124</v>
      </c>
      <c r="D108" s="18" t="s">
        <v>873</v>
      </c>
      <c r="E108" s="18" t="s">
        <v>874</v>
      </c>
      <c r="F108" s="12" t="s">
        <v>313</v>
      </c>
      <c r="G108" s="12" t="s">
        <v>66</v>
      </c>
      <c r="H108" s="18"/>
      <c r="I108" s="18"/>
      <c r="J108" s="18" t="s">
        <v>875</v>
      </c>
      <c r="K108" s="18"/>
      <c r="L108" s="12" t="s">
        <v>188</v>
      </c>
      <c r="M108" s="19">
        <v>46292.170868055553</v>
      </c>
      <c r="N108" s="19"/>
      <c r="O108" s="19"/>
      <c r="P108" s="12"/>
      <c r="Q108" s="18" t="s">
        <v>876</v>
      </c>
      <c r="R108" s="12"/>
      <c r="S108" s="12"/>
    </row>
    <row r="109" spans="1:19" ht="165.75" x14ac:dyDescent="0.25">
      <c r="A109" s="15" t="s">
        <v>877</v>
      </c>
      <c r="B109" s="16">
        <v>4</v>
      </c>
      <c r="C109" s="12" t="s">
        <v>124</v>
      </c>
      <c r="D109" s="18" t="s">
        <v>878</v>
      </c>
      <c r="E109" s="18" t="s">
        <v>879</v>
      </c>
      <c r="F109" s="12" t="s">
        <v>184</v>
      </c>
      <c r="G109" s="12" t="s">
        <v>78</v>
      </c>
      <c r="H109" s="18" t="s">
        <v>880</v>
      </c>
      <c r="I109" s="18" t="s">
        <v>881</v>
      </c>
      <c r="J109" s="18" t="s">
        <v>709</v>
      </c>
      <c r="K109" s="18"/>
      <c r="L109" s="12" t="s">
        <v>258</v>
      </c>
      <c r="M109" s="19">
        <v>46292.397314814807</v>
      </c>
      <c r="N109" s="19">
        <v>46292.399004629631</v>
      </c>
      <c r="O109" s="19">
        <v>46292.399004629631</v>
      </c>
      <c r="P109" s="12" t="s">
        <v>302</v>
      </c>
      <c r="Q109" s="18" t="s">
        <v>882</v>
      </c>
      <c r="R109" s="12"/>
      <c r="S109" s="12"/>
    </row>
    <row r="110" spans="1:19" ht="153" x14ac:dyDescent="0.25">
      <c r="A110" s="15" t="s">
        <v>883</v>
      </c>
      <c r="B110" s="16">
        <v>4</v>
      </c>
      <c r="C110" s="12" t="s">
        <v>124</v>
      </c>
      <c r="D110" s="18" t="s">
        <v>884</v>
      </c>
      <c r="E110" s="18" t="s">
        <v>885</v>
      </c>
      <c r="F110" s="12" t="s">
        <v>199</v>
      </c>
      <c r="G110" s="12" t="s">
        <v>78</v>
      </c>
      <c r="H110" s="18" t="s">
        <v>886</v>
      </c>
      <c r="I110" s="18" t="s">
        <v>887</v>
      </c>
      <c r="J110" s="18"/>
      <c r="K110" s="18"/>
      <c r="L110" s="12" t="s">
        <v>258</v>
      </c>
      <c r="M110" s="19">
        <v>46295.914340277777</v>
      </c>
      <c r="N110" s="19">
        <v>46295.915150462963</v>
      </c>
      <c r="O110" s="19">
        <v>46295.915150462963</v>
      </c>
      <c r="P110" s="12" t="s">
        <v>805</v>
      </c>
      <c r="Q110" s="18" t="s">
        <v>888</v>
      </c>
      <c r="R110" s="12"/>
      <c r="S110" s="12"/>
    </row>
    <row r="111" spans="1:19" ht="38.25" x14ac:dyDescent="0.25">
      <c r="A111" s="15" t="s">
        <v>889</v>
      </c>
      <c r="B111" s="16">
        <v>5</v>
      </c>
      <c r="C111" s="12" t="s">
        <v>128</v>
      </c>
      <c r="D111" s="18" t="s">
        <v>890</v>
      </c>
      <c r="E111" s="18" t="s">
        <v>891</v>
      </c>
      <c r="F111" s="12" t="s">
        <v>184</v>
      </c>
      <c r="G111" s="12" t="s">
        <v>78</v>
      </c>
      <c r="H111" s="18" t="s">
        <v>892</v>
      </c>
      <c r="I111" s="18" t="s">
        <v>893</v>
      </c>
      <c r="J111" s="18" t="s">
        <v>346</v>
      </c>
      <c r="K111" s="18"/>
      <c r="L111" s="12" t="s">
        <v>258</v>
      </c>
      <c r="M111" s="19">
        <v>46301.614942129629</v>
      </c>
      <c r="N111" s="19">
        <v>46301.614942129629</v>
      </c>
      <c r="O111" s="19">
        <v>46301.614942129629</v>
      </c>
      <c r="P111" s="12" t="s">
        <v>894</v>
      </c>
      <c r="Q111" s="18" t="s">
        <v>895</v>
      </c>
      <c r="R111" s="12"/>
      <c r="S111" s="12" t="s">
        <v>896</v>
      </c>
    </row>
    <row r="112" spans="1:19" ht="38.25" x14ac:dyDescent="0.25">
      <c r="A112" s="15" t="s">
        <v>897</v>
      </c>
      <c r="B112" s="16">
        <v>5</v>
      </c>
      <c r="C112" s="12" t="s">
        <v>128</v>
      </c>
      <c r="D112" s="18" t="s">
        <v>898</v>
      </c>
      <c r="E112" s="18" t="s">
        <v>899</v>
      </c>
      <c r="F112" s="12" t="s">
        <v>199</v>
      </c>
      <c r="G112" s="12" t="s">
        <v>78</v>
      </c>
      <c r="H112" s="18" t="s">
        <v>900</v>
      </c>
      <c r="I112" s="18" t="s">
        <v>901</v>
      </c>
      <c r="J112" s="18" t="s">
        <v>902</v>
      </c>
      <c r="K112" s="18"/>
      <c r="L112" s="12" t="s">
        <v>188</v>
      </c>
      <c r="M112" s="19">
        <v>46301.614988425928</v>
      </c>
      <c r="N112" s="19">
        <v>46301.614988425928</v>
      </c>
      <c r="O112" s="19">
        <v>46301.614988425928</v>
      </c>
      <c r="P112" s="12" t="s">
        <v>894</v>
      </c>
      <c r="Q112" s="18" t="s">
        <v>903</v>
      </c>
      <c r="R112" s="12"/>
      <c r="S112" s="12" t="s">
        <v>896</v>
      </c>
    </row>
    <row r="113" spans="1:19" ht="114.75" x14ac:dyDescent="0.25">
      <c r="A113" s="15" t="s">
        <v>904</v>
      </c>
      <c r="B113" s="16">
        <v>5</v>
      </c>
      <c r="C113" s="12" t="s">
        <v>128</v>
      </c>
      <c r="D113" s="18" t="s">
        <v>905</v>
      </c>
      <c r="E113" s="18" t="s">
        <v>906</v>
      </c>
      <c r="F113" s="12" t="s">
        <v>199</v>
      </c>
      <c r="G113" s="12" t="s">
        <v>78</v>
      </c>
      <c r="H113" s="18" t="s">
        <v>907</v>
      </c>
      <c r="I113" s="18" t="s">
        <v>908</v>
      </c>
      <c r="J113" s="18" t="s">
        <v>909</v>
      </c>
      <c r="K113" s="18"/>
      <c r="L113" s="12" t="s">
        <v>258</v>
      </c>
      <c r="M113" s="19">
        <v>46296.494606481479</v>
      </c>
      <c r="N113" s="19">
        <v>46296.494606481479</v>
      </c>
      <c r="O113" s="19">
        <v>46296.494606481479</v>
      </c>
      <c r="P113" s="12" t="s">
        <v>910</v>
      </c>
      <c r="Q113" s="18"/>
      <c r="R113" s="12"/>
      <c r="S113" s="12" t="s">
        <v>340</v>
      </c>
    </row>
    <row r="114" spans="1:19" ht="51" x14ac:dyDescent="0.25">
      <c r="A114" s="15" t="s">
        <v>911</v>
      </c>
      <c r="B114" s="16">
        <v>5</v>
      </c>
      <c r="C114" s="12" t="s">
        <v>128</v>
      </c>
      <c r="D114" s="18" t="s">
        <v>912</v>
      </c>
      <c r="E114" s="18" t="s">
        <v>913</v>
      </c>
      <c r="F114" s="12" t="s">
        <v>199</v>
      </c>
      <c r="G114" s="12" t="s">
        <v>78</v>
      </c>
      <c r="H114" s="18" t="s">
        <v>914</v>
      </c>
      <c r="I114" s="18" t="s">
        <v>915</v>
      </c>
      <c r="J114" s="18" t="s">
        <v>449</v>
      </c>
      <c r="K114" s="18"/>
      <c r="L114" s="12" t="s">
        <v>258</v>
      </c>
      <c r="M114" s="19">
        <v>46301.615023148152</v>
      </c>
      <c r="N114" s="19">
        <v>46301.615023148152</v>
      </c>
      <c r="O114" s="19">
        <v>46301.615023148152</v>
      </c>
      <c r="P114" s="12" t="s">
        <v>894</v>
      </c>
      <c r="Q114" s="18" t="s">
        <v>916</v>
      </c>
      <c r="R114" s="12"/>
      <c r="S114" s="12" t="s">
        <v>340</v>
      </c>
    </row>
    <row r="115" spans="1:19" ht="140.25" x14ac:dyDescent="0.25">
      <c r="A115" s="15" t="s">
        <v>917</v>
      </c>
      <c r="B115" s="16">
        <v>5</v>
      </c>
      <c r="C115" s="12" t="s">
        <v>128</v>
      </c>
      <c r="D115" s="18" t="s">
        <v>918</v>
      </c>
      <c r="E115" s="18" t="s">
        <v>919</v>
      </c>
      <c r="F115" s="12" t="s">
        <v>313</v>
      </c>
      <c r="G115" s="12" t="s">
        <v>78</v>
      </c>
      <c r="H115" s="18" t="s">
        <v>920</v>
      </c>
      <c r="I115" s="18" t="s">
        <v>921</v>
      </c>
      <c r="J115" s="18" t="s">
        <v>281</v>
      </c>
      <c r="K115" s="18"/>
      <c r="L115" s="12" t="s">
        <v>268</v>
      </c>
      <c r="M115" s="19">
        <v>46302.662361111114</v>
      </c>
      <c r="N115" s="19">
        <v>46302.662361111114</v>
      </c>
      <c r="O115" s="19">
        <v>46302.662361111114</v>
      </c>
      <c r="P115" s="12" t="s">
        <v>922</v>
      </c>
      <c r="Q115" s="18"/>
      <c r="R115" s="12"/>
      <c r="S115" s="12" t="s">
        <v>340</v>
      </c>
    </row>
    <row r="116" spans="1:19" ht="204" x14ac:dyDescent="0.25">
      <c r="A116" s="15" t="s">
        <v>923</v>
      </c>
      <c r="B116" s="16">
        <v>5</v>
      </c>
      <c r="C116" s="12" t="s">
        <v>128</v>
      </c>
      <c r="D116" s="18" t="s">
        <v>924</v>
      </c>
      <c r="E116" s="18" t="s">
        <v>925</v>
      </c>
      <c r="F116" s="12" t="s">
        <v>327</v>
      </c>
      <c r="G116" s="12" t="s">
        <v>78</v>
      </c>
      <c r="H116" s="18" t="s">
        <v>926</v>
      </c>
      <c r="I116" s="18" t="s">
        <v>927</v>
      </c>
      <c r="J116" s="18" t="s">
        <v>281</v>
      </c>
      <c r="K116" s="18" t="s">
        <v>917</v>
      </c>
      <c r="L116" s="12" t="s">
        <v>268</v>
      </c>
      <c r="M116" s="19">
        <v>46302.980925925927</v>
      </c>
      <c r="N116" s="19">
        <v>46302.980925925927</v>
      </c>
      <c r="O116" s="19">
        <v>46302.980925925927</v>
      </c>
      <c r="P116" s="12" t="s">
        <v>928</v>
      </c>
      <c r="Q116" s="18" t="s">
        <v>929</v>
      </c>
      <c r="R116" s="12" t="s">
        <v>917</v>
      </c>
      <c r="S116" s="12" t="s">
        <v>340</v>
      </c>
    </row>
    <row r="117" spans="1:19" ht="114.75" x14ac:dyDescent="0.25">
      <c r="A117" s="15" t="s">
        <v>930</v>
      </c>
      <c r="B117" s="16">
        <v>5</v>
      </c>
      <c r="C117" s="12" t="s">
        <v>128</v>
      </c>
      <c r="D117" s="18" t="s">
        <v>931</v>
      </c>
      <c r="E117" s="18" t="s">
        <v>932</v>
      </c>
      <c r="F117" s="12" t="s">
        <v>327</v>
      </c>
      <c r="G117" s="12" t="s">
        <v>60</v>
      </c>
      <c r="H117" s="18"/>
      <c r="I117" s="18"/>
      <c r="J117" s="18" t="s">
        <v>281</v>
      </c>
      <c r="K117" s="18"/>
      <c r="L117" s="12" t="s">
        <v>258</v>
      </c>
      <c r="M117" s="19"/>
      <c r="N117" s="19"/>
      <c r="O117" s="19"/>
      <c r="P117" s="12"/>
      <c r="Q117" s="18"/>
      <c r="R117" s="12" t="s">
        <v>923</v>
      </c>
      <c r="S117" s="12" t="s">
        <v>340</v>
      </c>
    </row>
    <row r="118" spans="1:19" ht="38.25" x14ac:dyDescent="0.25">
      <c r="A118" s="15" t="s">
        <v>933</v>
      </c>
      <c r="B118" s="16">
        <v>5</v>
      </c>
      <c r="C118" s="12" t="s">
        <v>128</v>
      </c>
      <c r="D118" s="18" t="s">
        <v>934</v>
      </c>
      <c r="E118" s="18" t="s">
        <v>935</v>
      </c>
      <c r="F118" s="12" t="s">
        <v>313</v>
      </c>
      <c r="G118" s="12" t="s">
        <v>78</v>
      </c>
      <c r="H118" s="18" t="s">
        <v>936</v>
      </c>
      <c r="I118" s="18" t="s">
        <v>937</v>
      </c>
      <c r="J118" s="18" t="s">
        <v>938</v>
      </c>
      <c r="K118" s="18"/>
      <c r="L118" s="12" t="s">
        <v>188</v>
      </c>
      <c r="M118" s="19">
        <v>46301.615069444437</v>
      </c>
      <c r="N118" s="19">
        <v>46301.615069444437</v>
      </c>
      <c r="O118" s="19">
        <v>46301.615069444437</v>
      </c>
      <c r="P118" s="12" t="s">
        <v>894</v>
      </c>
      <c r="Q118" s="18" t="s">
        <v>939</v>
      </c>
      <c r="R118" s="12"/>
      <c r="S118" s="12"/>
    </row>
    <row r="119" spans="1:19" ht="51" x14ac:dyDescent="0.25">
      <c r="A119" s="15" t="s">
        <v>940</v>
      </c>
      <c r="B119" s="16">
        <v>5</v>
      </c>
      <c r="C119" s="12" t="s">
        <v>128</v>
      </c>
      <c r="D119" s="18" t="s">
        <v>941</v>
      </c>
      <c r="E119" s="18" t="s">
        <v>942</v>
      </c>
      <c r="F119" s="12" t="s">
        <v>199</v>
      </c>
      <c r="G119" s="12" t="s">
        <v>78</v>
      </c>
      <c r="H119" s="18" t="s">
        <v>943</v>
      </c>
      <c r="I119" s="18" t="s">
        <v>944</v>
      </c>
      <c r="J119" s="18" t="s">
        <v>945</v>
      </c>
      <c r="K119" s="18"/>
      <c r="L119" s="12" t="s">
        <v>188</v>
      </c>
      <c r="M119" s="19">
        <v>46296.44767361111</v>
      </c>
      <c r="N119" s="19">
        <v>46301.615162037036</v>
      </c>
      <c r="O119" s="19">
        <v>46301.615162037036</v>
      </c>
      <c r="P119" s="12" t="s">
        <v>894</v>
      </c>
      <c r="Q119" s="18" t="s">
        <v>946</v>
      </c>
      <c r="R119" s="12"/>
      <c r="S119" s="12" t="s">
        <v>947</v>
      </c>
    </row>
    <row r="120" spans="1:19" ht="76.5" x14ac:dyDescent="0.25">
      <c r="A120" s="15" t="s">
        <v>948</v>
      </c>
      <c r="B120" s="16">
        <v>6</v>
      </c>
      <c r="C120" s="12" t="s">
        <v>126</v>
      </c>
      <c r="D120" s="18" t="s">
        <v>949</v>
      </c>
      <c r="E120" s="18" t="s">
        <v>950</v>
      </c>
      <c r="F120" s="12" t="s">
        <v>184</v>
      </c>
      <c r="G120" s="12" t="s">
        <v>78</v>
      </c>
      <c r="H120" s="18" t="s">
        <v>951</v>
      </c>
      <c r="I120" s="18" t="s">
        <v>952</v>
      </c>
      <c r="J120" s="18" t="s">
        <v>449</v>
      </c>
      <c r="K120" s="18"/>
      <c r="L120" s="12" t="s">
        <v>268</v>
      </c>
      <c r="M120" s="19">
        <v>46296.64025462963</v>
      </c>
      <c r="N120" s="19">
        <v>46296.64025462963</v>
      </c>
      <c r="O120" s="19">
        <v>46296.64025462963</v>
      </c>
      <c r="P120" s="12" t="s">
        <v>953</v>
      </c>
      <c r="Q120" s="18"/>
      <c r="R120" s="12"/>
      <c r="S120" s="12" t="s">
        <v>954</v>
      </c>
    </row>
    <row r="121" spans="1:19" ht="114.75" x14ac:dyDescent="0.25">
      <c r="A121" s="15" t="s">
        <v>955</v>
      </c>
      <c r="B121" s="16">
        <v>6</v>
      </c>
      <c r="C121" s="12" t="s">
        <v>126</v>
      </c>
      <c r="D121" s="18" t="s">
        <v>956</v>
      </c>
      <c r="E121" s="18" t="s">
        <v>957</v>
      </c>
      <c r="F121" s="12" t="s">
        <v>184</v>
      </c>
      <c r="G121" s="12" t="s">
        <v>78</v>
      </c>
      <c r="H121" s="18" t="s">
        <v>958</v>
      </c>
      <c r="I121" s="18" t="s">
        <v>959</v>
      </c>
      <c r="J121" s="18" t="s">
        <v>960</v>
      </c>
      <c r="K121" s="18" t="s">
        <v>948</v>
      </c>
      <c r="L121" s="12" t="s">
        <v>258</v>
      </c>
      <c r="M121" s="19">
        <v>46296.640381944453</v>
      </c>
      <c r="N121" s="19">
        <v>46296.657175925917</v>
      </c>
      <c r="O121" s="19">
        <v>46296.657175925917</v>
      </c>
      <c r="P121" s="12" t="s">
        <v>961</v>
      </c>
      <c r="Q121" s="18"/>
      <c r="R121" s="12"/>
      <c r="S121" s="12" t="s">
        <v>954</v>
      </c>
    </row>
    <row r="122" spans="1:19" ht="102" x14ac:dyDescent="0.25">
      <c r="A122" s="15" t="s">
        <v>962</v>
      </c>
      <c r="B122" s="16">
        <v>6</v>
      </c>
      <c r="C122" s="12" t="s">
        <v>126</v>
      </c>
      <c r="D122" s="18" t="s">
        <v>963</v>
      </c>
      <c r="E122" s="18" t="s">
        <v>964</v>
      </c>
      <c r="F122" s="12" t="s">
        <v>184</v>
      </c>
      <c r="G122" s="12" t="s">
        <v>78</v>
      </c>
      <c r="H122" s="18" t="s">
        <v>965</v>
      </c>
      <c r="I122" s="18" t="s">
        <v>966</v>
      </c>
      <c r="J122" s="18" t="s">
        <v>960</v>
      </c>
      <c r="K122" s="18" t="s">
        <v>948</v>
      </c>
      <c r="L122" s="12" t="s">
        <v>268</v>
      </c>
      <c r="M122" s="19">
        <v>46296.657476851848</v>
      </c>
      <c r="N122" s="19">
        <v>46296.673993055563</v>
      </c>
      <c r="O122" s="19">
        <v>46296.673993055563</v>
      </c>
      <c r="P122" s="12" t="s">
        <v>967</v>
      </c>
      <c r="Q122" s="18"/>
      <c r="R122" s="12"/>
      <c r="S122" s="12" t="s">
        <v>954</v>
      </c>
    </row>
    <row r="123" spans="1:19" ht="63.75" x14ac:dyDescent="0.25">
      <c r="A123" s="15" t="s">
        <v>968</v>
      </c>
      <c r="B123" s="16">
        <v>6</v>
      </c>
      <c r="C123" s="12" t="s">
        <v>126</v>
      </c>
      <c r="D123" s="18" t="s">
        <v>969</v>
      </c>
      <c r="E123" s="18" t="s">
        <v>970</v>
      </c>
      <c r="F123" s="12" t="s">
        <v>184</v>
      </c>
      <c r="G123" s="12" t="s">
        <v>78</v>
      </c>
      <c r="H123" s="18" t="s">
        <v>971</v>
      </c>
      <c r="I123" s="18" t="s">
        <v>972</v>
      </c>
      <c r="J123" s="18" t="s">
        <v>960</v>
      </c>
      <c r="K123" s="18"/>
      <c r="L123" s="12" t="s">
        <v>268</v>
      </c>
      <c r="M123" s="19">
        <v>46296.674305555563</v>
      </c>
      <c r="N123" s="19">
        <v>46296.683622685188</v>
      </c>
      <c r="O123" s="19">
        <v>46296.683622685188</v>
      </c>
      <c r="P123" s="12" t="s">
        <v>973</v>
      </c>
      <c r="Q123" s="18"/>
      <c r="R123" s="12"/>
      <c r="S123" s="12" t="s">
        <v>954</v>
      </c>
    </row>
    <row r="124" spans="1:19" ht="38.25" x14ac:dyDescent="0.25">
      <c r="A124" s="15" t="s">
        <v>974</v>
      </c>
      <c r="B124" s="16">
        <v>6</v>
      </c>
      <c r="C124" s="12" t="s">
        <v>126</v>
      </c>
      <c r="D124" s="18" t="s">
        <v>975</v>
      </c>
      <c r="E124" s="18" t="s">
        <v>976</v>
      </c>
      <c r="F124" s="12" t="s">
        <v>184</v>
      </c>
      <c r="G124" s="12" t="s">
        <v>78</v>
      </c>
      <c r="H124" s="18" t="s">
        <v>977</v>
      </c>
      <c r="I124" s="18" t="s">
        <v>978</v>
      </c>
      <c r="J124" s="18" t="s">
        <v>960</v>
      </c>
      <c r="K124" s="18"/>
      <c r="L124" s="12" t="s">
        <v>258</v>
      </c>
      <c r="M124" s="19">
        <v>46296.683877314812</v>
      </c>
      <c r="N124" s="19">
        <v>46301.615520833337</v>
      </c>
      <c r="O124" s="19">
        <v>46301.615520833337</v>
      </c>
      <c r="P124" s="12" t="s">
        <v>979</v>
      </c>
      <c r="Q124" s="18"/>
      <c r="R124" s="12"/>
      <c r="S124" s="12" t="s">
        <v>954</v>
      </c>
    </row>
    <row r="125" spans="1:19" ht="25.5" x14ac:dyDescent="0.25">
      <c r="A125" s="15" t="s">
        <v>980</v>
      </c>
      <c r="B125" s="16">
        <v>6</v>
      </c>
      <c r="C125" s="12" t="s">
        <v>126</v>
      </c>
      <c r="D125" s="18" t="s">
        <v>981</v>
      </c>
      <c r="E125" s="18" t="s">
        <v>982</v>
      </c>
      <c r="F125" s="12" t="s">
        <v>199</v>
      </c>
      <c r="G125" s="12" t="s">
        <v>78</v>
      </c>
      <c r="H125" s="18" t="s">
        <v>983</v>
      </c>
      <c r="I125" s="18" t="s">
        <v>984</v>
      </c>
      <c r="J125" s="18" t="s">
        <v>449</v>
      </c>
      <c r="K125" s="18"/>
      <c r="L125" s="12" t="s">
        <v>188</v>
      </c>
      <c r="M125" s="19">
        <v>46301.615567129629</v>
      </c>
      <c r="N125" s="19">
        <v>46301.615567129629</v>
      </c>
      <c r="O125" s="19">
        <v>46301.615567129629</v>
      </c>
      <c r="P125" s="12" t="s">
        <v>985</v>
      </c>
      <c r="Q125" s="18"/>
      <c r="R125" s="12"/>
      <c r="S125" s="12" t="s">
        <v>954</v>
      </c>
    </row>
    <row r="126" spans="1:19" ht="38.25" x14ac:dyDescent="0.25">
      <c r="A126" s="15" t="s">
        <v>986</v>
      </c>
      <c r="B126" s="16">
        <v>6</v>
      </c>
      <c r="C126" s="12" t="s">
        <v>126</v>
      </c>
      <c r="D126" s="18" t="s">
        <v>987</v>
      </c>
      <c r="E126" s="18" t="s">
        <v>988</v>
      </c>
      <c r="F126" s="12" t="s">
        <v>313</v>
      </c>
      <c r="G126" s="12" t="s">
        <v>78</v>
      </c>
      <c r="H126" s="18" t="s">
        <v>989</v>
      </c>
      <c r="I126" s="18" t="s">
        <v>990</v>
      </c>
      <c r="J126" s="18" t="s">
        <v>449</v>
      </c>
      <c r="K126" s="18" t="s">
        <v>948</v>
      </c>
      <c r="L126" s="12" t="s">
        <v>188</v>
      </c>
      <c r="M126" s="19">
        <v>46301.615613425929</v>
      </c>
      <c r="N126" s="19">
        <v>46301.615613425929</v>
      </c>
      <c r="O126" s="19">
        <v>46301.615613425929</v>
      </c>
      <c r="P126" s="12" t="s">
        <v>979</v>
      </c>
      <c r="Q126" s="18"/>
      <c r="R126" s="12"/>
      <c r="S126" s="12"/>
    </row>
    <row r="127" spans="1:19" ht="25.5" x14ac:dyDescent="0.25">
      <c r="A127" s="15" t="s">
        <v>991</v>
      </c>
      <c r="B127" s="16">
        <v>6</v>
      </c>
      <c r="C127" s="12" t="s">
        <v>141</v>
      </c>
      <c r="D127" s="18" t="s">
        <v>992</v>
      </c>
      <c r="E127" s="18" t="s">
        <v>993</v>
      </c>
      <c r="F127" s="12" t="s">
        <v>184</v>
      </c>
      <c r="G127" s="12" t="s">
        <v>78</v>
      </c>
      <c r="H127" s="18" t="s">
        <v>994</v>
      </c>
      <c r="I127" s="18" t="s">
        <v>995</v>
      </c>
      <c r="J127" s="18" t="s">
        <v>996</v>
      </c>
      <c r="K127" s="18"/>
      <c r="L127" s="12" t="s">
        <v>268</v>
      </c>
      <c r="M127" s="19">
        <v>46301.615335648137</v>
      </c>
      <c r="N127" s="19">
        <v>46301.615335648137</v>
      </c>
      <c r="O127" s="19">
        <v>46301.615335648137</v>
      </c>
      <c r="P127" s="12" t="s">
        <v>997</v>
      </c>
      <c r="Q127" s="18"/>
      <c r="R127" s="12"/>
      <c r="S127" s="12" t="s">
        <v>998</v>
      </c>
    </row>
    <row r="128" spans="1:19" ht="38.25" x14ac:dyDescent="0.25">
      <c r="A128" s="15" t="s">
        <v>999</v>
      </c>
      <c r="B128" s="16">
        <v>6</v>
      </c>
      <c r="C128" s="12" t="s">
        <v>141</v>
      </c>
      <c r="D128" s="18" t="s">
        <v>1000</v>
      </c>
      <c r="E128" s="18" t="s">
        <v>1001</v>
      </c>
      <c r="F128" s="12" t="s">
        <v>199</v>
      </c>
      <c r="G128" s="12" t="s">
        <v>78</v>
      </c>
      <c r="H128" s="18" t="s">
        <v>1002</v>
      </c>
      <c r="I128" s="18" t="s">
        <v>1003</v>
      </c>
      <c r="J128" s="18" t="s">
        <v>996</v>
      </c>
      <c r="K128" s="18" t="s">
        <v>991</v>
      </c>
      <c r="L128" s="12" t="s">
        <v>188</v>
      </c>
      <c r="M128" s="19">
        <v>46301.615381944437</v>
      </c>
      <c r="N128" s="19">
        <v>46301.615381944437</v>
      </c>
      <c r="O128" s="19">
        <v>46301.615381944437</v>
      </c>
      <c r="P128" s="12" t="s">
        <v>997</v>
      </c>
      <c r="Q128" s="18"/>
      <c r="R128" s="12"/>
      <c r="S128" s="12"/>
    </row>
    <row r="129" spans="1:19" ht="102" x14ac:dyDescent="0.25">
      <c r="A129" s="15" t="s">
        <v>1004</v>
      </c>
      <c r="B129" s="16">
        <v>6</v>
      </c>
      <c r="C129" s="12" t="s">
        <v>141</v>
      </c>
      <c r="D129" s="18" t="s">
        <v>1005</v>
      </c>
      <c r="E129" s="18" t="s">
        <v>1006</v>
      </c>
      <c r="F129" s="12" t="s">
        <v>184</v>
      </c>
      <c r="G129" s="12" t="s">
        <v>78</v>
      </c>
      <c r="H129" s="18" t="s">
        <v>1007</v>
      </c>
      <c r="I129" s="18" t="s">
        <v>1008</v>
      </c>
      <c r="J129" s="18" t="s">
        <v>449</v>
      </c>
      <c r="K129" s="18" t="s">
        <v>991</v>
      </c>
      <c r="L129" s="12" t="s">
        <v>258</v>
      </c>
      <c r="M129" s="19">
        <v>46296.63181712963</v>
      </c>
      <c r="N129" s="19">
        <v>46301.615300925929</v>
      </c>
      <c r="O129" s="19">
        <v>46301.615300925929</v>
      </c>
      <c r="P129" s="12" t="s">
        <v>997</v>
      </c>
      <c r="Q129" s="18" t="s">
        <v>1009</v>
      </c>
      <c r="R129" s="12"/>
      <c r="S129" s="12" t="s">
        <v>998</v>
      </c>
    </row>
    <row r="130" spans="1:19" ht="63.75" x14ac:dyDescent="0.25">
      <c r="A130" s="15" t="s">
        <v>1010</v>
      </c>
      <c r="B130" s="16">
        <v>6</v>
      </c>
      <c r="C130" s="12" t="s">
        <v>141</v>
      </c>
      <c r="D130" s="18" t="s">
        <v>1011</v>
      </c>
      <c r="E130" s="18" t="s">
        <v>1012</v>
      </c>
      <c r="F130" s="12" t="s">
        <v>199</v>
      </c>
      <c r="G130" s="12" t="s">
        <v>78</v>
      </c>
      <c r="H130" s="18" t="s">
        <v>1013</v>
      </c>
      <c r="I130" s="18" t="s">
        <v>1014</v>
      </c>
      <c r="J130" s="18" t="s">
        <v>996</v>
      </c>
      <c r="K130" s="18"/>
      <c r="L130" s="12" t="s">
        <v>268</v>
      </c>
      <c r="M130" s="19">
        <v>46301.615474537037</v>
      </c>
      <c r="N130" s="19">
        <v>46301.615474537037</v>
      </c>
      <c r="O130" s="19">
        <v>46301.615474537037</v>
      </c>
      <c r="P130" s="12" t="s">
        <v>1015</v>
      </c>
      <c r="Q130" s="18"/>
      <c r="R130" s="12"/>
      <c r="S130" s="12"/>
    </row>
    <row r="131" spans="1:19" ht="25.5" x14ac:dyDescent="0.25">
      <c r="A131" s="15" t="s">
        <v>1016</v>
      </c>
      <c r="B131" s="16">
        <v>6</v>
      </c>
      <c r="C131" s="12" t="s">
        <v>141</v>
      </c>
      <c r="D131" s="18" t="s">
        <v>1017</v>
      </c>
      <c r="E131" s="18" t="s">
        <v>1018</v>
      </c>
      <c r="F131" s="12" t="s">
        <v>199</v>
      </c>
      <c r="G131" s="12" t="s">
        <v>78</v>
      </c>
      <c r="H131" s="18" t="s">
        <v>1019</v>
      </c>
      <c r="I131" s="18" t="s">
        <v>1020</v>
      </c>
      <c r="J131" s="18" t="s">
        <v>449</v>
      </c>
      <c r="K131" s="18" t="s">
        <v>991</v>
      </c>
      <c r="L131" s="12" t="s">
        <v>268</v>
      </c>
      <c r="M131" s="19">
        <v>46301.615428240737</v>
      </c>
      <c r="N131" s="19">
        <v>46301.615428240737</v>
      </c>
      <c r="O131" s="19">
        <v>46301.615428240737</v>
      </c>
      <c r="P131" s="12" t="s">
        <v>997</v>
      </c>
      <c r="Q131" s="18"/>
      <c r="R131" s="12"/>
      <c r="S131" s="12" t="s">
        <v>1021</v>
      </c>
    </row>
    <row r="132" spans="1:19" ht="38.25" x14ac:dyDescent="0.25">
      <c r="A132" s="15" t="s">
        <v>1022</v>
      </c>
      <c r="B132" s="16">
        <v>7</v>
      </c>
      <c r="C132" s="12" t="s">
        <v>113</v>
      </c>
      <c r="D132" s="18" t="s">
        <v>1023</v>
      </c>
      <c r="E132" s="18" t="s">
        <v>1024</v>
      </c>
      <c r="F132" s="12" t="s">
        <v>184</v>
      </c>
      <c r="G132" s="12" t="s">
        <v>78</v>
      </c>
      <c r="H132" s="18" t="s">
        <v>1025</v>
      </c>
      <c r="I132" s="18" t="s">
        <v>1026</v>
      </c>
      <c r="J132" s="18" t="s">
        <v>1027</v>
      </c>
      <c r="K132" s="18"/>
      <c r="L132" s="12" t="s">
        <v>258</v>
      </c>
      <c r="M132" s="19">
        <v>46301.615659722222</v>
      </c>
      <c r="N132" s="19">
        <v>46301.615659722222</v>
      </c>
      <c r="O132" s="19">
        <v>46301.615659722222</v>
      </c>
      <c r="P132" s="12" t="s">
        <v>1028</v>
      </c>
      <c r="Q132" s="18"/>
      <c r="R132" s="12"/>
      <c r="S132" s="12"/>
    </row>
    <row r="133" spans="1:19" ht="25.5" x14ac:dyDescent="0.25">
      <c r="A133" s="15" t="s">
        <v>1029</v>
      </c>
      <c r="B133" s="16">
        <v>7</v>
      </c>
      <c r="C133" s="12" t="s">
        <v>113</v>
      </c>
      <c r="D133" s="18" t="s">
        <v>1030</v>
      </c>
      <c r="E133" s="18" t="s">
        <v>1031</v>
      </c>
      <c r="F133" s="12" t="s">
        <v>184</v>
      </c>
      <c r="G133" s="12" t="s">
        <v>78</v>
      </c>
      <c r="H133" s="18" t="s">
        <v>1032</v>
      </c>
      <c r="I133" s="18" t="s">
        <v>1033</v>
      </c>
      <c r="J133" s="18" t="s">
        <v>1027</v>
      </c>
      <c r="K133" s="18" t="s">
        <v>1022</v>
      </c>
      <c r="L133" s="12" t="s">
        <v>268</v>
      </c>
      <c r="M133" s="19">
        <v>46301.615706018521</v>
      </c>
      <c r="N133" s="19">
        <v>46301.615706018521</v>
      </c>
      <c r="O133" s="19">
        <v>46301.615706018521</v>
      </c>
      <c r="P133" s="12" t="s">
        <v>1028</v>
      </c>
      <c r="Q133" s="18"/>
      <c r="R133" s="12"/>
      <c r="S133" s="12"/>
    </row>
    <row r="134" spans="1:19" x14ac:dyDescent="0.25">
      <c r="A134" s="15" t="s">
        <v>1034</v>
      </c>
      <c r="B134" s="16">
        <v>7</v>
      </c>
      <c r="C134" s="12" t="s">
        <v>113</v>
      </c>
      <c r="D134" s="18" t="s">
        <v>1035</v>
      </c>
      <c r="E134" s="18" t="s">
        <v>1036</v>
      </c>
      <c r="F134" s="12" t="s">
        <v>199</v>
      </c>
      <c r="G134" s="12" t="s">
        <v>78</v>
      </c>
      <c r="H134" s="18" t="s">
        <v>1037</v>
      </c>
      <c r="I134" s="18" t="s">
        <v>1033</v>
      </c>
      <c r="J134" s="18" t="s">
        <v>1027</v>
      </c>
      <c r="K134" s="18" t="s">
        <v>1022</v>
      </c>
      <c r="L134" s="12" t="s">
        <v>188</v>
      </c>
      <c r="M134" s="19">
        <v>46301.615752314807</v>
      </c>
      <c r="N134" s="19">
        <v>46301.615752314807</v>
      </c>
      <c r="O134" s="19">
        <v>46301.615752314807</v>
      </c>
      <c r="P134" s="12" t="s">
        <v>1028</v>
      </c>
      <c r="Q134" s="18"/>
      <c r="R134" s="12"/>
      <c r="S134" s="12"/>
    </row>
    <row r="135" spans="1:19" ht="89.25" x14ac:dyDescent="0.25">
      <c r="A135" s="15" t="s">
        <v>1038</v>
      </c>
      <c r="B135" s="16">
        <v>8</v>
      </c>
      <c r="C135" s="12" t="s">
        <v>138</v>
      </c>
      <c r="D135" s="18" t="s">
        <v>1039</v>
      </c>
      <c r="E135" s="18" t="s">
        <v>1040</v>
      </c>
      <c r="F135" s="12" t="s">
        <v>184</v>
      </c>
      <c r="G135" s="12" t="s">
        <v>78</v>
      </c>
      <c r="H135" s="18" t="s">
        <v>1041</v>
      </c>
      <c r="I135" s="18" t="s">
        <v>1042</v>
      </c>
      <c r="J135" s="18" t="s">
        <v>257</v>
      </c>
      <c r="K135" s="18" t="s">
        <v>1022</v>
      </c>
      <c r="L135" s="12" t="s">
        <v>268</v>
      </c>
      <c r="M135" s="19">
        <v>46301.640949074077</v>
      </c>
      <c r="N135" s="19">
        <v>46301.819004629629</v>
      </c>
      <c r="O135" s="19">
        <v>46301.819004629629</v>
      </c>
      <c r="P135" s="12" t="s">
        <v>1043</v>
      </c>
      <c r="Q135" s="18" t="s">
        <v>1044</v>
      </c>
      <c r="R135" s="12"/>
      <c r="S135" s="12"/>
    </row>
    <row r="136" spans="1:19" ht="114.75" x14ac:dyDescent="0.25">
      <c r="A136" s="15" t="s">
        <v>1045</v>
      </c>
      <c r="B136" s="16">
        <v>8</v>
      </c>
      <c r="C136" s="12" t="s">
        <v>138</v>
      </c>
      <c r="D136" s="18" t="s">
        <v>1046</v>
      </c>
      <c r="E136" s="18" t="s">
        <v>1047</v>
      </c>
      <c r="F136" s="12" t="s">
        <v>184</v>
      </c>
      <c r="G136" s="12" t="s">
        <v>78</v>
      </c>
      <c r="H136" s="18" t="s">
        <v>1048</v>
      </c>
      <c r="I136" s="18" t="s">
        <v>1049</v>
      </c>
      <c r="J136" s="18" t="s">
        <v>1050</v>
      </c>
      <c r="K136" s="18" t="s">
        <v>1038</v>
      </c>
      <c r="L136" s="12" t="s">
        <v>258</v>
      </c>
      <c r="M136" s="19">
        <v>46301.819050925929</v>
      </c>
      <c r="N136" s="19">
        <v>46301.819050925929</v>
      </c>
      <c r="O136" s="19">
        <v>46301.819050925929</v>
      </c>
      <c r="P136" s="12" t="s">
        <v>1043</v>
      </c>
      <c r="Q136" s="18" t="s">
        <v>1051</v>
      </c>
      <c r="R136" s="12"/>
      <c r="S136" s="12"/>
    </row>
    <row r="137" spans="1:19" ht="76.5" x14ac:dyDescent="0.25">
      <c r="A137" s="15" t="s">
        <v>1052</v>
      </c>
      <c r="B137" s="16">
        <v>8</v>
      </c>
      <c r="C137" s="12" t="s">
        <v>138</v>
      </c>
      <c r="D137" s="18" t="s">
        <v>1053</v>
      </c>
      <c r="E137" s="18" t="s">
        <v>1054</v>
      </c>
      <c r="F137" s="12" t="s">
        <v>199</v>
      </c>
      <c r="G137" s="12" t="s">
        <v>78</v>
      </c>
      <c r="H137" s="18" t="s">
        <v>1055</v>
      </c>
      <c r="I137" s="18" t="s">
        <v>1056</v>
      </c>
      <c r="J137" s="18" t="s">
        <v>1050</v>
      </c>
      <c r="K137" s="18" t="s">
        <v>1038</v>
      </c>
      <c r="L137" s="12" t="s">
        <v>268</v>
      </c>
      <c r="M137" s="19">
        <v>46301.832326388889</v>
      </c>
      <c r="N137" s="19">
        <v>46301.847650462973</v>
      </c>
      <c r="O137" s="19">
        <v>46301.847650462973</v>
      </c>
      <c r="P137" s="12" t="s">
        <v>1057</v>
      </c>
      <c r="Q137" s="18" t="s">
        <v>1058</v>
      </c>
      <c r="R137" s="12"/>
      <c r="S137" s="12"/>
    </row>
    <row r="138" spans="1:19" ht="89.25" x14ac:dyDescent="0.25">
      <c r="A138" s="15" t="s">
        <v>1059</v>
      </c>
      <c r="B138" s="16">
        <v>8</v>
      </c>
      <c r="C138" s="12" t="s">
        <v>138</v>
      </c>
      <c r="D138" s="18" t="s">
        <v>1060</v>
      </c>
      <c r="E138" s="18" t="s">
        <v>1061</v>
      </c>
      <c r="F138" s="12" t="s">
        <v>199</v>
      </c>
      <c r="G138" s="12" t="s">
        <v>78</v>
      </c>
      <c r="H138" s="18" t="s">
        <v>1062</v>
      </c>
      <c r="I138" s="18" t="s">
        <v>1063</v>
      </c>
      <c r="J138" s="18" t="s">
        <v>1050</v>
      </c>
      <c r="K138" s="18" t="s">
        <v>1045</v>
      </c>
      <c r="L138" s="12" t="s">
        <v>258</v>
      </c>
      <c r="M138" s="19">
        <v>46301.847685185188</v>
      </c>
      <c r="N138" s="19">
        <v>46301.857673611114</v>
      </c>
      <c r="O138" s="19">
        <v>46301.857673611114</v>
      </c>
      <c r="P138" s="12" t="s">
        <v>1064</v>
      </c>
      <c r="Q138" s="18" t="s">
        <v>1065</v>
      </c>
      <c r="R138" s="12"/>
      <c r="S138" s="12"/>
    </row>
    <row r="139" spans="1:19" ht="89.25" x14ac:dyDescent="0.25">
      <c r="A139" s="15" t="s">
        <v>1066</v>
      </c>
      <c r="B139" s="16">
        <v>8</v>
      </c>
      <c r="C139" s="12" t="s">
        <v>138</v>
      </c>
      <c r="D139" s="18" t="s">
        <v>1067</v>
      </c>
      <c r="E139" s="18" t="s">
        <v>1068</v>
      </c>
      <c r="F139" s="12" t="s">
        <v>184</v>
      </c>
      <c r="G139" s="12" t="s">
        <v>78</v>
      </c>
      <c r="H139" s="18" t="s">
        <v>1069</v>
      </c>
      <c r="I139" s="18" t="s">
        <v>1070</v>
      </c>
      <c r="J139" s="18" t="s">
        <v>1050</v>
      </c>
      <c r="K139" s="18" t="s">
        <v>1045</v>
      </c>
      <c r="L139" s="12" t="s">
        <v>268</v>
      </c>
      <c r="M139" s="19">
        <v>46301.819131944438</v>
      </c>
      <c r="N139" s="19">
        <v>46301.832280092603</v>
      </c>
      <c r="O139" s="19">
        <v>46301.832280092603</v>
      </c>
      <c r="P139" s="12" t="s">
        <v>1071</v>
      </c>
      <c r="Q139" s="18" t="s">
        <v>1072</v>
      </c>
      <c r="R139" s="12"/>
      <c r="S139" s="12"/>
    </row>
    <row r="140" spans="1:19" ht="51" x14ac:dyDescent="0.25">
      <c r="A140" s="15" t="s">
        <v>1073</v>
      </c>
      <c r="B140" s="16">
        <v>8</v>
      </c>
      <c r="C140" s="12" t="s">
        <v>138</v>
      </c>
      <c r="D140" s="18" t="s">
        <v>1074</v>
      </c>
      <c r="E140" s="18" t="s">
        <v>1075</v>
      </c>
      <c r="F140" s="12" t="s">
        <v>199</v>
      </c>
      <c r="G140" s="12" t="s">
        <v>78</v>
      </c>
      <c r="H140" s="18" t="s">
        <v>1076</v>
      </c>
      <c r="I140" s="18" t="s">
        <v>1077</v>
      </c>
      <c r="J140" s="18" t="s">
        <v>1078</v>
      </c>
      <c r="K140" s="18"/>
      <c r="L140" s="12" t="s">
        <v>268</v>
      </c>
      <c r="M140" s="19">
        <v>46301.857719907413</v>
      </c>
      <c r="N140" s="19">
        <v>46301.868402777778</v>
      </c>
      <c r="O140" s="19">
        <v>46301.868402777778</v>
      </c>
      <c r="P140" s="12" t="s">
        <v>1079</v>
      </c>
      <c r="Q140" s="18" t="s">
        <v>1080</v>
      </c>
      <c r="R140" s="12"/>
      <c r="S140" s="12"/>
    </row>
    <row r="141" spans="1:19" ht="76.5" x14ac:dyDescent="0.25">
      <c r="A141" s="15" t="s">
        <v>1081</v>
      </c>
      <c r="B141" s="16">
        <v>8</v>
      </c>
      <c r="C141" s="12" t="s">
        <v>138</v>
      </c>
      <c r="D141" s="18" t="s">
        <v>1082</v>
      </c>
      <c r="E141" s="18" t="s">
        <v>1083</v>
      </c>
      <c r="F141" s="12" t="s">
        <v>199</v>
      </c>
      <c r="G141" s="12" t="s">
        <v>78</v>
      </c>
      <c r="H141" s="18" t="s">
        <v>1084</v>
      </c>
      <c r="I141" s="18" t="s">
        <v>1085</v>
      </c>
      <c r="J141" s="18" t="s">
        <v>1086</v>
      </c>
      <c r="K141" s="18" t="s">
        <v>1066</v>
      </c>
      <c r="L141" s="12" t="s">
        <v>268</v>
      </c>
      <c r="M141" s="19">
        <v>46301.868449074071</v>
      </c>
      <c r="N141" s="19">
        <v>46301.883750000001</v>
      </c>
      <c r="O141" s="19">
        <v>46301.883750000001</v>
      </c>
      <c r="P141" s="12" t="s">
        <v>1087</v>
      </c>
      <c r="Q141" s="18" t="s">
        <v>1088</v>
      </c>
      <c r="R141" s="12"/>
      <c r="S141" s="12"/>
    </row>
    <row r="142" spans="1:19" ht="76.5" x14ac:dyDescent="0.25">
      <c r="A142" s="15" t="s">
        <v>1089</v>
      </c>
      <c r="B142" s="16">
        <v>8</v>
      </c>
      <c r="C142" s="12" t="s">
        <v>138</v>
      </c>
      <c r="D142" s="18" t="s">
        <v>1090</v>
      </c>
      <c r="E142" s="18" t="s">
        <v>1091</v>
      </c>
      <c r="F142" s="12" t="s">
        <v>184</v>
      </c>
      <c r="G142" s="12" t="s">
        <v>78</v>
      </c>
      <c r="H142" s="18" t="s">
        <v>1092</v>
      </c>
      <c r="I142" s="18" t="s">
        <v>1093</v>
      </c>
      <c r="J142" s="18" t="s">
        <v>208</v>
      </c>
      <c r="K142" s="18" t="s">
        <v>1045</v>
      </c>
      <c r="L142" s="12" t="s">
        <v>188</v>
      </c>
      <c r="M142" s="19">
        <v>46301.615879629629</v>
      </c>
      <c r="N142" s="19">
        <v>46301.819097222222</v>
      </c>
      <c r="O142" s="19">
        <v>46301.819097222222</v>
      </c>
      <c r="P142" s="12" t="s">
        <v>1043</v>
      </c>
      <c r="Q142" s="18" t="s">
        <v>1094</v>
      </c>
      <c r="R142" s="12"/>
      <c r="S142" s="12"/>
    </row>
    <row r="143" spans="1:19" ht="89.25" x14ac:dyDescent="0.25">
      <c r="A143" s="15" t="s">
        <v>1095</v>
      </c>
      <c r="B143" s="16">
        <v>8</v>
      </c>
      <c r="C143" s="12" t="s">
        <v>113</v>
      </c>
      <c r="D143" s="18" t="s">
        <v>1096</v>
      </c>
      <c r="E143" s="18" t="s">
        <v>1097</v>
      </c>
      <c r="F143" s="12" t="s">
        <v>327</v>
      </c>
      <c r="G143" s="12" t="s">
        <v>78</v>
      </c>
      <c r="H143" s="18" t="s">
        <v>1098</v>
      </c>
      <c r="I143" s="18" t="s">
        <v>1099</v>
      </c>
      <c r="J143" s="18" t="s">
        <v>363</v>
      </c>
      <c r="K143" s="18"/>
      <c r="L143" s="12" t="s">
        <v>188</v>
      </c>
      <c r="M143" s="19">
        <v>46303.100335648152</v>
      </c>
      <c r="N143" s="19">
        <v>46303.100335648152</v>
      </c>
      <c r="O143" s="19">
        <v>46303.100335648152</v>
      </c>
      <c r="P143" s="12" t="s">
        <v>1100</v>
      </c>
      <c r="Q143" s="18"/>
      <c r="R143" s="12"/>
      <c r="S143" s="12"/>
    </row>
    <row r="144" spans="1:19" ht="114.75" x14ac:dyDescent="0.25">
      <c r="A144" s="15" t="s">
        <v>1101</v>
      </c>
      <c r="B144" s="16">
        <v>9</v>
      </c>
      <c r="C144" s="12" t="s">
        <v>138</v>
      </c>
      <c r="D144" s="18" t="s">
        <v>1102</v>
      </c>
      <c r="E144" s="18" t="s">
        <v>1103</v>
      </c>
      <c r="F144" s="12" t="s">
        <v>313</v>
      </c>
      <c r="G144" s="12" t="s">
        <v>78</v>
      </c>
      <c r="H144" s="18" t="s">
        <v>1104</v>
      </c>
      <c r="I144" s="18" t="s">
        <v>1105</v>
      </c>
      <c r="J144" s="18" t="s">
        <v>1106</v>
      </c>
      <c r="K144" s="18" t="s">
        <v>1038</v>
      </c>
      <c r="L144" s="12" t="s">
        <v>268</v>
      </c>
      <c r="M144" s="19">
        <v>46302.680891203701</v>
      </c>
      <c r="N144" s="19">
        <v>46302.680891203701</v>
      </c>
      <c r="O144" s="19">
        <v>46302.680891203701</v>
      </c>
      <c r="P144" s="12" t="s">
        <v>1107</v>
      </c>
      <c r="Q144" s="18"/>
      <c r="R144" s="12"/>
      <c r="S144" s="12"/>
    </row>
    <row r="145" spans="1:19" ht="153" x14ac:dyDescent="0.25">
      <c r="A145" s="15" t="s">
        <v>1108</v>
      </c>
      <c r="B145" s="16">
        <v>9</v>
      </c>
      <c r="C145" s="12" t="s">
        <v>138</v>
      </c>
      <c r="D145" s="18" t="s">
        <v>1109</v>
      </c>
      <c r="E145" s="18" t="s">
        <v>1110</v>
      </c>
      <c r="F145" s="12" t="s">
        <v>327</v>
      </c>
      <c r="G145" s="12" t="s">
        <v>78</v>
      </c>
      <c r="H145" s="18" t="s">
        <v>1111</v>
      </c>
      <c r="I145" s="18" t="s">
        <v>1112</v>
      </c>
      <c r="J145" s="18" t="s">
        <v>1106</v>
      </c>
      <c r="K145" s="18" t="s">
        <v>1101</v>
      </c>
      <c r="L145" s="12" t="s">
        <v>268</v>
      </c>
      <c r="M145" s="19">
        <v>46303.055833333332</v>
      </c>
      <c r="N145" s="19">
        <v>46303.055833333332</v>
      </c>
      <c r="O145" s="19">
        <v>46303.055833333332</v>
      </c>
      <c r="P145" s="12" t="s">
        <v>1113</v>
      </c>
      <c r="Q145" s="18" t="s">
        <v>1114</v>
      </c>
      <c r="R145" s="12" t="s">
        <v>1101</v>
      </c>
      <c r="S145" s="12"/>
    </row>
    <row r="146" spans="1:19" ht="89.25" x14ac:dyDescent="0.25">
      <c r="A146" s="15" t="s">
        <v>1115</v>
      </c>
      <c r="B146" s="16">
        <v>9</v>
      </c>
      <c r="C146" s="12" t="s">
        <v>138</v>
      </c>
      <c r="D146" s="18" t="s">
        <v>1116</v>
      </c>
      <c r="E146" s="18" t="s">
        <v>1117</v>
      </c>
      <c r="F146" s="12" t="s">
        <v>327</v>
      </c>
      <c r="G146" s="12" t="s">
        <v>60</v>
      </c>
      <c r="H146" s="18"/>
      <c r="I146" s="18"/>
      <c r="J146" s="18" t="s">
        <v>281</v>
      </c>
      <c r="K146" s="18"/>
      <c r="L146" s="12" t="s">
        <v>258</v>
      </c>
      <c r="M146" s="19"/>
      <c r="N146" s="19"/>
      <c r="O146" s="19"/>
      <c r="P146" s="12"/>
      <c r="Q146" s="18"/>
      <c r="R146" s="12" t="s">
        <v>1108</v>
      </c>
      <c r="S146" s="12"/>
    </row>
    <row r="147" spans="1:19" ht="127.5" x14ac:dyDescent="0.25">
      <c r="A147" s="15" t="s">
        <v>1118</v>
      </c>
      <c r="B147" s="16">
        <v>9</v>
      </c>
      <c r="C147" s="12" t="s">
        <v>113</v>
      </c>
      <c r="D147" s="18" t="s">
        <v>1119</v>
      </c>
      <c r="E147" s="18" t="s">
        <v>1120</v>
      </c>
      <c r="F147" s="12" t="s">
        <v>313</v>
      </c>
      <c r="G147" s="12" t="s">
        <v>78</v>
      </c>
      <c r="H147" s="18" t="s">
        <v>1121</v>
      </c>
      <c r="I147" s="18" t="s">
        <v>1122</v>
      </c>
      <c r="J147" s="18" t="s">
        <v>1050</v>
      </c>
      <c r="K147" s="18"/>
      <c r="L147" s="12" t="s">
        <v>268</v>
      </c>
      <c r="M147" s="19">
        <v>46302.676979166667</v>
      </c>
      <c r="N147" s="19">
        <v>46302.676979166667</v>
      </c>
      <c r="O147" s="19">
        <v>46302.676979166667</v>
      </c>
      <c r="P147" s="12" t="s">
        <v>1123</v>
      </c>
      <c r="Q147" s="18" t="s">
        <v>1124</v>
      </c>
      <c r="R147" s="12"/>
      <c r="S147" s="12"/>
    </row>
    <row r="148" spans="1:19" ht="25.5" x14ac:dyDescent="0.25">
      <c r="A148" s="15" t="s">
        <v>1125</v>
      </c>
      <c r="B148" s="16">
        <v>10</v>
      </c>
      <c r="C148" s="12" t="s">
        <v>134</v>
      </c>
      <c r="D148" s="18" t="s">
        <v>1126</v>
      </c>
      <c r="E148" s="18" t="s">
        <v>1127</v>
      </c>
      <c r="F148" s="12" t="s">
        <v>184</v>
      </c>
      <c r="G148" s="12" t="s">
        <v>78</v>
      </c>
      <c r="H148" s="18" t="s">
        <v>1128</v>
      </c>
      <c r="I148" s="18" t="s">
        <v>1129</v>
      </c>
      <c r="J148" s="18" t="s">
        <v>1130</v>
      </c>
      <c r="K148" s="18"/>
      <c r="L148" s="12" t="s">
        <v>258</v>
      </c>
      <c r="M148" s="19">
        <v>46301.890613425923</v>
      </c>
      <c r="N148" s="19">
        <v>46301.890613425923</v>
      </c>
      <c r="O148" s="19">
        <v>46301.890613425923</v>
      </c>
      <c r="P148" s="12" t="s">
        <v>1131</v>
      </c>
      <c r="Q148" s="18" t="s">
        <v>1132</v>
      </c>
      <c r="R148" s="12"/>
      <c r="S148" s="12"/>
    </row>
    <row r="149" spans="1:19" ht="25.5" x14ac:dyDescent="0.25">
      <c r="A149" s="15" t="s">
        <v>1133</v>
      </c>
      <c r="B149" s="16">
        <v>10</v>
      </c>
      <c r="C149" s="12" t="s">
        <v>134</v>
      </c>
      <c r="D149" s="18" t="s">
        <v>1134</v>
      </c>
      <c r="E149" s="18" t="s">
        <v>1135</v>
      </c>
      <c r="F149" s="12" t="s">
        <v>184</v>
      </c>
      <c r="G149" s="12" t="s">
        <v>78</v>
      </c>
      <c r="H149" s="18" t="s">
        <v>1128</v>
      </c>
      <c r="I149" s="18" t="s">
        <v>1129</v>
      </c>
      <c r="J149" s="18" t="s">
        <v>1130</v>
      </c>
      <c r="K149" s="18" t="s">
        <v>1125</v>
      </c>
      <c r="L149" s="12" t="s">
        <v>268</v>
      </c>
      <c r="M149" s="19">
        <v>46301.890648148154</v>
      </c>
      <c r="N149" s="19">
        <v>46301.890648148154</v>
      </c>
      <c r="O149" s="19">
        <v>46301.890648148154</v>
      </c>
      <c r="P149" s="12" t="s">
        <v>1131</v>
      </c>
      <c r="Q149" s="18" t="s">
        <v>1132</v>
      </c>
      <c r="R149" s="12"/>
      <c r="S149" s="12"/>
    </row>
    <row r="150" spans="1:19" ht="25.5" x14ac:dyDescent="0.25">
      <c r="A150" s="15" t="s">
        <v>1136</v>
      </c>
      <c r="B150" s="16">
        <v>10</v>
      </c>
      <c r="C150" s="12" t="s">
        <v>134</v>
      </c>
      <c r="D150" s="18" t="s">
        <v>1137</v>
      </c>
      <c r="E150" s="18" t="s">
        <v>1138</v>
      </c>
      <c r="F150" s="12" t="s">
        <v>184</v>
      </c>
      <c r="G150" s="12" t="s">
        <v>78</v>
      </c>
      <c r="H150" s="18" t="s">
        <v>1128</v>
      </c>
      <c r="I150" s="18" t="s">
        <v>1129</v>
      </c>
      <c r="J150" s="18" t="s">
        <v>1130</v>
      </c>
      <c r="K150" s="18" t="s">
        <v>1125</v>
      </c>
      <c r="L150" s="12" t="s">
        <v>258</v>
      </c>
      <c r="M150" s="19">
        <v>46301.890694444453</v>
      </c>
      <c r="N150" s="19">
        <v>46301.890694444453</v>
      </c>
      <c r="O150" s="19">
        <v>46301.890694444453</v>
      </c>
      <c r="P150" s="12" t="s">
        <v>1131</v>
      </c>
      <c r="Q150" s="18" t="s">
        <v>1132</v>
      </c>
      <c r="R150" s="12"/>
      <c r="S150" s="12"/>
    </row>
    <row r="151" spans="1:19" ht="76.5" x14ac:dyDescent="0.25">
      <c r="A151" s="15" t="s">
        <v>1139</v>
      </c>
      <c r="B151" s="16">
        <v>10</v>
      </c>
      <c r="C151" s="12" t="s">
        <v>134</v>
      </c>
      <c r="D151" s="18" t="s">
        <v>1140</v>
      </c>
      <c r="E151" s="18" t="s">
        <v>1141</v>
      </c>
      <c r="F151" s="12" t="s">
        <v>199</v>
      </c>
      <c r="G151" s="12" t="s">
        <v>78</v>
      </c>
      <c r="H151" s="18" t="s">
        <v>1142</v>
      </c>
      <c r="I151" s="18" t="s">
        <v>1143</v>
      </c>
      <c r="J151" s="18" t="s">
        <v>1144</v>
      </c>
      <c r="K151" s="18" t="s">
        <v>1125</v>
      </c>
      <c r="L151" s="12" t="s">
        <v>268</v>
      </c>
      <c r="M151" s="19">
        <v>46301.890740740739</v>
      </c>
      <c r="N151" s="19">
        <v>46301.923171296286</v>
      </c>
      <c r="O151" s="19">
        <v>46301.923171296286</v>
      </c>
      <c r="P151" s="12" t="s">
        <v>1145</v>
      </c>
      <c r="Q151" s="18" t="s">
        <v>1146</v>
      </c>
      <c r="R151" s="12"/>
      <c r="S151" s="12"/>
    </row>
    <row r="152" spans="1:19" ht="76.5" x14ac:dyDescent="0.25">
      <c r="A152" s="15" t="s">
        <v>1147</v>
      </c>
      <c r="B152" s="16">
        <v>10</v>
      </c>
      <c r="C152" s="12" t="s">
        <v>134</v>
      </c>
      <c r="D152" s="18" t="s">
        <v>1148</v>
      </c>
      <c r="E152" s="18" t="s">
        <v>1149</v>
      </c>
      <c r="F152" s="12" t="s">
        <v>184</v>
      </c>
      <c r="G152" s="12" t="s">
        <v>78</v>
      </c>
      <c r="H152" s="18" t="s">
        <v>1142</v>
      </c>
      <c r="I152" s="18" t="s">
        <v>1143</v>
      </c>
      <c r="J152" s="18" t="s">
        <v>232</v>
      </c>
      <c r="K152" s="18" t="s">
        <v>1150</v>
      </c>
      <c r="L152" s="12" t="s">
        <v>268</v>
      </c>
      <c r="M152" s="19">
        <v>46301.923217592594</v>
      </c>
      <c r="N152" s="19">
        <v>46301.923217592594</v>
      </c>
      <c r="O152" s="19">
        <v>46301.923217592594</v>
      </c>
      <c r="P152" s="12" t="s">
        <v>1145</v>
      </c>
      <c r="Q152" s="18" t="s">
        <v>1146</v>
      </c>
      <c r="R152" s="12"/>
      <c r="S152" s="12"/>
    </row>
    <row r="153" spans="1:19" ht="76.5" x14ac:dyDescent="0.25">
      <c r="A153" s="15" t="s">
        <v>1151</v>
      </c>
      <c r="B153" s="16">
        <v>10</v>
      </c>
      <c r="C153" s="12" t="s">
        <v>134</v>
      </c>
      <c r="D153" s="18" t="s">
        <v>1152</v>
      </c>
      <c r="E153" s="18" t="s">
        <v>1153</v>
      </c>
      <c r="F153" s="12" t="s">
        <v>184</v>
      </c>
      <c r="G153" s="12" t="s">
        <v>78</v>
      </c>
      <c r="H153" s="18" t="s">
        <v>1142</v>
      </c>
      <c r="I153" s="18" t="s">
        <v>1143</v>
      </c>
      <c r="J153" s="18" t="s">
        <v>232</v>
      </c>
      <c r="K153" s="18" t="s">
        <v>1136</v>
      </c>
      <c r="L153" s="12" t="s">
        <v>268</v>
      </c>
      <c r="M153" s="19">
        <v>46301.923263888893</v>
      </c>
      <c r="N153" s="19">
        <v>46301.923263888893</v>
      </c>
      <c r="O153" s="19">
        <v>46301.923263888893</v>
      </c>
      <c r="P153" s="12" t="s">
        <v>1145</v>
      </c>
      <c r="Q153" s="18" t="s">
        <v>1146</v>
      </c>
      <c r="R153" s="12"/>
      <c r="S153" s="12"/>
    </row>
    <row r="154" spans="1:19" ht="76.5" x14ac:dyDescent="0.25">
      <c r="A154" s="15" t="s">
        <v>1154</v>
      </c>
      <c r="B154" s="16">
        <v>10</v>
      </c>
      <c r="C154" s="12" t="s">
        <v>134</v>
      </c>
      <c r="D154" s="18" t="s">
        <v>1155</v>
      </c>
      <c r="E154" s="18" t="s">
        <v>1156</v>
      </c>
      <c r="F154" s="12" t="s">
        <v>199</v>
      </c>
      <c r="G154" s="12" t="s">
        <v>78</v>
      </c>
      <c r="H154" s="18" t="s">
        <v>1142</v>
      </c>
      <c r="I154" s="18" t="s">
        <v>1143</v>
      </c>
      <c r="J154" s="18" t="s">
        <v>257</v>
      </c>
      <c r="K154" s="18"/>
      <c r="L154" s="12" t="s">
        <v>188</v>
      </c>
      <c r="M154" s="19">
        <v>46301.923310185193</v>
      </c>
      <c r="N154" s="19">
        <v>46301.923310185193</v>
      </c>
      <c r="O154" s="19">
        <v>46301.923310185193</v>
      </c>
      <c r="P154" s="12" t="s">
        <v>1145</v>
      </c>
      <c r="Q154" s="18" t="s">
        <v>1146</v>
      </c>
      <c r="R154" s="12"/>
      <c r="S154" s="12"/>
    </row>
    <row r="155" spans="1:19" ht="76.5" x14ac:dyDescent="0.25">
      <c r="A155" s="15" t="s">
        <v>1157</v>
      </c>
      <c r="B155" s="16">
        <v>10</v>
      </c>
      <c r="C155" s="12" t="s">
        <v>134</v>
      </c>
      <c r="D155" s="18" t="s">
        <v>1158</v>
      </c>
      <c r="E155" s="18" t="s">
        <v>1159</v>
      </c>
      <c r="F155" s="12" t="s">
        <v>184</v>
      </c>
      <c r="G155" s="12" t="s">
        <v>78</v>
      </c>
      <c r="H155" s="18" t="s">
        <v>1142</v>
      </c>
      <c r="I155" s="18" t="s">
        <v>1143</v>
      </c>
      <c r="J155" s="18" t="s">
        <v>214</v>
      </c>
      <c r="K155" s="18" t="s">
        <v>1147</v>
      </c>
      <c r="L155" s="12" t="s">
        <v>268</v>
      </c>
      <c r="M155" s="19">
        <v>46301.923356481479</v>
      </c>
      <c r="N155" s="19">
        <v>46301.923356481479</v>
      </c>
      <c r="O155" s="19">
        <v>46301.923356481479</v>
      </c>
      <c r="P155" s="12" t="s">
        <v>1145</v>
      </c>
      <c r="Q155" s="18" t="s">
        <v>1146</v>
      </c>
      <c r="R155" s="12"/>
      <c r="S155" s="12"/>
    </row>
    <row r="156" spans="1:19" ht="76.5" x14ac:dyDescent="0.25">
      <c r="A156" s="15" t="s">
        <v>1160</v>
      </c>
      <c r="B156" s="16">
        <v>10</v>
      </c>
      <c r="C156" s="12" t="s">
        <v>134</v>
      </c>
      <c r="D156" s="18" t="s">
        <v>1161</v>
      </c>
      <c r="E156" s="18" t="s">
        <v>1162</v>
      </c>
      <c r="F156" s="12" t="s">
        <v>199</v>
      </c>
      <c r="G156" s="12" t="s">
        <v>78</v>
      </c>
      <c r="H156" s="18" t="s">
        <v>1142</v>
      </c>
      <c r="I156" s="18" t="s">
        <v>1143</v>
      </c>
      <c r="J156" s="18" t="s">
        <v>996</v>
      </c>
      <c r="K156" s="18" t="s">
        <v>991</v>
      </c>
      <c r="L156" s="12" t="s">
        <v>188</v>
      </c>
      <c r="M156" s="19">
        <v>46301.923414351862</v>
      </c>
      <c r="N156" s="19">
        <v>46301.923414351862</v>
      </c>
      <c r="O156" s="19">
        <v>46301.923414351862</v>
      </c>
      <c r="P156" s="12" t="s">
        <v>1145</v>
      </c>
      <c r="Q156" s="18" t="s">
        <v>1146</v>
      </c>
      <c r="R156" s="12"/>
      <c r="S156" s="12"/>
    </row>
    <row r="157" spans="1:19" ht="76.5" x14ac:dyDescent="0.25">
      <c r="A157" s="15" t="s">
        <v>1163</v>
      </c>
      <c r="B157" s="16">
        <v>10</v>
      </c>
      <c r="C157" s="12" t="s">
        <v>134</v>
      </c>
      <c r="D157" s="18" t="s">
        <v>1164</v>
      </c>
      <c r="E157" s="18" t="s">
        <v>1165</v>
      </c>
      <c r="F157" s="12" t="s">
        <v>184</v>
      </c>
      <c r="G157" s="12" t="s">
        <v>78</v>
      </c>
      <c r="H157" s="18" t="s">
        <v>1142</v>
      </c>
      <c r="I157" s="18" t="s">
        <v>1143</v>
      </c>
      <c r="J157" s="18" t="s">
        <v>208</v>
      </c>
      <c r="K157" s="18" t="s">
        <v>1151</v>
      </c>
      <c r="L157" s="12" t="s">
        <v>188</v>
      </c>
      <c r="M157" s="19">
        <v>46301.923460648148</v>
      </c>
      <c r="N157" s="19">
        <v>46301.923460648148</v>
      </c>
      <c r="O157" s="19">
        <v>46301.923460648148</v>
      </c>
      <c r="P157" s="12" t="s">
        <v>1145</v>
      </c>
      <c r="Q157" s="18" t="s">
        <v>1146</v>
      </c>
      <c r="R157" s="12"/>
      <c r="S157" s="12"/>
    </row>
    <row r="158" spans="1:19" ht="38.25" x14ac:dyDescent="0.25">
      <c r="A158" s="15" t="s">
        <v>1166</v>
      </c>
      <c r="B158" s="16">
        <v>11</v>
      </c>
      <c r="C158" s="12" t="s">
        <v>136</v>
      </c>
      <c r="D158" s="18" t="s">
        <v>1167</v>
      </c>
      <c r="E158" s="18" t="s">
        <v>1168</v>
      </c>
      <c r="F158" s="12" t="s">
        <v>184</v>
      </c>
      <c r="G158" s="12" t="s">
        <v>78</v>
      </c>
      <c r="H158" s="18" t="s">
        <v>1169</v>
      </c>
      <c r="I158" s="18" t="s">
        <v>1170</v>
      </c>
      <c r="J158" s="18" t="s">
        <v>1171</v>
      </c>
      <c r="K158" s="18"/>
      <c r="L158" s="12" t="s">
        <v>268</v>
      </c>
      <c r="M158" s="19">
        <v>46302.364791666667</v>
      </c>
      <c r="N158" s="19">
        <v>46302.364791666667</v>
      </c>
      <c r="O158" s="19">
        <v>46302.364791666667</v>
      </c>
      <c r="P158" s="12" t="s">
        <v>1172</v>
      </c>
      <c r="Q158" s="18" t="s">
        <v>1173</v>
      </c>
      <c r="R158" s="12"/>
      <c r="S158" s="12" t="s">
        <v>1174</v>
      </c>
    </row>
    <row r="159" spans="1:19" ht="38.25" x14ac:dyDescent="0.25">
      <c r="A159" s="15" t="s">
        <v>1175</v>
      </c>
      <c r="B159" s="16">
        <v>11</v>
      </c>
      <c r="C159" s="12" t="s">
        <v>136</v>
      </c>
      <c r="D159" s="18" t="s">
        <v>1176</v>
      </c>
      <c r="E159" s="18" t="s">
        <v>1177</v>
      </c>
      <c r="F159" s="12" t="s">
        <v>184</v>
      </c>
      <c r="G159" s="12" t="s">
        <v>78</v>
      </c>
      <c r="H159" s="18" t="s">
        <v>1169</v>
      </c>
      <c r="I159" s="18" t="s">
        <v>1170</v>
      </c>
      <c r="J159" s="18" t="s">
        <v>1171</v>
      </c>
      <c r="K159" s="18" t="s">
        <v>1166</v>
      </c>
      <c r="L159" s="12" t="s">
        <v>268</v>
      </c>
      <c r="M159" s="19">
        <v>46302.364837962959</v>
      </c>
      <c r="N159" s="19">
        <v>46302.364837962959</v>
      </c>
      <c r="O159" s="19">
        <v>46302.364837962959</v>
      </c>
      <c r="P159" s="12" t="s">
        <v>1172</v>
      </c>
      <c r="Q159" s="18" t="s">
        <v>1178</v>
      </c>
      <c r="R159" s="12" t="s">
        <v>1166</v>
      </c>
      <c r="S159" s="12" t="s">
        <v>1174</v>
      </c>
    </row>
    <row r="160" spans="1:19" ht="63.75" x14ac:dyDescent="0.25">
      <c r="A160" s="15" t="s">
        <v>1179</v>
      </c>
      <c r="B160" s="16">
        <v>11</v>
      </c>
      <c r="C160" s="12" t="s">
        <v>136</v>
      </c>
      <c r="D160" s="18" t="s">
        <v>1180</v>
      </c>
      <c r="E160" s="18" t="s">
        <v>1181</v>
      </c>
      <c r="F160" s="12" t="s">
        <v>184</v>
      </c>
      <c r="G160" s="12" t="s">
        <v>78</v>
      </c>
      <c r="H160" s="18" t="s">
        <v>1169</v>
      </c>
      <c r="I160" s="18" t="s">
        <v>1170</v>
      </c>
      <c r="J160" s="18" t="s">
        <v>346</v>
      </c>
      <c r="K160" s="18" t="s">
        <v>1175</v>
      </c>
      <c r="L160" s="12" t="s">
        <v>258</v>
      </c>
      <c r="M160" s="19">
        <v>46302.364884259259</v>
      </c>
      <c r="N160" s="19">
        <v>46302.364884259259</v>
      </c>
      <c r="O160" s="19">
        <v>46302.364884259259</v>
      </c>
      <c r="P160" s="12" t="s">
        <v>1172</v>
      </c>
      <c r="Q160" s="18" t="s">
        <v>1182</v>
      </c>
      <c r="R160" s="12" t="s">
        <v>1175</v>
      </c>
      <c r="S160" s="12" t="s">
        <v>1174</v>
      </c>
    </row>
    <row r="161" spans="1:19" ht="38.25" x14ac:dyDescent="0.25">
      <c r="A161" s="15" t="s">
        <v>1183</v>
      </c>
      <c r="B161" s="16">
        <v>11</v>
      </c>
      <c r="C161" s="12" t="s">
        <v>136</v>
      </c>
      <c r="D161" s="18" t="s">
        <v>1184</v>
      </c>
      <c r="E161" s="18" t="s">
        <v>1185</v>
      </c>
      <c r="F161" s="12" t="s">
        <v>199</v>
      </c>
      <c r="G161" s="12" t="s">
        <v>78</v>
      </c>
      <c r="H161" s="18" t="s">
        <v>1169</v>
      </c>
      <c r="I161" s="18" t="s">
        <v>1170</v>
      </c>
      <c r="J161" s="18" t="s">
        <v>346</v>
      </c>
      <c r="K161" s="18" t="s">
        <v>1175</v>
      </c>
      <c r="L161" s="12" t="s">
        <v>268</v>
      </c>
      <c r="M161" s="19">
        <v>46302.364930555559</v>
      </c>
      <c r="N161" s="19">
        <v>46302.364930555559</v>
      </c>
      <c r="O161" s="19">
        <v>46302.364930555559</v>
      </c>
      <c r="P161" s="12" t="s">
        <v>1172</v>
      </c>
      <c r="Q161" s="18" t="s">
        <v>1186</v>
      </c>
      <c r="R161" s="12" t="s">
        <v>1175</v>
      </c>
      <c r="S161" s="12" t="s">
        <v>1174</v>
      </c>
    </row>
    <row r="162" spans="1:19" ht="102" x14ac:dyDescent="0.25">
      <c r="A162" s="15" t="s">
        <v>1187</v>
      </c>
      <c r="B162" s="16">
        <v>11</v>
      </c>
      <c r="C162" s="12" t="s">
        <v>136</v>
      </c>
      <c r="D162" s="18" t="s">
        <v>1188</v>
      </c>
      <c r="E162" s="18" t="s">
        <v>1189</v>
      </c>
      <c r="F162" s="12" t="s">
        <v>313</v>
      </c>
      <c r="G162" s="12" t="s">
        <v>78</v>
      </c>
      <c r="H162" s="18" t="s">
        <v>1190</v>
      </c>
      <c r="I162" s="18" t="s">
        <v>1191</v>
      </c>
      <c r="J162" s="18" t="s">
        <v>214</v>
      </c>
      <c r="K162" s="18" t="s">
        <v>1175</v>
      </c>
      <c r="L162" s="12" t="s">
        <v>188</v>
      </c>
      <c r="M162" s="19">
        <v>46302.690972222219</v>
      </c>
      <c r="N162" s="19">
        <v>46302.690972222219</v>
      </c>
      <c r="O162" s="19">
        <v>46302.690972222219</v>
      </c>
      <c r="P162" s="12" t="s">
        <v>1192</v>
      </c>
      <c r="Q162" s="18"/>
      <c r="R162" s="12" t="s">
        <v>1175</v>
      </c>
      <c r="S162" s="12"/>
    </row>
    <row r="163" spans="1:19" ht="38.25" x14ac:dyDescent="0.25">
      <c r="A163" s="15" t="s">
        <v>1193</v>
      </c>
      <c r="B163" s="16">
        <v>11</v>
      </c>
      <c r="C163" s="12" t="s">
        <v>136</v>
      </c>
      <c r="D163" s="18" t="s">
        <v>1194</v>
      </c>
      <c r="E163" s="18" t="s">
        <v>1195</v>
      </c>
      <c r="F163" s="12" t="s">
        <v>184</v>
      </c>
      <c r="G163" s="12" t="s">
        <v>78</v>
      </c>
      <c r="H163" s="18" t="s">
        <v>1169</v>
      </c>
      <c r="I163" s="18" t="s">
        <v>1170</v>
      </c>
      <c r="J163" s="18" t="s">
        <v>208</v>
      </c>
      <c r="K163" s="18" t="s">
        <v>1179</v>
      </c>
      <c r="L163" s="12" t="s">
        <v>188</v>
      </c>
      <c r="M163" s="19">
        <v>46302.364976851852</v>
      </c>
      <c r="N163" s="19">
        <v>46302.364976851852</v>
      </c>
      <c r="O163" s="19">
        <v>46302.364976851852</v>
      </c>
      <c r="P163" s="12" t="s">
        <v>1172</v>
      </c>
      <c r="Q163" s="18" t="s">
        <v>1196</v>
      </c>
      <c r="R163" s="12" t="s">
        <v>1179</v>
      </c>
      <c r="S163" s="12" t="s">
        <v>1174</v>
      </c>
    </row>
    <row r="164" spans="1:19" ht="89.25" x14ac:dyDescent="0.25">
      <c r="A164" s="15" t="s">
        <v>1197</v>
      </c>
      <c r="B164" s="16">
        <v>12</v>
      </c>
      <c r="C164" s="12" t="s">
        <v>118</v>
      </c>
      <c r="D164" s="18" t="s">
        <v>1198</v>
      </c>
      <c r="E164" s="18" t="s">
        <v>1199</v>
      </c>
      <c r="F164" s="12" t="s">
        <v>199</v>
      </c>
      <c r="G164" s="12" t="s">
        <v>78</v>
      </c>
      <c r="H164" s="18" t="s">
        <v>1200</v>
      </c>
      <c r="I164" s="18" t="s">
        <v>1201</v>
      </c>
      <c r="J164" s="18" t="s">
        <v>709</v>
      </c>
      <c r="K164" s="18" t="s">
        <v>540</v>
      </c>
      <c r="L164" s="12" t="s">
        <v>268</v>
      </c>
      <c r="M164" s="19">
        <v>46302.365358796298</v>
      </c>
      <c r="N164" s="19">
        <v>46302.365358796298</v>
      </c>
      <c r="O164" s="19">
        <v>46302.365358796298</v>
      </c>
      <c r="P164" s="12" t="s">
        <v>1202</v>
      </c>
      <c r="Q164" s="18" t="s">
        <v>1203</v>
      </c>
      <c r="R164" s="12"/>
      <c r="S164" s="12"/>
    </row>
    <row r="165" spans="1:19" ht="89.25" x14ac:dyDescent="0.25">
      <c r="A165" s="15" t="s">
        <v>1204</v>
      </c>
      <c r="B165" s="16">
        <v>12</v>
      </c>
      <c r="C165" s="12" t="s">
        <v>118</v>
      </c>
      <c r="D165" s="18" t="s">
        <v>1205</v>
      </c>
      <c r="E165" s="18" t="s">
        <v>1206</v>
      </c>
      <c r="F165" s="12" t="s">
        <v>199</v>
      </c>
      <c r="G165" s="12" t="s">
        <v>78</v>
      </c>
      <c r="H165" s="18" t="s">
        <v>1200</v>
      </c>
      <c r="I165" s="18" t="s">
        <v>1201</v>
      </c>
      <c r="J165" s="18" t="s">
        <v>709</v>
      </c>
      <c r="K165" s="18"/>
      <c r="L165" s="12" t="s">
        <v>268</v>
      </c>
      <c r="M165" s="19">
        <v>46302.365405092591</v>
      </c>
      <c r="N165" s="19">
        <v>46302.365405092591</v>
      </c>
      <c r="O165" s="19">
        <v>46302.365405092591</v>
      </c>
      <c r="P165" s="12" t="s">
        <v>1202</v>
      </c>
      <c r="Q165" s="18" t="s">
        <v>1207</v>
      </c>
      <c r="R165" s="12"/>
      <c r="S165" s="12"/>
    </row>
    <row r="166" spans="1:19" ht="89.25" x14ac:dyDescent="0.25">
      <c r="A166" s="15" t="s">
        <v>1208</v>
      </c>
      <c r="B166" s="16">
        <v>12</v>
      </c>
      <c r="C166" s="12" t="s">
        <v>118</v>
      </c>
      <c r="D166" s="18" t="s">
        <v>1209</v>
      </c>
      <c r="E166" s="18" t="s">
        <v>1210</v>
      </c>
      <c r="F166" s="12" t="s">
        <v>199</v>
      </c>
      <c r="G166" s="12" t="s">
        <v>78</v>
      </c>
      <c r="H166" s="18" t="s">
        <v>1200</v>
      </c>
      <c r="I166" s="18" t="s">
        <v>1201</v>
      </c>
      <c r="J166" s="18" t="s">
        <v>214</v>
      </c>
      <c r="K166" s="18"/>
      <c r="L166" s="12" t="s">
        <v>188</v>
      </c>
      <c r="M166" s="19">
        <v>46302.365451388891</v>
      </c>
      <c r="N166" s="19">
        <v>46302.365451388891</v>
      </c>
      <c r="O166" s="19">
        <v>46302.365451388891</v>
      </c>
      <c r="P166" s="12" t="s">
        <v>1202</v>
      </c>
      <c r="Q166" s="18" t="s">
        <v>1211</v>
      </c>
      <c r="R166" s="12"/>
      <c r="S166" s="12"/>
    </row>
    <row r="167" spans="1:19" ht="38.25" x14ac:dyDescent="0.25">
      <c r="A167" s="15" t="s">
        <v>1212</v>
      </c>
      <c r="B167" s="16">
        <v>12</v>
      </c>
      <c r="C167" s="12" t="s">
        <v>118</v>
      </c>
      <c r="D167" s="18" t="s">
        <v>1213</v>
      </c>
      <c r="E167" s="18" t="s">
        <v>1214</v>
      </c>
      <c r="F167" s="12" t="s">
        <v>199</v>
      </c>
      <c r="G167" s="12" t="s">
        <v>78</v>
      </c>
      <c r="H167" s="18" t="s">
        <v>1215</v>
      </c>
      <c r="I167" s="18" t="s">
        <v>1216</v>
      </c>
      <c r="J167" s="18" t="s">
        <v>417</v>
      </c>
      <c r="K167" s="18"/>
      <c r="L167" s="12" t="s">
        <v>188</v>
      </c>
      <c r="M167" s="19">
        <v>46292.397361111107</v>
      </c>
      <c r="N167" s="19">
        <v>46292.399050925917</v>
      </c>
      <c r="O167" s="19">
        <v>46292.399050925917</v>
      </c>
      <c r="P167" s="12" t="s">
        <v>302</v>
      </c>
      <c r="Q167" s="18"/>
      <c r="R167" s="12"/>
      <c r="S167" s="12"/>
    </row>
    <row r="168" spans="1:19" ht="76.5" x14ac:dyDescent="0.25">
      <c r="A168" s="15" t="s">
        <v>1217</v>
      </c>
      <c r="B168" s="16">
        <v>13</v>
      </c>
      <c r="C168" s="12" t="s">
        <v>120</v>
      </c>
      <c r="D168" s="18" t="s">
        <v>1218</v>
      </c>
      <c r="E168" s="18" t="s">
        <v>1219</v>
      </c>
      <c r="F168" s="12" t="s">
        <v>199</v>
      </c>
      <c r="G168" s="12" t="s">
        <v>78</v>
      </c>
      <c r="H168" s="18" t="s">
        <v>1220</v>
      </c>
      <c r="I168" s="18" t="s">
        <v>1221</v>
      </c>
      <c r="J168" s="18" t="s">
        <v>709</v>
      </c>
      <c r="K168" s="18" t="s">
        <v>358</v>
      </c>
      <c r="L168" s="12" t="s">
        <v>268</v>
      </c>
      <c r="M168" s="19">
        <v>46302.365798611107</v>
      </c>
      <c r="N168" s="19">
        <v>46302.365798611107</v>
      </c>
      <c r="O168" s="19">
        <v>46302.365798611107</v>
      </c>
      <c r="P168" s="12" t="s">
        <v>1222</v>
      </c>
      <c r="Q168" s="18" t="s">
        <v>1223</v>
      </c>
      <c r="R168" s="12"/>
      <c r="S168" s="12"/>
    </row>
    <row r="169" spans="1:19" ht="76.5" x14ac:dyDescent="0.25">
      <c r="A169" s="15" t="s">
        <v>1224</v>
      </c>
      <c r="B169" s="16">
        <v>13</v>
      </c>
      <c r="C169" s="12" t="s">
        <v>120</v>
      </c>
      <c r="D169" s="18" t="s">
        <v>1225</v>
      </c>
      <c r="E169" s="18" t="s">
        <v>1226</v>
      </c>
      <c r="F169" s="12" t="s">
        <v>199</v>
      </c>
      <c r="G169" s="12" t="s">
        <v>78</v>
      </c>
      <c r="H169" s="18" t="s">
        <v>1220</v>
      </c>
      <c r="I169" s="18" t="s">
        <v>1221</v>
      </c>
      <c r="J169" s="18" t="s">
        <v>232</v>
      </c>
      <c r="K169" s="18" t="s">
        <v>468</v>
      </c>
      <c r="L169" s="12" t="s">
        <v>268</v>
      </c>
      <c r="M169" s="19">
        <v>46302.365844907406</v>
      </c>
      <c r="N169" s="19">
        <v>46302.365844907406</v>
      </c>
      <c r="O169" s="19">
        <v>46302.365844907406</v>
      </c>
      <c r="P169" s="12" t="s">
        <v>1222</v>
      </c>
      <c r="Q169" s="18" t="s">
        <v>1227</v>
      </c>
      <c r="R169" s="12"/>
      <c r="S169" s="12"/>
    </row>
    <row r="170" spans="1:19" ht="76.5" x14ac:dyDescent="0.25">
      <c r="A170" s="15" t="s">
        <v>1228</v>
      </c>
      <c r="B170" s="16">
        <v>13</v>
      </c>
      <c r="C170" s="12" t="s">
        <v>120</v>
      </c>
      <c r="D170" s="18" t="s">
        <v>1229</v>
      </c>
      <c r="E170" s="18" t="s">
        <v>1230</v>
      </c>
      <c r="F170" s="12" t="s">
        <v>313</v>
      </c>
      <c r="G170" s="12" t="s">
        <v>78</v>
      </c>
      <c r="H170" s="18" t="s">
        <v>1231</v>
      </c>
      <c r="I170" s="18" t="s">
        <v>1232</v>
      </c>
      <c r="J170" s="18" t="s">
        <v>417</v>
      </c>
      <c r="K170" s="18"/>
      <c r="L170" s="12" t="s">
        <v>188</v>
      </c>
      <c r="M170" s="19">
        <v>46302.707743055558</v>
      </c>
      <c r="N170" s="19">
        <v>46302.707743055558</v>
      </c>
      <c r="O170" s="19">
        <v>46302.707743055558</v>
      </c>
      <c r="P170" s="12" t="s">
        <v>1233</v>
      </c>
      <c r="Q170" s="18"/>
      <c r="R170" s="12"/>
      <c r="S170" s="12"/>
    </row>
    <row r="171" spans="1:19" ht="63.75" x14ac:dyDescent="0.25">
      <c r="A171" s="15" t="s">
        <v>1234</v>
      </c>
      <c r="B171" s="16">
        <v>14</v>
      </c>
      <c r="C171" s="12" t="s">
        <v>106</v>
      </c>
      <c r="D171" s="18" t="s">
        <v>1235</v>
      </c>
      <c r="E171" s="18" t="s">
        <v>1236</v>
      </c>
      <c r="F171" s="12" t="s">
        <v>184</v>
      </c>
      <c r="G171" s="12" t="s">
        <v>78</v>
      </c>
      <c r="H171" s="18" t="s">
        <v>1237</v>
      </c>
      <c r="I171" s="18" t="s">
        <v>1238</v>
      </c>
      <c r="J171" s="18" t="s">
        <v>214</v>
      </c>
      <c r="K171" s="18" t="s">
        <v>468</v>
      </c>
      <c r="L171" s="12" t="s">
        <v>268</v>
      </c>
      <c r="M171" s="19">
        <v>46302.366180555553</v>
      </c>
      <c r="N171" s="19">
        <v>46302.366180555553</v>
      </c>
      <c r="O171" s="19">
        <v>46302.366180555553</v>
      </c>
      <c r="P171" s="12" t="s">
        <v>1239</v>
      </c>
      <c r="Q171" s="18" t="s">
        <v>1240</v>
      </c>
      <c r="R171" s="12"/>
      <c r="S171" s="12" t="s">
        <v>443</v>
      </c>
    </row>
    <row r="172" spans="1:19" ht="102" x14ac:dyDescent="0.25">
      <c r="A172" s="15" t="s">
        <v>1241</v>
      </c>
      <c r="B172" s="16">
        <v>14</v>
      </c>
      <c r="C172" s="12" t="s">
        <v>106</v>
      </c>
      <c r="D172" s="18" t="s">
        <v>1242</v>
      </c>
      <c r="E172" s="18" t="s">
        <v>1243</v>
      </c>
      <c r="F172" s="12" t="s">
        <v>184</v>
      </c>
      <c r="G172" s="12" t="s">
        <v>78</v>
      </c>
      <c r="H172" s="18" t="s">
        <v>1237</v>
      </c>
      <c r="I172" s="18" t="s">
        <v>1238</v>
      </c>
      <c r="J172" s="18" t="s">
        <v>1244</v>
      </c>
      <c r="K172" s="18" t="s">
        <v>468</v>
      </c>
      <c r="L172" s="12" t="s">
        <v>258</v>
      </c>
      <c r="M172" s="19">
        <v>46302.366226851853</v>
      </c>
      <c r="N172" s="19">
        <v>46302.366226851853</v>
      </c>
      <c r="O172" s="19">
        <v>46302.366226851853</v>
      </c>
      <c r="P172" s="12" t="s">
        <v>1239</v>
      </c>
      <c r="Q172" s="18" t="s">
        <v>1245</v>
      </c>
      <c r="R172" s="12" t="s">
        <v>1234</v>
      </c>
      <c r="S172" s="12" t="s">
        <v>443</v>
      </c>
    </row>
    <row r="173" spans="1:19" ht="127.5" x14ac:dyDescent="0.25">
      <c r="A173" s="15" t="s">
        <v>1246</v>
      </c>
      <c r="B173" s="16">
        <v>14</v>
      </c>
      <c r="C173" s="12" t="s">
        <v>106</v>
      </c>
      <c r="D173" s="18" t="s">
        <v>1247</v>
      </c>
      <c r="E173" s="18" t="s">
        <v>1248</v>
      </c>
      <c r="F173" s="12" t="s">
        <v>313</v>
      </c>
      <c r="G173" s="12" t="s">
        <v>78</v>
      </c>
      <c r="H173" s="18" t="s">
        <v>1249</v>
      </c>
      <c r="I173" s="18" t="s">
        <v>1250</v>
      </c>
      <c r="J173" s="18" t="s">
        <v>232</v>
      </c>
      <c r="K173" s="18" t="s">
        <v>468</v>
      </c>
      <c r="L173" s="12" t="s">
        <v>268</v>
      </c>
      <c r="M173" s="19">
        <v>46302.733923611107</v>
      </c>
      <c r="N173" s="19">
        <v>46302.733923611107</v>
      </c>
      <c r="O173" s="19">
        <v>46302.733923611107</v>
      </c>
      <c r="P173" s="12" t="s">
        <v>1251</v>
      </c>
      <c r="Q173" s="18" t="s">
        <v>1252</v>
      </c>
      <c r="R173" s="12"/>
      <c r="S173" s="12"/>
    </row>
    <row r="174" spans="1:19" ht="89.25" x14ac:dyDescent="0.25">
      <c r="A174" s="15" t="s">
        <v>1253</v>
      </c>
      <c r="B174" s="16">
        <v>14</v>
      </c>
      <c r="C174" s="12" t="s">
        <v>106</v>
      </c>
      <c r="D174" s="18" t="s">
        <v>1254</v>
      </c>
      <c r="E174" s="18" t="s">
        <v>1255</v>
      </c>
      <c r="F174" s="12" t="s">
        <v>313</v>
      </c>
      <c r="G174" s="12" t="s">
        <v>78</v>
      </c>
      <c r="H174" s="18" t="s">
        <v>1256</v>
      </c>
      <c r="I174" s="18" t="s">
        <v>1257</v>
      </c>
      <c r="J174" s="18" t="s">
        <v>232</v>
      </c>
      <c r="K174" s="18" t="s">
        <v>654</v>
      </c>
      <c r="L174" s="12" t="s">
        <v>268</v>
      </c>
      <c r="M174" s="19">
        <v>46302.751793981479</v>
      </c>
      <c r="N174" s="19">
        <v>46302.751793981479</v>
      </c>
      <c r="O174" s="19">
        <v>46302.751793981479</v>
      </c>
      <c r="P174" s="12" t="s">
        <v>1258</v>
      </c>
      <c r="Q174" s="18"/>
      <c r="R174" s="12"/>
      <c r="S174" s="12"/>
    </row>
    <row r="175" spans="1:19" ht="89.25" x14ac:dyDescent="0.25">
      <c r="A175" s="15" t="s">
        <v>1259</v>
      </c>
      <c r="B175" s="16">
        <v>15</v>
      </c>
      <c r="C175" s="12" t="s">
        <v>131</v>
      </c>
      <c r="D175" s="18" t="s">
        <v>1260</v>
      </c>
      <c r="E175" s="18" t="s">
        <v>1261</v>
      </c>
      <c r="F175" s="12" t="s">
        <v>313</v>
      </c>
      <c r="G175" s="12" t="s">
        <v>78</v>
      </c>
      <c r="H175" s="18" t="s">
        <v>1262</v>
      </c>
      <c r="I175" s="18" t="s">
        <v>1263</v>
      </c>
      <c r="J175" s="18" t="s">
        <v>1264</v>
      </c>
      <c r="K175" s="18"/>
      <c r="L175" s="12" t="s">
        <v>268</v>
      </c>
      <c r="M175" s="19">
        <v>46302.856273148151</v>
      </c>
      <c r="N175" s="19">
        <v>46302.856273148151</v>
      </c>
      <c r="O175" s="19">
        <v>46302.856273148151</v>
      </c>
      <c r="P175" s="12" t="s">
        <v>1265</v>
      </c>
      <c r="Q175" s="18" t="s">
        <v>1266</v>
      </c>
      <c r="R175" s="12"/>
      <c r="S175" s="12"/>
    </row>
    <row r="176" spans="1:19" ht="102" x14ac:dyDescent="0.25">
      <c r="A176" s="15" t="s">
        <v>1267</v>
      </c>
      <c r="B176" s="16">
        <v>15</v>
      </c>
      <c r="C176" s="12" t="s">
        <v>131</v>
      </c>
      <c r="D176" s="18" t="s">
        <v>1268</v>
      </c>
      <c r="E176" s="18" t="s">
        <v>1269</v>
      </c>
      <c r="F176" s="12" t="s">
        <v>313</v>
      </c>
      <c r="G176" s="12" t="s">
        <v>78</v>
      </c>
      <c r="H176" s="18" t="s">
        <v>1270</v>
      </c>
      <c r="I176" s="18" t="s">
        <v>1271</v>
      </c>
      <c r="J176" s="18" t="s">
        <v>1264</v>
      </c>
      <c r="K176" s="18" t="s">
        <v>889</v>
      </c>
      <c r="L176" s="12" t="s">
        <v>188</v>
      </c>
      <c r="M176" s="19">
        <v>46302.873078703713</v>
      </c>
      <c r="N176" s="19">
        <v>46302.873078703713</v>
      </c>
      <c r="O176" s="19">
        <v>46302.873078703713</v>
      </c>
      <c r="P176" s="12" t="s">
        <v>1272</v>
      </c>
      <c r="Q176" s="18" t="s">
        <v>1273</v>
      </c>
      <c r="R176" s="12"/>
      <c r="S176" s="12"/>
    </row>
    <row r="177" spans="1:19" ht="140.25" x14ac:dyDescent="0.25">
      <c r="A177" s="15" t="s">
        <v>1274</v>
      </c>
      <c r="B177" s="16">
        <v>15</v>
      </c>
      <c r="C177" s="12" t="s">
        <v>131</v>
      </c>
      <c r="D177" s="18" t="s">
        <v>1275</v>
      </c>
      <c r="E177" s="18" t="s">
        <v>1276</v>
      </c>
      <c r="F177" s="12" t="s">
        <v>327</v>
      </c>
      <c r="G177" s="12" t="s">
        <v>78</v>
      </c>
      <c r="H177" s="18" t="s">
        <v>1277</v>
      </c>
      <c r="I177" s="18" t="s">
        <v>1278</v>
      </c>
      <c r="J177" s="18" t="s">
        <v>1264</v>
      </c>
      <c r="K177" s="18" t="s">
        <v>1151</v>
      </c>
      <c r="L177" s="12" t="s">
        <v>268</v>
      </c>
      <c r="M177" s="19">
        <v>46303.069062499999</v>
      </c>
      <c r="N177" s="19">
        <v>46303.069062499999</v>
      </c>
      <c r="O177" s="19">
        <v>46303.069062499999</v>
      </c>
      <c r="P177" s="12" t="s">
        <v>1279</v>
      </c>
      <c r="Q177" s="18"/>
      <c r="R177" s="12"/>
      <c r="S177" s="12"/>
    </row>
    <row r="178" spans="1:19" ht="63.75" x14ac:dyDescent="0.25">
      <c r="A178" s="15" t="s">
        <v>1280</v>
      </c>
      <c r="B178" s="16">
        <v>16</v>
      </c>
      <c r="C178" s="12" t="s">
        <v>131</v>
      </c>
      <c r="D178" s="18" t="s">
        <v>1281</v>
      </c>
      <c r="E178" s="18" t="s">
        <v>1282</v>
      </c>
      <c r="F178" s="12" t="s">
        <v>199</v>
      </c>
      <c r="G178" s="12" t="s">
        <v>78</v>
      </c>
      <c r="H178" s="18" t="s">
        <v>1283</v>
      </c>
      <c r="I178" s="18" t="s">
        <v>1284</v>
      </c>
      <c r="J178" s="18" t="s">
        <v>709</v>
      </c>
      <c r="K178" s="18" t="s">
        <v>1217</v>
      </c>
      <c r="L178" s="12" t="s">
        <v>188</v>
      </c>
      <c r="M178" s="19">
        <v>46302.366608796299</v>
      </c>
      <c r="N178" s="19">
        <v>46302.366608796299</v>
      </c>
      <c r="O178" s="19">
        <v>46302.366608796299</v>
      </c>
      <c r="P178" s="12" t="s">
        <v>1285</v>
      </c>
      <c r="Q178" s="18" t="s">
        <v>1286</v>
      </c>
      <c r="R178" s="12"/>
      <c r="S178" s="12"/>
    </row>
    <row r="179" spans="1:19" ht="63.75" x14ac:dyDescent="0.25">
      <c r="A179" s="15" t="s">
        <v>1287</v>
      </c>
      <c r="B179" s="16">
        <v>16</v>
      </c>
      <c r="C179" s="12" t="s">
        <v>131</v>
      </c>
      <c r="D179" s="18" t="s">
        <v>1288</v>
      </c>
      <c r="E179" s="18" t="s">
        <v>1289</v>
      </c>
      <c r="F179" s="12" t="s">
        <v>199</v>
      </c>
      <c r="G179" s="12" t="s">
        <v>78</v>
      </c>
      <c r="H179" s="18" t="s">
        <v>1290</v>
      </c>
      <c r="I179" s="18" t="s">
        <v>1291</v>
      </c>
      <c r="J179" s="18" t="s">
        <v>214</v>
      </c>
      <c r="K179" s="18"/>
      <c r="L179" s="12" t="s">
        <v>188</v>
      </c>
      <c r="M179" s="19">
        <v>46302.366666666669</v>
      </c>
      <c r="N179" s="19">
        <v>46302.366666666669</v>
      </c>
      <c r="O179" s="19">
        <v>46302.366666666669</v>
      </c>
      <c r="P179" s="12" t="s">
        <v>1285</v>
      </c>
      <c r="Q179" s="18" t="s">
        <v>1292</v>
      </c>
      <c r="R179" s="12"/>
      <c r="S179" s="12"/>
    </row>
    <row r="180" spans="1:19" ht="51" x14ac:dyDescent="0.25">
      <c r="A180" s="15" t="s">
        <v>1293</v>
      </c>
      <c r="B180" s="16">
        <v>5</v>
      </c>
      <c r="C180" s="12" t="s">
        <v>146</v>
      </c>
      <c r="D180" s="18" t="s">
        <v>1294</v>
      </c>
      <c r="E180" s="18" t="s">
        <v>1295</v>
      </c>
      <c r="F180" s="12" t="s">
        <v>199</v>
      </c>
      <c r="G180" s="12" t="s">
        <v>78</v>
      </c>
      <c r="H180" s="18" t="s">
        <v>1296</v>
      </c>
      <c r="I180" s="18" t="s">
        <v>1297</v>
      </c>
      <c r="J180" s="18" t="s">
        <v>1264</v>
      </c>
      <c r="K180" s="18"/>
      <c r="L180" s="12" t="s">
        <v>268</v>
      </c>
      <c r="M180" s="19">
        <v>46301.615115740737</v>
      </c>
      <c r="N180" s="19">
        <v>46301.615115740737</v>
      </c>
      <c r="O180" s="19">
        <v>46301.615115740737</v>
      </c>
      <c r="P180" s="12" t="s">
        <v>894</v>
      </c>
      <c r="Q180" s="18" t="s">
        <v>1298</v>
      </c>
      <c r="R180" s="12"/>
      <c r="S180" s="12"/>
    </row>
    <row r="181" spans="1:19" ht="89.25" x14ac:dyDescent="0.25">
      <c r="A181" s="15" t="s">
        <v>1299</v>
      </c>
      <c r="B181" s="16">
        <v>5</v>
      </c>
      <c r="C181" s="12" t="s">
        <v>128</v>
      </c>
      <c r="D181" s="18" t="s">
        <v>1300</v>
      </c>
      <c r="E181" s="18" t="s">
        <v>1301</v>
      </c>
      <c r="F181" s="12" t="s">
        <v>313</v>
      </c>
      <c r="G181" s="12" t="s">
        <v>78</v>
      </c>
      <c r="H181" s="18" t="s">
        <v>1302</v>
      </c>
      <c r="I181" s="18" t="s">
        <v>1303</v>
      </c>
      <c r="J181" s="18" t="s">
        <v>1304</v>
      </c>
      <c r="K181" s="18" t="s">
        <v>911</v>
      </c>
      <c r="L181" s="12" t="s">
        <v>268</v>
      </c>
      <c r="M181" s="19">
        <v>46301.615925925929</v>
      </c>
      <c r="N181" s="19">
        <v>46301.640243055554</v>
      </c>
      <c r="O181" s="19">
        <v>46301.640243055554</v>
      </c>
      <c r="P181" s="12" t="s">
        <v>1305</v>
      </c>
      <c r="Q181" s="18" t="s">
        <v>1306</v>
      </c>
      <c r="R181" s="12"/>
      <c r="S181" s="12"/>
    </row>
    <row r="182" spans="1:19" ht="38.25" x14ac:dyDescent="0.25">
      <c r="A182" s="15" t="s">
        <v>1307</v>
      </c>
      <c r="B182" s="16">
        <v>6</v>
      </c>
      <c r="C182" s="12" t="s">
        <v>149</v>
      </c>
      <c r="D182" s="18" t="s">
        <v>1308</v>
      </c>
      <c r="E182" s="18" t="s">
        <v>1309</v>
      </c>
      <c r="F182" s="12" t="s">
        <v>199</v>
      </c>
      <c r="G182" s="12" t="s">
        <v>78</v>
      </c>
      <c r="H182" s="18" t="s">
        <v>1310</v>
      </c>
      <c r="I182" s="18" t="s">
        <v>1311</v>
      </c>
      <c r="J182" s="18" t="s">
        <v>482</v>
      </c>
      <c r="K182" s="18" t="s">
        <v>477</v>
      </c>
      <c r="L182" s="12" t="s">
        <v>268</v>
      </c>
      <c r="M182" s="19">
        <v>46301.615844907406</v>
      </c>
      <c r="N182" s="19">
        <v>46301.615844907406</v>
      </c>
      <c r="O182" s="19">
        <v>46301.615844907406</v>
      </c>
      <c r="P182" s="12" t="s">
        <v>863</v>
      </c>
      <c r="Q182" s="18"/>
      <c r="R182" s="12"/>
      <c r="S182" s="12"/>
    </row>
    <row r="183" spans="1:19" ht="51" x14ac:dyDescent="0.25">
      <c r="A183" s="15" t="s">
        <v>1312</v>
      </c>
      <c r="B183" s="16">
        <v>6</v>
      </c>
      <c r="C183" s="12" t="s">
        <v>72</v>
      </c>
      <c r="D183" s="18" t="s">
        <v>1313</v>
      </c>
      <c r="E183" s="18" t="s">
        <v>1314</v>
      </c>
      <c r="F183" s="12" t="s">
        <v>313</v>
      </c>
      <c r="G183" s="12" t="s">
        <v>78</v>
      </c>
      <c r="H183" s="18" t="s">
        <v>1315</v>
      </c>
      <c r="I183" s="18" t="s">
        <v>1316</v>
      </c>
      <c r="J183" s="18" t="s">
        <v>1317</v>
      </c>
      <c r="K183" s="18" t="s">
        <v>1004</v>
      </c>
      <c r="L183" s="12" t="s">
        <v>188</v>
      </c>
      <c r="M183" s="19">
        <v>46301.615254629629</v>
      </c>
      <c r="N183" s="19">
        <v>46301.615254629629</v>
      </c>
      <c r="O183" s="19">
        <v>46301.615254629629</v>
      </c>
      <c r="P183" s="12" t="s">
        <v>894</v>
      </c>
      <c r="Q183" s="18" t="s">
        <v>1318</v>
      </c>
      <c r="R183" s="12"/>
      <c r="S183" s="12"/>
    </row>
    <row r="184" spans="1:19" ht="89.25" x14ac:dyDescent="0.25">
      <c r="A184" s="15" t="s">
        <v>1319</v>
      </c>
      <c r="B184" s="16">
        <v>16</v>
      </c>
      <c r="C184" s="12" t="s">
        <v>152</v>
      </c>
      <c r="D184" s="18" t="s">
        <v>1320</v>
      </c>
      <c r="E184" s="18" t="s">
        <v>1321</v>
      </c>
      <c r="F184" s="12" t="s">
        <v>199</v>
      </c>
      <c r="G184" s="12" t="s">
        <v>78</v>
      </c>
      <c r="H184" s="18" t="s">
        <v>1322</v>
      </c>
      <c r="I184" s="18" t="s">
        <v>1323</v>
      </c>
      <c r="J184" s="18" t="s">
        <v>1244</v>
      </c>
      <c r="K184" s="18"/>
      <c r="L184" s="12" t="s">
        <v>268</v>
      </c>
      <c r="M184" s="19">
        <v>46302.367025462961</v>
      </c>
      <c r="N184" s="19">
        <v>46302.367025462961</v>
      </c>
      <c r="O184" s="19">
        <v>46302.367025462961</v>
      </c>
      <c r="P184" s="12" t="s">
        <v>1324</v>
      </c>
      <c r="Q184" s="18" t="s">
        <v>1325</v>
      </c>
      <c r="R184" s="12"/>
      <c r="S184" s="12" t="s">
        <v>1326</v>
      </c>
    </row>
    <row r="185" spans="1:19" ht="51" x14ac:dyDescent="0.25">
      <c r="A185" s="15" t="s">
        <v>1327</v>
      </c>
      <c r="B185" s="16">
        <v>16</v>
      </c>
      <c r="C185" s="12" t="s">
        <v>152</v>
      </c>
      <c r="D185" s="18" t="s">
        <v>1328</v>
      </c>
      <c r="E185" s="18" t="s">
        <v>1329</v>
      </c>
      <c r="F185" s="12" t="s">
        <v>199</v>
      </c>
      <c r="G185" s="12" t="s">
        <v>78</v>
      </c>
      <c r="H185" s="18" t="s">
        <v>1322</v>
      </c>
      <c r="I185" s="18" t="s">
        <v>1323</v>
      </c>
      <c r="J185" s="18" t="s">
        <v>1244</v>
      </c>
      <c r="K185" s="18"/>
      <c r="L185" s="12" t="s">
        <v>188</v>
      </c>
      <c r="M185" s="19">
        <v>46302.367071759261</v>
      </c>
      <c r="N185" s="19">
        <v>46302.367071759261</v>
      </c>
      <c r="O185" s="19">
        <v>46302.367071759261</v>
      </c>
      <c r="P185" s="12" t="s">
        <v>1324</v>
      </c>
      <c r="Q185" s="18" t="s">
        <v>1330</v>
      </c>
      <c r="R185" s="12"/>
      <c r="S185" s="12" t="s">
        <v>1326</v>
      </c>
    </row>
    <row r="186" spans="1:19" ht="165.75" x14ac:dyDescent="0.25">
      <c r="A186" s="15" t="s">
        <v>1331</v>
      </c>
      <c r="B186" s="16">
        <v>16</v>
      </c>
      <c r="C186" s="12" t="s">
        <v>152</v>
      </c>
      <c r="D186" s="18" t="s">
        <v>1332</v>
      </c>
      <c r="E186" s="18" t="s">
        <v>1333</v>
      </c>
      <c r="F186" s="12" t="s">
        <v>313</v>
      </c>
      <c r="G186" s="12" t="s">
        <v>78</v>
      </c>
      <c r="H186" s="18" t="s">
        <v>1334</v>
      </c>
      <c r="I186" s="18" t="s">
        <v>1335</v>
      </c>
      <c r="J186" s="18" t="s">
        <v>1244</v>
      </c>
      <c r="K186" s="18" t="s">
        <v>1319</v>
      </c>
      <c r="L186" s="12" t="s">
        <v>188</v>
      </c>
      <c r="M186" s="19">
        <v>46302.894976851851</v>
      </c>
      <c r="N186" s="19">
        <v>46302.894976851851</v>
      </c>
      <c r="O186" s="19">
        <v>46302.894976851851</v>
      </c>
      <c r="P186" s="12" t="s">
        <v>1336</v>
      </c>
      <c r="Q186" s="18"/>
      <c r="R186" s="12"/>
      <c r="S186" s="12" t="s">
        <v>1326</v>
      </c>
    </row>
    <row r="187" spans="1:19" ht="76.5" x14ac:dyDescent="0.25">
      <c r="A187" s="15" t="s">
        <v>1337</v>
      </c>
      <c r="B187" s="16">
        <v>17</v>
      </c>
      <c r="C187" s="12" t="s">
        <v>144</v>
      </c>
      <c r="D187" s="18" t="s">
        <v>1338</v>
      </c>
      <c r="E187" s="18" t="s">
        <v>1339</v>
      </c>
      <c r="F187" s="12" t="s">
        <v>199</v>
      </c>
      <c r="G187" s="12" t="s">
        <v>66</v>
      </c>
      <c r="H187" s="18"/>
      <c r="I187" s="18"/>
      <c r="J187" s="18" t="s">
        <v>1340</v>
      </c>
      <c r="K187" s="18"/>
      <c r="L187" s="12" t="s">
        <v>258</v>
      </c>
      <c r="M187" s="19">
        <v>46302.367546296293</v>
      </c>
      <c r="N187" s="19"/>
      <c r="O187" s="19"/>
      <c r="P187" s="12"/>
      <c r="Q187" s="18" t="s">
        <v>1341</v>
      </c>
      <c r="R187" s="12"/>
      <c r="S187" s="12" t="s">
        <v>1326</v>
      </c>
    </row>
    <row r="188" spans="1:19" ht="38.25" x14ac:dyDescent="0.25">
      <c r="A188" s="15" t="s">
        <v>1342</v>
      </c>
      <c r="B188" s="16">
        <v>17</v>
      </c>
      <c r="C188" s="12" t="s">
        <v>144</v>
      </c>
      <c r="D188" s="18" t="s">
        <v>1343</v>
      </c>
      <c r="E188" s="18" t="s">
        <v>1344</v>
      </c>
      <c r="F188" s="12" t="s">
        <v>184</v>
      </c>
      <c r="G188" s="12" t="s">
        <v>78</v>
      </c>
      <c r="H188" s="18" t="s">
        <v>1345</v>
      </c>
      <c r="I188" s="18" t="s">
        <v>1346</v>
      </c>
      <c r="J188" s="18" t="s">
        <v>1347</v>
      </c>
      <c r="K188" s="18" t="s">
        <v>718</v>
      </c>
      <c r="L188" s="12" t="s">
        <v>268</v>
      </c>
      <c r="M188" s="19">
        <v>46301.615208333344</v>
      </c>
      <c r="N188" s="19">
        <v>46301.615208333344</v>
      </c>
      <c r="O188" s="19">
        <v>46301.615208333344</v>
      </c>
      <c r="P188" s="12" t="s">
        <v>894</v>
      </c>
      <c r="Q188" s="18"/>
      <c r="R188" s="12"/>
      <c r="S188" s="12" t="s">
        <v>1348</v>
      </c>
    </row>
    <row r="189" spans="1:19" ht="25.5" x14ac:dyDescent="0.25">
      <c r="A189" s="15" t="s">
        <v>1349</v>
      </c>
      <c r="B189" s="16">
        <v>17</v>
      </c>
      <c r="C189" s="12" t="s">
        <v>72</v>
      </c>
      <c r="D189" s="18" t="s">
        <v>1350</v>
      </c>
      <c r="E189" s="18" t="s">
        <v>1351</v>
      </c>
      <c r="F189" s="12" t="s">
        <v>184</v>
      </c>
      <c r="G189" s="12" t="s">
        <v>78</v>
      </c>
      <c r="H189" s="18" t="s">
        <v>1352</v>
      </c>
      <c r="I189" s="18" t="s">
        <v>1353</v>
      </c>
      <c r="J189" s="18" t="s">
        <v>220</v>
      </c>
      <c r="K189" s="18"/>
      <c r="L189" s="12" t="s">
        <v>268</v>
      </c>
      <c r="M189" s="19">
        <v>46301.640289351853</v>
      </c>
      <c r="N189" s="19">
        <v>46301.640289351853</v>
      </c>
      <c r="O189" s="19">
        <v>46301.640289351853</v>
      </c>
      <c r="P189" s="12" t="s">
        <v>1354</v>
      </c>
      <c r="Q189" s="18"/>
      <c r="R189" s="12"/>
      <c r="S189" s="12"/>
    </row>
    <row r="190" spans="1:19" ht="76.5" x14ac:dyDescent="0.25">
      <c r="A190" s="15" t="s">
        <v>1355</v>
      </c>
      <c r="B190" s="16">
        <v>17</v>
      </c>
      <c r="C190" s="12" t="s">
        <v>72</v>
      </c>
      <c r="D190" s="18" t="s">
        <v>1356</v>
      </c>
      <c r="E190" s="18" t="s">
        <v>1357</v>
      </c>
      <c r="F190" s="12" t="s">
        <v>199</v>
      </c>
      <c r="G190" s="12" t="s">
        <v>78</v>
      </c>
      <c r="H190" s="18" t="s">
        <v>1358</v>
      </c>
      <c r="I190" s="18" t="s">
        <v>1359</v>
      </c>
      <c r="J190" s="18" t="s">
        <v>902</v>
      </c>
      <c r="K190" s="18" t="s">
        <v>897</v>
      </c>
      <c r="L190" s="12" t="s">
        <v>188</v>
      </c>
      <c r="M190" s="19">
        <v>46302.367442129631</v>
      </c>
      <c r="N190" s="19">
        <v>46302.367442129631</v>
      </c>
      <c r="O190" s="19">
        <v>46302.367442129631</v>
      </c>
      <c r="P190" s="12" t="s">
        <v>1360</v>
      </c>
      <c r="Q190" s="18" t="s">
        <v>1361</v>
      </c>
      <c r="R190" s="12"/>
      <c r="S190" s="12"/>
    </row>
    <row r="191" spans="1:19" ht="89.25" x14ac:dyDescent="0.25">
      <c r="A191" s="15" t="s">
        <v>1362</v>
      </c>
      <c r="B191" s="16">
        <v>17</v>
      </c>
      <c r="C191" s="12" t="s">
        <v>72</v>
      </c>
      <c r="D191" s="18" t="s">
        <v>1363</v>
      </c>
      <c r="E191" s="18" t="s">
        <v>1364</v>
      </c>
      <c r="F191" s="12" t="s">
        <v>313</v>
      </c>
      <c r="G191" s="12" t="s">
        <v>69</v>
      </c>
      <c r="H191" s="18" t="s">
        <v>1365</v>
      </c>
      <c r="I191" s="18" t="s">
        <v>1366</v>
      </c>
      <c r="J191" s="18" t="s">
        <v>220</v>
      </c>
      <c r="K191" s="18"/>
      <c r="L191" s="12" t="s">
        <v>188</v>
      </c>
      <c r="M191" s="19">
        <v>46302.898645833331</v>
      </c>
      <c r="N191" s="19"/>
      <c r="O191" s="19"/>
      <c r="P191" s="12" t="s">
        <v>1367</v>
      </c>
      <c r="Q191" s="18"/>
      <c r="R191" s="12"/>
      <c r="S191" s="12"/>
    </row>
    <row r="192" spans="1:19" ht="102" x14ac:dyDescent="0.25">
      <c r="A192" s="15" t="s">
        <v>1368</v>
      </c>
      <c r="B192" s="16">
        <v>17</v>
      </c>
      <c r="C192" s="12" t="s">
        <v>72</v>
      </c>
      <c r="D192" s="18" t="s">
        <v>1369</v>
      </c>
      <c r="E192" s="18" t="s">
        <v>1370</v>
      </c>
      <c r="F192" s="12" t="s">
        <v>327</v>
      </c>
      <c r="G192" s="12" t="s">
        <v>78</v>
      </c>
      <c r="H192" s="18" t="s">
        <v>1371</v>
      </c>
      <c r="I192" s="18" t="s">
        <v>1372</v>
      </c>
      <c r="J192" s="18" t="s">
        <v>1373</v>
      </c>
      <c r="K192" s="18"/>
      <c r="L192" s="12" t="s">
        <v>188</v>
      </c>
      <c r="M192" s="19">
        <v>46303.07099537037</v>
      </c>
      <c r="N192" s="19">
        <v>46303.07099537037</v>
      </c>
      <c r="O192" s="19">
        <v>46303.07099537037</v>
      </c>
      <c r="P192" s="12" t="s">
        <v>1374</v>
      </c>
      <c r="Q192" s="18"/>
      <c r="R192" s="12"/>
      <c r="S192" s="12"/>
    </row>
    <row r="193" spans="1:19" ht="63.75" x14ac:dyDescent="0.25">
      <c r="A193" s="15" t="s">
        <v>1375</v>
      </c>
      <c r="B193" s="16">
        <v>18</v>
      </c>
      <c r="C193" s="12" t="s">
        <v>155</v>
      </c>
      <c r="D193" s="18" t="s">
        <v>1376</v>
      </c>
      <c r="E193" s="18" t="s">
        <v>1377</v>
      </c>
      <c r="F193" s="12" t="s">
        <v>184</v>
      </c>
      <c r="G193" s="12" t="s">
        <v>78</v>
      </c>
      <c r="H193" s="18" t="s">
        <v>1378</v>
      </c>
      <c r="I193" s="18" t="s">
        <v>1379</v>
      </c>
      <c r="J193" s="18" t="s">
        <v>195</v>
      </c>
      <c r="K193" s="18"/>
      <c r="L193" s="12" t="s">
        <v>188</v>
      </c>
      <c r="M193" s="19">
        <v>46302.367800925917</v>
      </c>
      <c r="N193" s="19">
        <v>46302.367800925917</v>
      </c>
      <c r="O193" s="19">
        <v>46302.367800925917</v>
      </c>
      <c r="P193" s="12" t="s">
        <v>1380</v>
      </c>
      <c r="Q193" s="18" t="s">
        <v>1381</v>
      </c>
      <c r="R193" s="12"/>
      <c r="S193" s="12"/>
    </row>
    <row r="194" spans="1:19" ht="63.75" x14ac:dyDescent="0.25">
      <c r="A194" s="15" t="s">
        <v>1382</v>
      </c>
      <c r="B194" s="16">
        <v>18</v>
      </c>
      <c r="C194" s="12" t="s">
        <v>155</v>
      </c>
      <c r="D194" s="18" t="s">
        <v>1383</v>
      </c>
      <c r="E194" s="18" t="s">
        <v>1384</v>
      </c>
      <c r="F194" s="12" t="s">
        <v>199</v>
      </c>
      <c r="G194" s="12" t="s">
        <v>78</v>
      </c>
      <c r="H194" s="18" t="s">
        <v>1385</v>
      </c>
      <c r="I194" s="18" t="s">
        <v>1386</v>
      </c>
      <c r="J194" s="18" t="s">
        <v>195</v>
      </c>
      <c r="K194" s="18"/>
      <c r="L194" s="12" t="s">
        <v>188</v>
      </c>
      <c r="M194" s="19">
        <v>46292.414097222223</v>
      </c>
      <c r="N194" s="19">
        <v>46302.3675</v>
      </c>
      <c r="O194" s="19">
        <v>46302.3675</v>
      </c>
      <c r="P194" s="12" t="s">
        <v>1387</v>
      </c>
      <c r="Q194" s="18" t="s">
        <v>1388</v>
      </c>
      <c r="R194" s="12"/>
      <c r="S194" s="12"/>
    </row>
    <row r="195" spans="1:19" ht="89.25" x14ac:dyDescent="0.25">
      <c r="A195" s="15" t="s">
        <v>1389</v>
      </c>
      <c r="B195" s="16">
        <v>19</v>
      </c>
      <c r="C195" s="12" t="s">
        <v>158</v>
      </c>
      <c r="D195" s="18" t="s">
        <v>1390</v>
      </c>
      <c r="E195" s="18" t="s">
        <v>1391</v>
      </c>
      <c r="F195" s="12" t="s">
        <v>184</v>
      </c>
      <c r="G195" s="12" t="s">
        <v>78</v>
      </c>
      <c r="H195" s="18" t="s">
        <v>1392</v>
      </c>
      <c r="I195" s="18" t="s">
        <v>1393</v>
      </c>
      <c r="J195" s="18" t="s">
        <v>1394</v>
      </c>
      <c r="K195" s="18"/>
      <c r="L195" s="12" t="s">
        <v>188</v>
      </c>
      <c r="M195" s="19">
        <v>46308.595995370371</v>
      </c>
      <c r="N195" s="19">
        <v>46308.595995370371</v>
      </c>
      <c r="O195" s="19">
        <v>46308.595995370371</v>
      </c>
      <c r="P195" s="12" t="s">
        <v>1395</v>
      </c>
      <c r="Q195" s="18" t="s">
        <v>1396</v>
      </c>
      <c r="R195" s="12"/>
      <c r="S195" s="12"/>
    </row>
    <row r="196" spans="1:19" ht="114.75" x14ac:dyDescent="0.25">
      <c r="A196" s="15" t="s">
        <v>1397</v>
      </c>
      <c r="B196" s="16">
        <v>19</v>
      </c>
      <c r="C196" s="12" t="s">
        <v>158</v>
      </c>
      <c r="D196" s="18" t="s">
        <v>1398</v>
      </c>
      <c r="E196" s="18" t="s">
        <v>1399</v>
      </c>
      <c r="F196" s="12" t="s">
        <v>184</v>
      </c>
      <c r="G196" s="12" t="s">
        <v>78</v>
      </c>
      <c r="H196" s="18" t="s">
        <v>1400</v>
      </c>
      <c r="I196" s="18" t="s">
        <v>1401</v>
      </c>
      <c r="J196" s="18" t="s">
        <v>1402</v>
      </c>
      <c r="K196" s="18" t="s">
        <v>1389</v>
      </c>
      <c r="L196" s="12" t="s">
        <v>258</v>
      </c>
      <c r="M196" s="19">
        <v>46308.596261574072</v>
      </c>
      <c r="N196" s="19">
        <v>46308.71770833333</v>
      </c>
      <c r="O196" s="19">
        <v>46308.71770833333</v>
      </c>
      <c r="P196" s="12" t="s">
        <v>1403</v>
      </c>
      <c r="Q196" s="18" t="s">
        <v>1404</v>
      </c>
      <c r="R196" s="12"/>
      <c r="S196" s="12"/>
    </row>
    <row r="197" spans="1:19" ht="178.5" x14ac:dyDescent="0.25">
      <c r="A197" s="15" t="s">
        <v>1405</v>
      </c>
      <c r="B197" s="16">
        <v>19</v>
      </c>
      <c r="C197" s="12" t="s">
        <v>158</v>
      </c>
      <c r="D197" s="18" t="s">
        <v>1406</v>
      </c>
      <c r="E197" s="18" t="s">
        <v>1407</v>
      </c>
      <c r="F197" s="12" t="s">
        <v>184</v>
      </c>
      <c r="G197" s="12" t="s">
        <v>66</v>
      </c>
      <c r="H197" s="18" t="s">
        <v>1408</v>
      </c>
      <c r="I197" s="18"/>
      <c r="J197" s="18" t="s">
        <v>1402</v>
      </c>
      <c r="K197" s="18" t="s">
        <v>1397</v>
      </c>
      <c r="L197" s="12" t="s">
        <v>268</v>
      </c>
      <c r="M197" s="19">
        <v>46308.717777777783</v>
      </c>
      <c r="N197" s="19"/>
      <c r="O197" s="19"/>
      <c r="P197" s="12"/>
      <c r="Q197" s="18" t="s">
        <v>1409</v>
      </c>
      <c r="R197" s="12"/>
      <c r="S197" s="12"/>
    </row>
    <row r="198" spans="1:19" ht="114.75" x14ac:dyDescent="0.25">
      <c r="A198" s="15" t="s">
        <v>1410</v>
      </c>
      <c r="B198" s="16">
        <v>19</v>
      </c>
      <c r="C198" s="12" t="s">
        <v>158</v>
      </c>
      <c r="D198" s="18" t="s">
        <v>1411</v>
      </c>
      <c r="E198" s="18" t="s">
        <v>1412</v>
      </c>
      <c r="F198" s="12" t="s">
        <v>184</v>
      </c>
      <c r="G198" s="12" t="s">
        <v>78</v>
      </c>
      <c r="H198" s="18" t="s">
        <v>1413</v>
      </c>
      <c r="I198" s="18" t="s">
        <v>1414</v>
      </c>
      <c r="J198" s="18" t="s">
        <v>1415</v>
      </c>
      <c r="K198" s="18"/>
      <c r="L198" s="12" t="s">
        <v>268</v>
      </c>
      <c r="M198" s="19">
        <v>46308.596041666657</v>
      </c>
      <c r="N198" s="19">
        <v>46308.596041666657</v>
      </c>
      <c r="O198" s="19">
        <v>46308.596041666657</v>
      </c>
      <c r="P198" s="12" t="s">
        <v>1395</v>
      </c>
      <c r="Q198" s="18" t="s">
        <v>1416</v>
      </c>
      <c r="R198" s="12"/>
      <c r="S198" s="12"/>
    </row>
    <row r="199" spans="1:19" ht="114.75" x14ac:dyDescent="0.25">
      <c r="A199" s="15" t="s">
        <v>1417</v>
      </c>
      <c r="B199" s="16">
        <v>19</v>
      </c>
      <c r="C199" s="12" t="s">
        <v>158</v>
      </c>
      <c r="D199" s="18" t="s">
        <v>1418</v>
      </c>
      <c r="E199" s="18" t="s">
        <v>1419</v>
      </c>
      <c r="F199" s="12" t="s">
        <v>184</v>
      </c>
      <c r="G199" s="12" t="s">
        <v>66</v>
      </c>
      <c r="H199" s="18" t="s">
        <v>1420</v>
      </c>
      <c r="I199" s="18"/>
      <c r="J199" s="18" t="s">
        <v>1415</v>
      </c>
      <c r="K199" s="18" t="s">
        <v>1405</v>
      </c>
      <c r="L199" s="12" t="s">
        <v>268</v>
      </c>
      <c r="M199" s="19">
        <v>46308.596203703702</v>
      </c>
      <c r="N199" s="19"/>
      <c r="O199" s="19"/>
      <c r="P199" s="12"/>
      <c r="Q199" s="18" t="s">
        <v>1421</v>
      </c>
      <c r="R199" s="12"/>
      <c r="S199" s="12"/>
    </row>
    <row r="200" spans="1:19" ht="127.5" x14ac:dyDescent="0.25">
      <c r="A200" s="15" t="s">
        <v>1422</v>
      </c>
      <c r="B200" s="16">
        <v>19</v>
      </c>
      <c r="C200" s="12" t="s">
        <v>158</v>
      </c>
      <c r="D200" s="18" t="s">
        <v>1423</v>
      </c>
      <c r="E200" s="18" t="s">
        <v>1424</v>
      </c>
      <c r="F200" s="12" t="s">
        <v>184</v>
      </c>
      <c r="G200" s="12" t="s">
        <v>69</v>
      </c>
      <c r="H200" s="18" t="s">
        <v>1425</v>
      </c>
      <c r="I200" s="18" t="s">
        <v>1426</v>
      </c>
      <c r="J200" s="18" t="s">
        <v>1427</v>
      </c>
      <c r="K200" s="18"/>
      <c r="L200" s="12" t="s">
        <v>268</v>
      </c>
      <c r="M200" s="19">
        <v>46308.596099537041</v>
      </c>
      <c r="N200" s="19"/>
      <c r="O200" s="19"/>
      <c r="P200" s="12" t="s">
        <v>1428</v>
      </c>
      <c r="Q200" s="18" t="s">
        <v>1429</v>
      </c>
      <c r="R200" s="12"/>
      <c r="S200" s="12"/>
    </row>
    <row r="201" spans="1:19" ht="89.25" x14ac:dyDescent="0.25">
      <c r="A201" s="15" t="s">
        <v>1430</v>
      </c>
      <c r="B201" s="16">
        <v>19</v>
      </c>
      <c r="C201" s="12" t="s">
        <v>158</v>
      </c>
      <c r="D201" s="18" t="s">
        <v>1431</v>
      </c>
      <c r="E201" s="18" t="s">
        <v>1432</v>
      </c>
      <c r="F201" s="12" t="s">
        <v>184</v>
      </c>
      <c r="G201" s="12" t="s">
        <v>69</v>
      </c>
      <c r="H201" s="18" t="s">
        <v>1433</v>
      </c>
      <c r="I201" s="18" t="s">
        <v>1434</v>
      </c>
      <c r="J201" s="18" t="s">
        <v>1435</v>
      </c>
      <c r="K201" s="18" t="s">
        <v>1405</v>
      </c>
      <c r="L201" s="12" t="s">
        <v>268</v>
      </c>
      <c r="M201" s="19">
        <v>46308.59615740741</v>
      </c>
      <c r="N201" s="19"/>
      <c r="O201" s="19"/>
      <c r="P201" s="12" t="s">
        <v>1436</v>
      </c>
      <c r="Q201" s="18" t="s">
        <v>1437</v>
      </c>
      <c r="R201" s="12"/>
      <c r="S201" s="12"/>
    </row>
    <row r="202" spans="1:19" ht="51" x14ac:dyDescent="0.25">
      <c r="A202" s="15" t="s">
        <v>1438</v>
      </c>
      <c r="B202" s="16">
        <v>19</v>
      </c>
      <c r="C202" s="12" t="s">
        <v>158</v>
      </c>
      <c r="D202" s="18" t="s">
        <v>1439</v>
      </c>
      <c r="E202" s="18" t="s">
        <v>1440</v>
      </c>
      <c r="F202" s="12" t="s">
        <v>199</v>
      </c>
      <c r="G202" s="12" t="s">
        <v>60</v>
      </c>
      <c r="H202" s="18"/>
      <c r="I202" s="18"/>
      <c r="J202" s="18" t="s">
        <v>1435</v>
      </c>
      <c r="K202" s="18" t="s">
        <v>1441</v>
      </c>
      <c r="L202" s="12" t="s">
        <v>188</v>
      </c>
      <c r="M202" s="19"/>
      <c r="N202" s="19"/>
      <c r="O202" s="19"/>
      <c r="P202" s="12"/>
      <c r="Q202" s="18" t="s">
        <v>1442</v>
      </c>
      <c r="R202" s="12"/>
      <c r="S202" s="12"/>
    </row>
    <row r="203" spans="1:19" ht="76.5" x14ac:dyDescent="0.25">
      <c r="A203" s="15" t="s">
        <v>1443</v>
      </c>
      <c r="B203" s="16">
        <v>19</v>
      </c>
      <c r="C203" s="12" t="s">
        <v>158</v>
      </c>
      <c r="D203" s="18" t="s">
        <v>1444</v>
      </c>
      <c r="E203" s="18" t="s">
        <v>1445</v>
      </c>
      <c r="F203" s="12" t="s">
        <v>184</v>
      </c>
      <c r="G203" s="12" t="s">
        <v>63</v>
      </c>
      <c r="H203" s="18" t="s">
        <v>1446</v>
      </c>
      <c r="I203" s="18"/>
      <c r="J203" s="18" t="s">
        <v>1394</v>
      </c>
      <c r="K203" s="18" t="s">
        <v>1447</v>
      </c>
      <c r="L203" s="12" t="s">
        <v>258</v>
      </c>
      <c r="M203" s="19">
        <v>46308.717997685177</v>
      </c>
      <c r="N203" s="19"/>
      <c r="O203" s="19"/>
      <c r="P203" s="12"/>
      <c r="Q203" s="18" t="s">
        <v>1429</v>
      </c>
      <c r="R203" s="12"/>
      <c r="S203" s="12"/>
    </row>
    <row r="204" spans="1:19" ht="63.75" x14ac:dyDescent="0.25">
      <c r="A204" s="15" t="s">
        <v>1441</v>
      </c>
      <c r="B204" s="16">
        <v>19</v>
      </c>
      <c r="C204" s="12" t="s">
        <v>158</v>
      </c>
      <c r="D204" s="18" t="s">
        <v>1448</v>
      </c>
      <c r="E204" s="18" t="s">
        <v>1449</v>
      </c>
      <c r="F204" s="12" t="s">
        <v>184</v>
      </c>
      <c r="G204" s="12" t="s">
        <v>60</v>
      </c>
      <c r="H204" s="18"/>
      <c r="I204" s="18"/>
      <c r="J204" s="18" t="s">
        <v>1394</v>
      </c>
      <c r="K204" s="18" t="s">
        <v>1443</v>
      </c>
      <c r="L204" s="12" t="s">
        <v>258</v>
      </c>
      <c r="M204" s="19"/>
      <c r="N204" s="19"/>
      <c r="O204" s="19"/>
      <c r="P204" s="12"/>
      <c r="Q204" s="18" t="s">
        <v>1450</v>
      </c>
      <c r="R204" s="12"/>
      <c r="S204" s="12"/>
    </row>
    <row r="205" spans="1:19" ht="127.5" x14ac:dyDescent="0.25">
      <c r="A205" s="15" t="s">
        <v>1451</v>
      </c>
      <c r="B205" s="16">
        <v>19</v>
      </c>
      <c r="C205" s="12" t="s">
        <v>158</v>
      </c>
      <c r="D205" s="18" t="s">
        <v>1452</v>
      </c>
      <c r="E205" s="18" t="s">
        <v>1453</v>
      </c>
      <c r="F205" s="12" t="s">
        <v>184</v>
      </c>
      <c r="G205" s="12" t="s">
        <v>63</v>
      </c>
      <c r="H205" s="18" t="s">
        <v>1454</v>
      </c>
      <c r="I205" s="18"/>
      <c r="J205" s="18" t="s">
        <v>1455</v>
      </c>
      <c r="K205" s="18" t="s">
        <v>1441</v>
      </c>
      <c r="L205" s="12" t="s">
        <v>258</v>
      </c>
      <c r="M205" s="19">
        <v>46308.72111111111</v>
      </c>
      <c r="N205" s="19"/>
      <c r="O205" s="19"/>
      <c r="P205" s="12"/>
      <c r="Q205" s="18" t="s">
        <v>1456</v>
      </c>
      <c r="R205" s="12"/>
      <c r="S205" s="12"/>
    </row>
    <row r="206" spans="1:19" ht="114.75" x14ac:dyDescent="0.25">
      <c r="A206" s="15" t="s">
        <v>1457</v>
      </c>
      <c r="B206" s="16">
        <v>19</v>
      </c>
      <c r="C206" s="12" t="s">
        <v>158</v>
      </c>
      <c r="D206" s="18" t="s">
        <v>1458</v>
      </c>
      <c r="E206" s="18" t="s">
        <v>1459</v>
      </c>
      <c r="F206" s="12" t="s">
        <v>199</v>
      </c>
      <c r="G206" s="12" t="s">
        <v>63</v>
      </c>
      <c r="H206" s="18" t="s">
        <v>1460</v>
      </c>
      <c r="I206" s="18"/>
      <c r="J206" s="18" t="s">
        <v>1394</v>
      </c>
      <c r="K206" s="18" t="s">
        <v>1441</v>
      </c>
      <c r="L206" s="12" t="s">
        <v>188</v>
      </c>
      <c r="M206" s="19">
        <v>46308.720995370371</v>
      </c>
      <c r="N206" s="19"/>
      <c r="O206" s="19"/>
      <c r="P206" s="12"/>
      <c r="Q206" s="18" t="s">
        <v>1461</v>
      </c>
      <c r="R206" s="12"/>
      <c r="S206" s="12"/>
    </row>
    <row r="207" spans="1:19" ht="140.25" x14ac:dyDescent="0.25">
      <c r="A207" s="15" t="s">
        <v>1462</v>
      </c>
      <c r="B207" s="16">
        <v>19</v>
      </c>
      <c r="C207" s="12" t="s">
        <v>158</v>
      </c>
      <c r="D207" s="18" t="s">
        <v>1463</v>
      </c>
      <c r="E207" s="18" t="s">
        <v>1464</v>
      </c>
      <c r="F207" s="12" t="s">
        <v>199</v>
      </c>
      <c r="G207" s="12" t="s">
        <v>69</v>
      </c>
      <c r="H207" s="18" t="s">
        <v>1465</v>
      </c>
      <c r="I207" s="18" t="s">
        <v>1466</v>
      </c>
      <c r="J207" s="18" t="s">
        <v>1467</v>
      </c>
      <c r="K207" s="18" t="s">
        <v>1389</v>
      </c>
      <c r="L207" s="12" t="s">
        <v>188</v>
      </c>
      <c r="M207" s="19">
        <v>46308.721053240741</v>
      </c>
      <c r="N207" s="19"/>
      <c r="O207" s="19"/>
      <c r="P207" s="12" t="s">
        <v>1468</v>
      </c>
      <c r="Q207" s="18" t="s">
        <v>1429</v>
      </c>
      <c r="R207" s="12"/>
      <c r="S207" s="12"/>
    </row>
    <row r="208" spans="1:19" ht="63.75" x14ac:dyDescent="0.25">
      <c r="A208" s="15" t="s">
        <v>1469</v>
      </c>
      <c r="B208" s="16">
        <v>19</v>
      </c>
      <c r="C208" s="12" t="s">
        <v>158</v>
      </c>
      <c r="D208" s="18" t="s">
        <v>1470</v>
      </c>
      <c r="E208" s="18" t="s">
        <v>1471</v>
      </c>
      <c r="F208" s="12" t="s">
        <v>313</v>
      </c>
      <c r="G208" s="12" t="s">
        <v>60</v>
      </c>
      <c r="H208" s="18"/>
      <c r="I208" s="18"/>
      <c r="J208" s="18" t="s">
        <v>1472</v>
      </c>
      <c r="K208" s="18" t="s">
        <v>1441</v>
      </c>
      <c r="L208" s="12" t="s">
        <v>268</v>
      </c>
      <c r="M208" s="19"/>
      <c r="N208" s="19"/>
      <c r="O208" s="19"/>
      <c r="P208" s="12"/>
      <c r="Q208" s="18" t="s">
        <v>1473</v>
      </c>
      <c r="R208" s="12"/>
      <c r="S208" s="12"/>
    </row>
    <row r="209" spans="1:19" ht="51" x14ac:dyDescent="0.25">
      <c r="A209" s="15" t="s">
        <v>1474</v>
      </c>
      <c r="B209" s="16">
        <v>19</v>
      </c>
      <c r="C209" s="12" t="s">
        <v>158</v>
      </c>
      <c r="D209" s="18" t="s">
        <v>1475</v>
      </c>
      <c r="E209" s="18" t="s">
        <v>1476</v>
      </c>
      <c r="F209" s="12" t="s">
        <v>313</v>
      </c>
      <c r="G209" s="12" t="s">
        <v>60</v>
      </c>
      <c r="H209" s="18"/>
      <c r="I209" s="18"/>
      <c r="J209" s="18" t="s">
        <v>1435</v>
      </c>
      <c r="K209" s="18" t="s">
        <v>1441</v>
      </c>
      <c r="L209" s="12" t="s">
        <v>188</v>
      </c>
      <c r="M209" s="19"/>
      <c r="N209" s="19"/>
      <c r="O209" s="19"/>
      <c r="P209" s="12"/>
      <c r="Q209" s="18" t="s">
        <v>1477</v>
      </c>
      <c r="R209" s="12"/>
      <c r="S209" s="12"/>
    </row>
    <row r="210" spans="1:19" ht="51" x14ac:dyDescent="0.25">
      <c r="A210" s="15" t="s">
        <v>1478</v>
      </c>
      <c r="B210" s="16">
        <v>19</v>
      </c>
      <c r="C210" s="12" t="s">
        <v>158</v>
      </c>
      <c r="D210" s="18" t="s">
        <v>1479</v>
      </c>
      <c r="E210" s="18" t="s">
        <v>1480</v>
      </c>
      <c r="F210" s="12" t="s">
        <v>313</v>
      </c>
      <c r="G210" s="12" t="s">
        <v>60</v>
      </c>
      <c r="H210" s="18"/>
      <c r="I210" s="18"/>
      <c r="J210" s="18" t="s">
        <v>1481</v>
      </c>
      <c r="K210" s="18" t="s">
        <v>1441</v>
      </c>
      <c r="L210" s="12" t="s">
        <v>188</v>
      </c>
      <c r="M210" s="19"/>
      <c r="N210" s="19"/>
      <c r="O210" s="19"/>
      <c r="P210" s="12"/>
      <c r="Q210" s="18" t="s">
        <v>1482</v>
      </c>
      <c r="R210" s="12"/>
      <c r="S210" s="12"/>
    </row>
    <row r="211" spans="1:19" ht="38.25" x14ac:dyDescent="0.25">
      <c r="A211" s="15" t="s">
        <v>1483</v>
      </c>
      <c r="B211" s="16">
        <v>19</v>
      </c>
      <c r="C211" s="12" t="s">
        <v>158</v>
      </c>
      <c r="D211" s="18" t="s">
        <v>1484</v>
      </c>
      <c r="E211" s="18" t="s">
        <v>1485</v>
      </c>
      <c r="F211" s="12" t="s">
        <v>313</v>
      </c>
      <c r="G211" s="12" t="s">
        <v>60</v>
      </c>
      <c r="H211" s="18"/>
      <c r="I211" s="18"/>
      <c r="J211" s="18" t="s">
        <v>1486</v>
      </c>
      <c r="K211" s="18" t="s">
        <v>1441</v>
      </c>
      <c r="L211" s="12" t="s">
        <v>268</v>
      </c>
      <c r="M211" s="19"/>
      <c r="N211" s="19"/>
      <c r="O211" s="19"/>
      <c r="P211" s="12"/>
      <c r="Q211" s="18" t="s">
        <v>1477</v>
      </c>
      <c r="R211" s="12"/>
      <c r="S211" s="12"/>
    </row>
    <row r="212" spans="1:19" ht="38.25" x14ac:dyDescent="0.25">
      <c r="A212" s="15" t="s">
        <v>1487</v>
      </c>
      <c r="B212" s="16">
        <v>19</v>
      </c>
      <c r="C212" s="12" t="s">
        <v>158</v>
      </c>
      <c r="D212" s="18" t="s">
        <v>1488</v>
      </c>
      <c r="E212" s="18" t="s">
        <v>1489</v>
      </c>
      <c r="F212" s="12" t="s">
        <v>313</v>
      </c>
      <c r="G212" s="12" t="s">
        <v>60</v>
      </c>
      <c r="H212" s="18"/>
      <c r="I212" s="18"/>
      <c r="J212" s="18" t="s">
        <v>1490</v>
      </c>
      <c r="K212" s="18" t="s">
        <v>1441</v>
      </c>
      <c r="L212" s="12" t="s">
        <v>268</v>
      </c>
      <c r="M212" s="19"/>
      <c r="N212" s="19"/>
      <c r="O212" s="19"/>
      <c r="P212" s="12"/>
      <c r="Q212" s="18" t="s">
        <v>1491</v>
      </c>
      <c r="R212" s="12"/>
      <c r="S212" s="12"/>
    </row>
    <row r="213" spans="1:19" ht="51" x14ac:dyDescent="0.25">
      <c r="A213" s="15" t="s">
        <v>1492</v>
      </c>
      <c r="B213" s="16">
        <v>19</v>
      </c>
      <c r="C213" s="12" t="s">
        <v>158</v>
      </c>
      <c r="D213" s="18" t="s">
        <v>1493</v>
      </c>
      <c r="E213" s="18" t="s">
        <v>1494</v>
      </c>
      <c r="F213" s="12" t="s">
        <v>199</v>
      </c>
      <c r="G213" s="12" t="s">
        <v>60</v>
      </c>
      <c r="H213" s="18"/>
      <c r="I213" s="18"/>
      <c r="J213" s="18" t="s">
        <v>1394</v>
      </c>
      <c r="K213" s="18" t="s">
        <v>1441</v>
      </c>
      <c r="L213" s="12" t="s">
        <v>188</v>
      </c>
      <c r="M213" s="19"/>
      <c r="N213" s="19"/>
      <c r="O213" s="19"/>
      <c r="P213" s="12"/>
      <c r="Q213" s="18" t="s">
        <v>1495</v>
      </c>
      <c r="R213" s="12"/>
      <c r="S213" s="12"/>
    </row>
    <row r="214" spans="1:19" ht="63.75" x14ac:dyDescent="0.25">
      <c r="A214" s="15" t="s">
        <v>1496</v>
      </c>
      <c r="B214" s="16">
        <v>19</v>
      </c>
      <c r="C214" s="12" t="s">
        <v>158</v>
      </c>
      <c r="D214" s="18" t="s">
        <v>1497</v>
      </c>
      <c r="E214" s="18" t="s">
        <v>1498</v>
      </c>
      <c r="F214" s="12" t="s">
        <v>199</v>
      </c>
      <c r="G214" s="12" t="s">
        <v>60</v>
      </c>
      <c r="H214" s="18"/>
      <c r="I214" s="18"/>
      <c r="J214" s="18" t="s">
        <v>1415</v>
      </c>
      <c r="K214" s="18" t="s">
        <v>1410</v>
      </c>
      <c r="L214" s="12" t="s">
        <v>188</v>
      </c>
      <c r="M214" s="19"/>
      <c r="N214" s="19"/>
      <c r="O214" s="19"/>
      <c r="P214" s="12"/>
      <c r="Q214" s="18" t="s">
        <v>1499</v>
      </c>
      <c r="R214" s="12"/>
      <c r="S214" s="12"/>
    </row>
    <row r="215" spans="1:19" ht="127.5" x14ac:dyDescent="0.25">
      <c r="A215" s="15" t="s">
        <v>1500</v>
      </c>
      <c r="B215" s="16">
        <v>19</v>
      </c>
      <c r="C215" s="12" t="s">
        <v>158</v>
      </c>
      <c r="D215" s="18" t="s">
        <v>1501</v>
      </c>
      <c r="E215" s="18" t="s">
        <v>1502</v>
      </c>
      <c r="F215" s="12" t="s">
        <v>184</v>
      </c>
      <c r="G215" s="12" t="s">
        <v>69</v>
      </c>
      <c r="H215" s="18" t="s">
        <v>1503</v>
      </c>
      <c r="I215" s="18" t="s">
        <v>1504</v>
      </c>
      <c r="J215" s="18" t="s">
        <v>1427</v>
      </c>
      <c r="K215" s="18" t="s">
        <v>1389</v>
      </c>
      <c r="L215" s="12" t="s">
        <v>188</v>
      </c>
      <c r="M215" s="19">
        <v>46308.71806712963</v>
      </c>
      <c r="N215" s="19"/>
      <c r="O215" s="19"/>
      <c r="P215" s="12" t="s">
        <v>1505</v>
      </c>
      <c r="Q215" s="18" t="s">
        <v>1506</v>
      </c>
      <c r="R215" s="12"/>
      <c r="S215" s="12"/>
    </row>
    <row r="216" spans="1:19" ht="76.5" x14ac:dyDescent="0.25">
      <c r="A216" s="15" t="s">
        <v>1507</v>
      </c>
      <c r="B216" s="16">
        <v>19</v>
      </c>
      <c r="C216" s="12" t="s">
        <v>158</v>
      </c>
      <c r="D216" s="18" t="s">
        <v>1508</v>
      </c>
      <c r="E216" s="18" t="s">
        <v>1509</v>
      </c>
      <c r="F216" s="12" t="s">
        <v>199</v>
      </c>
      <c r="G216" s="12" t="s">
        <v>60</v>
      </c>
      <c r="H216" s="18"/>
      <c r="I216" s="18"/>
      <c r="J216" s="18" t="s">
        <v>1402</v>
      </c>
      <c r="K216" s="18" t="s">
        <v>1397</v>
      </c>
      <c r="L216" s="12" t="s">
        <v>268</v>
      </c>
      <c r="M216" s="19"/>
      <c r="N216" s="19"/>
      <c r="O216" s="19"/>
      <c r="P216" s="12"/>
      <c r="Q216" s="18" t="s">
        <v>1510</v>
      </c>
      <c r="R216" s="12"/>
      <c r="S216" s="12"/>
    </row>
    <row r="217" spans="1:19" ht="89.25" x14ac:dyDescent="0.25">
      <c r="A217" s="15" t="s">
        <v>1511</v>
      </c>
      <c r="B217" s="16">
        <v>19</v>
      </c>
      <c r="C217" s="12" t="s">
        <v>158</v>
      </c>
      <c r="D217" s="18" t="s">
        <v>1512</v>
      </c>
      <c r="E217" s="18" t="s">
        <v>1513</v>
      </c>
      <c r="F217" s="12" t="s">
        <v>184</v>
      </c>
      <c r="G217" s="12" t="s">
        <v>60</v>
      </c>
      <c r="H217" s="18"/>
      <c r="I217" s="18"/>
      <c r="J217" s="18" t="s">
        <v>1394</v>
      </c>
      <c r="K217" s="18" t="s">
        <v>1514</v>
      </c>
      <c r="L217" s="12" t="s">
        <v>258</v>
      </c>
      <c r="M217" s="19"/>
      <c r="N217" s="19"/>
      <c r="O217" s="19"/>
      <c r="P217" s="12"/>
      <c r="Q217" s="18" t="s">
        <v>1515</v>
      </c>
      <c r="R217" s="12"/>
      <c r="S217" s="12"/>
    </row>
    <row r="218" spans="1:19" ht="63.75" x14ac:dyDescent="0.25">
      <c r="A218" s="15" t="s">
        <v>1516</v>
      </c>
      <c r="B218" s="16">
        <v>19</v>
      </c>
      <c r="C218" s="12" t="s">
        <v>158</v>
      </c>
      <c r="D218" s="18" t="s">
        <v>1517</v>
      </c>
      <c r="E218" s="18" t="s">
        <v>1518</v>
      </c>
      <c r="F218" s="12" t="s">
        <v>313</v>
      </c>
      <c r="G218" s="12" t="s">
        <v>60</v>
      </c>
      <c r="H218" s="18"/>
      <c r="I218" s="18"/>
      <c r="J218" s="18" t="s">
        <v>1402</v>
      </c>
      <c r="K218" s="18" t="s">
        <v>1405</v>
      </c>
      <c r="L218" s="12" t="s">
        <v>188</v>
      </c>
      <c r="M218" s="19"/>
      <c r="N218" s="19"/>
      <c r="O218" s="19"/>
      <c r="P218" s="12"/>
      <c r="Q218" s="18" t="s">
        <v>1519</v>
      </c>
      <c r="R218" s="12"/>
      <c r="S218" s="12"/>
    </row>
  </sheetData>
  <autoFilter ref="A1:S218" xr:uid="{00000000-0009-0000-0000-000001000000}"/>
  <conditionalFormatting sqref="F2:F2000">
    <cfRule type="cellIs" dxfId="345" priority="10" operator="equal">
      <formula>"P0"</formula>
    </cfRule>
    <cfRule type="cellIs" dxfId="344" priority="11" operator="equal">
      <formula>"P1"</formula>
    </cfRule>
  </conditionalFormatting>
  <conditionalFormatting sqref="G2:G2000">
    <cfRule type="cellIs" dxfId="343" priority="1" operator="equal">
      <formula>"IN_PROGRESS"</formula>
    </cfRule>
    <cfRule type="cellIs" dxfId="342" priority="2" operator="equal">
      <formula>"BLOCKED"</formula>
    </cfRule>
    <cfRule type="cellIs" dxfId="341" priority="3" operator="equal">
      <formula>"IMPLEMENTED"</formula>
    </cfRule>
    <cfRule type="cellIs" dxfId="340" priority="4" operator="equal">
      <formula>"TESTING"</formula>
    </cfRule>
    <cfRule type="cellIs" dxfId="339" priority="5" operator="equal">
      <formula>"VERIFIED"</formula>
    </cfRule>
    <cfRule type="cellIs" dxfId="338" priority="6" operator="equal">
      <formula>"DONE"</formula>
    </cfRule>
    <cfRule type="cellIs" dxfId="337" priority="7" operator="equal">
      <formula>"FAILED"</formula>
    </cfRule>
    <cfRule type="cellIs" dxfId="336" priority="8" operator="equal">
      <formula>"DEFERRED"</formula>
    </cfRule>
    <cfRule type="cellIs" dxfId="335" priority="9" operator="equal">
      <formula>"UNKNOWN"</formula>
    </cfRule>
  </conditionalFormatting>
  <dataValidations count="5">
    <dataValidation type="list" allowBlank="1" showErrorMessage="1" errorTitle="Invalid status" error="Pick a status from the list." sqref="G2:G2000" xr:uid="{00000000-0002-0000-0100-000000000000}">
      <formula1>"NOT_STARTED,IN_PROGRESS,BLOCKED,IMPLEMENTED,TESTING,VERIFIED,DONE,FAILED,DEFERRED,UNKNOWN"</formula1>
    </dataValidation>
    <dataValidation type="list" allowBlank="1" showErrorMessage="1" errorTitle="Invalid priority" error="Pick a priority from the list." sqref="F2:F2000" xr:uid="{00000000-0002-0000-0100-000001000000}">
      <formula1>"P0,P1,P2,P3"</formula1>
    </dataValidation>
    <dataValidation type="list" allowBlank="1" showErrorMessage="1" errorTitle="Invalid risk" error="Pick a risk from the list." sqref="L2:L2000" xr:uid="{00000000-0002-0000-0100-000002000000}">
      <formula1>"Low,Medium,High,Critical"</formula1>
    </dataValidation>
    <dataValidation type="list" allowBlank="1" showErrorMessage="1" errorTitle="Invalid category" error="Pick a category from the list." sqref="C2:C2000" xr:uid="{00000000-0002-0000-0100-000003000000}">
      <formula1>"CORE,FIDELITY,REVIEW,DOCX,PDF,EDITOR,FORMATTING,HEALTH,AI,SECURITY,ACCOUNT,PERFORMANCE,TESTING,PRODUCT,TRANSLATION,FONT,P2E,BILLING,INFRA,JOBS,STORAGE,OBSERVABILITY,DOCS,RELEASE"</formula1>
    </dataValidation>
    <dataValidation type="whole" allowBlank="1" showErrorMessage="1" errorTitle="Invalid phase" error="Phase is a whole number 0-19." sqref="B2:B2000" xr:uid="{00000000-0002-0000-0100-000004000000}">
      <formula1>0</formula1>
      <formula2>19</formula2>
    </dataValidation>
  </dataValidations>
  <pageMargins left="0.75" right="0.75" top="1" bottom="1" header="0.5" footer="0.5"/>
  <pageSetup fitToHeight="0"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C00000"/>
    <pageSetUpPr fitToPage="1"/>
  </sheetPr>
  <dimension ref="A1:L128"/>
  <sheetViews>
    <sheetView workbookViewId="0">
      <pane ySplit="4" topLeftCell="A5" activePane="bottomLeft" state="frozen"/>
      <selection pane="bottomLeft"/>
    </sheetView>
  </sheetViews>
  <sheetFormatPr defaultRowHeight="15" x14ac:dyDescent="0.25"/>
  <cols>
    <col min="1" max="1" width="12" customWidth="1"/>
    <col min="2" max="2" width="14" customWidth="1"/>
    <col min="3" max="3" width="10" customWidth="1"/>
    <col min="4" max="4" width="60" customWidth="1"/>
    <col min="5" max="5" width="9" customWidth="1"/>
    <col min="6" max="6" width="14" customWidth="1"/>
    <col min="7" max="7" width="40" customWidth="1"/>
    <col min="8" max="8" width="34" customWidth="1"/>
    <col min="9" max="9" width="16" customWidth="1"/>
    <col min="10" max="11" width="40" customWidth="1"/>
    <col min="12" max="12" width="11" customWidth="1"/>
  </cols>
  <sheetData>
    <row r="1" spans="1:10" ht="20.25" x14ac:dyDescent="0.3">
      <c r="A1" s="3" t="s">
        <v>1520</v>
      </c>
    </row>
    <row r="2" spans="1:10" x14ac:dyDescent="0.25">
      <c r="A2" s="4" t="s">
        <v>1521</v>
      </c>
    </row>
    <row r="3" spans="1:10" x14ac:dyDescent="0.25">
      <c r="A3" s="6" t="s">
        <v>1522</v>
      </c>
      <c r="B3" s="6" t="s">
        <v>1523</v>
      </c>
      <c r="C3" s="6" t="s">
        <v>13</v>
      </c>
      <c r="D3" s="6" t="s">
        <v>16</v>
      </c>
      <c r="E3" s="6" t="s">
        <v>1524</v>
      </c>
      <c r="F3" s="6" t="s">
        <v>1525</v>
      </c>
      <c r="G3" s="6" t="s">
        <v>1526</v>
      </c>
      <c r="H3" s="6" t="s">
        <v>36</v>
      </c>
    </row>
    <row r="4" spans="1:10" x14ac:dyDescent="0.25">
      <c r="A4" s="7">
        <f>COUNTA(A8:A27)</f>
        <v>20</v>
      </c>
      <c r="B4" s="7">
        <f>COUNTIF(B8:B27,"RESOLVED")</f>
        <v>19</v>
      </c>
      <c r="C4" s="7">
        <f>COUNTIF(B8:B27,"IN_PROGRESS")</f>
        <v>0</v>
      </c>
      <c r="D4" s="7">
        <f>COUNTIF(B8:B27,"BLOCKED")</f>
        <v>1</v>
      </c>
      <c r="E4" s="7">
        <f>COUNTIF(B8:B27,"OPEN")</f>
        <v>0</v>
      </c>
      <c r="F4" s="7">
        <f>COUNTIF(MASTER!$F$2:$F$2000,"P0")</f>
        <v>97</v>
      </c>
      <c r="G4" s="7">
        <f>COUNTIFS(MASTER!$F$2:$F$2000,"P0",MASTER!$G$2:$G$2000,"DONE")</f>
        <v>88</v>
      </c>
      <c r="H4" s="7">
        <f>F4-G4</f>
        <v>9</v>
      </c>
    </row>
    <row r="6" spans="1:10" ht="15.75" x14ac:dyDescent="0.25">
      <c r="A6" s="5" t="s">
        <v>1527</v>
      </c>
    </row>
    <row r="7" spans="1:10" x14ac:dyDescent="0.25">
      <c r="A7" s="10" t="s">
        <v>1528</v>
      </c>
      <c r="B7" s="10" t="s">
        <v>57</v>
      </c>
      <c r="C7" s="10" t="s">
        <v>1529</v>
      </c>
      <c r="D7" s="10" t="s">
        <v>1530</v>
      </c>
      <c r="E7" s="10" t="s">
        <v>45</v>
      </c>
      <c r="F7" s="10" t="s">
        <v>46</v>
      </c>
      <c r="G7" s="10" t="s">
        <v>1531</v>
      </c>
      <c r="H7" s="10" t="s">
        <v>1532</v>
      </c>
      <c r="I7" s="10" t="s">
        <v>1533</v>
      </c>
      <c r="J7" s="10" t="s">
        <v>178</v>
      </c>
    </row>
    <row r="8" spans="1:10" ht="25.5" x14ac:dyDescent="0.25">
      <c r="A8" s="15" t="s">
        <v>269</v>
      </c>
      <c r="B8" s="12" t="str">
        <f t="shared" ref="B8:B27" si="0">IF(E8=0,"OPEN",IF(F8=E8,"RESOLVED",IF(I8&gt;0,"BLOCKED",IF(H8+F8&gt;0,"IN_PROGRESS","OPEN"))))</f>
        <v>RESOLVED</v>
      </c>
      <c r="C8" s="14">
        <f t="shared" ref="C8:C27" si="1">IF(E8=0,0,F8/E8)</f>
        <v>1</v>
      </c>
      <c r="D8" s="18" t="s">
        <v>1534</v>
      </c>
      <c r="E8" s="16">
        <f t="shared" ref="E8:E27" si="2">IF(LEN(SUBSTITUTE($G8," ",""))=0,0,LEN(SUBSTITUTE($G8," ",""))-LEN(SUBSTITUTE(SUBSTITUTE($G8," ",""),",",""))+1)</f>
        <v>5</v>
      </c>
      <c r="F8" s="16">
        <f>SUMPRODUCT(ISNUMBER(SEARCH(","&amp;MASTER!$A$2:$A$2000&amp;",",","&amp;SUBSTITUTE($G8," ","")&amp;","))*((MASTER!$G$2:$G$2000="DONE")))</f>
        <v>5</v>
      </c>
      <c r="G8" s="18" t="s">
        <v>1535</v>
      </c>
      <c r="H8" s="16">
        <f>SUMPRODUCT(ISNUMBER(SEARCH(","&amp;MASTER!$A$2:$A$2000&amp;",",","&amp;SUBSTITUTE($G8," ","")&amp;","))*((MASTER!$G$2:$G$2000="IN_PROGRESS")+(MASTER!$G$2:$G$2000="IMPLEMENTED")+(MASTER!$G$2:$G$2000="TESTING")+(MASTER!$G$2:$G$2000="VERIFIED")))</f>
        <v>0</v>
      </c>
      <c r="I8" s="16">
        <f>SUMPRODUCT(ISNUMBER(SEARCH(","&amp;MASTER!$A$2:$A$2000&amp;",",","&amp;SUBSTITUTE($G8," ","")&amp;","))*((MASTER!$G$2:$G$2000="BLOCKED")+(MASTER!$G$2:$G$2000="FAILED")))</f>
        <v>0</v>
      </c>
      <c r="J8" s="18"/>
    </row>
    <row r="9" spans="1:10" ht="63.75" x14ac:dyDescent="0.25">
      <c r="A9" s="15" t="s">
        <v>420</v>
      </c>
      <c r="B9" s="12" t="str">
        <f t="shared" si="0"/>
        <v>RESOLVED</v>
      </c>
      <c r="C9" s="14">
        <f t="shared" si="1"/>
        <v>1</v>
      </c>
      <c r="D9" s="18" t="s">
        <v>1536</v>
      </c>
      <c r="E9" s="16">
        <f t="shared" si="2"/>
        <v>4</v>
      </c>
      <c r="F9" s="16">
        <f>SUMPRODUCT(ISNUMBER(SEARCH(","&amp;MASTER!$A$2:$A$2000&amp;",",","&amp;SUBSTITUTE($G9," ","")&amp;","))*((MASTER!$G$2:$G$2000="DONE")))</f>
        <v>4</v>
      </c>
      <c r="G9" s="18" t="s">
        <v>1537</v>
      </c>
      <c r="H9" s="16">
        <f>SUMPRODUCT(ISNUMBER(SEARCH(","&amp;MASTER!$A$2:$A$2000&amp;",",","&amp;SUBSTITUTE($G9," ","")&amp;","))*((MASTER!$G$2:$G$2000="IN_PROGRESS")+(MASTER!$G$2:$G$2000="IMPLEMENTED")+(MASTER!$G$2:$G$2000="TESTING")+(MASTER!$G$2:$G$2000="VERIFIED")))</f>
        <v>0</v>
      </c>
      <c r="I9" s="16">
        <f>SUMPRODUCT(ISNUMBER(SEARCH(","&amp;MASTER!$A$2:$A$2000&amp;",",","&amp;SUBSTITUTE($G9," ","")&amp;","))*((MASTER!$G$2:$G$2000="BLOCKED")+(MASTER!$G$2:$G$2000="FAILED")))</f>
        <v>0</v>
      </c>
      <c r="J9" s="18" t="s">
        <v>1538</v>
      </c>
    </row>
    <row r="10" spans="1:10" ht="25.5" x14ac:dyDescent="0.25">
      <c r="A10" s="15" t="s">
        <v>303</v>
      </c>
      <c r="B10" s="12" t="str">
        <f t="shared" si="0"/>
        <v>RESOLVED</v>
      </c>
      <c r="C10" s="14">
        <f t="shared" si="1"/>
        <v>1</v>
      </c>
      <c r="D10" s="18" t="s">
        <v>1539</v>
      </c>
      <c r="E10" s="16">
        <f t="shared" si="2"/>
        <v>5</v>
      </c>
      <c r="F10" s="16">
        <f>SUMPRODUCT(ISNUMBER(SEARCH(","&amp;MASTER!$A$2:$A$2000&amp;",",","&amp;SUBSTITUTE($G10," ","")&amp;","))*((MASTER!$G$2:$G$2000="DONE")))</f>
        <v>5</v>
      </c>
      <c r="G10" s="18" t="s">
        <v>1540</v>
      </c>
      <c r="H10" s="16">
        <f>SUMPRODUCT(ISNUMBER(SEARCH(","&amp;MASTER!$A$2:$A$2000&amp;",",","&amp;SUBSTITUTE($G10," ","")&amp;","))*((MASTER!$G$2:$G$2000="IN_PROGRESS")+(MASTER!$G$2:$G$2000="IMPLEMENTED")+(MASTER!$G$2:$G$2000="TESTING")+(MASTER!$G$2:$G$2000="VERIFIED")))</f>
        <v>0</v>
      </c>
      <c r="I10" s="16">
        <f>SUMPRODUCT(ISNUMBER(SEARCH(","&amp;MASTER!$A$2:$A$2000&amp;",",","&amp;SUBSTITUTE($G10," ","")&amp;","))*((MASTER!$G$2:$G$2000="BLOCKED")+(MASTER!$G$2:$G$2000="FAILED")))</f>
        <v>0</v>
      </c>
      <c r="J10" s="18"/>
    </row>
    <row r="11" spans="1:10" ht="51" x14ac:dyDescent="0.25">
      <c r="A11" s="15" t="s">
        <v>547</v>
      </c>
      <c r="B11" s="12" t="str">
        <f t="shared" si="0"/>
        <v>RESOLVED</v>
      </c>
      <c r="C11" s="14">
        <f t="shared" si="1"/>
        <v>1</v>
      </c>
      <c r="D11" s="18" t="s">
        <v>1541</v>
      </c>
      <c r="E11" s="16">
        <f t="shared" si="2"/>
        <v>1</v>
      </c>
      <c r="F11" s="16">
        <f>SUMPRODUCT(ISNUMBER(SEARCH(","&amp;MASTER!$A$2:$A$2000&amp;",",","&amp;SUBSTITUTE($G11," ","")&amp;","))*((MASTER!$G$2:$G$2000="DONE")))</f>
        <v>1</v>
      </c>
      <c r="G11" s="18" t="s">
        <v>540</v>
      </c>
      <c r="H11" s="16">
        <f>SUMPRODUCT(ISNUMBER(SEARCH(","&amp;MASTER!$A$2:$A$2000&amp;",",","&amp;SUBSTITUTE($G11," ","")&amp;","))*((MASTER!$G$2:$G$2000="IN_PROGRESS")+(MASTER!$G$2:$G$2000="IMPLEMENTED")+(MASTER!$G$2:$G$2000="TESTING")+(MASTER!$G$2:$G$2000="VERIFIED")))</f>
        <v>0</v>
      </c>
      <c r="I11" s="16">
        <f>SUMPRODUCT(ISNUMBER(SEARCH(","&amp;MASTER!$A$2:$A$2000&amp;",",","&amp;SUBSTITUTE($G11," ","")&amp;","))*((MASTER!$G$2:$G$2000="BLOCKED")+(MASTER!$G$2:$G$2000="FAILED")))</f>
        <v>0</v>
      </c>
      <c r="J11" s="18" t="s">
        <v>1542</v>
      </c>
    </row>
    <row r="12" spans="1:10" ht="63.75" x14ac:dyDescent="0.25">
      <c r="A12" s="15" t="s">
        <v>443</v>
      </c>
      <c r="B12" s="12" t="str">
        <f t="shared" si="0"/>
        <v>RESOLVED</v>
      </c>
      <c r="C12" s="14">
        <f t="shared" si="1"/>
        <v>1</v>
      </c>
      <c r="D12" s="18" t="s">
        <v>1543</v>
      </c>
      <c r="E12" s="16">
        <f t="shared" si="2"/>
        <v>4</v>
      </c>
      <c r="F12" s="16">
        <f>SUMPRODUCT(ISNUMBER(SEARCH(","&amp;MASTER!$A$2:$A$2000&amp;",",","&amp;SUBSTITUTE($G12," ","")&amp;","))*((MASTER!$G$2:$G$2000="DONE")))</f>
        <v>4</v>
      </c>
      <c r="G12" s="18" t="s">
        <v>1544</v>
      </c>
      <c r="H12" s="16">
        <f>SUMPRODUCT(ISNUMBER(SEARCH(","&amp;MASTER!$A$2:$A$2000&amp;",",","&amp;SUBSTITUTE($G12," ","")&amp;","))*((MASTER!$G$2:$G$2000="IN_PROGRESS")+(MASTER!$G$2:$G$2000="IMPLEMENTED")+(MASTER!$G$2:$G$2000="TESTING")+(MASTER!$G$2:$G$2000="VERIFIED")))</f>
        <v>0</v>
      </c>
      <c r="I12" s="16">
        <f>SUMPRODUCT(ISNUMBER(SEARCH(","&amp;MASTER!$A$2:$A$2000&amp;",",","&amp;SUBSTITUTE($G12," ","")&amp;","))*((MASTER!$G$2:$G$2000="BLOCKED")+(MASTER!$G$2:$G$2000="FAILED")))</f>
        <v>0</v>
      </c>
      <c r="J12" s="18" t="s">
        <v>1545</v>
      </c>
    </row>
    <row r="13" spans="1:10" ht="25.5" x14ac:dyDescent="0.25">
      <c r="A13" s="15" t="s">
        <v>653</v>
      </c>
      <c r="B13" s="12" t="str">
        <f t="shared" si="0"/>
        <v>RESOLVED</v>
      </c>
      <c r="C13" s="14">
        <f t="shared" si="1"/>
        <v>1</v>
      </c>
      <c r="D13" s="18" t="s">
        <v>1546</v>
      </c>
      <c r="E13" s="16">
        <f t="shared" si="2"/>
        <v>3</v>
      </c>
      <c r="F13" s="16">
        <f>SUMPRODUCT(ISNUMBER(SEARCH(","&amp;MASTER!$A$2:$A$2000&amp;",",","&amp;SUBSTITUTE($G13," ","")&amp;","))*((MASTER!$G$2:$G$2000="DONE")))</f>
        <v>3</v>
      </c>
      <c r="G13" s="18" t="s">
        <v>1547</v>
      </c>
      <c r="H13" s="16">
        <f>SUMPRODUCT(ISNUMBER(SEARCH(","&amp;MASTER!$A$2:$A$2000&amp;",",","&amp;SUBSTITUTE($G13," ","")&amp;","))*((MASTER!$G$2:$G$2000="IN_PROGRESS")+(MASTER!$G$2:$G$2000="IMPLEMENTED")+(MASTER!$G$2:$G$2000="TESTING")+(MASTER!$G$2:$G$2000="VERIFIED")))</f>
        <v>0</v>
      </c>
      <c r="I13" s="16">
        <f>SUMPRODUCT(ISNUMBER(SEARCH(","&amp;MASTER!$A$2:$A$2000&amp;",",","&amp;SUBSTITUTE($G13," ","")&amp;","))*((MASTER!$G$2:$G$2000="BLOCKED")+(MASTER!$G$2:$G$2000="FAILED")))</f>
        <v>0</v>
      </c>
      <c r="J13" s="18"/>
    </row>
    <row r="14" spans="1:10" x14ac:dyDescent="0.25">
      <c r="A14" s="15" t="s">
        <v>309</v>
      </c>
      <c r="B14" s="12" t="str">
        <f t="shared" si="0"/>
        <v>RESOLVED</v>
      </c>
      <c r="C14" s="14">
        <f t="shared" si="1"/>
        <v>1</v>
      </c>
      <c r="D14" s="18" t="s">
        <v>1548</v>
      </c>
      <c r="E14" s="16">
        <f t="shared" si="2"/>
        <v>1</v>
      </c>
      <c r="F14" s="16">
        <f>SUMPRODUCT(ISNUMBER(SEARCH(","&amp;MASTER!$A$2:$A$2000&amp;",",","&amp;SUBSTITUTE($G14," ","")&amp;","))*((MASTER!$G$2:$G$2000="DONE")))</f>
        <v>1</v>
      </c>
      <c r="G14" s="18" t="s">
        <v>588</v>
      </c>
      <c r="H14" s="16">
        <f>SUMPRODUCT(ISNUMBER(SEARCH(","&amp;MASTER!$A$2:$A$2000&amp;",",","&amp;SUBSTITUTE($G14," ","")&amp;","))*((MASTER!$G$2:$G$2000="IN_PROGRESS")+(MASTER!$G$2:$G$2000="IMPLEMENTED")+(MASTER!$G$2:$G$2000="TESTING")+(MASTER!$G$2:$G$2000="VERIFIED")))</f>
        <v>0</v>
      </c>
      <c r="I14" s="16">
        <f>SUMPRODUCT(ISNUMBER(SEARCH(","&amp;MASTER!$A$2:$A$2000&amp;",",","&amp;SUBSTITUTE($G14," ","")&amp;","))*((MASTER!$G$2:$G$2000="BLOCKED")+(MASTER!$G$2:$G$2000="FAILED")))</f>
        <v>0</v>
      </c>
      <c r="J14" s="18"/>
    </row>
    <row r="15" spans="1:10" ht="25.5" x14ac:dyDescent="0.25">
      <c r="A15" s="15" t="s">
        <v>323</v>
      </c>
      <c r="B15" s="12" t="str">
        <f t="shared" si="0"/>
        <v>RESOLVED</v>
      </c>
      <c r="C15" s="14">
        <f t="shared" si="1"/>
        <v>1</v>
      </c>
      <c r="D15" s="18" t="s">
        <v>1549</v>
      </c>
      <c r="E15" s="16">
        <f t="shared" si="2"/>
        <v>1</v>
      </c>
      <c r="F15" s="16">
        <f>SUMPRODUCT(ISNUMBER(SEARCH(","&amp;MASTER!$A$2:$A$2000&amp;",",","&amp;SUBSTITUTE($G15," ","")&amp;","))*((MASTER!$G$2:$G$2000="DONE")))</f>
        <v>1</v>
      </c>
      <c r="G15" s="18" t="s">
        <v>568</v>
      </c>
      <c r="H15" s="16">
        <f>SUMPRODUCT(ISNUMBER(SEARCH(","&amp;MASTER!$A$2:$A$2000&amp;",",","&amp;SUBSTITUTE($G15," ","")&amp;","))*((MASTER!$G$2:$G$2000="IN_PROGRESS")+(MASTER!$G$2:$G$2000="IMPLEMENTED")+(MASTER!$G$2:$G$2000="TESTING")+(MASTER!$G$2:$G$2000="VERIFIED")))</f>
        <v>0</v>
      </c>
      <c r="I15" s="16">
        <f>SUMPRODUCT(ISNUMBER(SEARCH(","&amp;MASTER!$A$2:$A$2000&amp;",",","&amp;SUBSTITUTE($G15," ","")&amp;","))*((MASTER!$G$2:$G$2000="BLOCKED")+(MASTER!$G$2:$G$2000="FAILED")))</f>
        <v>0</v>
      </c>
      <c r="J15" s="18"/>
    </row>
    <row r="16" spans="1:10" x14ac:dyDescent="0.25">
      <c r="A16" s="15" t="s">
        <v>813</v>
      </c>
      <c r="B16" s="12" t="str">
        <f t="shared" si="0"/>
        <v>RESOLVED</v>
      </c>
      <c r="C16" s="14">
        <f t="shared" si="1"/>
        <v>1</v>
      </c>
      <c r="D16" s="18" t="s">
        <v>1550</v>
      </c>
      <c r="E16" s="16">
        <f t="shared" si="2"/>
        <v>2</v>
      </c>
      <c r="F16" s="16">
        <f>SUMPRODUCT(ISNUMBER(SEARCH(","&amp;MASTER!$A$2:$A$2000&amp;",",","&amp;SUBSTITUTE($G16," ","")&amp;","))*((MASTER!$G$2:$G$2000="DONE")))</f>
        <v>2</v>
      </c>
      <c r="G16" s="18" t="s">
        <v>1551</v>
      </c>
      <c r="H16" s="16">
        <f>SUMPRODUCT(ISNUMBER(SEARCH(","&amp;MASTER!$A$2:$A$2000&amp;",",","&amp;SUBSTITUTE($G16," ","")&amp;","))*((MASTER!$G$2:$G$2000="IN_PROGRESS")+(MASTER!$G$2:$G$2000="IMPLEMENTED")+(MASTER!$G$2:$G$2000="TESTING")+(MASTER!$G$2:$G$2000="VERIFIED")))</f>
        <v>0</v>
      </c>
      <c r="I16" s="16">
        <f>SUMPRODUCT(ISNUMBER(SEARCH(","&amp;MASTER!$A$2:$A$2000&amp;",",","&amp;SUBSTITUTE($G16," ","")&amp;","))*((MASTER!$G$2:$G$2000="BLOCKED")+(MASTER!$G$2:$G$2000="FAILED")))</f>
        <v>0</v>
      </c>
      <c r="J16" s="18"/>
    </row>
    <row r="17" spans="1:12" x14ac:dyDescent="0.25">
      <c r="A17" s="15" t="s">
        <v>896</v>
      </c>
      <c r="B17" s="12" t="str">
        <f t="shared" si="0"/>
        <v>RESOLVED</v>
      </c>
      <c r="C17" s="14">
        <f t="shared" si="1"/>
        <v>1</v>
      </c>
      <c r="D17" s="18" t="s">
        <v>1552</v>
      </c>
      <c r="E17" s="16">
        <f t="shared" si="2"/>
        <v>1</v>
      </c>
      <c r="F17" s="16">
        <f>SUMPRODUCT(ISNUMBER(SEARCH(","&amp;MASTER!$A$2:$A$2000&amp;",",","&amp;SUBSTITUTE($G17," ","")&amp;","))*((MASTER!$G$2:$G$2000="DONE")))</f>
        <v>1</v>
      </c>
      <c r="G17" s="18" t="s">
        <v>889</v>
      </c>
      <c r="H17" s="16">
        <f>SUMPRODUCT(ISNUMBER(SEARCH(","&amp;MASTER!$A$2:$A$2000&amp;",",","&amp;SUBSTITUTE($G17," ","")&amp;","))*((MASTER!$G$2:$G$2000="IN_PROGRESS")+(MASTER!$G$2:$G$2000="IMPLEMENTED")+(MASTER!$G$2:$G$2000="TESTING")+(MASTER!$G$2:$G$2000="VERIFIED")))</f>
        <v>0</v>
      </c>
      <c r="I17" s="16">
        <f>SUMPRODUCT(ISNUMBER(SEARCH(","&amp;MASTER!$A$2:$A$2000&amp;",",","&amp;SUBSTITUTE($G17," ","")&amp;","))*((MASTER!$G$2:$G$2000="BLOCKED")+(MASTER!$G$2:$G$2000="FAILED")))</f>
        <v>0</v>
      </c>
      <c r="J17" s="18"/>
    </row>
    <row r="18" spans="1:12" x14ac:dyDescent="0.25">
      <c r="A18" s="15" t="s">
        <v>998</v>
      </c>
      <c r="B18" s="12" t="str">
        <f t="shared" si="0"/>
        <v>RESOLVED</v>
      </c>
      <c r="C18" s="14">
        <f t="shared" si="1"/>
        <v>1</v>
      </c>
      <c r="D18" s="18" t="s">
        <v>1553</v>
      </c>
      <c r="E18" s="16">
        <f t="shared" si="2"/>
        <v>1</v>
      </c>
      <c r="F18" s="16">
        <f>SUMPRODUCT(ISNUMBER(SEARCH(","&amp;MASTER!$A$2:$A$2000&amp;",",","&amp;SUBSTITUTE($G18," ","")&amp;","))*((MASTER!$G$2:$G$2000="DONE")))</f>
        <v>1</v>
      </c>
      <c r="G18" s="18" t="s">
        <v>1004</v>
      </c>
      <c r="H18" s="16">
        <f>SUMPRODUCT(ISNUMBER(SEARCH(","&amp;MASTER!$A$2:$A$2000&amp;",",","&amp;SUBSTITUTE($G18," ","")&amp;","))*((MASTER!$G$2:$G$2000="IN_PROGRESS")+(MASTER!$G$2:$G$2000="IMPLEMENTED")+(MASTER!$G$2:$G$2000="TESTING")+(MASTER!$G$2:$G$2000="VERIFIED")))</f>
        <v>0</v>
      </c>
      <c r="I18" s="16">
        <f>SUMPRODUCT(ISNUMBER(SEARCH(","&amp;MASTER!$A$2:$A$2000&amp;",",","&amp;SUBSTITUTE($G18," ","")&amp;","))*((MASTER!$G$2:$G$2000="BLOCKED")+(MASTER!$G$2:$G$2000="FAILED")))</f>
        <v>0</v>
      </c>
      <c r="J18" s="18"/>
    </row>
    <row r="19" spans="1:12" x14ac:dyDescent="0.25">
      <c r="A19" s="15" t="s">
        <v>799</v>
      </c>
      <c r="B19" s="12" t="str">
        <f t="shared" si="0"/>
        <v>RESOLVED</v>
      </c>
      <c r="C19" s="14">
        <f t="shared" si="1"/>
        <v>1</v>
      </c>
      <c r="D19" s="18" t="s">
        <v>1554</v>
      </c>
      <c r="E19" s="16">
        <f t="shared" si="2"/>
        <v>2</v>
      </c>
      <c r="F19" s="16">
        <f>SUMPRODUCT(ISNUMBER(SEARCH(","&amp;MASTER!$A$2:$A$2000&amp;",",","&amp;SUBSTITUTE($G19," ","")&amp;","))*((MASTER!$G$2:$G$2000="DONE")))</f>
        <v>2</v>
      </c>
      <c r="G19" s="18" t="s">
        <v>1555</v>
      </c>
      <c r="H19" s="16">
        <f>SUMPRODUCT(ISNUMBER(SEARCH(","&amp;MASTER!$A$2:$A$2000&amp;",",","&amp;SUBSTITUTE($G19," ","")&amp;","))*((MASTER!$G$2:$G$2000="IN_PROGRESS")+(MASTER!$G$2:$G$2000="IMPLEMENTED")+(MASTER!$G$2:$G$2000="TESTING")+(MASTER!$G$2:$G$2000="VERIFIED")))</f>
        <v>0</v>
      </c>
      <c r="I19" s="16">
        <f>SUMPRODUCT(ISNUMBER(SEARCH(","&amp;MASTER!$A$2:$A$2000&amp;",",","&amp;SUBSTITUTE($G19," ","")&amp;","))*((MASTER!$G$2:$G$2000="BLOCKED")+(MASTER!$G$2:$G$2000="FAILED")))</f>
        <v>0</v>
      </c>
      <c r="J19" s="18"/>
    </row>
    <row r="20" spans="1:12" x14ac:dyDescent="0.25">
      <c r="A20" s="15" t="s">
        <v>827</v>
      </c>
      <c r="B20" s="12" t="str">
        <f t="shared" si="0"/>
        <v>RESOLVED</v>
      </c>
      <c r="C20" s="14">
        <f t="shared" si="1"/>
        <v>1</v>
      </c>
      <c r="D20" s="18" t="s">
        <v>1556</v>
      </c>
      <c r="E20" s="16">
        <f t="shared" si="2"/>
        <v>3</v>
      </c>
      <c r="F20" s="16">
        <f>SUMPRODUCT(ISNUMBER(SEARCH(","&amp;MASTER!$A$2:$A$2000&amp;",",","&amp;SUBSTITUTE($G20," ","")&amp;","))*((MASTER!$G$2:$G$2000="DONE")))</f>
        <v>3</v>
      </c>
      <c r="G20" s="18" t="s">
        <v>1557</v>
      </c>
      <c r="H20" s="16">
        <f>SUMPRODUCT(ISNUMBER(SEARCH(","&amp;MASTER!$A$2:$A$2000&amp;",",","&amp;SUBSTITUTE($G20," ","")&amp;","))*((MASTER!$G$2:$G$2000="IN_PROGRESS")+(MASTER!$G$2:$G$2000="IMPLEMENTED")+(MASTER!$G$2:$G$2000="TESTING")+(MASTER!$G$2:$G$2000="VERIFIED")))</f>
        <v>0</v>
      </c>
      <c r="I20" s="16">
        <f>SUMPRODUCT(ISNUMBER(SEARCH(","&amp;MASTER!$A$2:$A$2000&amp;",",","&amp;SUBSTITUTE($G20," ","")&amp;","))*((MASTER!$G$2:$G$2000="BLOCKED")+(MASTER!$G$2:$G$2000="FAILED")))</f>
        <v>0</v>
      </c>
      <c r="J20" s="18"/>
    </row>
    <row r="21" spans="1:12" x14ac:dyDescent="0.25">
      <c r="A21" s="15" t="s">
        <v>954</v>
      </c>
      <c r="B21" s="12" t="str">
        <f t="shared" si="0"/>
        <v>RESOLVED</v>
      </c>
      <c r="C21" s="14">
        <f t="shared" si="1"/>
        <v>1</v>
      </c>
      <c r="D21" s="18" t="s">
        <v>1558</v>
      </c>
      <c r="E21" s="16">
        <f t="shared" si="2"/>
        <v>4</v>
      </c>
      <c r="F21" s="16">
        <f>SUMPRODUCT(ISNUMBER(SEARCH(","&amp;MASTER!$A$2:$A$2000&amp;",",","&amp;SUBSTITUTE($G21," ","")&amp;","))*((MASTER!$G$2:$G$2000="DONE")))</f>
        <v>4</v>
      </c>
      <c r="G21" s="18" t="s">
        <v>1559</v>
      </c>
      <c r="H21" s="16">
        <f>SUMPRODUCT(ISNUMBER(SEARCH(","&amp;MASTER!$A$2:$A$2000&amp;",",","&amp;SUBSTITUTE($G21," ","")&amp;","))*((MASTER!$G$2:$G$2000="IN_PROGRESS")+(MASTER!$G$2:$G$2000="IMPLEMENTED")+(MASTER!$G$2:$G$2000="TESTING")+(MASTER!$G$2:$G$2000="VERIFIED")))</f>
        <v>0</v>
      </c>
      <c r="I21" s="16">
        <f>SUMPRODUCT(ISNUMBER(SEARCH(","&amp;MASTER!$A$2:$A$2000&amp;",",","&amp;SUBSTITUTE($G21," ","")&amp;","))*((MASTER!$G$2:$G$2000="BLOCKED")+(MASTER!$G$2:$G$2000="FAILED")))</f>
        <v>0</v>
      </c>
      <c r="J21" s="18"/>
    </row>
    <row r="22" spans="1:12" x14ac:dyDescent="0.25">
      <c r="A22" s="15" t="s">
        <v>1326</v>
      </c>
      <c r="B22" s="12" t="str">
        <f t="shared" si="0"/>
        <v>BLOCKED</v>
      </c>
      <c r="C22" s="14">
        <f t="shared" si="1"/>
        <v>0.66666666666666663</v>
      </c>
      <c r="D22" s="18" t="s">
        <v>1560</v>
      </c>
      <c r="E22" s="16">
        <f t="shared" si="2"/>
        <v>3</v>
      </c>
      <c r="F22" s="16">
        <f>SUMPRODUCT(ISNUMBER(SEARCH(","&amp;MASTER!$A$2:$A$2000&amp;",",","&amp;SUBSTITUTE($G22," ","")&amp;","))*((MASTER!$G$2:$G$2000="DONE")))</f>
        <v>2</v>
      </c>
      <c r="G22" s="18" t="s">
        <v>1561</v>
      </c>
      <c r="H22" s="16">
        <f>SUMPRODUCT(ISNUMBER(SEARCH(","&amp;MASTER!$A$2:$A$2000&amp;",",","&amp;SUBSTITUTE($G22," ","")&amp;","))*((MASTER!$G$2:$G$2000="IN_PROGRESS")+(MASTER!$G$2:$G$2000="IMPLEMENTED")+(MASTER!$G$2:$G$2000="TESTING")+(MASTER!$G$2:$G$2000="VERIFIED")))</f>
        <v>0</v>
      </c>
      <c r="I22" s="16">
        <f>SUMPRODUCT(ISNUMBER(SEARCH(","&amp;MASTER!$A$2:$A$2000&amp;",",","&amp;SUBSTITUTE($G22," ","")&amp;","))*((MASTER!$G$2:$G$2000="BLOCKED")+(MASTER!$G$2:$G$2000="FAILED")))</f>
        <v>1</v>
      </c>
      <c r="J22" s="18"/>
    </row>
    <row r="23" spans="1:12" x14ac:dyDescent="0.25">
      <c r="A23" s="15" t="s">
        <v>340</v>
      </c>
      <c r="B23" s="12" t="str">
        <f t="shared" si="0"/>
        <v>RESOLVED</v>
      </c>
      <c r="C23" s="14">
        <f t="shared" si="1"/>
        <v>1</v>
      </c>
      <c r="D23" s="18" t="s">
        <v>1562</v>
      </c>
      <c r="E23" s="16">
        <f t="shared" si="2"/>
        <v>2</v>
      </c>
      <c r="F23" s="16">
        <f>SUMPRODUCT(ISNUMBER(SEARCH(","&amp;MASTER!$A$2:$A$2000&amp;",",","&amp;SUBSTITUTE($G23," ","")&amp;","))*((MASTER!$G$2:$G$2000="DONE")))</f>
        <v>2</v>
      </c>
      <c r="G23" s="18" t="s">
        <v>1563</v>
      </c>
      <c r="H23" s="16">
        <f>SUMPRODUCT(ISNUMBER(SEARCH(","&amp;MASTER!$A$2:$A$2000&amp;",",","&amp;SUBSTITUTE($G23," ","")&amp;","))*((MASTER!$G$2:$G$2000="IN_PROGRESS")+(MASTER!$G$2:$G$2000="IMPLEMENTED")+(MASTER!$G$2:$G$2000="TESTING")+(MASTER!$G$2:$G$2000="VERIFIED")))</f>
        <v>0</v>
      </c>
      <c r="I23" s="16">
        <f>SUMPRODUCT(ISNUMBER(SEARCH(","&amp;MASTER!$A$2:$A$2000&amp;",",","&amp;SUBSTITUTE($G23," ","")&amp;","))*((MASTER!$G$2:$G$2000="BLOCKED")+(MASTER!$G$2:$G$2000="FAILED")))</f>
        <v>0</v>
      </c>
      <c r="J23" s="18"/>
    </row>
    <row r="24" spans="1:12" x14ac:dyDescent="0.25">
      <c r="A24" s="15" t="s">
        <v>1174</v>
      </c>
      <c r="B24" s="12" t="str">
        <f t="shared" si="0"/>
        <v>RESOLVED</v>
      </c>
      <c r="C24" s="14">
        <f t="shared" si="1"/>
        <v>1</v>
      </c>
      <c r="D24" s="18" t="s">
        <v>1564</v>
      </c>
      <c r="E24" s="16">
        <f t="shared" si="2"/>
        <v>2</v>
      </c>
      <c r="F24" s="16">
        <f>SUMPRODUCT(ISNUMBER(SEARCH(","&amp;MASTER!$A$2:$A$2000&amp;",",","&amp;SUBSTITUTE($G24," ","")&amp;","))*((MASTER!$G$2:$G$2000="DONE")))</f>
        <v>2</v>
      </c>
      <c r="G24" s="18" t="s">
        <v>1565</v>
      </c>
      <c r="H24" s="16">
        <f>SUMPRODUCT(ISNUMBER(SEARCH(","&amp;MASTER!$A$2:$A$2000&amp;",",","&amp;SUBSTITUTE($G24," ","")&amp;","))*((MASTER!$G$2:$G$2000="IN_PROGRESS")+(MASTER!$G$2:$G$2000="IMPLEMENTED")+(MASTER!$G$2:$G$2000="TESTING")+(MASTER!$G$2:$G$2000="VERIFIED")))</f>
        <v>0</v>
      </c>
      <c r="I24" s="16">
        <f>SUMPRODUCT(ISNUMBER(SEARCH(","&amp;MASTER!$A$2:$A$2000&amp;",",","&amp;SUBSTITUTE($G24," ","")&amp;","))*((MASTER!$G$2:$G$2000="BLOCKED")+(MASTER!$G$2:$G$2000="FAILED")))</f>
        <v>0</v>
      </c>
      <c r="J24" s="18"/>
    </row>
    <row r="25" spans="1:12" ht="51" x14ac:dyDescent="0.25">
      <c r="A25" s="15" t="s">
        <v>638</v>
      </c>
      <c r="B25" s="12" t="str">
        <f t="shared" si="0"/>
        <v>RESOLVED</v>
      </c>
      <c r="C25" s="14">
        <f t="shared" si="1"/>
        <v>1</v>
      </c>
      <c r="D25" s="18" t="s">
        <v>1566</v>
      </c>
      <c r="E25" s="16">
        <f t="shared" si="2"/>
        <v>2</v>
      </c>
      <c r="F25" s="16">
        <f>SUMPRODUCT(ISNUMBER(SEARCH(","&amp;MASTER!$A$2:$A$2000&amp;",",","&amp;SUBSTITUTE($G25," ","")&amp;","))*((MASTER!$G$2:$G$2000="DONE")))</f>
        <v>2</v>
      </c>
      <c r="G25" s="18" t="s">
        <v>1567</v>
      </c>
      <c r="H25" s="16">
        <f>SUMPRODUCT(ISNUMBER(SEARCH(","&amp;MASTER!$A$2:$A$2000&amp;",",","&amp;SUBSTITUTE($G25," ","")&amp;","))*((MASTER!$G$2:$G$2000="IN_PROGRESS")+(MASTER!$G$2:$G$2000="IMPLEMENTED")+(MASTER!$G$2:$G$2000="TESTING")+(MASTER!$G$2:$G$2000="VERIFIED")))</f>
        <v>0</v>
      </c>
      <c r="I25" s="16">
        <f>SUMPRODUCT(ISNUMBER(SEARCH(","&amp;MASTER!$A$2:$A$2000&amp;",",","&amp;SUBSTITUTE($G25," ","")&amp;","))*((MASTER!$G$2:$G$2000="BLOCKED")+(MASTER!$G$2:$G$2000="FAILED")))</f>
        <v>0</v>
      </c>
      <c r="J25" s="18" t="s">
        <v>1568</v>
      </c>
    </row>
    <row r="26" spans="1:12" ht="25.5" x14ac:dyDescent="0.25">
      <c r="A26" s="15" t="s">
        <v>1569</v>
      </c>
      <c r="B26" s="12" t="str">
        <f t="shared" si="0"/>
        <v>RESOLVED</v>
      </c>
      <c r="C26" s="14">
        <f t="shared" si="1"/>
        <v>1</v>
      </c>
      <c r="D26" s="18" t="s">
        <v>1570</v>
      </c>
      <c r="E26" s="16">
        <f t="shared" si="2"/>
        <v>4</v>
      </c>
      <c r="F26" s="16">
        <f>SUMPRODUCT(ISNUMBER(SEARCH(","&amp;MASTER!$A$2:$A$2000&amp;",",","&amp;SUBSTITUTE($G26," ","")&amp;","))*((MASTER!$G$2:$G$2000="DONE")))</f>
        <v>4</v>
      </c>
      <c r="G26" s="18" t="s">
        <v>1571</v>
      </c>
      <c r="H26" s="16">
        <f>SUMPRODUCT(ISNUMBER(SEARCH(","&amp;MASTER!$A$2:$A$2000&amp;",",","&amp;SUBSTITUTE($G26," ","")&amp;","))*((MASTER!$G$2:$G$2000="IN_PROGRESS")+(MASTER!$G$2:$G$2000="IMPLEMENTED")+(MASTER!$G$2:$G$2000="TESTING")+(MASTER!$G$2:$G$2000="VERIFIED")))</f>
        <v>0</v>
      </c>
      <c r="I26" s="16">
        <f>SUMPRODUCT(ISNUMBER(SEARCH(","&amp;MASTER!$A$2:$A$2000&amp;",",","&amp;SUBSTITUTE($G26," ","")&amp;","))*((MASTER!$G$2:$G$2000="BLOCKED")+(MASTER!$G$2:$G$2000="FAILED")))</f>
        <v>0</v>
      </c>
      <c r="J26" s="18"/>
    </row>
    <row r="27" spans="1:12" x14ac:dyDescent="0.25">
      <c r="A27" s="15" t="s">
        <v>392</v>
      </c>
      <c r="B27" s="12" t="str">
        <f t="shared" si="0"/>
        <v>RESOLVED</v>
      </c>
      <c r="C27" s="14">
        <f t="shared" si="1"/>
        <v>1</v>
      </c>
      <c r="D27" s="18" t="s">
        <v>1572</v>
      </c>
      <c r="E27" s="16">
        <f t="shared" si="2"/>
        <v>3</v>
      </c>
      <c r="F27" s="16">
        <f>SUMPRODUCT(ISNUMBER(SEARCH(","&amp;MASTER!$A$2:$A$2000&amp;",",","&amp;SUBSTITUTE($G27," ","")&amp;","))*((MASTER!$G$2:$G$2000="DONE")))</f>
        <v>3</v>
      </c>
      <c r="G27" s="18" t="s">
        <v>1573</v>
      </c>
      <c r="H27" s="16">
        <f>SUMPRODUCT(ISNUMBER(SEARCH(","&amp;MASTER!$A$2:$A$2000&amp;",",","&amp;SUBSTITUTE($G27," ","")&amp;","))*((MASTER!$G$2:$G$2000="IN_PROGRESS")+(MASTER!$G$2:$G$2000="IMPLEMENTED")+(MASTER!$G$2:$G$2000="TESTING")+(MASTER!$G$2:$G$2000="VERIFIED")))</f>
        <v>0</v>
      </c>
      <c r="I27" s="16">
        <f>SUMPRODUCT(ISNUMBER(SEARCH(","&amp;MASTER!$A$2:$A$2000&amp;",",","&amp;SUBSTITUTE($G27," ","")&amp;","))*((MASTER!$G$2:$G$2000="BLOCKED")+(MASTER!$G$2:$G$2000="FAILED")))</f>
        <v>0</v>
      </c>
      <c r="J27" s="18"/>
    </row>
    <row r="30" spans="1:12" ht="15.75" x14ac:dyDescent="0.25">
      <c r="A30" s="5" t="s">
        <v>1574</v>
      </c>
    </row>
    <row r="31" spans="1:12" x14ac:dyDescent="0.25">
      <c r="A31" s="10" t="s">
        <v>166</v>
      </c>
      <c r="B31" s="10" t="s">
        <v>100</v>
      </c>
      <c r="C31" s="10" t="s">
        <v>43</v>
      </c>
      <c r="D31" s="10" t="s">
        <v>167</v>
      </c>
      <c r="E31" s="10" t="s">
        <v>169</v>
      </c>
      <c r="F31" s="10" t="s">
        <v>57</v>
      </c>
      <c r="G31" s="10" t="s">
        <v>170</v>
      </c>
      <c r="H31" s="10" t="s">
        <v>171</v>
      </c>
      <c r="I31" s="10" t="s">
        <v>15</v>
      </c>
      <c r="J31" s="10" t="s">
        <v>177</v>
      </c>
      <c r="K31" s="10" t="s">
        <v>178</v>
      </c>
      <c r="L31" s="10" t="s">
        <v>179</v>
      </c>
    </row>
    <row r="32" spans="1:12" x14ac:dyDescent="0.25">
      <c r="A32" s="15" t="s">
        <v>181</v>
      </c>
      <c r="B32" s="12" t="str">
        <f>IFERROR(INDEX(MASTER!$C$2:$C$2000,MATCH($A32,MASTER!$A$2:$A$2000,0))&amp;"","")</f>
        <v>INFRA</v>
      </c>
      <c r="C32" s="16">
        <f>IFERROR(INDEX(MASTER!$B$2:$B$2000,MATCH($A32,MASTER!$A$2:$A$2000,0)),"")</f>
        <v>0</v>
      </c>
      <c r="D32" s="12" t="str">
        <f>IFERROR(INDEX(MASTER!$D$2:$D$2000,MATCH($A32,MASTER!$A$2:$A$2000,0))&amp;"","")</f>
        <v>Excel control centre</v>
      </c>
      <c r="E32" s="12" t="str">
        <f>IFERROR(INDEX(MASTER!$F$2:$F$2000,MATCH($A32,MASTER!$A$2:$A$2000,0))&amp;"","")</f>
        <v>P0</v>
      </c>
      <c r="F32" s="12" t="str">
        <f>IFERROR(INDEX(MASTER!$G$2:$G$2000,MATCH($A32,MASTER!$A$2:$A$2000,0))&amp;"","NOT IN MASTER")</f>
        <v>DONE</v>
      </c>
      <c r="G32" s="12" t="str">
        <f>IFERROR(INDEX(MASTER!$H$2:$H$2000,MATCH($A32,MASTER!$A$2:$A$2000,0))&amp;"","")</f>
        <v>SmartDoc_Master_Implementation_Tracker.xlsx: 20 sheets (19 required + DASHBOARD), 3,340 formulas, status/priority/risk/category/phase validation, conditional formatting; tools/tracker/tracker.py, seed.py, excel_recalc.py, selftest.py, README.md</v>
      </c>
      <c r="H32" s="12" t="str">
        <f>IFERROR(INDEX(MASTER!$I$2:$I$2000,MATCH($A32,MASTER!$A$2:$A$2000,0))&amp;"","")</f>
        <v>python tools/tracker/selftest.py -&gt; PASS; tools/tracker/excel_recalc.py -&gt; 0 formula errors, 0 value mismatches (also on a scratch copy covering every status)</v>
      </c>
      <c r="I32" s="19">
        <f>IFERROR(IF(INDEX(MASTER!$O$2:$O$2000,MATCH($A32,MASTER!$A$2:$A$2000,0))="","",INDEX(MASTER!$O$2:$O$2000,MATCH($A32,MASTER!$A$2:$A$2000,0))),"")</f>
        <v>46292.171400462961</v>
      </c>
      <c r="J32" s="12" t="str">
        <f>IFERROR(INDEX(MASTER!$P$2:$P$2000,MATCH($A32,MASTER!$A$2:$A$2000,0))&amp;"","")</f>
        <v>4da4ecb</v>
      </c>
      <c r="K32" s="12" t="str">
        <f>IFERROR(INDEX(MASTER!$Q$2:$Q$2000,MATCH($A32,MASTER!$A$2:$A$2000,0))&amp;"","")</f>
        <v/>
      </c>
      <c r="L32" s="12" t="str">
        <f>IFERROR(INDEX(MASTER!$R$2:$R$2000,MATCH($A32,MASTER!$A$2:$A$2000,0))&amp;"","")</f>
        <v/>
      </c>
    </row>
    <row r="33" spans="1:12" x14ac:dyDescent="0.25">
      <c r="A33" s="15" t="s">
        <v>190</v>
      </c>
      <c r="B33" s="12" t="str">
        <f>IFERROR(INDEX(MASTER!$C$2:$C$2000,MATCH($A33,MASTER!$A$2:$A$2000,0))&amp;"","")</f>
        <v>INFRA</v>
      </c>
      <c r="C33" s="16">
        <f>IFERROR(INDEX(MASTER!$B$2:$B$2000,MATCH($A33,MASTER!$A$2:$A$2000,0)),"")</f>
        <v>0</v>
      </c>
      <c r="D33" s="12" t="str">
        <f>IFERROR(INDEX(MASTER!$D$2:$D$2000,MATCH($A33,MASTER!$A$2:$A$2000,0))&amp;"","")</f>
        <v>Continuation system</v>
      </c>
      <c r="E33" s="12" t="str">
        <f>IFERROR(INDEX(MASTER!$F$2:$F$2000,MATCH($A33,MASTER!$A$2:$A$2000,0))&amp;"","")</f>
        <v>P0</v>
      </c>
      <c r="F33" s="12" t="str">
        <f>IFERROR(INDEX(MASTER!$G$2:$G$2000,MATCH($A33,MASTER!$A$2:$A$2000,0))&amp;"","NOT IN MASTER")</f>
        <v>DONE</v>
      </c>
      <c r="G33" s="12" t="str">
        <f>IFERROR(INDEX(MASTER!$H$2:$H$2000,MATCH($A33,MASTER!$A$2:$A$2000,0))&amp;"","")</f>
        <v>docs/AI-CONTINUATION.md (8 required sections), docs/session-state.json (all 19 fields of brief §11), SESSION_STATE sheet (14 fields of brief §110 + Excel Status), docs/implementation-brief.md</v>
      </c>
      <c r="H33" s="12" t="str">
        <f>IFERROR(INDEX(MASTER!$I$2:$I$2000,MATCH($A33,MASTER!$A$2:$A$2000,0))&amp;"","")</f>
        <v>tracker.py state --touch synced JSON -&gt; SESSION_STATE and wrote current_excel_status back; selftest covers the state command</v>
      </c>
      <c r="I33" s="19">
        <f>IFERROR(IF(INDEX(MASTER!$O$2:$O$2000,MATCH($A33,MASTER!$A$2:$A$2000,0))="","",INDEX(MASTER!$O$2:$O$2000,MATCH($A33,MASTER!$A$2:$A$2000,0))),"")</f>
        <v>46292.171435185177</v>
      </c>
      <c r="J33" s="12" t="str">
        <f>IFERROR(INDEX(MASTER!$P$2:$P$2000,MATCH($A33,MASTER!$A$2:$A$2000,0))&amp;"","")</f>
        <v>4da4ecb</v>
      </c>
      <c r="K33" s="12" t="str">
        <f>IFERROR(INDEX(MASTER!$Q$2:$Q$2000,MATCH($A33,MASTER!$A$2:$A$2000,0))&amp;"","")</f>
        <v/>
      </c>
      <c r="L33" s="12" t="str">
        <f>IFERROR(INDEX(MASTER!$R$2:$R$2000,MATCH($A33,MASTER!$A$2:$A$2000,0))&amp;"","")</f>
        <v/>
      </c>
    </row>
    <row r="34" spans="1:12" x14ac:dyDescent="0.25">
      <c r="A34" s="15" t="s">
        <v>203</v>
      </c>
      <c r="B34" s="12" t="str">
        <f>IFERROR(INDEX(MASTER!$C$2:$C$2000,MATCH($A34,MASTER!$A$2:$A$2000,0))&amp;"","")</f>
        <v>TESTING</v>
      </c>
      <c r="C34" s="16">
        <f>IFERROR(INDEX(MASTER!$B$2:$B$2000,MATCH($A34,MASTER!$A$2:$A$2000,0)),"")</f>
        <v>0</v>
      </c>
      <c r="D34" s="12" t="str">
        <f>IFERROR(INDEX(MASTER!$D$2:$D$2000,MATCH($A34,MASTER!$A$2:$A$2000,0))&amp;"","")</f>
        <v>Baseline: backend tests</v>
      </c>
      <c r="E34" s="12" t="str">
        <f>IFERROR(INDEX(MASTER!$F$2:$F$2000,MATCH($A34,MASTER!$A$2:$A$2000,0))&amp;"","")</f>
        <v>P0</v>
      </c>
      <c r="F34" s="12" t="str">
        <f>IFERROR(INDEX(MASTER!$G$2:$G$2000,MATCH($A34,MASTER!$A$2:$A$2000,0))&amp;"","NOT IN MASTER")</f>
        <v>DONE</v>
      </c>
      <c r="G34" s="12" t="str">
        <f>IFERROR(INDEX(MASTER!$H$2:$H$2000,MATCH($A34,MASTER!$A$2:$A$2000,0))&amp;"","")</f>
        <v>docs/architecture/current-baseline.md; TESTING RUN-0001</v>
      </c>
      <c r="H34" s="12" t="str">
        <f>IFERROR(INDEX(MASTER!$I$2:$I$2000,MATCH($A34,MASTER!$A$2:$A$2000,0))&amp;"","")</f>
        <v>backend pytest: 643 passed, 1 skipped, 0 failed (88 s)</v>
      </c>
      <c r="I34" s="19">
        <f>IFERROR(IF(INDEX(MASTER!$O$2:$O$2000,MATCH($A34,MASTER!$A$2:$A$2000,0))="","",INDEX(MASTER!$O$2:$O$2000,MATCH($A34,MASTER!$A$2:$A$2000,0))),"")</f>
        <v>46292.17150462963</v>
      </c>
      <c r="J34" s="12" t="str">
        <f>IFERROR(INDEX(MASTER!$P$2:$P$2000,MATCH($A34,MASTER!$A$2:$A$2000,0))&amp;"","")</f>
        <v>4da4ecb</v>
      </c>
      <c r="K34" s="12" t="str">
        <f>IFERROR(INDEX(MASTER!$Q$2:$Q$2000,MATCH($A34,MASTER!$A$2:$A$2000,0))&amp;"","")</f>
        <v/>
      </c>
      <c r="L34" s="12" t="str">
        <f>IFERROR(INDEX(MASTER!$R$2:$R$2000,MATCH($A34,MASTER!$A$2:$A$2000,0))&amp;"","")</f>
        <v/>
      </c>
    </row>
    <row r="35" spans="1:12" x14ac:dyDescent="0.25">
      <c r="A35" s="15" t="s">
        <v>209</v>
      </c>
      <c r="B35" s="12" t="str">
        <f>IFERROR(INDEX(MASTER!$C$2:$C$2000,MATCH($A35,MASTER!$A$2:$A$2000,0))&amp;"","")</f>
        <v>TESTING</v>
      </c>
      <c r="C35" s="16">
        <f>IFERROR(INDEX(MASTER!$B$2:$B$2000,MATCH($A35,MASTER!$A$2:$A$2000,0)),"")</f>
        <v>0</v>
      </c>
      <c r="D35" s="12" t="str">
        <f>IFERROR(INDEX(MASTER!$D$2:$D$2000,MATCH($A35,MASTER!$A$2:$A$2000,0))&amp;"","")</f>
        <v>Baseline: frontend tests, typecheck, lint, build</v>
      </c>
      <c r="E35" s="12" t="str">
        <f>IFERROR(INDEX(MASTER!$F$2:$F$2000,MATCH($A35,MASTER!$A$2:$A$2000,0))&amp;"","")</f>
        <v>P0</v>
      </c>
      <c r="F35" s="12" t="str">
        <f>IFERROR(INDEX(MASTER!$G$2:$G$2000,MATCH($A35,MASTER!$A$2:$A$2000,0))&amp;"","NOT IN MASTER")</f>
        <v>DONE</v>
      </c>
      <c r="G35" s="12" t="str">
        <f>IFERROR(INDEX(MASTER!$H$2:$H$2000,MATCH($A35,MASTER!$A$2:$A$2000,0))&amp;"","")</f>
        <v>docs/architecture/current-baseline.md; TESTING RUN-0002..0005</v>
      </c>
      <c r="H35" s="12" t="str">
        <f>IFERROR(INDEX(MASTER!$I$2:$I$2000,MATCH($A35,MASTER!$A$2:$A$2000,0))&amp;"","")</f>
        <v>eslint 0 problems; tsc 0 errors; Vitest 46/46; next build OK (11 routes)</v>
      </c>
      <c r="I35" s="19">
        <f>IFERROR(IF(INDEX(MASTER!$O$2:$O$2000,MATCH($A35,MASTER!$A$2:$A$2000,0))="","",INDEX(MASTER!$O$2:$O$2000,MATCH($A35,MASTER!$A$2:$A$2000,0))),"")</f>
        <v>46292.171550925923</v>
      </c>
      <c r="J35" s="12" t="str">
        <f>IFERROR(INDEX(MASTER!$P$2:$P$2000,MATCH($A35,MASTER!$A$2:$A$2000,0))&amp;"","")</f>
        <v>4da4ecb</v>
      </c>
      <c r="K35" s="12" t="str">
        <f>IFERROR(INDEX(MASTER!$Q$2:$Q$2000,MATCH($A35,MASTER!$A$2:$A$2000,0))&amp;"","")</f>
        <v/>
      </c>
      <c r="L35" s="12" t="str">
        <f>IFERROR(INDEX(MASTER!$R$2:$R$2000,MATCH($A35,MASTER!$A$2:$A$2000,0))&amp;"","")</f>
        <v/>
      </c>
    </row>
    <row r="36" spans="1:12" x14ac:dyDescent="0.25">
      <c r="A36" s="15" t="s">
        <v>215</v>
      </c>
      <c r="B36" s="12" t="str">
        <f>IFERROR(INDEX(MASTER!$C$2:$C$2000,MATCH($A36,MASTER!$A$2:$A$2000,0))&amp;"","")</f>
        <v>TESTING</v>
      </c>
      <c r="C36" s="16">
        <f>IFERROR(INDEX(MASTER!$B$2:$B$2000,MATCH($A36,MASTER!$A$2:$A$2000,0)),"")</f>
        <v>0</v>
      </c>
      <c r="D36" s="12" t="str">
        <f>IFERROR(INDEX(MASTER!$D$2:$D$2000,MATCH($A36,MASTER!$A$2:$A$2000,0))&amp;"","")</f>
        <v>Baseline: Playwright E2E</v>
      </c>
      <c r="E36" s="12" t="str">
        <f>IFERROR(INDEX(MASTER!$F$2:$F$2000,MATCH($A36,MASTER!$A$2:$A$2000,0))&amp;"","")</f>
        <v>P0</v>
      </c>
      <c r="F36" s="12" t="str">
        <f>IFERROR(INDEX(MASTER!$G$2:$G$2000,MATCH($A36,MASTER!$A$2:$A$2000,0))&amp;"","NOT IN MASTER")</f>
        <v>DONE</v>
      </c>
      <c r="G36" s="12" t="str">
        <f>IFERROR(INDEX(MASTER!$H$2:$H$2000,MATCH($A36,MASTER!$A$2:$A$2000,0))&amp;"","")</f>
        <v>docs/architecture/current-baseline.md; TESTING RUN-0006</v>
      </c>
      <c r="H36" s="12" t="str">
        <f>IFERROR(INDEX(MASTER!$I$2:$I$2000,MATCH($A36,MASTER!$A$2:$A$2000,0))&amp;"","")</f>
        <v>Playwright (Edge): 16 passed, 0 failed (67 s)</v>
      </c>
      <c r="I36" s="19">
        <f>IFERROR(IF(INDEX(MASTER!$O$2:$O$2000,MATCH($A36,MASTER!$A$2:$A$2000,0))="","",INDEX(MASTER!$O$2:$O$2000,MATCH($A36,MASTER!$A$2:$A$2000,0))),"")</f>
        <v>46292.171585648153</v>
      </c>
      <c r="J36" s="12" t="str">
        <f>IFERROR(INDEX(MASTER!$P$2:$P$2000,MATCH($A36,MASTER!$A$2:$A$2000,0))&amp;"","")</f>
        <v>4da4ecb</v>
      </c>
      <c r="K36" s="12" t="str">
        <f>IFERROR(INDEX(MASTER!$Q$2:$Q$2000,MATCH($A36,MASTER!$A$2:$A$2000,0))&amp;"","")</f>
        <v/>
      </c>
      <c r="L36" s="12" t="str">
        <f>IFERROR(INDEX(MASTER!$R$2:$R$2000,MATCH($A36,MASTER!$A$2:$A$2000,0))&amp;"","")</f>
        <v/>
      </c>
    </row>
    <row r="37" spans="1:12" x14ac:dyDescent="0.25">
      <c r="A37" s="15" t="s">
        <v>221</v>
      </c>
      <c r="B37" s="12" t="str">
        <f>IFERROR(INDEX(MASTER!$C$2:$C$2000,MATCH($A37,MASTER!$A$2:$A$2000,0))&amp;"","")</f>
        <v>TESTING</v>
      </c>
      <c r="C37" s="16">
        <f>IFERROR(INDEX(MASTER!$B$2:$B$2000,MATCH($A37,MASTER!$A$2:$A$2000,0)),"")</f>
        <v>0</v>
      </c>
      <c r="D37" s="12" t="str">
        <f>IFERROR(INDEX(MASTER!$D$2:$D$2000,MATCH($A37,MASTER!$A$2:$A$2000,0))&amp;"","")</f>
        <v>Baseline: migrations and database</v>
      </c>
      <c r="E37" s="12" t="str">
        <f>IFERROR(INDEX(MASTER!$F$2:$F$2000,MATCH($A37,MASTER!$A$2:$A$2000,0))&amp;"","")</f>
        <v>P0</v>
      </c>
      <c r="F37" s="12" t="str">
        <f>IFERROR(INDEX(MASTER!$G$2:$G$2000,MATCH($A37,MASTER!$A$2:$A$2000,0))&amp;"","NOT IN MASTER")</f>
        <v>DONE</v>
      </c>
      <c r="G37" s="12" t="str">
        <f>IFERROR(INDEX(MASTER!$H$2:$H$2000,MATCH($A37,MASTER!$A$2:$A$2000,0))&amp;"","")</f>
        <v>docs/architecture/current-baseline.md; TESTING RUN-0007, RUN-0008</v>
      </c>
      <c r="H37" s="12" t="str">
        <f>IFERROR(INDEX(MASTER!$I$2:$I$2000,MATCH($A37,MASTER!$A$2:$A$2000,0))&amp;"","")</f>
        <v>alembic upgrade/check/downgrade/upgrade on scratch SQLite; offline PostgreSQL SQL; Supabase list_migrations 8/8 + advisors</v>
      </c>
      <c r="I37" s="19">
        <f>IFERROR(IF(INDEX(MASTER!$O$2:$O$2000,MATCH($A37,MASTER!$A$2:$A$2000,0))="","",INDEX(MASTER!$O$2:$O$2000,MATCH($A37,MASTER!$A$2:$A$2000,0))),"")</f>
        <v>46292.171620370369</v>
      </c>
      <c r="J37" s="12" t="str">
        <f>IFERROR(INDEX(MASTER!$P$2:$P$2000,MATCH($A37,MASTER!$A$2:$A$2000,0))&amp;"","")</f>
        <v>4da4ecb</v>
      </c>
      <c r="K37" s="12" t="str">
        <f>IFERROR(INDEX(MASTER!$Q$2:$Q$2000,MATCH($A37,MASTER!$A$2:$A$2000,0))&amp;"","")</f>
        <v/>
      </c>
      <c r="L37" s="12" t="str">
        <f>IFERROR(INDEX(MASTER!$R$2:$R$2000,MATCH($A37,MASTER!$A$2:$A$2000,0))&amp;"","")</f>
        <v/>
      </c>
    </row>
    <row r="38" spans="1:12" x14ac:dyDescent="0.25">
      <c r="A38" s="15" t="s">
        <v>246</v>
      </c>
      <c r="B38" s="12" t="str">
        <f>IFERROR(INDEX(MASTER!$C$2:$C$2000,MATCH($A38,MASTER!$A$2:$A$2000,0))&amp;"","")</f>
        <v>DOCS</v>
      </c>
      <c r="C38" s="16">
        <f>IFERROR(INDEX(MASTER!$B$2:$B$2000,MATCH($A38,MASTER!$A$2:$A$2000,0)),"")</f>
        <v>0</v>
      </c>
      <c r="D38" s="12" t="str">
        <f>IFERROR(INDEX(MASTER!$D$2:$D$2000,MATCH($A38,MASTER!$A$2:$A$2000,0))&amp;"","")</f>
        <v>current-baseline.md</v>
      </c>
      <c r="E38" s="12" t="str">
        <f>IFERROR(INDEX(MASTER!$F$2:$F$2000,MATCH($A38,MASTER!$A$2:$A$2000,0))&amp;"","")</f>
        <v>P0</v>
      </c>
      <c r="F38" s="12" t="str">
        <f>IFERROR(INDEX(MASTER!$G$2:$G$2000,MATCH($A38,MASTER!$A$2:$A$2000,0))&amp;"","NOT IN MASTER")</f>
        <v>DONE</v>
      </c>
      <c r="G38" s="12" t="str">
        <f>IFERROR(INDEX(MASTER!$H$2:$H$2000,MATCH($A38,MASTER!$A$2:$A$2000,0))&amp;"","")</f>
        <v>docs/architecture/current-baseline.md</v>
      </c>
      <c r="H38" s="12" t="str">
        <f>IFERROR(INDEX(MASTER!$I$2:$I$2000,MATCH($A38,MASTER!$A$2:$A$2000,0))&amp;"","")</f>
        <v>Every figure taken from RUN-0001..RUN-0011 logs, Supabase MCP output and the audit's perf logs</v>
      </c>
      <c r="I38" s="19">
        <f>IFERROR(IF(INDEX(MASTER!$O$2:$O$2000,MATCH($A38,MASTER!$A$2:$A$2000,0))="","",INDEX(MASTER!$O$2:$O$2000,MATCH($A38,MASTER!$A$2:$A$2000,0))),"")</f>
        <v>46292.171770833331</v>
      </c>
      <c r="J38" s="12" t="str">
        <f>IFERROR(INDEX(MASTER!$P$2:$P$2000,MATCH($A38,MASTER!$A$2:$A$2000,0))&amp;"","")</f>
        <v>4da4ecb</v>
      </c>
      <c r="K38" s="12" t="str">
        <f>IFERROR(INDEX(MASTER!$Q$2:$Q$2000,MATCH($A38,MASTER!$A$2:$A$2000,0))&amp;"","")</f>
        <v/>
      </c>
      <c r="L38" s="12" t="str">
        <f>IFERROR(INDEX(MASTER!$R$2:$R$2000,MATCH($A38,MASTER!$A$2:$A$2000,0))&amp;"","")</f>
        <v/>
      </c>
    </row>
    <row r="39" spans="1:12" x14ac:dyDescent="0.25">
      <c r="A39" s="15" t="s">
        <v>252</v>
      </c>
      <c r="B39" s="12" t="str">
        <f>IFERROR(INDEX(MASTER!$C$2:$C$2000,MATCH($A39,MASTER!$A$2:$A$2000,0))&amp;"","")</f>
        <v>CORE</v>
      </c>
      <c r="C39" s="16">
        <f>IFERROR(INDEX(MASTER!$B$2:$B$2000,MATCH($A39,MASTER!$A$2:$A$2000,0)),"")</f>
        <v>1</v>
      </c>
      <c r="D39" s="12" t="str">
        <f>IFERROR(INDEX(MASTER!$D$2:$D$2000,MATCH($A39,MASTER!$A$2:$A$2000,0))&amp;"","")</f>
        <v>Nested block containers in the model</v>
      </c>
      <c r="E39" s="12" t="str">
        <f>IFERROR(INDEX(MASTER!$F$2:$F$2000,MATCH($A39,MASTER!$A$2:$A$2000,0))&amp;"","")</f>
        <v>P0</v>
      </c>
      <c r="F39" s="12" t="str">
        <f>IFERROR(INDEX(MASTER!$G$2:$G$2000,MATCH($A39,MASTER!$A$2:$A$2000,0))&amp;"","NOT IN MASTER")</f>
        <v>DONE</v>
      </c>
      <c r="G39" s="12" t="str">
        <f>IFERROR(INDEX(MASTER!$H$2:$H$2000,MATCH($A39,MASTER!$A$2:$A$2000,0))&amp;"","")</f>
        <v>backend/app/models/document.py: TableCell.blocks, ListItem.blocks, Element.children, Element.numbering (ListNumbering start/format), MAX_BLOCK_DEPTH=8 validator, child_blocks/walk_elements/inline_runs</v>
      </c>
      <c r="H39" s="12" t="str">
        <f>IFERROR(INDEX(MASTER!$I$2:$I$2000,MATCH($A39,MASTER!$A$2:$A$2000,0))&amp;"","")</f>
        <v>tests/test_document_nesting.py (9); full backend 659 passed</v>
      </c>
      <c r="I39" s="19">
        <f>IFERROR(IF(INDEX(MASTER!$O$2:$O$2000,MATCH($A39,MASTER!$A$2:$A$2000,0))="","",INDEX(MASTER!$O$2:$O$2000,MATCH($A39,MASTER!$A$2:$A$2000,0))),"")</f>
        <v>46292.196493055562</v>
      </c>
      <c r="J39" s="12" t="str">
        <f>IFERROR(INDEX(MASTER!$P$2:$P$2000,MATCH($A39,MASTER!$A$2:$A$2000,0))&amp;"","")</f>
        <v>1fe27a9</v>
      </c>
      <c r="K39" s="12" t="str">
        <f>IFERROR(INDEX(MASTER!$Q$2:$Q$2000,MATCH($A39,MASTER!$A$2:$A$2000,0))&amp;"","")</f>
        <v>Design: TableCell.blocks / ListItem.blocks / Element.children hold nested Elements (authoritative when set; inline keeps the plain text); Element.numbering {start, format}; nesting capped at MAX_BLOCK_DEPTH; walk_elements() for every consumer.</v>
      </c>
      <c r="L39" s="12" t="str">
        <f>IFERROR(INDEX(MASTER!$R$2:$R$2000,MATCH($A39,MASTER!$A$2:$A$2000,0))&amp;"","")</f>
        <v/>
      </c>
    </row>
    <row r="40" spans="1:12" x14ac:dyDescent="0.25">
      <c r="A40" s="15" t="s">
        <v>262</v>
      </c>
      <c r="B40" s="12" t="str">
        <f>IFERROR(INDEX(MASTER!$C$2:$C$2000,MATCH($A40,MASTER!$A$2:$A$2000,0))&amp;"","")</f>
        <v>CORE</v>
      </c>
      <c r="C40" s="16">
        <f>IFERROR(INDEX(MASTER!$B$2:$B$2000,MATCH($A40,MASTER!$A$2:$A$2000,0)),"")</f>
        <v>1</v>
      </c>
      <c r="D40" s="12" t="str">
        <f>IFERROR(INDEX(MASTER!$D$2:$D$2000,MATCH($A40,MASTER!$A$2:$A$2000,0))&amp;"","")</f>
        <v>OpenAPI + generated types for nested blocks</v>
      </c>
      <c r="E40" s="12" t="str">
        <f>IFERROR(INDEX(MASTER!$F$2:$F$2000,MATCH($A40,MASTER!$A$2:$A$2000,0))&amp;"","")</f>
        <v>P0</v>
      </c>
      <c r="F40" s="12" t="str">
        <f>IFERROR(INDEX(MASTER!$G$2:$G$2000,MATCH($A40,MASTER!$A$2:$A$2000,0))&amp;"","NOT IN MASTER")</f>
        <v>DONE</v>
      </c>
      <c r="G40" s="12" t="str">
        <f>IFERROR(INDEX(MASTER!$H$2:$H$2000,MATCH($A40,MASTER!$A$2:$A$2000,0))&amp;"","")</f>
        <v>frontend/types/generated/openapi.json + api.ts regenerated; types/document.ts exports ListNumbering/NumberFormat</v>
      </c>
      <c r="H40" s="12" t="str">
        <f>IFERROR(INDEX(MASTER!$I$2:$I$2000,MATCH($A40,MASTER!$A$2:$A$2000,0))&amp;"","")</f>
        <v>tests/test_openapi_contract.py; npx tsc --noEmit clean</v>
      </c>
      <c r="I40" s="19">
        <f>IFERROR(IF(INDEX(MASTER!$O$2:$O$2000,MATCH($A40,MASTER!$A$2:$A$2000,0))="","",INDEX(MASTER!$O$2:$O$2000,MATCH($A40,MASTER!$A$2:$A$2000,0))),"")</f>
        <v>46292.196527777778</v>
      </c>
      <c r="J40" s="12" t="str">
        <f>IFERROR(INDEX(MASTER!$P$2:$P$2000,MATCH($A40,MASTER!$A$2:$A$2000,0))&amp;"","")</f>
        <v>1fe27a9</v>
      </c>
      <c r="K40" s="12" t="str">
        <f>IFERROR(INDEX(MASTER!$Q$2:$Q$2000,MATCH($A40,MASTER!$A$2:$A$2000,0))&amp;"","")</f>
        <v/>
      </c>
      <c r="L40" s="12" t="str">
        <f>IFERROR(INDEX(MASTER!$R$2:$R$2000,MATCH($A40,MASTER!$A$2:$A$2000,0))&amp;"","")</f>
        <v>CORE-001</v>
      </c>
    </row>
    <row r="41" spans="1:12" x14ac:dyDescent="0.25">
      <c r="A41" s="15" t="s">
        <v>270</v>
      </c>
      <c r="B41" s="12" t="str">
        <f>IFERROR(INDEX(MASTER!$C$2:$C$2000,MATCH($A41,MASTER!$A$2:$A$2000,0))&amp;"","")</f>
        <v>CORE</v>
      </c>
      <c r="C41" s="16">
        <f>IFERROR(INDEX(MASTER!$B$2:$B$2000,MATCH($A41,MASTER!$A$2:$A$2000,0)),"")</f>
        <v>1</v>
      </c>
      <c r="D41" s="12" t="str">
        <f>IFERROR(INDEX(MASTER!$D$2:$D$2000,MATCH($A41,MASTER!$A$2:$A$2000,0))&amp;"","")</f>
        <v>Nested blocks through the backend</v>
      </c>
      <c r="E41" s="12" t="str">
        <f>IFERROR(INDEX(MASTER!$F$2:$F$2000,MATCH($A41,MASTER!$A$2:$A$2000,0))&amp;"","")</f>
        <v>P0</v>
      </c>
      <c r="F41" s="12" t="str">
        <f>IFERROR(INDEX(MASTER!$G$2:$G$2000,MATCH($A41,MASTER!$A$2:$A$2000,0))&amp;"","NOT IN MASTER")</f>
        <v>DONE</v>
      </c>
      <c r="G41" s="12" t="str">
        <f>IFERROR(INDEX(MASTER!$H$2:$H$2000,MATCH($A41,MASTER!$A$2:$A$2000,0))&amp;"","")</f>
        <v>services/image_assets.py (nested data: images validated and stored, junk removed and reported), services/document_service.py export_assets (walk_elements), formatting/health.py links via inline_runs; asset cleanup already scans the whole JSON</v>
      </c>
      <c r="H41" s="12" t="str">
        <f>IFERROR(INDEX(MASTER!$I$2:$I$2000,MATCH($A41,MASTER!$A$2:$A$2000,0))&amp;"","")</f>
        <v>tests/test_nested_blocks_api.py (stored as sent, asset once, junk removed, depth 422); tests/test_health.py nested links</v>
      </c>
      <c r="I41" s="19">
        <f>IFERROR(IF(INDEX(MASTER!$O$2:$O$2000,MATCH($A41,MASTER!$A$2:$A$2000,0))="","",INDEX(MASTER!$O$2:$O$2000,MATCH($A41,MASTER!$A$2:$A$2000,0))),"")</f>
        <v>46292.196562500001</v>
      </c>
      <c r="J41" s="12" t="str">
        <f>IFERROR(INDEX(MASTER!$P$2:$P$2000,MATCH($A41,MASTER!$A$2:$A$2000,0))&amp;"","")</f>
        <v>1fe27a9</v>
      </c>
      <c r="K41" s="12" t="str">
        <f>IFERROR(INDEX(MASTER!$Q$2:$Q$2000,MATCH($A41,MASTER!$A$2:$A$2000,0))&amp;"","")</f>
        <v/>
      </c>
      <c r="L41" s="12" t="str">
        <f>IFERROR(INDEX(MASTER!$R$2:$R$2000,MATCH($A41,MASTER!$A$2:$A$2000,0))&amp;"","")</f>
        <v>CORE-001</v>
      </c>
    </row>
    <row r="42" spans="1:12" x14ac:dyDescent="0.25">
      <c r="A42" s="15" t="s">
        <v>276</v>
      </c>
      <c r="B42" s="12" t="str">
        <f>IFERROR(INDEX(MASTER!$C$2:$C$2000,MATCH($A42,MASTER!$A$2:$A$2000,0))&amp;"","")</f>
        <v>EDITOR</v>
      </c>
      <c r="C42" s="16">
        <f>IFERROR(INDEX(MASTER!$B$2:$B$2000,MATCH($A42,MASTER!$A$2:$A$2000,0)),"")</f>
        <v>1</v>
      </c>
      <c r="D42" s="12" t="str">
        <f>IFERROR(INDEX(MASTER!$D$2:$D$2000,MATCH($A42,MASTER!$A$2:$A$2000,0))&amp;"","")</f>
        <v>Map nested blocks inside table cells</v>
      </c>
      <c r="E42" s="12" t="str">
        <f>IFERROR(INDEX(MASTER!$F$2:$F$2000,MATCH($A42,MASTER!$A$2:$A$2000,0))&amp;"","")</f>
        <v>P0</v>
      </c>
      <c r="F42" s="12" t="str">
        <f>IFERROR(INDEX(MASTER!$G$2:$G$2000,MATCH($A42,MASTER!$A$2:$A$2000,0))&amp;"","NOT IN MASTER")</f>
        <v>DONE</v>
      </c>
      <c r="G42" s="12" t="str">
        <f>IFERROR(INDEX(MASTER!$H$2:$H$2000,MATCH($A42,MASTER!$A$2:$A$2000,0))&amp;"","")</f>
        <v>frontend/editor/tiptapToDocument.ts, documentToTiptap.ts</v>
      </c>
      <c r="H42" s="12" t="str">
        <f>IFERROR(INDEX(MASTER!$I$2:$I$2000,MATCH($A42,MASTER!$A$2:$A$2000,0))&amp;"","")</f>
        <v>frontend/editor/nestedBlocks.test.ts (28; 26 fail against the pre-fix mapping); e2e/nested.spec.ts (Edge: paste, autosave, reload)</v>
      </c>
      <c r="I42" s="19">
        <f>IFERROR(IF(INDEX(MASTER!$O$2:$O$2000,MATCH($A42,MASTER!$A$2:$A$2000,0))="","",INDEX(MASTER!$O$2:$O$2000,MATCH($A42,MASTER!$A$2:$A$2000,0))),"")</f>
        <v>46292.196597222217</v>
      </c>
      <c r="J42" s="12" t="str">
        <f>IFERROR(INDEX(MASTER!$P$2:$P$2000,MATCH($A42,MASTER!$A$2:$A$2000,0))&amp;"","")</f>
        <v>1fe27a9</v>
      </c>
      <c r="K42" s="12" t="str">
        <f>IFERROR(INDEX(MASTER!$Q$2:$Q$2000,MATCH($A42,MASTER!$A$2:$A$2000,0))&amp;"","")</f>
        <v/>
      </c>
      <c r="L42" s="12" t="str">
        <f>IFERROR(INDEX(MASTER!$R$2:$R$2000,MATCH($A42,MASTER!$A$2:$A$2000,0))&amp;"","")</f>
        <v/>
      </c>
    </row>
    <row r="43" spans="1:12" x14ac:dyDescent="0.25">
      <c r="A43" s="15" t="s">
        <v>282</v>
      </c>
      <c r="B43" s="12" t="str">
        <f>IFERROR(INDEX(MASTER!$C$2:$C$2000,MATCH($A43,MASTER!$A$2:$A$2000,0))&amp;"","")</f>
        <v>EDITOR</v>
      </c>
      <c r="C43" s="16">
        <f>IFERROR(INDEX(MASTER!$B$2:$B$2000,MATCH($A43,MASTER!$A$2:$A$2000,0)),"")</f>
        <v>1</v>
      </c>
      <c r="D43" s="12" t="str">
        <f>IFERROR(INDEX(MASTER!$D$2:$D$2000,MATCH($A43,MASTER!$A$2:$A$2000,0))&amp;"","")</f>
        <v>Map blocks inside list items</v>
      </c>
      <c r="E43" s="12" t="str">
        <f>IFERROR(INDEX(MASTER!$F$2:$F$2000,MATCH($A43,MASTER!$A$2:$A$2000,0))&amp;"","")</f>
        <v>P0</v>
      </c>
      <c r="F43" s="12" t="str">
        <f>IFERROR(INDEX(MASTER!$G$2:$G$2000,MATCH($A43,MASTER!$A$2:$A$2000,0))&amp;"","NOT IN MASTER")</f>
        <v>DONE</v>
      </c>
      <c r="G43" s="12" t="str">
        <f>IFERROR(INDEX(MASTER!$H$2:$H$2000,MATCH($A43,MASTER!$A$2:$A$2000,0))&amp;"","")</f>
        <v>frontend/editor/tiptapToDocument.ts, documentToTiptap.ts</v>
      </c>
      <c r="H43" s="12" t="str">
        <f>IFERROR(INDEX(MASTER!$I$2:$I$2000,MATCH($A43,MASTER!$A$2:$A$2000,0))&amp;"","")</f>
        <v>frontend/editor/nestedBlocks.test.ts (28; 26 fail against the pre-fix mapping); e2e/nested.spec.ts (Edge: paste, autosave, reload)</v>
      </c>
      <c r="I43" s="19">
        <f>IFERROR(IF(INDEX(MASTER!$O$2:$O$2000,MATCH($A43,MASTER!$A$2:$A$2000,0))="","",INDEX(MASTER!$O$2:$O$2000,MATCH($A43,MASTER!$A$2:$A$2000,0))),"")</f>
        <v>46292.196643518517</v>
      </c>
      <c r="J43" s="12" t="str">
        <f>IFERROR(INDEX(MASTER!$P$2:$P$2000,MATCH($A43,MASTER!$A$2:$A$2000,0))&amp;"","")</f>
        <v>1fe27a9</v>
      </c>
      <c r="K43" s="12" t="str">
        <f>IFERROR(INDEX(MASTER!$Q$2:$Q$2000,MATCH($A43,MASTER!$A$2:$A$2000,0))&amp;"","")</f>
        <v/>
      </c>
      <c r="L43" s="12" t="str">
        <f>IFERROR(INDEX(MASTER!$R$2:$R$2000,MATCH($A43,MASTER!$A$2:$A$2000,0))&amp;"","")</f>
        <v/>
      </c>
    </row>
    <row r="44" spans="1:12" x14ac:dyDescent="0.25">
      <c r="A44" s="15" t="s">
        <v>285</v>
      </c>
      <c r="B44" s="12" t="str">
        <f>IFERROR(INDEX(MASTER!$C$2:$C$2000,MATCH($A44,MASTER!$A$2:$A$2000,0))&amp;"","")</f>
        <v>EDITOR</v>
      </c>
      <c r="C44" s="16">
        <f>IFERROR(INDEX(MASTER!$B$2:$B$2000,MATCH($A44,MASTER!$A$2:$A$2000,0)),"")</f>
        <v>1</v>
      </c>
      <c r="D44" s="12" t="str">
        <f>IFERROR(INDEX(MASTER!$D$2:$D$2000,MATCH($A44,MASTER!$A$2:$A$2000,0))&amp;"","")</f>
        <v>Map blocks inside quotes</v>
      </c>
      <c r="E44" s="12" t="str">
        <f>IFERROR(INDEX(MASTER!$F$2:$F$2000,MATCH($A44,MASTER!$A$2:$A$2000,0))&amp;"","")</f>
        <v>P0</v>
      </c>
      <c r="F44" s="12" t="str">
        <f>IFERROR(INDEX(MASTER!$G$2:$G$2000,MATCH($A44,MASTER!$A$2:$A$2000,0))&amp;"","NOT IN MASTER")</f>
        <v>DONE</v>
      </c>
      <c r="G44" s="12" t="str">
        <f>IFERROR(INDEX(MASTER!$H$2:$H$2000,MATCH($A44,MASTER!$A$2:$A$2000,0))&amp;"","")</f>
        <v>frontend/editor/tiptapToDocument.ts, documentToTiptap.ts</v>
      </c>
      <c r="H44" s="12" t="str">
        <f>IFERROR(INDEX(MASTER!$I$2:$I$2000,MATCH($A44,MASTER!$A$2:$A$2000,0))&amp;"","")</f>
        <v>frontend/editor/nestedBlocks.test.ts (28; 26 fail against the pre-fix mapping); e2e/nested.spec.ts (Edge: paste, autosave, reload)</v>
      </c>
      <c r="I44" s="19">
        <f>IFERROR(IF(INDEX(MASTER!$O$2:$O$2000,MATCH($A44,MASTER!$A$2:$A$2000,0))="","",INDEX(MASTER!$O$2:$O$2000,MATCH($A44,MASTER!$A$2:$A$2000,0))),"")</f>
        <v>46292.19667824074</v>
      </c>
      <c r="J44" s="12" t="str">
        <f>IFERROR(INDEX(MASTER!$P$2:$P$2000,MATCH($A44,MASTER!$A$2:$A$2000,0))&amp;"","")</f>
        <v>1fe27a9</v>
      </c>
      <c r="K44" s="12" t="str">
        <f>IFERROR(INDEX(MASTER!$Q$2:$Q$2000,MATCH($A44,MASTER!$A$2:$A$2000,0))&amp;"","")</f>
        <v/>
      </c>
      <c r="L44" s="12" t="str">
        <f>IFERROR(INDEX(MASTER!$R$2:$R$2000,MATCH($A44,MASTER!$A$2:$A$2000,0))&amp;"","")</f>
        <v/>
      </c>
    </row>
    <row r="45" spans="1:12" x14ac:dyDescent="0.25">
      <c r="A45" s="15" t="s">
        <v>288</v>
      </c>
      <c r="B45" s="12" t="str">
        <f>IFERROR(INDEX(MASTER!$C$2:$C$2000,MATCH($A45,MASTER!$A$2:$A$2000,0))&amp;"","")</f>
        <v>EDITOR</v>
      </c>
      <c r="C45" s="16">
        <f>IFERROR(INDEX(MASTER!$B$2:$B$2000,MATCH($A45,MASTER!$A$2:$A$2000,0)),"")</f>
        <v>1</v>
      </c>
      <c r="D45" s="12" t="str">
        <f>IFERROR(INDEX(MASTER!$D$2:$D$2000,MATCH($A45,MASTER!$A$2:$A$2000,0))&amp;"","")</f>
        <v>Render nested blocks back into the editor</v>
      </c>
      <c r="E45" s="12" t="str">
        <f>IFERROR(INDEX(MASTER!$F$2:$F$2000,MATCH($A45,MASTER!$A$2:$A$2000,0))&amp;"","")</f>
        <v>P0</v>
      </c>
      <c r="F45" s="12" t="str">
        <f>IFERROR(INDEX(MASTER!$G$2:$G$2000,MATCH($A45,MASTER!$A$2:$A$2000,0))&amp;"","NOT IN MASTER")</f>
        <v>DONE</v>
      </c>
      <c r="G45" s="12" t="str">
        <f>IFERROR(INDEX(MASTER!$H$2:$H$2000,MATCH($A45,MASTER!$A$2:$A$2000,0))&amp;"","")</f>
        <v>frontend/editor/tiptapToDocument.ts, documentToTiptap.ts</v>
      </c>
      <c r="H45" s="12" t="str">
        <f>IFERROR(INDEX(MASTER!$I$2:$I$2000,MATCH($A45,MASTER!$A$2:$A$2000,0))&amp;"","")</f>
        <v>frontend/editor/nestedBlocks.test.ts (28; 26 fail against the pre-fix mapping); e2e/nested.spec.ts (Edge: paste, autosave, reload)</v>
      </c>
      <c r="I45" s="19">
        <f>IFERROR(IF(INDEX(MASTER!$O$2:$O$2000,MATCH($A45,MASTER!$A$2:$A$2000,0))="","",INDEX(MASTER!$O$2:$O$2000,MATCH($A45,MASTER!$A$2:$A$2000,0))),"")</f>
        <v>46292.196712962963</v>
      </c>
      <c r="J45" s="12" t="str">
        <f>IFERROR(INDEX(MASTER!$P$2:$P$2000,MATCH($A45,MASTER!$A$2:$A$2000,0))&amp;"","")</f>
        <v>1fe27a9</v>
      </c>
      <c r="K45" s="12" t="str">
        <f>IFERROR(INDEX(MASTER!$Q$2:$Q$2000,MATCH($A45,MASTER!$A$2:$A$2000,0))&amp;"","")</f>
        <v/>
      </c>
      <c r="L45" s="12" t="str">
        <f>IFERROR(INDEX(MASTER!$R$2:$R$2000,MATCH($A45,MASTER!$A$2:$A$2000,0))&amp;"","")</f>
        <v/>
      </c>
    </row>
    <row r="46" spans="1:12" x14ac:dyDescent="0.25">
      <c r="A46" s="15" t="s">
        <v>292</v>
      </c>
      <c r="B46" s="12" t="str">
        <f>IFERROR(INDEX(MASTER!$C$2:$C$2000,MATCH($A46,MASTER!$A$2:$A$2000,0))&amp;"","")</f>
        <v>EDITOR</v>
      </c>
      <c r="C46" s="16">
        <f>IFERROR(INDEX(MASTER!$B$2:$B$2000,MATCH($A46,MASTER!$A$2:$A$2000,0)),"")</f>
        <v>1</v>
      </c>
      <c r="D46" s="12" t="str">
        <f>IFERROR(INDEX(MASTER!$D$2:$D$2000,MATCH($A46,MASTER!$A$2:$A$2000,0))&amp;"","")</f>
        <v>Save guard: never drop a node silently</v>
      </c>
      <c r="E46" s="12" t="str">
        <f>IFERROR(INDEX(MASTER!$F$2:$F$2000,MATCH($A46,MASTER!$A$2:$A$2000,0))&amp;"","")</f>
        <v>P0</v>
      </c>
      <c r="F46" s="12" t="str">
        <f>IFERROR(INDEX(MASTER!$G$2:$G$2000,MATCH($A46,MASTER!$A$2:$A$2000,0))&amp;"","NOT IN MASTER")</f>
        <v>DONE</v>
      </c>
      <c r="G46" s="12" t="str">
        <f>IFERROR(INDEX(MASTER!$H$2:$H$2000,MATCH($A46,MASTER!$A$2:$A$2000,0))&amp;"","")</f>
        <v>tiptapToDocument.ts UnsupportedContentError (unknown node/inline node/mark anywhere); useAutoSave 'unsupported' status (no request, message, beforeunload warning); EditorStatusBar message</v>
      </c>
      <c r="H46" s="12" t="str">
        <f>IFERROR(INDEX(MASTER!$I$2:$I$2000,MATCH($A46,MASTER!$A$2:$A$2000,0))&amp;"","")</f>
        <v>nestedBlocks.test.ts refusal cases + schema coverage; useAutoSave.test.tsx (no request, 'unsupported' status, message, saves again once fixed)</v>
      </c>
      <c r="I46" s="19">
        <f>IFERROR(IF(INDEX(MASTER!$O$2:$O$2000,MATCH($A46,MASTER!$A$2:$A$2000,0))="","",INDEX(MASTER!$O$2:$O$2000,MATCH($A46,MASTER!$A$2:$A$2000,0))),"")</f>
        <v>46292.196747685193</v>
      </c>
      <c r="J46" s="12" t="str">
        <f>IFERROR(INDEX(MASTER!$P$2:$P$2000,MATCH($A46,MASTER!$A$2:$A$2000,0))&amp;"","")</f>
        <v>1fe27a9</v>
      </c>
      <c r="K46" s="12" t="str">
        <f>IFERROR(INDEX(MASTER!$Q$2:$Q$2000,MATCH($A46,MASTER!$A$2:$A$2000,0))&amp;"","")</f>
        <v/>
      </c>
      <c r="L46" s="12" t="str">
        <f>IFERROR(INDEX(MASTER!$R$2:$R$2000,MATCH($A46,MASTER!$A$2:$A$2000,0))&amp;"","")</f>
        <v/>
      </c>
    </row>
    <row r="47" spans="1:12" x14ac:dyDescent="0.25">
      <c r="A47" s="15" t="s">
        <v>330</v>
      </c>
      <c r="B47" s="12" t="str">
        <f>IFERROR(INDEX(MASTER!$C$2:$C$2000,MATCH($A47,MASTER!$A$2:$A$2000,0))&amp;"","")</f>
        <v>EDITOR</v>
      </c>
      <c r="C47" s="16">
        <f>IFERROR(INDEX(MASTER!$B$2:$B$2000,MATCH($A47,MASTER!$A$2:$A$2000,0)),"")</f>
        <v>1</v>
      </c>
      <c r="D47" s="12" t="str">
        <f>IFERROR(INDEX(MASTER!$D$2:$D$2000,MATCH($A47,MASTER!$A$2:$A$2000,0))&amp;"","")</f>
        <v>Pasted rich HTML survives save</v>
      </c>
      <c r="E47" s="12" t="str">
        <f>IFERROR(INDEX(MASTER!$F$2:$F$2000,MATCH($A47,MASTER!$A$2:$A$2000,0))&amp;"","")</f>
        <v>P0</v>
      </c>
      <c r="F47" s="12" t="str">
        <f>IFERROR(INDEX(MASTER!$G$2:$G$2000,MATCH($A47,MASTER!$A$2:$A$2000,0))&amp;"","NOT IN MASTER")</f>
        <v>DONE</v>
      </c>
      <c r="G47" s="12" t="str">
        <f>IFERROR(INDEX(MASTER!$H$2:$H$2000,MATCH($A47,MASTER!$A$2:$A$2000,0))&amp;"","")</f>
        <v>frontend/e2e/nested.spec.ts: real paste event with text/html in Edge</v>
      </c>
      <c r="H47" s="12" t="str">
        <f>IFERROR(INDEX(MASTER!$I$2:$I$2000,MATCH($A47,MASTER!$A$2:$A$2000,0))&amp;"","")</f>
        <v>npx playwright test e2e/nested.spec.ts -&gt; 1 passed</v>
      </c>
      <c r="I47" s="19">
        <f>IFERROR(IF(INDEX(MASTER!$O$2:$O$2000,MATCH($A47,MASTER!$A$2:$A$2000,0))="","",INDEX(MASTER!$O$2:$O$2000,MATCH($A47,MASTER!$A$2:$A$2000,0))),"")</f>
        <v>46292.196782407409</v>
      </c>
      <c r="J47" s="12" t="str">
        <f>IFERROR(INDEX(MASTER!$P$2:$P$2000,MATCH($A47,MASTER!$A$2:$A$2000,0))&amp;"","")</f>
        <v>1fe27a9</v>
      </c>
      <c r="K47" s="12" t="str">
        <f>IFERROR(INDEX(MASTER!$Q$2:$Q$2000,MATCH($A47,MASTER!$A$2:$A$2000,0))&amp;"","")</f>
        <v/>
      </c>
      <c r="L47" s="12" t="str">
        <f>IFERROR(INDEX(MASTER!$R$2:$R$2000,MATCH($A47,MASTER!$A$2:$A$2000,0))&amp;"","")</f>
        <v/>
      </c>
    </row>
    <row r="48" spans="1:12" x14ac:dyDescent="0.25">
      <c r="A48" s="15" t="s">
        <v>341</v>
      </c>
      <c r="B48" s="12" t="str">
        <f>IFERROR(INDEX(MASTER!$C$2:$C$2000,MATCH($A48,MASTER!$A$2:$A$2000,0))&amp;"","")</f>
        <v>DOCX</v>
      </c>
      <c r="C48" s="16">
        <f>IFERROR(INDEX(MASTER!$B$2:$B$2000,MATCH($A48,MASTER!$A$2:$A$2000,0)),"")</f>
        <v>1</v>
      </c>
      <c r="D48" s="12" t="str">
        <f>IFERROR(INDEX(MASTER!$D$2:$D$2000,MATCH($A48,MASTER!$A$2:$A$2000,0))&amp;"","")</f>
        <v>DOCX export of nested blocks</v>
      </c>
      <c r="E48" s="12" t="str">
        <f>IFERROR(INDEX(MASTER!$F$2:$F$2000,MATCH($A48,MASTER!$A$2:$A$2000,0))&amp;"","")</f>
        <v>P0</v>
      </c>
      <c r="F48" s="12" t="str">
        <f>IFERROR(INDEX(MASTER!$G$2:$G$2000,MATCH($A48,MASTER!$A$2:$A$2000,0))&amp;"","NOT IN MASTER")</f>
        <v>DONE</v>
      </c>
      <c r="G48" s="12" t="str">
        <f>IFERROR(INDEX(MASTER!$H$2:$H$2000,MATCH($A48,MASTER!$A$2:$A$2000,0))&amp;"","")</f>
        <v>export/docx_export.py: adders write into a _Place (body or cell, indent, width); cells render their blocks; list item blocks under the item text; nested lists one level deeper with own numbering; quote children; numbering start/format via startOverride + per-level numFmt; picture alt text/title (docPr descr/title)</v>
      </c>
      <c r="H48" s="12" t="str">
        <f>IFERROR(INDEX(MASTER!$I$2:$I$2000,MATCH($A48,MASTER!$A$2:$A$2000,0))&amp;"","")</f>
        <v>tests/test_nested_blocks_api.py::test_the_word_export_keeps_every_nested_block, ::test_the_word_export_numbers_a_list_from_its_start_in_its_format; existing DOCX suites green</v>
      </c>
      <c r="I48" s="19">
        <f>IFERROR(IF(INDEX(MASTER!$O$2:$O$2000,MATCH($A48,MASTER!$A$2:$A$2000,0))="","",INDEX(MASTER!$O$2:$O$2000,MATCH($A48,MASTER!$A$2:$A$2000,0))),"")</f>
        <v>46292.196828703702</v>
      </c>
      <c r="J48" s="12" t="str">
        <f>IFERROR(INDEX(MASTER!$P$2:$P$2000,MATCH($A48,MASTER!$A$2:$A$2000,0))&amp;"","")</f>
        <v>1fe27a9</v>
      </c>
      <c r="K48" s="12" t="str">
        <f>IFERROR(INDEX(MASTER!$Q$2:$Q$2000,MATCH($A48,MASTER!$A$2:$A$2000,0))&amp;"","")</f>
        <v/>
      </c>
      <c r="L48" s="12" t="str">
        <f>IFERROR(INDEX(MASTER!$R$2:$R$2000,MATCH($A48,MASTER!$A$2:$A$2000,0))&amp;"","")</f>
        <v/>
      </c>
    </row>
    <row r="49" spans="1:12" x14ac:dyDescent="0.25">
      <c r="A49" s="15" t="s">
        <v>347</v>
      </c>
      <c r="B49" s="12" t="str">
        <f>IFERROR(INDEX(MASTER!$C$2:$C$2000,MATCH($A49,MASTER!$A$2:$A$2000,0))&amp;"","")</f>
        <v>PDF</v>
      </c>
      <c r="C49" s="16">
        <f>IFERROR(INDEX(MASTER!$B$2:$B$2000,MATCH($A49,MASTER!$A$2:$A$2000,0)),"")</f>
        <v>1</v>
      </c>
      <c r="D49" s="12" t="str">
        <f>IFERROR(INDEX(MASTER!$D$2:$D$2000,MATCH($A49,MASTER!$A$2:$A$2000,0))&amp;"","")</f>
        <v>PDF export of nested blocks</v>
      </c>
      <c r="E49" s="12" t="str">
        <f>IFERROR(INDEX(MASTER!$F$2:$F$2000,MATCH($A49,MASTER!$A$2:$A$2000,0))&amp;"","")</f>
        <v>P0</v>
      </c>
      <c r="F49" s="12" t="str">
        <f>IFERROR(INDEX(MASTER!$G$2:$G$2000,MATCH($A49,MASTER!$A$2:$A$2000,0))&amp;"","NOT IN MASTER")</f>
        <v>DONE</v>
      </c>
      <c r="G49" s="12" t="str">
        <f>IFERROR(INDEX(MASTER!$H$2:$H$2000,MATCH($A49,MASTER!$A$2:$A$2000,0))&amp;"","")</f>
        <v>export/pdf_export.py: cells with blocks become flowable lists sized to the cell; list item/quote blocks indented; numbering start/format with the same level sequence as the Word export (decimal, a, i)</v>
      </c>
      <c r="H49" s="12" t="str">
        <f>IFERROR(INDEX(MASTER!$I$2:$I$2000,MATCH($A49,MASTER!$A$2:$A$2000,0))&amp;"","")</f>
        <v>tests/test_nested_blocks_api.py::test_the_pdf_export_keeps_every_nested_block ('v. fifth', 'vi. sixth'); existing PDF suites green</v>
      </c>
      <c r="I49" s="19">
        <f>IFERROR(IF(INDEX(MASTER!$O$2:$O$2000,MATCH($A49,MASTER!$A$2:$A$2000,0))="","",INDEX(MASTER!$O$2:$O$2000,MATCH($A49,MASTER!$A$2:$A$2000,0))),"")</f>
        <v>46292.196863425917</v>
      </c>
      <c r="J49" s="12" t="str">
        <f>IFERROR(INDEX(MASTER!$P$2:$P$2000,MATCH($A49,MASTER!$A$2:$A$2000,0))&amp;"","")</f>
        <v>1fe27a9</v>
      </c>
      <c r="K49" s="12" t="str">
        <f>IFERROR(INDEX(MASTER!$Q$2:$Q$2000,MATCH($A49,MASTER!$A$2:$A$2000,0))&amp;"","")</f>
        <v/>
      </c>
      <c r="L49" s="12" t="str">
        <f>IFERROR(INDEX(MASTER!$R$2:$R$2000,MATCH($A49,MASTER!$A$2:$A$2000,0))&amp;"","")</f>
        <v/>
      </c>
    </row>
    <row r="50" spans="1:12" x14ac:dyDescent="0.25">
      <c r="A50" s="15" t="s">
        <v>352</v>
      </c>
      <c r="B50" s="12" t="str">
        <f>IFERROR(INDEX(MASTER!$C$2:$C$2000,MATCH($A50,MASTER!$A$2:$A$2000,0))&amp;"","")</f>
        <v>FIDELITY</v>
      </c>
      <c r="C50" s="16">
        <f>IFERROR(INDEX(MASTER!$B$2:$B$2000,MATCH($A50,MASTER!$A$2:$A$2000,0)),"")</f>
        <v>1</v>
      </c>
      <c r="D50" s="12" t="str">
        <f>IFERROR(INDEX(MASTER!$D$2:$D$2000,MATCH($A50,MASTER!$A$2:$A$2000,0))&amp;"","")</f>
        <v>Structured Document Fidelity Report</v>
      </c>
      <c r="E50" s="12" t="str">
        <f>IFERROR(INDEX(MASTER!$F$2:$F$2000,MATCH($A50,MASTER!$A$2:$A$2000,0))&amp;"","")</f>
        <v>P0</v>
      </c>
      <c r="F50" s="12" t="str">
        <f>IFERROR(INDEX(MASTER!$G$2:$G$2000,MATCH($A50,MASTER!$A$2:$A$2000,0))&amp;"","NOT IN MASTER")</f>
        <v>DONE</v>
      </c>
      <c r="G50" s="12" t="str">
        <f>IFERROR(INDEX(MASTER!$H$2:$H$2000,MATCH($A50,MASTER!$A$2:$A$2000,0))&amp;"","")</f>
        <v>backend/app/fidelity/{report,content,docx_source,text_sources,imports}.py; Document.importReport; ingestion_service attaches it for DOCX, PDF, .txt and paste</v>
      </c>
      <c r="H50" s="12" t="str">
        <f>IFERROR(INDEX(MASTER!$I$2:$I$2000,MATCH($A50,MASTER!$A$2:$A$2000,0))&amp;"","")</f>
        <v>tests/test_fidelity_report.py (29); calibration: 29 Word/golden fixtures verified except the genuine a03 heading-number change</v>
      </c>
      <c r="I50" s="19">
        <f>IFERROR(IF(INDEX(MASTER!$O$2:$O$2000,MATCH($A50,MASTER!$A$2:$A$2000,0))="","",INDEX(MASTER!$O$2:$O$2000,MATCH($A50,MASTER!$A$2:$A$2000,0))),"")</f>
        <v>46292.219282407408</v>
      </c>
      <c r="J50" s="12" t="str">
        <f>IFERROR(INDEX(MASTER!$P$2:$P$2000,MATCH($A50,MASTER!$A$2:$A$2000,0))&amp;"","")</f>
        <v>8a330be</v>
      </c>
      <c r="K50" s="12" t="str">
        <f>IFERROR(INDEX(MASTER!$Q$2:$Q$2000,MATCH($A50,MASTER!$A$2:$A$2000,0))&amp;"","")</f>
        <v/>
      </c>
      <c r="L50" s="12" t="str">
        <f>IFERROR(INDEX(MASTER!$R$2:$R$2000,MATCH($A50,MASTER!$A$2:$A$2000,0))&amp;"","")</f>
        <v/>
      </c>
    </row>
    <row r="51" spans="1:12" x14ac:dyDescent="0.25">
      <c r="A51" s="15" t="s">
        <v>358</v>
      </c>
      <c r="B51" s="12" t="str">
        <f>IFERROR(INDEX(MASTER!$C$2:$C$2000,MATCH($A51,MASTER!$A$2:$A$2000,0))&amp;"","")</f>
        <v>FIDELITY</v>
      </c>
      <c r="C51" s="16">
        <f>IFERROR(INDEX(MASTER!$B$2:$B$2000,MATCH($A51,MASTER!$A$2:$A$2000,0)),"")</f>
        <v>1</v>
      </c>
      <c r="D51" s="12" t="str">
        <f>IFERROR(INDEX(MASTER!$D$2:$D$2000,MATCH($A51,MASTER!$A$2:$A$2000,0))&amp;"","")</f>
        <v>Importer reports every detected change</v>
      </c>
      <c r="E51" s="12" t="str">
        <f>IFERROR(INDEX(MASTER!$F$2:$F$2000,MATCH($A51,MASTER!$A$2:$A$2000,0))&amp;"","")</f>
        <v>P0</v>
      </c>
      <c r="F51" s="12" t="str">
        <f>IFERROR(INDEX(MASTER!$G$2:$G$2000,MATCH($A51,MASTER!$A$2:$A$2000,0))&amp;"","NOT IN MASTER")</f>
        <v>DONE</v>
      </c>
      <c r="G51" s="12" t="str">
        <f>IFERROR(INDEX(MASTER!$H$2:$H$2000,MATCH($A51,MASTER!$A$2:$A$2000,0))&amp;"","")</f>
        <v>Importer names every change it makes without keeping: hidden text, caps, underline variants, content controls, custom properties + sensitivity labels (values never echoed), crop/rotation, table geometry, bullets in cells, RTL, autolinks, charts/SmartArt/shapes (app/fidelity/docx_detect.py on the file itself, with an example of the text); numbering labels/multi-level/empty items + numbered headings (parsers/docx.py); empty spacing paragraphs; links with unsafe addresses kept as text (docx_inline._safe); sections: page setup per section, odd/even breaks, page-number restarts/styles, page borders, line numbers, vertical alignment. Header/footer variants already caught by the header/footer word check.</v>
      </c>
      <c r="H51" s="12" t="str">
        <f>IFERROR(INDEX(MASTER!$I$2:$I$2000,MATCH($A51,MASTER!$A$2:$A$2000,0))&amp;"","")</f>
        <v>tests/test_docx_detect.py (9 tests), tests/test_docx_numbering.py (5), tests/test_capabilities.py (6), tests/test_fidelity_report.py; full backend 713 passed/1 skipped; Vitest 84 passed; tsc + eslint clean</v>
      </c>
      <c r="I51" s="19">
        <f>IFERROR(IF(INDEX(MASTER!$O$2:$O$2000,MATCH($A51,MASTER!$A$2:$A$2000,0))="","",INDEX(MASTER!$O$2:$O$2000,MATCH($A51,MASTER!$A$2:$A$2000,0))),"")</f>
        <v>46292.376377314817</v>
      </c>
      <c r="J51" s="12" t="str">
        <f>IFERROR(INDEX(MASTER!$P$2:$P$2000,MATCH($A51,MASTER!$A$2:$A$2000,0))&amp;"","")</f>
        <v>622d9c1</v>
      </c>
      <c r="K51" s="12" t="str">
        <f>IFERROR(INDEX(MASTER!$Q$2:$Q$2000,MATCH($A51,MASTER!$A$2:$A$2000,0))&amp;"","")</f>
        <v>Done: all existing importer notes structured; content check catches any word loss; header/footer text loss detected. Open: explicit detections for hidden text, caps, underline variants, numbering formats/continuation/start, sections, content controls, custom properties, dropped links, crop/rotation, table geometry, bullets in cells, empty paragraphs, autolinks, SmartArt/charts.</v>
      </c>
      <c r="L51" s="12" t="str">
        <f>IFERROR(INDEX(MASTER!$R$2:$R$2000,MATCH($A51,MASTER!$A$2:$A$2000,0))&amp;"","")</f>
        <v>FID-001</v>
      </c>
    </row>
    <row r="52" spans="1:12" x14ac:dyDescent="0.25">
      <c r="A52" s="15" t="s">
        <v>367</v>
      </c>
      <c r="B52" s="12" t="str">
        <f>IFERROR(INDEX(MASTER!$C$2:$C$2000,MATCH($A52,MASTER!$A$2:$A$2000,0))&amp;"","")</f>
        <v>FIDELITY</v>
      </c>
      <c r="C52" s="16">
        <f>IFERROR(INDEX(MASTER!$B$2:$B$2000,MATCH($A52,MASTER!$A$2:$A$2000,0)),"")</f>
        <v>1</v>
      </c>
      <c r="D52" s="12" t="str">
        <f>IFERROR(INDEX(MASTER!$D$2:$D$2000,MATCH($A52,MASTER!$A$2:$A$2000,0))&amp;"","")</f>
        <v>Export fidelity report</v>
      </c>
      <c r="E52" s="12" t="str">
        <f>IFERROR(INDEX(MASTER!$F$2:$F$2000,MATCH($A52,MASTER!$A$2:$A$2000,0))&amp;"","")</f>
        <v>P0</v>
      </c>
      <c r="F52" s="12" t="str">
        <f>IFERROR(INDEX(MASTER!$G$2:$G$2000,MATCH($A52,MASTER!$A$2:$A$2000,0))&amp;"","NOT IN MASTER")</f>
        <v>DONE</v>
      </c>
      <c r="G52" s="12" t="str">
        <f>IFERROR(INDEX(MASTER!$H$2:$H$2000,MATCH($A52,MASTER!$A$2:$A$2000,0))&amp;"","")</f>
        <v>backend/app/fidelity/exports.py (collecting/note, pdf_document_notes, export_report); docx_export/pdf_export record what they approximate or drop; export job result carries 'fidelity'; frontend ExportMenu ExportResult; PDF alt-text note</v>
      </c>
      <c r="H52" s="12" t="str">
        <f>IFERROR(INDEX(MASTER!$I$2:$I$2000,MATCH($A52,MASTER!$A$2:$A$2000,0))&amp;"","")</f>
        <v>tests/test_export_fidelity.py (6), tests/test_jobs.py; editor/ExportResult.test.tsx (4); e2e documents.spec.ts export test checks the message; calibration: DOCX export re-reads identically on 29 fixtures, PDF on all but a11-multilingual (genuine)</v>
      </c>
      <c r="I52" s="19">
        <f>IFERROR(IF(INDEX(MASTER!$O$2:$O$2000,MATCH($A52,MASTER!$A$2:$A$2000,0))="","",INDEX(MASTER!$O$2:$O$2000,MATCH($A52,MASTER!$A$2:$A$2000,0))),"")</f>
        <v>46292.351134259261</v>
      </c>
      <c r="J52" s="12" t="str">
        <f>IFERROR(INDEX(MASTER!$P$2:$P$2000,MATCH($A52,MASTER!$A$2:$A$2000,0))&amp;"","")</f>
        <v>e55412f</v>
      </c>
      <c r="K52" s="12" t="str">
        <f>IFERROR(INDEX(MASTER!$Q$2:$Q$2000,MATCH($A52,MASTER!$A$2:$A$2000,0))&amp;"","")</f>
        <v/>
      </c>
      <c r="L52" s="12" t="str">
        <f>IFERROR(INDEX(MASTER!$R$2:$R$2000,MATCH($A52,MASTER!$A$2:$A$2000,0))&amp;"","")</f>
        <v>FID-001</v>
      </c>
    </row>
    <row r="53" spans="1:12" x14ac:dyDescent="0.25">
      <c r="A53" s="15" t="s">
        <v>374</v>
      </c>
      <c r="B53" s="12" t="str">
        <f>IFERROR(INDEX(MASTER!$C$2:$C$2000,MATCH($A53,MASTER!$A$2:$A$2000,0))&amp;"","")</f>
        <v>FIDELITY</v>
      </c>
      <c r="C53" s="16">
        <f>IFERROR(INDEX(MASTER!$B$2:$B$2000,MATCH($A53,MASTER!$A$2:$A$2000,0)),"")</f>
        <v>1</v>
      </c>
      <c r="D53" s="12" t="str">
        <f>IFERROR(INDEX(MASTER!$D$2:$D$2000,MATCH($A53,MASTER!$A$2:$A$2000,0))&amp;"","")</f>
        <v>Content protection UI</v>
      </c>
      <c r="E53" s="12" t="str">
        <f>IFERROR(INDEX(MASTER!$F$2:$F$2000,MATCH($A53,MASTER!$A$2:$A$2000,0))&amp;"","")</f>
        <v>P0</v>
      </c>
      <c r="F53" s="12" t="str">
        <f>IFERROR(INDEX(MASTER!$G$2:$G$2000,MATCH($A53,MASTER!$A$2:$A$2000,0))&amp;"","NOT IN MASTER")</f>
        <v>DONE</v>
      </c>
      <c r="G53" s="12" t="str">
        <f>IFERROR(INDEX(MASTER!$H$2:$H$2000,MATCH($A53,MASTER!$A$2:$A$2000,0))&amp;"","")</f>
        <v>frontend/editor/panels/FidelityPanel.tsx (Проверка rail panel), EditorStatusBar import badge; 'No content changes' only when the words matched and no item lost content</v>
      </c>
      <c r="H53" s="12" t="str">
        <f>IFERROR(INDEX(MASTER!$I$2:$I$2000,MATCH($A53,MASTER!$A$2:$A$2000,0))&amp;"","")</f>
        <v>editor/panels/FidelityPanel.test.tsx (3); e2e/fidelity.spec.ts; checked in a throwaway stack with the audit's a03/a05 fixtures</v>
      </c>
      <c r="I53" s="19">
        <f>IFERROR(IF(INDEX(MASTER!$O$2:$O$2000,MATCH($A53,MASTER!$A$2:$A$2000,0))="","",INDEX(MASTER!$O$2:$O$2000,MATCH($A53,MASTER!$A$2:$A$2000,0))),"")</f>
        <v>46292.219317129631</v>
      </c>
      <c r="J53" s="12" t="str">
        <f>IFERROR(INDEX(MASTER!$P$2:$P$2000,MATCH($A53,MASTER!$A$2:$A$2000,0))&amp;"","")</f>
        <v>8a330be</v>
      </c>
      <c r="K53" s="12" t="str">
        <f>IFERROR(INDEX(MASTER!$Q$2:$Q$2000,MATCH($A53,MASTER!$A$2:$A$2000,0))&amp;"","")</f>
        <v/>
      </c>
      <c r="L53" s="12" t="str">
        <f>IFERROR(INDEX(MASTER!$R$2:$R$2000,MATCH($A53,MASTER!$A$2:$A$2000,0))&amp;"","")</f>
        <v>FID-001</v>
      </c>
    </row>
    <row r="54" spans="1:12" x14ac:dyDescent="0.25">
      <c r="A54" s="15" t="s">
        <v>379</v>
      </c>
      <c r="B54" s="12" t="str">
        <f>IFERROR(INDEX(MASTER!$C$2:$C$2000,MATCH($A54,MASTER!$A$2:$A$2000,0))&amp;"","")</f>
        <v>FIDELITY</v>
      </c>
      <c r="C54" s="16">
        <f>IFERROR(INDEX(MASTER!$B$2:$B$2000,MATCH($A54,MASTER!$A$2:$A$2000,0)),"")</f>
        <v>1</v>
      </c>
      <c r="D54" s="12" t="str">
        <f>IFERROR(INDEX(MASTER!$D$2:$D$2000,MATCH($A54,MASTER!$A$2:$A$2000,0))&amp;"","")</f>
        <v>Unsupported-feature policy classes</v>
      </c>
      <c r="E54" s="12" t="str">
        <f>IFERROR(INDEX(MASTER!$F$2:$F$2000,MATCH($A54,MASTER!$A$2:$A$2000,0))&amp;"","")</f>
        <v>P0</v>
      </c>
      <c r="F54" s="12" t="str">
        <f>IFERROR(INDEX(MASTER!$G$2:$G$2000,MATCH($A54,MASTER!$A$2:$A$2000,0))&amp;"","NOT IN MASTER")</f>
        <v>DONE</v>
      </c>
      <c r="G54" s="12" t="str">
        <f>IFERROR(INDEX(MASTER!$H$2:$H$2000,MATCH($A54,MASTER!$A$2:$A$2000,0))&amp;"","")</f>
        <v>app/fidelity/report.py FidelityPolicy (not_detected, detected_preserved, detected_not_editable, lossy, unsupported, blocked); every DOCX importer note classified (docx_inline.Notes, docx.py)</v>
      </c>
      <c r="H54" s="12" t="str">
        <f>IFERROR(INDEX(MASTER!$I$2:$I$2000,MATCH($A54,MASTER!$A$2:$A$2000,0))&amp;"","")</f>
        <v>tests/test_fidelity_report.py</v>
      </c>
      <c r="I54" s="19">
        <f>IFERROR(IF(INDEX(MASTER!$O$2:$O$2000,MATCH($A54,MASTER!$A$2:$A$2000,0))="","",INDEX(MASTER!$O$2:$O$2000,MATCH($A54,MASTER!$A$2:$A$2000,0))),"")</f>
        <v>46292.219351851847</v>
      </c>
      <c r="J54" s="12" t="str">
        <f>IFERROR(INDEX(MASTER!$P$2:$P$2000,MATCH($A54,MASTER!$A$2:$A$2000,0))&amp;"","")</f>
        <v>8a330be</v>
      </c>
      <c r="K54" s="12" t="str">
        <f>IFERROR(INDEX(MASTER!$Q$2:$Q$2000,MATCH($A54,MASTER!$A$2:$A$2000,0))&amp;"","")</f>
        <v/>
      </c>
      <c r="L54" s="12" t="str">
        <f>IFERROR(INDEX(MASTER!$R$2:$R$2000,MATCH($A54,MASTER!$A$2:$A$2000,0))&amp;"","")</f>
        <v>FID-001</v>
      </c>
    </row>
    <row r="55" spans="1:12" x14ac:dyDescent="0.25">
      <c r="A55" s="15" t="s">
        <v>393</v>
      </c>
      <c r="B55" s="12" t="str">
        <f>IFERROR(INDEX(MASTER!$C$2:$C$2000,MATCH($A55,MASTER!$A$2:$A$2000,0))&amp;"","")</f>
        <v>TESTING</v>
      </c>
      <c r="C55" s="16">
        <f>IFERROR(INDEX(MASTER!$B$2:$B$2000,MATCH($A55,MASTER!$A$2:$A$2000,0)),"")</f>
        <v>1</v>
      </c>
      <c r="D55" s="12" t="str">
        <f>IFERROR(INDEX(MASTER!$D$2:$D$2000,MATCH($A55,MASTER!$A$2:$A$2000,0))&amp;"","")</f>
        <v>Regression tests for nested structures</v>
      </c>
      <c r="E55" s="12" t="str">
        <f>IFERROR(INDEX(MASTER!$F$2:$F$2000,MATCH($A55,MASTER!$A$2:$A$2000,0))&amp;"","")</f>
        <v>P0</v>
      </c>
      <c r="F55" s="12" t="str">
        <f>IFERROR(INDEX(MASTER!$G$2:$G$2000,MATCH($A55,MASTER!$A$2:$A$2000,0))&amp;"","NOT IN MASTER")</f>
        <v>DONE</v>
      </c>
      <c r="G55" s="12" t="str">
        <f>IFERROR(INDEX(MASTER!$H$2:$H$2000,MATCH($A55,MASTER!$A$2:$A$2000,0))&amp;"","")</f>
        <v>Nested structures covered at every layer and green: model (tests/test_document_nesting.py), API + storage + exports (tests/test_nested_blocks_api.py), editor mapping both ways (frontend/editor/nestedBlocks.test.ts), paste -&gt; save -&gt; reload in a real browser (frontend/e2e/nested.spec.ts); plus the golden round trip (editorRoundTrip.test.ts) and direct formatting (directFormatting.test.ts, e2e/direct-formatting.spec.ts).</v>
      </c>
      <c r="H55" s="12" t="str">
        <f>IFERROR(INDEX(MASTER!$I$2:$I$2000,MATCH($A55,MASTER!$A$2:$A$2000,0))&amp;"","")</f>
        <v>backend 753 passed; Vitest 113; Playwright 19</v>
      </c>
      <c r="I55" s="19">
        <f>IFERROR(IF(INDEX(MASTER!$O$2:$O$2000,MATCH($A55,MASTER!$A$2:$A$2000,0))="","",INDEX(MASTER!$O$2:$O$2000,MATCH($A55,MASTER!$A$2:$A$2000,0))),"")</f>
        <v>46292.416215277779</v>
      </c>
      <c r="J55" s="12" t="str">
        <f>IFERROR(INDEX(MASTER!$P$2:$P$2000,MATCH($A55,MASTER!$A$2:$A$2000,0))&amp;"","")</f>
        <v>66bbdf1</v>
      </c>
      <c r="K55" s="12" t="str">
        <f>IFERROR(INDEX(MASTER!$Q$2:$Q$2000,MATCH($A55,MASTER!$A$2:$A$2000,0))&amp;"","")</f>
        <v/>
      </c>
      <c r="L55" s="12" t="str">
        <f>IFERROR(INDEX(MASTER!$R$2:$R$2000,MATCH($A55,MASTER!$A$2:$A$2000,0))&amp;"","")</f>
        <v/>
      </c>
    </row>
    <row r="56" spans="1:12" x14ac:dyDescent="0.25">
      <c r="A56" s="15" t="s">
        <v>412</v>
      </c>
      <c r="B56" s="12" t="str">
        <f>IFERROR(INDEX(MASTER!$C$2:$C$2000,MATCH($A56,MASTER!$A$2:$A$2000,0))&amp;"","")</f>
        <v>AI</v>
      </c>
      <c r="C56" s="16">
        <f>IFERROR(INDEX(MASTER!$B$2:$B$2000,MATCH($A56,MASTER!$A$2:$A$2000,0)),"")</f>
        <v>2</v>
      </c>
      <c r="D56" s="12" t="str">
        <f>IFERROR(INDEX(MASTER!$D$2:$D$2000,MATCH($A56,MASTER!$A$2:$A$2000,0))&amp;"","")</f>
        <v>Content fidelity comparator</v>
      </c>
      <c r="E56" s="12" t="str">
        <f>IFERROR(INDEX(MASTER!$F$2:$F$2000,MATCH($A56,MASTER!$A$2:$A$2000,0))&amp;"","")</f>
        <v>P0</v>
      </c>
      <c r="F56" s="12" t="str">
        <f>IFERROR(INDEX(MASTER!$G$2:$G$2000,MATCH($A56,MASTER!$A$2:$A$2000,0))&amp;"","NOT IN MASTER")</f>
        <v>DONE</v>
      </c>
      <c r="G56" s="12" t="str">
        <f>IFERROR(INDEX(MASTER!$H$2:$H$2000,MATCH($A56,MASTER!$A$2:$A$2000,0))&amp;"","")</f>
        <v>app/fidelity/text_check.py: check_text compares source and AI answer token by token in order (words; numbers with sign/decimals/separators/percent as one token; every punctuation mark); verified only when identical after removing what isn't content (spacing, typographic variants, table separators, list/heading marks at line starts). Differences classified number/unit/negation/sentence/duplicate/reordered/punctuation/words; moved runs paired by their words. Replaces the bag-of-words 20%-unknown check (AUD-02) that passed sentence deletions, 'not' removal and 5-&gt;50.</v>
      </c>
      <c r="H56" s="12" t="str">
        <f>IFERROR(INDEX(MASTER!$I$2:$I$2000,MATCH($A56,MASTER!$A$2:$A$2000,0))&amp;"","")</f>
        <v>tests/test_ai_fidelity.py (36)</v>
      </c>
      <c r="I56" s="19">
        <f>IFERROR(IF(INDEX(MASTER!$O$2:$O$2000,MATCH($A56,MASTER!$A$2:$A$2000,0))="","",INDEX(MASTER!$O$2:$O$2000,MATCH($A56,MASTER!$A$2:$A$2000,0))),"")</f>
        <v>46292.605937499997</v>
      </c>
      <c r="J56" s="12" t="str">
        <f>IFERROR(INDEX(MASTER!$P$2:$P$2000,MATCH($A56,MASTER!$A$2:$A$2000,0))&amp;"","")</f>
        <v>78f5c8f</v>
      </c>
      <c r="K56" s="12" t="str">
        <f>IFERROR(INDEX(MASTER!$Q$2:$Q$2000,MATCH($A56,MASTER!$A$2:$A$2000,0))&amp;"","")</f>
        <v>compare_words (app/fidelity/content.py): order/count/token-aware, numbers and negation caught, moved passages told apart; used by the import report. Phase 2: punctuation/structure awareness, use inside structure analysis.</v>
      </c>
      <c r="L56" s="12" t="str">
        <f>IFERROR(INDEX(MASTER!$R$2:$R$2000,MATCH($A56,MASTER!$A$2:$A$2000,0))&amp;"","")</f>
        <v/>
      </c>
    </row>
    <row r="57" spans="1:12" x14ac:dyDescent="0.25">
      <c r="A57" s="15" t="s">
        <v>421</v>
      </c>
      <c r="B57" s="12" t="str">
        <f>IFERROR(INDEX(MASTER!$C$2:$C$2000,MATCH($A57,MASTER!$A$2:$A$2000,0))&amp;"","")</f>
        <v>AI</v>
      </c>
      <c r="C57" s="16">
        <f>IFERROR(INDEX(MASTER!$B$2:$B$2000,MATCH($A57,MASTER!$A$2:$A$2000,0)),"")</f>
        <v>2</v>
      </c>
      <c r="D57" s="12" t="str">
        <f>IFERROR(INDEX(MASTER!$D$2:$D$2000,MATCH($A57,MASTER!$A$2:$A$2000,0))&amp;"","")</f>
        <v>Protected facts: numbers, units, percentages, dates, identifiers</v>
      </c>
      <c r="E57" s="12" t="str">
        <f>IFERROR(INDEX(MASTER!$F$2:$F$2000,MATCH($A57,MASTER!$A$2:$A$2000,0))&amp;"","")</f>
        <v>P0</v>
      </c>
      <c r="F57" s="12" t="str">
        <f>IFERROR(INDEX(MASTER!$G$2:$G$2000,MATCH($A57,MASTER!$A$2:$A$2000,0))&amp;"","NOT IN MASTER")</f>
        <v>DONE</v>
      </c>
      <c r="G57" s="12" t="str">
        <f>IFERROR(INDEX(MASTER!$H$2:$H$2000,MATCH($A57,MASTER!$A$2:$A$2000,0))&amp;"","")</f>
        <v>Numbers (amounts, percentages incl. decimal separator, dates, times, identifiers with digits) and units after a number are protected facts: a difference touching one is protected (TextDifference.protected; a reordered one isn't). Structure analysis refuses any change; text_check.changed_numbers(source, result) names lost/gained numbers where words may rightly differ (translation, requested rewording).</v>
      </c>
      <c r="H57" s="12" t="str">
        <f>IFERROR(INDEX(MASTER!$I$2:$I$2000,MATCH($A57,MASTER!$A$2:$A$2000,0))&amp;"","")</f>
        <v>tests/test_ai_fidelity.py (alteration cases with protected flags; test_numbers_are_facts_even_where_the_words_may_change)</v>
      </c>
      <c r="I57" s="19">
        <f>IFERROR(IF(INDEX(MASTER!$O$2:$O$2000,MATCH($A57,MASTER!$A$2:$A$2000,0))="","",INDEX(MASTER!$O$2:$O$2000,MATCH($A57,MASTER!$A$2:$A$2000,0))),"")</f>
        <v>46292.60597222222</v>
      </c>
      <c r="J57" s="12" t="str">
        <f>IFERROR(INDEX(MASTER!$P$2:$P$2000,MATCH($A57,MASTER!$A$2:$A$2000,0))&amp;"","")</f>
        <v>78f5c8f</v>
      </c>
      <c r="K57" s="12" t="str">
        <f>IFERROR(INDEX(MASTER!$Q$2:$Q$2000,MATCH($A57,MASTER!$A$2:$A$2000,0))&amp;"","")</f>
        <v>Translation (TRAN-*) and AI proposals (AI-006) use changed_numbers / protected.</v>
      </c>
      <c r="L57" s="12" t="str">
        <f>IFERROR(INDEX(MASTER!$R$2:$R$2000,MATCH($A57,MASTER!$A$2:$A$2000,0))&amp;"","")</f>
        <v>AI-001</v>
      </c>
    </row>
    <row r="58" spans="1:12" x14ac:dyDescent="0.25">
      <c r="A58" s="15" t="s">
        <v>427</v>
      </c>
      <c r="B58" s="12" t="str">
        <f>IFERROR(INDEX(MASTER!$C$2:$C$2000,MATCH($A58,MASTER!$A$2:$A$2000,0))&amp;"","")</f>
        <v>AI</v>
      </c>
      <c r="C58" s="16">
        <f>IFERROR(INDEX(MASTER!$B$2:$B$2000,MATCH($A58,MASTER!$A$2:$A$2000,0)),"")</f>
        <v>2</v>
      </c>
      <c r="D58" s="12" t="str">
        <f>IFERROR(INDEX(MASTER!$D$2:$D$2000,MATCH($A58,MASTER!$A$2:$A$2000,0))&amp;"","")</f>
        <v>Structure analysis uses the comparator</v>
      </c>
      <c r="E58" s="12" t="str">
        <f>IFERROR(INDEX(MASTER!$F$2:$F$2000,MATCH($A58,MASTER!$A$2:$A$2000,0))&amp;"","")</f>
        <v>P0</v>
      </c>
      <c r="F58" s="12" t="str">
        <f>IFERROR(INDEX(MASTER!$G$2:$G$2000,MATCH($A58,MASTER!$A$2:$A$2000,0))&amp;"","NOT IN MASTER")</f>
        <v>DONE</v>
      </c>
      <c r="G58" s="12" t="str">
        <f>IFERROR(INDEX(MASTER!$H$2:$H$2000,MATCH($A58,MASTER!$A$2:$A$2000,0))&amp;"","")</f>
        <v>structure_analysis.fidelity_check uses check_text on each piece (answer text one block/item/cell per line); a failing answer is retried once, then that piece alone is split into paragraphs by rules; the log gives the check's summary ('negation x1') and never text. The system prompt and retry reminder now say every word, number and punctuation mark must stay, only line-start list/heading marks may go.</v>
      </c>
      <c r="H58" s="12" t="str">
        <f>IFERROR(INDEX(MASTER!$I$2:$I$2000,MATCH($A58,MASTER!$A$2:$A$2000,0))&amp;"","")</f>
        <v>tests/test_ai_fidelity.py::test_an_answer_that_alters_the_text_never_reaches_the_document (13 cases), ::test_a_piece_that_alters_the_text_falls_back_alone, ::test_the_log_says_what_changed_never_the_text, tests/test_fidelity_report.py::test_an_ai_answer_that_drops_a_sentence_never_reaches_the_document</v>
      </c>
      <c r="I58" s="19">
        <f>IFERROR(IF(INDEX(MASTER!$O$2:$O$2000,MATCH($A58,MASTER!$A$2:$A$2000,0))="","",INDEX(MASTER!$O$2:$O$2000,MATCH($A58,MASTER!$A$2:$A$2000,0))),"")</f>
        <v>46292.60601851852</v>
      </c>
      <c r="J58" s="12" t="str">
        <f>IFERROR(INDEX(MASTER!$P$2:$P$2000,MATCH($A58,MASTER!$A$2:$A$2000,0))&amp;"","")</f>
        <v>78f5c8f</v>
      </c>
      <c r="K58" s="12" t="str">
        <f>IFERROR(INDEX(MASTER!$Q$2:$Q$2000,MATCH($A58,MASTER!$A$2:$A$2000,0))&amp;"","")</f>
        <v/>
      </c>
      <c r="L58" s="12" t="str">
        <f>IFERROR(INDEX(MASTER!$R$2:$R$2000,MATCH($A58,MASTER!$A$2:$A$2000,0))&amp;"","")</f>
        <v>AI-001</v>
      </c>
    </row>
    <row r="59" spans="1:12" x14ac:dyDescent="0.25">
      <c r="A59" s="15" t="s">
        <v>432</v>
      </c>
      <c r="B59" s="12" t="str">
        <f>IFERROR(INDEX(MASTER!$C$2:$C$2000,MATCH($A59,MASTER!$A$2:$A$2000,0))&amp;"","")</f>
        <v>AI</v>
      </c>
      <c r="C59" s="16">
        <f>IFERROR(INDEX(MASTER!$B$2:$B$2000,MATCH($A59,MASTER!$A$2:$A$2000,0)),"")</f>
        <v>2</v>
      </c>
      <c r="D59" s="12" t="str">
        <f>IFERROR(INDEX(MASTER!$D$2:$D$2000,MATCH($A59,MASTER!$A$2:$A$2000,0))&amp;"","")</f>
        <v>Adversarial fidelity tests</v>
      </c>
      <c r="E59" s="12" t="str">
        <f>IFERROR(INDEX(MASTER!$F$2:$F$2000,MATCH($A59,MASTER!$A$2:$A$2000,0))&amp;"","")</f>
        <v>P0</v>
      </c>
      <c r="F59" s="12" t="str">
        <f>IFERROR(INDEX(MASTER!$G$2:$G$2000,MATCH($A59,MASTER!$A$2:$A$2000,0))&amp;"","NOT IN MASTER")</f>
        <v>DONE</v>
      </c>
      <c r="G59" s="12" t="str">
        <f>IFERROR(INDEX(MASTER!$H$2:$H$2000,MATCH($A59,MASTER!$A$2:$A$2000,0))&amp;"","")</f>
        <v>Adversarial suite: sentence deletion, word deletion, 'not' removal (and Bulgarian 'не'), number, unit, percentage, decimal separator, date change, added sentence, reordered sentence, duplicated content, punctuation alteration, heading change - each caught with its category and protected flag, and each refused by structure analysis end to end; structure/typography variants pass.</v>
      </c>
      <c r="H59" s="12" t="str">
        <f>IFERROR(INDEX(MASTER!$I$2:$I$2000,MATCH($A59,MASTER!$A$2:$A$2000,0))&amp;"","")</f>
        <v>tests/test_ai_fidelity.py (36 passed); backend suite 789 passed</v>
      </c>
      <c r="I59" s="19">
        <f>IFERROR(IF(INDEX(MASTER!$O$2:$O$2000,MATCH($A59,MASTER!$A$2:$A$2000,0))="","",INDEX(MASTER!$O$2:$O$2000,MATCH($A59,MASTER!$A$2:$A$2000,0))),"")</f>
        <v>46292.606053240743</v>
      </c>
      <c r="J59" s="12" t="str">
        <f>IFERROR(INDEX(MASTER!$P$2:$P$2000,MATCH($A59,MASTER!$A$2:$A$2000,0))&amp;"","")</f>
        <v>78f5c8f</v>
      </c>
      <c r="K59" s="12" t="str">
        <f>IFERROR(INDEX(MASTER!$Q$2:$Q$2000,MATCH($A59,MASTER!$A$2:$A$2000,0))&amp;"","")</f>
        <v/>
      </c>
      <c r="L59" s="12" t="str">
        <f>IFERROR(INDEX(MASTER!$R$2:$R$2000,MATCH($A59,MASTER!$A$2:$A$2000,0))&amp;"","")</f>
        <v>AI-001</v>
      </c>
    </row>
    <row r="60" spans="1:12" x14ac:dyDescent="0.25">
      <c r="A60" s="15" t="s">
        <v>437</v>
      </c>
      <c r="B60" s="12" t="str">
        <f>IFERROR(INDEX(MASTER!$C$2:$C$2000,MATCH($A60,MASTER!$A$2:$A$2000,0))&amp;"","")</f>
        <v>AI</v>
      </c>
      <c r="C60" s="16">
        <f>IFERROR(INDEX(MASTER!$B$2:$B$2000,MATCH($A60,MASTER!$A$2:$A$2000,0)),"")</f>
        <v>2</v>
      </c>
      <c r="D60" s="12" t="str">
        <f>IFERROR(INDEX(MASTER!$D$2:$D$2000,MATCH($A60,MASTER!$A$2:$A$2000,0))&amp;"","")</f>
        <v>Classify AI operations</v>
      </c>
      <c r="E60" s="12" t="str">
        <f>IFERROR(INDEX(MASTER!$F$2:$F$2000,MATCH($A60,MASTER!$A$2:$A$2000,0))&amp;"","")</f>
        <v>P0</v>
      </c>
      <c r="F60" s="12" t="str">
        <f>IFERROR(INDEX(MASTER!$G$2:$G$2000,MATCH($A60,MASTER!$A$2:$A$2000,0))&amp;"","NOT IN MASTER")</f>
        <v>DONE</v>
      </c>
      <c r="G60" s="12" t="str">
        <f>IFERROR(INDEX(MASTER!$H$2:$H$2000,MATCH($A60,MASTER!$A$2:$A$2000,0))&amp;"","")</f>
        <v>formatting/proposals.py: classify() sorts instruction operations by what they touch - set_style FORMAT, add_page_break STRUCTURE, insert/delete/move CONTENT (unknown -&gt; CONTENT); split_operations() applies formatting/structure at once and routes content changes to proposals. Bug found and fixed on the way: apply_formatting rebuilt the rules after the operations and dropped a style an instruction set on one element ('Applied 1 change', nothing changed) - operations now apply after the formatting pass.</v>
      </c>
      <c r="H60" s="12" t="str">
        <f>IFERROR(INDEX(MASTER!$I$2:$I$2000,MATCH($A60,MASTER!$A$2:$A$2000,0))&amp;"","")</f>
        <v>tests/test_ai_proposals.py::test_operations_are_sorted_by_what_they_touch, ::test_a_style_an_instruction_sets_on_one_element_is_kept</v>
      </c>
      <c r="I60" s="19">
        <f>IFERROR(IF(INDEX(MASTER!$O$2:$O$2000,MATCH($A60,MASTER!$A$2:$A$2000,0))="","",INDEX(MASTER!$O$2:$O$2000,MATCH($A60,MASTER!$A$2:$A$2000,0))),"")</f>
        <v>46292.606504629628</v>
      </c>
      <c r="J60" s="12" t="str">
        <f>IFERROR(INDEX(MASTER!$P$2:$P$2000,MATCH($A60,MASTER!$A$2:$A$2000,0))&amp;"","")</f>
        <v>5f67f5a</v>
      </c>
      <c r="K60" s="12" t="str">
        <f>IFERROR(INDEX(MASTER!$Q$2:$Q$2000,MATCH($A60,MASTER!$A$2:$A$2000,0))&amp;"","")</f>
        <v/>
      </c>
      <c r="L60" s="12" t="str">
        <f>IFERROR(INDEX(MASTER!$R$2:$R$2000,MATCH($A60,MASTER!$A$2:$A$2000,0))&amp;"","")</f>
        <v/>
      </c>
    </row>
    <row r="61" spans="1:12" x14ac:dyDescent="0.25">
      <c r="A61" s="15" t="s">
        <v>444</v>
      </c>
      <c r="B61" s="12" t="str">
        <f>IFERROR(INDEX(MASTER!$C$2:$C$2000,MATCH($A61,MASTER!$A$2:$A$2000,0))&amp;"","")</f>
        <v>AI</v>
      </c>
      <c r="C61" s="16">
        <f>IFERROR(INDEX(MASTER!$B$2:$B$2000,MATCH($A61,MASTER!$A$2:$A$2000,0)),"")</f>
        <v>2</v>
      </c>
      <c r="D61" s="12" t="str">
        <f>IFERROR(INDEX(MASTER!$D$2:$D$2000,MATCH($A61,MASTER!$A$2:$A$2000,0))&amp;"","")</f>
        <v>PLAN -&gt; VALIDATE -&gt; PREVIEW -&gt; ACCEPT -&gt; APPLY</v>
      </c>
      <c r="E61" s="12" t="str">
        <f>IFERROR(INDEX(MASTER!$F$2:$F$2000,MATCH($A61,MASTER!$A$2:$A$2000,0))&amp;"","")</f>
        <v>P0</v>
      </c>
      <c r="F61" s="12" t="str">
        <f>IFERROR(INDEX(MASTER!$G$2:$G$2000,MATCH($A61,MASTER!$A$2:$A$2000,0))&amp;"","NOT IN MASTER")</f>
        <v>DONE</v>
      </c>
      <c r="G61" s="12" t="str">
        <f>IFERROR(INDEX(MASTER!$H$2:$H$2000,MATCH($A61,MASTER!$A$2:$A$2000,0))&amp;"","")</f>
        <v>Content-changing instruction operations are validated then stored as proposals with previews (before = text deleted/moved, after = text inserted, reason = instruction), never applied from the instruction; deduplicated; POST /documents/{id}/proposals/{p}/accept validates against the current document and applies as one undoable step (history 'AI proposal accepted'), 409 when it no longer fits; /reject drops it; proposals about removed blocks are pruned on save and after an accept. Format responses and job results carry proposalCount.</v>
      </c>
      <c r="H61" s="12" t="str">
        <f>IFERROR(INDEX(MASTER!$I$2:$I$2000,MATCH($A61,MASTER!$A$2:$A$2000,0))&amp;"","")</f>
        <v>tests/test_ai_proposals.py (8), frontend/e2e/proposals.spec.ts</v>
      </c>
      <c r="I61" s="19">
        <f>IFERROR(IF(INDEX(MASTER!$O$2:$O$2000,MATCH($A61,MASTER!$A$2:$A$2000,0))="","",INDEX(MASTER!$O$2:$O$2000,MATCH($A61,MASTER!$A$2:$A$2000,0))),"")</f>
        <v>46292.606585648151</v>
      </c>
      <c r="J61" s="12" t="str">
        <f>IFERROR(INDEX(MASTER!$P$2:$P$2000,MATCH($A61,MASTER!$A$2:$A$2000,0))&amp;"","")</f>
        <v>5f67f5a</v>
      </c>
      <c r="K61" s="12" t="str">
        <f>IFERROR(INDEX(MASTER!$Q$2:$Q$2000,MATCH($A61,MASTER!$A$2:$A$2000,0))&amp;"","")</f>
        <v/>
      </c>
      <c r="L61" s="12" t="str">
        <f>IFERROR(INDEX(MASTER!$R$2:$R$2000,MATCH($A61,MASTER!$A$2:$A$2000,0))&amp;"","")</f>
        <v>AI-005</v>
      </c>
    </row>
    <row r="62" spans="1:12" x14ac:dyDescent="0.25">
      <c r="A62" s="15" t="s">
        <v>451</v>
      </c>
      <c r="B62" s="12" t="str">
        <f>IFERROR(INDEX(MASTER!$C$2:$C$2000,MATCH($A62,MASTER!$A$2:$A$2000,0))&amp;"","")</f>
        <v>AI</v>
      </c>
      <c r="C62" s="16">
        <f>IFERROR(INDEX(MASTER!$B$2:$B$2000,MATCH($A62,MASTER!$A$2:$A$2000,0)),"")</f>
        <v>2</v>
      </c>
      <c r="D62" s="12" t="str">
        <f>IFERROR(INDEX(MASTER!$D$2:$D$2000,MATCH($A62,MASTER!$A$2:$A$2000,0))&amp;"","")</f>
        <v>Proposal review UI</v>
      </c>
      <c r="E62" s="12" t="str">
        <f>IFERROR(INDEX(MASTER!$F$2:$F$2000,MATCH($A62,MASTER!$A$2:$A$2000,0))&amp;"","")</f>
        <v>P0</v>
      </c>
      <c r="F62" s="12" t="str">
        <f>IFERROR(INDEX(MASTER!$G$2:$G$2000,MATCH($A62,MASTER!$A$2:$A$2000,0))&amp;"","NOT IN MASTER")</f>
        <v>DONE</v>
      </c>
      <c r="G62" s="12" t="str">
        <f>IFERROR(INDEX(MASTER!$H$2:$H$2000,MATCH($A62,MASTER!$A$2:$A$2000,0))&amp;"","")</f>
        <v>editor/panels/ProposalsList.tsx in the Instructions panel: each proposal with what it deletes (the block as it reads now, struck through), adds or moves and where, the instruction, Accept/Reject/Show; status bar 'N AI changes to review'; the notice after applying says what applied and what waits. E2E through a real browser with the scripted E2E AI (backend/scripts/e2e_ai.py).</v>
      </c>
      <c r="H62" s="12" t="str">
        <f>IFERROR(INDEX(MASTER!$I$2:$I$2000,MATCH($A62,MASTER!$A$2:$A$2000,0))&amp;"","")</f>
        <v>frontend/editor/panels/ProposalsList.test.tsx (4), frontend/e2e/proposals.spec.ts; Vitest 117, Playwright 20</v>
      </c>
      <c r="I62" s="19">
        <f>IFERROR(IF(INDEX(MASTER!$O$2:$O$2000,MATCH($A62,MASTER!$A$2:$A$2000,0))="","",INDEX(MASTER!$O$2:$O$2000,MATCH($A62,MASTER!$A$2:$A$2000,0))),"")</f>
        <v>46292.606620370367</v>
      </c>
      <c r="J62" s="12" t="str">
        <f>IFERROR(INDEX(MASTER!$P$2:$P$2000,MATCH($A62,MASTER!$A$2:$A$2000,0))&amp;"","")</f>
        <v>5f67f5a</v>
      </c>
      <c r="K62" s="12" t="str">
        <f>IFERROR(INDEX(MASTER!$Q$2:$Q$2000,MATCH($A62,MASTER!$A$2:$A$2000,0))&amp;"","")</f>
        <v/>
      </c>
      <c r="L62" s="12" t="str">
        <f>IFERROR(INDEX(MASTER!$R$2:$R$2000,MATCH($A62,MASTER!$A$2:$A$2000,0))&amp;"","")</f>
        <v>AI-006</v>
      </c>
    </row>
    <row r="63" spans="1:12" x14ac:dyDescent="0.25">
      <c r="A63" s="15" t="s">
        <v>468</v>
      </c>
      <c r="B63" s="12" t="str">
        <f>IFERROR(INDEX(MASTER!$C$2:$C$2000,MATCH($A63,MASTER!$A$2:$A$2000,0))&amp;"","")</f>
        <v>REVIEW</v>
      </c>
      <c r="C63" s="16">
        <f>IFERROR(INDEX(MASTER!$B$2:$B$2000,MATCH($A63,MASTER!$A$2:$A$2000,0)),"")</f>
        <v>2</v>
      </c>
      <c r="D63" s="12" t="str">
        <f>IFERROR(INDEX(MASTER!$D$2:$D$2000,MATCH($A63,MASTER!$A$2:$A$2000,0))&amp;"","")</f>
        <v>Change model</v>
      </c>
      <c r="E63" s="12" t="str">
        <f>IFERROR(INDEX(MASTER!$F$2:$F$2000,MATCH($A63,MASTER!$A$2:$A$2000,0))&amp;"","")</f>
        <v>P0</v>
      </c>
      <c r="F63" s="12" t="str">
        <f>IFERROR(INDEX(MASTER!$G$2:$G$2000,MATCH($A63,MASTER!$A$2:$A$2000,0))&amp;"","NOT IN MASTER")</f>
        <v>DONE</v>
      </c>
      <c r="G63" s="12" t="str">
        <f>IFERROR(INDEX(MASTER!$H$2:$H$2000,MATCH($A63,MASTER!$A$2:$A$2000,0))&amp;"","")</f>
        <v>models/document.py: ChangeCategory (format/structure/content/metadata/preservation/translation) and ProposedChange {id, type, category, elementId, afterElementId, elementType, property, before, after, reason, source, confidence, createdAt}; Document.proposals (&lt;=200); in the OpenAPI schema and generated types.</v>
      </c>
      <c r="H63" s="12" t="str">
        <f>IFERROR(INDEX(MASTER!$I$2:$I$2000,MATCH($A63,MASTER!$A$2:$A$2000,0))&amp;"","")</f>
        <v>tests/test_ai_proposals.py</v>
      </c>
      <c r="I63" s="19">
        <f>IFERROR(IF(INDEX(MASTER!$O$2:$O$2000,MATCH($A63,MASTER!$A$2:$A$2000,0))="","",INDEX(MASTER!$O$2:$O$2000,MATCH($A63,MASTER!$A$2:$A$2000,0))),"")</f>
        <v>46292.606539351851</v>
      </c>
      <c r="J63" s="12" t="str">
        <f>IFERROR(INDEX(MASTER!$P$2:$P$2000,MATCH($A63,MASTER!$A$2:$A$2000,0))&amp;"","")</f>
        <v>5f67f5a</v>
      </c>
      <c r="K63" s="12" t="str">
        <f>IFERROR(INDEX(MASTER!$Q$2:$Q$2000,MATCH($A63,MASTER!$A$2:$A$2000,0))&amp;"","")</f>
        <v/>
      </c>
      <c r="L63" s="12" t="str">
        <f>IFERROR(INDEX(MASTER!$R$2:$R$2000,MATCH($A63,MASTER!$A$2:$A$2000,0))&amp;"","")</f>
        <v/>
      </c>
    </row>
    <row r="64" spans="1:12" x14ac:dyDescent="0.25">
      <c r="A64" s="15" t="s">
        <v>477</v>
      </c>
      <c r="B64" s="12" t="str">
        <f>IFERROR(INDEX(MASTER!$C$2:$C$2000,MATCH($A64,MASTER!$A$2:$A$2000,0))&amp;"","")</f>
        <v>DOCX</v>
      </c>
      <c r="C64" s="16">
        <f>IFERROR(INDEX(MASTER!$B$2:$B$2000,MATCH($A64,MASTER!$A$2:$A$2000,0)),"")</f>
        <v>3</v>
      </c>
      <c r="D64" s="12" t="str">
        <f>IFERROR(INDEX(MASTER!$D$2:$D$2000,MATCH($A64,MASTER!$A$2:$A$2000,0))&amp;"","")</f>
        <v>Original package store</v>
      </c>
      <c r="E64" s="12" t="str">
        <f>IFERROR(INDEX(MASTER!$F$2:$F$2000,MATCH($A64,MASTER!$A$2:$A$2000,0))&amp;"","")</f>
        <v>P0</v>
      </c>
      <c r="F64" s="12" t="str">
        <f>IFERROR(INDEX(MASTER!$G$2:$G$2000,MATCH($A64,MASTER!$A$2:$A$2000,0))&amp;"","NOT IN MASTER")</f>
        <v>DONE</v>
      </c>
      <c r="G64" s="12" t="str">
        <f>IFERROR(INDEX(MASTER!$H$2:$H$2000,MATCH($A64,MASTER!$A$2:$A$2000,0))&amp;"","")</f>
        <v>An uploaded .docx is kept as it was: stored as a workspace asset on import (DocumentService.create source_docx) and referenced by Document.sourcePackage {assetId, sha256, size}; counted toward the plan's storage; served only to workspace members; checked by SHA-256 before use (source_package returns the problem when missing/altered); swept a day after the document is deleted.</v>
      </c>
      <c r="H64" s="12" t="str">
        <f>IFERROR(INDEX(MASTER!$I$2:$I$2000,MATCH($A64,MASTER!$A$2:$A$2000,0))&amp;"","")</f>
        <v>tests/test_source_package.py::test_the_imported_word_file_is_kept_as_it_was, ::test_a_stored_file_that_isnt_the_one_kept_is_not_used_and_the_export_says_so; tests/test_entitlements.py (storage counts the kept file)</v>
      </c>
      <c r="I64" s="19">
        <f>IFERROR(IF(INDEX(MASTER!$O$2:$O$2000,MATCH($A64,MASTER!$A$2:$A$2000,0))="","",INDEX(MASTER!$O$2:$O$2000,MATCH($A64,MASTER!$A$2:$A$2000,0))),"")</f>
        <v>46292.607546296298</v>
      </c>
      <c r="J64" s="12" t="str">
        <f>IFERROR(INDEX(MASTER!$P$2:$P$2000,MATCH($A64,MASTER!$A$2:$A$2000,0))&amp;"","")</f>
        <v>de23961</v>
      </c>
      <c r="K64" s="12" t="str">
        <f>IFERROR(INDEX(MASTER!$Q$2:$Q$2000,MATCH($A64,MASTER!$A$2:$A$2000,0))&amp;"","")</f>
        <v>Kept originals count toward plan storage (a Word file with a 1.2 MB picture uses ~2.4 MB: the picture asset + the file). Whether plans should exclude originals is Boril's pricing decision.</v>
      </c>
      <c r="L64" s="12" t="str">
        <f>IFERROR(INDEX(MASTER!$R$2:$R$2000,MATCH($A64,MASTER!$A$2:$A$2000,0))&amp;"","")</f>
        <v/>
      </c>
    </row>
    <row r="65" spans="1:12" x14ac:dyDescent="0.25">
      <c r="A65" s="15" t="s">
        <v>486</v>
      </c>
      <c r="B65" s="12" t="str">
        <f>IFERROR(INDEX(MASTER!$C$2:$C$2000,MATCH($A65,MASTER!$A$2:$A$2000,0))&amp;"","")</f>
        <v>DOCX</v>
      </c>
      <c r="C65" s="16">
        <f>IFERROR(INDEX(MASTER!$B$2:$B$2000,MATCH($A65,MASTER!$A$2:$A$2000,0)),"")</f>
        <v>3</v>
      </c>
      <c r="D65" s="12" t="str">
        <f>IFERROR(INDEX(MASTER!$D$2:$D$2000,MATCH($A65,MASTER!$A$2:$A$2000,0))&amp;"","")</f>
        <v>Patch-writer export for imported documents</v>
      </c>
      <c r="E65" s="12" t="str">
        <f>IFERROR(INDEX(MASTER!$F$2:$F$2000,MATCH($A65,MASTER!$A$2:$A$2000,0))&amp;"","")</f>
        <v>P0</v>
      </c>
      <c r="F65" s="12" t="str">
        <f>IFERROR(INDEX(MASTER!$G$2:$G$2000,MATCH($A65,MASTER!$A$2:$A$2000,0))&amp;"","NOT IN MASTER")</f>
        <v>DONE</v>
      </c>
      <c r="G65" s="12" t="str">
        <f>IFERROR(INDEX(MASTER!$H$2:$H$2000,MATCH($A65,MASTER!$A$2:$A$2000,0))&amp;"","")</f>
        <v>Word exports of imported documents are written into the original package: body replaced, the rest kept (styles rewritten only for kinds a template/instruction/person restyled; main header/footer rewritten only when changed in the app; page lengths within 0.02 cm left; old body's pictures/links/objects/charts relationships dropped; comments cleared and the kept ones re-added; missing built-in styles copied from the template without dangling references; comment styles defined). Fallback to a fresh build with export.docx.source_missing / source_unreadable. The import report says what the Word export keeps (with_source_kept): last section's header/footer variants, pictures, watermark, custom properties, sensitivity label, columns, own section properties -&gt; kept for export; earlier sections' still lost; PDF export notes export.pdf.word_only.</v>
      </c>
      <c r="H65" s="12" t="str">
        <f>IFERROR(INDEX(MASTER!$I$2:$I$2000,MATCH($A65,MASTER!$A$2:$A$2000,0))&amp;"","")</f>
        <v>tests/test_source_package.py (10), tests/test_package_check.py (13); backend suite</v>
      </c>
      <c r="I65" s="19">
        <f>IFERROR(IF(INDEX(MASTER!$O$2:$O$2000,MATCH($A65,MASTER!$A$2:$A$2000,0))="","",INDEX(MASTER!$O$2:$O$2000,MATCH($A65,MASTER!$A$2:$A$2000,0))),"")</f>
        <v>46292.607581018521</v>
      </c>
      <c r="J65" s="12" t="str">
        <f>IFERROR(INDEX(MASTER!$P$2:$P$2000,MATCH($A65,MASTER!$A$2:$A$2000,0))&amp;"","")</f>
        <v>de23961</v>
      </c>
      <c r="K65" s="12" t="str">
        <f>IFERROR(INDEX(MASTER!$Q$2:$Q$2000,MATCH($A65,MASTER!$A$2:$A$2000,0))&amp;"","")</f>
        <v>Package-level patch writer. Block-level preservation (unchanged blocks keep their original XML: fields, content controls, run-level features) is DOCX-028.</v>
      </c>
      <c r="L65" s="12" t="str">
        <f>IFERROR(INDEX(MASTER!$R$2:$R$2000,MATCH($A65,MASTER!$A$2:$A$2000,0))&amp;"","")</f>
        <v>DOCX-010</v>
      </c>
    </row>
    <row r="66" spans="1:12" x14ac:dyDescent="0.25">
      <c r="A66" s="15" t="s">
        <v>492</v>
      </c>
      <c r="B66" s="12" t="str">
        <f>IFERROR(INDEX(MASTER!$C$2:$C$2000,MATCH($A66,MASTER!$A$2:$A$2000,0))&amp;"","")</f>
        <v>DOCX</v>
      </c>
      <c r="C66" s="16">
        <f>IFERROR(INDEX(MASTER!$B$2:$B$2000,MATCH($A66,MASTER!$A$2:$A$2000,0)),"")</f>
        <v>3</v>
      </c>
      <c r="D66" s="12" t="str">
        <f>IFERROR(INDEX(MASTER!$D$2:$D$2000,MATCH($A66,MASTER!$A$2:$A$2000,0))&amp;"","")</f>
        <v>Metadata preserved and correct</v>
      </c>
      <c r="E66" s="12" t="str">
        <f>IFERROR(INDEX(MASTER!$F$2:$F$2000,MATCH($A66,MASTER!$A$2:$A$2000,0))&amp;"","")</f>
        <v>P0</v>
      </c>
      <c r="F66" s="12" t="str">
        <f>IFERROR(INDEX(MASTER!$G$2:$G$2000,MATCH($A66,MASTER!$A$2:$A$2000,0))&amp;"","NOT IN MASTER")</f>
        <v>DONE</v>
      </c>
      <c r="G66" s="12" t="str">
        <f>IFERROR(INDEX(MASTER!$H$2:$H$2000,MATCH($A66,MASTER!$A$2:$A$2000,0))&amp;"","")</f>
        <v>Core properties kept (sourceProperties, 622d9c1); custom properties, app properties and sensitivity labels now kept in Word exports via the original package (DOCX-011); never 'python-docx'; created from the source; reported without values.</v>
      </c>
      <c r="H66" s="12" t="str">
        <f>IFERROR(INDEX(MASTER!$I$2:$I$2000,MATCH($A66,MASTER!$A$2:$A$2000,0))&amp;"","")</f>
        <v>tests/test_docx_detect.py::test_the_files_own_properties_go_back_into_word_not_the_templates, tests/test_source_package.py::test_a_word_export_keeps_what_the_document_model_doesnt_hold</v>
      </c>
      <c r="I66" s="19">
        <f>IFERROR(IF(INDEX(MASTER!$O$2:$O$2000,MATCH($A66,MASTER!$A$2:$A$2000,0))="","",INDEX(MASTER!$O$2:$O$2000,MATCH($A66,MASTER!$A$2:$A$2000,0))),"")</f>
        <v>46292.607627314806</v>
      </c>
      <c r="J66" s="12" t="str">
        <f>IFERROR(INDEX(MASTER!$P$2:$P$2000,MATCH($A66,MASTER!$A$2:$A$2000,0))&amp;"","")</f>
        <v>de23961</v>
      </c>
      <c r="K66" s="12" t="str">
        <f>IFERROR(INDEX(MASTER!$Q$2:$Q$2000,MATCH($A66,MASTER!$A$2:$A$2000,0))&amp;"","")</f>
        <v>Done: the file's core properties (author, last modified by, created, modified, subject, keywords, description, category) are kept in DocumentMetadata.sourceProperties and written back to Word instead of python-docx's template ('python-docx', 2013); author/subject go into PDF metadata; pasted documents get the app's own title/created. Custom properties and sensitivity labels are reported (without their values), not kept - keeping them needs the original package store (DOCX-010).</v>
      </c>
      <c r="L66" s="12" t="str">
        <f>IFERROR(INDEX(MASTER!$R$2:$R$2000,MATCH($A66,MASTER!$A$2:$A$2000,0))&amp;"","")</f>
        <v/>
      </c>
    </row>
    <row r="67" spans="1:12" x14ac:dyDescent="0.25">
      <c r="A67" s="15" t="s">
        <v>499</v>
      </c>
      <c r="B67" s="12" t="str">
        <f>IFERROR(INDEX(MASTER!$C$2:$C$2000,MATCH($A67,MASTER!$A$2:$A$2000,0))&amp;"","")</f>
        <v>DOCX</v>
      </c>
      <c r="C67" s="16">
        <f>IFERROR(INDEX(MASTER!$B$2:$B$2000,MATCH($A67,MASTER!$A$2:$A$2000,0)),"")</f>
        <v>3</v>
      </c>
      <c r="D67" s="12" t="str">
        <f>IFERROR(INDEX(MASTER!$D$2:$D$2000,MATCH($A67,MASTER!$A$2:$A$2000,0))&amp;"","")</f>
        <v>Character formatting</v>
      </c>
      <c r="E67" s="12" t="str">
        <f>IFERROR(INDEX(MASTER!$F$2:$F$2000,MATCH($A67,MASTER!$A$2:$A$2000,0))&amp;"","")</f>
        <v>P0</v>
      </c>
      <c r="F67" s="12" t="str">
        <f>IFERROR(INDEX(MASTER!$G$2:$G$2000,MATCH($A67,MASTER!$A$2:$A$2000,0))&amp;"","NOT IN MASTER")</f>
        <v>DONE</v>
      </c>
      <c r="G67" s="12" t="str">
        <f>IFERROR(INDEX(MASTER!$H$2:$H$2000,MATCH($A67,MASTER!$A$2:$A$2000,0))&amp;"","")</f>
        <v>Part 1: Mark.lineStyle (underline double/thick/dotted/dashed/wavy, strike double) and textStyle caps/smallCaps/letterSpacingPt/baselineShiftPt, validated; importer resolves each as Word does (run, character style, paragraph style, defaults); Word's other underline styles map to the closest (LINE_STYLES) and only those are reported; runs that turn off their style's bold/italic/underline no longer show it (_release/_carry); editor global attributes with CSS and Word paste CSS; Word export in the schema's rPr order (_put_in_rpr, also fixes highlight/shd order); PDF draws double/thick lines, capitals, small capitals, raised/lowered text, notes spacing and dotted/dashed/wavy lines, and checks capitals as printed; golden 02 holds each.; Part 2: language kept (textStyle.lang where it isn't the document's own, through importer, editor lang attribute and Word export); character scale and text effects detected and, with the file kept, kept while unchanged; what rewritten blocks lose is named at export (FID-007); golden 02 includes a Bulgarian run.</v>
      </c>
      <c r="H67" s="12" t="str">
        <f>IFERROR(INDEX(MASTER!$I$2:$I$2000,MATCH($A67,MASTER!$A$2:$A$2000,0))&amp;"","")</f>
        <v>backend 888 passed/1 skipped (tests/test_character_formatting.py 12); Vitest 128 (editor/characterFormatting.test.ts 3, golden round trip of 02); Playwright 22; tsc + eslint clean; tests/test_copy_reports.py (6); frontend/editor/characterFormatting.test.ts (4); backend 894 passed/1 skipped; Vitest 129; Playwright 22</v>
      </c>
      <c r="I67" s="19">
        <f>IFERROR(IF(INDEX(MASTER!$O$2:$O$2000,MATCH($A67,MASTER!$A$2:$A$2000,0))="","",INDEX(MASTER!$O$2:$O$2000,MATCH($A67,MASTER!$A$2:$A$2000,0))),"")</f>
        <v>46292.818067129629</v>
      </c>
      <c r="J67" s="12" t="str">
        <f>IFERROR(INDEX(MASTER!$P$2:$P$2000,MATCH($A67,MASTER!$A$2:$A$2000,0))&amp;"","")</f>
        <v>d32c6a6</v>
      </c>
      <c r="K67" s="12" t="str">
        <f>IFERROR(INDEX(MASTER!$Q$2:$Q$2000,MATCH($A67,MASTER!$A$2:$A$2000,0))&amp;"","")</f>
        <v>Hidden text (listed here too) is done under DOCX-025.; Part 2 remaining: character scale, kerning, language/noProof, theme font/colour links, effects, emphasis marks - detect, 'kept while unchanged' with the source kept, and export.docx.rewritten_formatting for rewritten blocks.</v>
      </c>
      <c r="L67" s="12" t="str">
        <f>IFERROR(INDEX(MASTER!$R$2:$R$2000,MATCH($A67,MASTER!$A$2:$A$2000,0))&amp;"","")</f>
        <v/>
      </c>
    </row>
    <row r="68" spans="1:12" x14ac:dyDescent="0.25">
      <c r="A68" s="15" t="s">
        <v>514</v>
      </c>
      <c r="B68" s="12" t="str">
        <f>IFERROR(INDEX(MASTER!$C$2:$C$2000,MATCH($A68,MASTER!$A$2:$A$2000,0))&amp;"","")</f>
        <v>DOCX</v>
      </c>
      <c r="C68" s="16">
        <f>IFERROR(INDEX(MASTER!$B$2:$B$2000,MATCH($A68,MASTER!$A$2:$A$2000,0)),"")</f>
        <v>3</v>
      </c>
      <c r="D68" s="12" t="str">
        <f>IFERROR(INDEX(MASTER!$D$2:$D$2000,MATCH($A68,MASTER!$A$2:$A$2000,0))&amp;"","")</f>
        <v>Sections as a first-class concept</v>
      </c>
      <c r="E68" s="12" t="str">
        <f>IFERROR(INDEX(MASTER!$F$2:$F$2000,MATCH($A68,MASTER!$A$2:$A$2000,0))&amp;"","")</f>
        <v>P0</v>
      </c>
      <c r="F68" s="12" t="str">
        <f>IFERROR(INDEX(MASTER!$G$2:$G$2000,MATCH($A68,MASTER!$A$2:$A$2000,0))&amp;"","NOT IN MASTER")</f>
        <v>DONE</v>
      </c>
      <c r="G68" s="12" t="str">
        <f>IFERROR(INDEX(MASTER!$H$2:$H$2000,MATCH($A68,MASTER!$A$2:$A$2000,0))&amp;"","")</f>
        <v>Part 3b: each section's pages in the editor at their own size, orientation, margins and header/footer distances (editor/sectionPages.ts mirrors the PDF's _SectionPage.of; pagination.ts lays out page boxes per section - a page is the section's of the block that begins it, a blank page before an even/odd start the section before's - and moves a section's blocks to its page's text column by margin decorations over their own margins, tables' wrapper without; EditorCanvas draws each page centred on a desk as wide as the widest, headers/footers at their distances; the fit zoom fits the widest). Brief 24 is covered: breaks of every kind, orientation, size, margins, columns (kept in Word and PDF; shown in one column here, DOCX-015B), header/footer distances, first-page and even/odd headers, linked-to-previous, page-number restart; the last section's header no longer shows on every page. Follow-ups: DOCX-015A (a last section's custom paper size), DOCX-015B, DOCX-015C.</v>
      </c>
      <c r="H68" s="12" t="str">
        <f>IFERROR(INDEX(MASTER!$I$2:$I$2000,MATCH($A68,MASTER!$A$2:$A$2000,0))&amp;"","")</f>
        <v>frontend/editor/sectionPages.test.ts (5); frontend/e2e/section-headers.spec.ts (2: headers per page; a landscape section's wide page and text column); tests/test_sections.py (16); backend 937 passed/1 skipped; Vitest 144; Playwright 24</v>
      </c>
      <c r="I68" s="19">
        <f>IFERROR(IF(INDEX(MASTER!$O$2:$O$2000,MATCH($A68,MASTER!$A$2:$A$2000,0))="","",INDEX(MASTER!$O$2:$O$2000,MATCH($A68,MASTER!$A$2:$A$2000,0))),"")</f>
        <v>46294.65284722222</v>
      </c>
      <c r="J68" s="12" t="str">
        <f>IFERROR(INDEX(MASTER!$P$2:$P$2000,MATCH($A68,MASTER!$A$2:$A$2000,0))&amp;"","")</f>
        <v>633c1d6</v>
      </c>
      <c r="K68" s="12" t="str">
        <f>IFERROR(INDEX(MASTER!$Q$2:$Q$2000,MATCH($A68,MASTER!$A$2:$A$2000,0))&amp;"","")</f>
        <v>Fixed: a section's w:type describes how THAT section starts (ECMA-376 17.6.22) - the importer used the ending section's own type, so a continuous break became a page break and continuous-&gt;new-page put the break between the wrong sections (probe confirmed). Now the next section's type decides. Per-section differences are reported (FID-002). Remaining: sections as a first-class model concept (orientation/margins/columns/headers per section, page-number restart) and export of several sections.; With DOCX-011 the last section's properties (columns, page numbering, borders, line numbers, vertical alignment, header/footer variants) are kept in Word exports; earlier sections' are still reported lost.; DOCX-028: earlier sections now survive in Word exports while their ending paragraph is unchanged; page setup/header/page-number changes apply to them; a lost one is reported (export.docx.section_lost). Modelling sections is still this task.</v>
      </c>
      <c r="L68" s="12" t="str">
        <f>IFERROR(INDEX(MASTER!$R$2:$R$2000,MATCH($A68,MASTER!$A$2:$A$2000,0))&amp;"","")</f>
        <v/>
      </c>
    </row>
    <row r="69" spans="1:12" x14ac:dyDescent="0.25">
      <c r="A69" s="15" t="s">
        <v>540</v>
      </c>
      <c r="B69" s="12" t="str">
        <f>IFERROR(INDEX(MASTER!$C$2:$C$2000,MATCH($A69,MASTER!$A$2:$A$2000,0))&amp;"","")</f>
        <v>DOCX</v>
      </c>
      <c r="C69" s="16">
        <f>IFERROR(INDEX(MASTER!$B$2:$B$2000,MATCH($A69,MASTER!$A$2:$A$2000,0)),"")</f>
        <v>3</v>
      </c>
      <c r="D69" s="12" t="str">
        <f>IFERROR(INDEX(MASTER!$D$2:$D$2000,MATCH($A69,MASTER!$A$2:$A$2000,0))&amp;"","")</f>
        <v>Numbering engine</v>
      </c>
      <c r="E69" s="12" t="str">
        <f>IFERROR(INDEX(MASTER!$F$2:$F$2000,MATCH($A69,MASTER!$A$2:$A$2000,0))&amp;"","")</f>
        <v>P0</v>
      </c>
      <c r="F69" s="12" t="str">
        <f>IFERROR(INDEX(MASTER!$G$2:$G$2000,MATCH($A69,MASTER!$A$2:$A$2000,0))&amp;"","NOT IN MASTER")</f>
        <v>DONE</v>
      </c>
      <c r="G69" s="12" t="str">
        <f>IFERROR(INDEX(MASTER!$H$2:$H$2000,MATCH($A69,MASTER!$A$2:$A$2000,0))&amp;"","")</f>
        <v>Part 3: the editor shows each item's label as Word and both exports number it (editor/listLabels.ts mirrors list_numbering.py: formatListNumber, levelLabel, Counters, listLevels, itemLabel; a decoration plugin sets data-label per item, nested lists counting as deeper levels where they nest as levels, and a list's own indents; CSS draws the label before the text, nested levels without a gap); page numbers use the same formatter. The 'shown here for now' notes are gone: only number styles the app doesn't have are reported. Brief 25 covered: decimal, roman, alpha, bullets, own labels (prefixes/suffixes), start, restart, continuation (across instances and sections), multilevel, numId/abstractNum/ilvl, indentation; fixtures 1/2/3/5 levels, custom, restart, continuation across sections (15-numbering.docx). Follow-ups DOCX-016A (numbered headings), DOCX-016B (more number styles).</v>
      </c>
      <c r="H69" s="12" t="str">
        <f>IFERROR(INDEX(MASTER!$I$2:$I$2000,MATCH($A69,MASTER!$A$2:$A$2000,0))&amp;"","")</f>
        <v>frontend/editor/listLabels.test.ts (4); frontend/e2e/list-labels.spec.ts; tests/test_docx_numbering.py (15); tests/test_golden_documents.py::test_15_numbering; backend 953 passed/1 skipped; Vitest 152; Playwright 25 (visual baseline updated: nested lists close up)</v>
      </c>
      <c r="I69" s="19">
        <f>IFERROR(IF(INDEX(MASTER!$O$2:$O$2000,MATCH($A69,MASTER!$A$2:$A$2000,0))="","",INDEX(MASTER!$O$2:$O$2000,MATCH($A69,MASTER!$A$2:$A$2000,0))),"")</f>
        <v>46294.696053240739</v>
      </c>
      <c r="J69" s="12" t="str">
        <f>IFERROR(INDEX(MASTER!$P$2:$P$2000,MATCH($A69,MASTER!$A$2:$A$2000,0))&amp;"","")</f>
        <v>bcdc9af</v>
      </c>
      <c r="K69" s="12" t="str">
        <f>IFERROR(INDEX(MASTER!$Q$2:$Q$2000,MATCH($A69,MASTER!$A$2:$A$2000,0))&amp;"","")</f>
        <v>Done so far: top-level list number format (decimal/roman/letters), start value (lvl start + lvlOverride/startOverride) and continuation across interrupting paragraphs imported into Element.numbering and written back to Word (per-level formats, startOverride) and PDF; empty numbered items keep counting. Reported, not kept: custom labels ('Чл. 1.', '(a)'), multi-level labels ('1.1'), numbered headings baked into text. Remaining: prefixes/suffixes, multilevel numbering model, restart semantics per level, indentation.</v>
      </c>
      <c r="L69" s="12" t="str">
        <f>IFERROR(INDEX(MASTER!$R$2:$R$2000,MATCH($A69,MASTER!$A$2:$A$2000,0))&amp;"","")</f>
        <v/>
      </c>
    </row>
    <row r="70" spans="1:12" x14ac:dyDescent="0.25">
      <c r="A70" s="15" t="s">
        <v>568</v>
      </c>
      <c r="B70" s="12" t="str">
        <f>IFERROR(INDEX(MASTER!$C$2:$C$2000,MATCH($A70,MASTER!$A$2:$A$2000,0))&amp;"","")</f>
        <v>DOCX</v>
      </c>
      <c r="C70" s="16">
        <f>IFERROR(INDEX(MASTER!$B$2:$B$2000,MATCH($A70,MASTER!$A$2:$A$2000,0)),"")</f>
        <v>3</v>
      </c>
      <c r="D70" s="12" t="str">
        <f>IFERROR(INDEX(MASTER!$D$2:$D$2000,MATCH($A70,MASTER!$A$2:$A$2000,0))&amp;"","")</f>
        <v>Table engine</v>
      </c>
      <c r="E70" s="12" t="str">
        <f>IFERROR(INDEX(MASTER!$F$2:$F$2000,MATCH($A70,MASTER!$A$2:$A$2000,0))&amp;"","")</f>
        <v>P0</v>
      </c>
      <c r="F70" s="12" t="str">
        <f>IFERROR(INDEX(MASTER!$G$2:$G$2000,MATCH($A70,MASTER!$A$2:$A$2000,0))&amp;"","NOT IN MASTER")</f>
        <v>DONE</v>
      </c>
      <c r="G70" s="12" t="str">
        <f>IFERROR(INDEX(MASTER!$H$2:$H$2000,MATCH($A70,MASTER!$A$2:$A$2000,0))&amp;"","")</f>
        <v>Part 1b: a Word cell's contents as blocks (paragraphs, lists numbered as Word does, pictures, nested tables read recursively without lifting their look), a single plain paragraph stays the cell's text; floating tables (TableFloat from tblpPr) and rows kept whole (cantSplit) kept and written back; the Word export no longer adds empty paragraphs after tables in cells. Brief 26 covered: rows, columns, header rows only from evidence, merges, colspan/rowspan, cell widths (grid), row heights, cell margins, borders, shading, alignment (column and cell), vertical alignment, nested tables, repeated header rows, table styles (resolved; by-position colours reported, DOCX-017A), captions, wrapping (kept for Word, reported, DOCX-017B); no forced Table Grid or header.</v>
      </c>
      <c r="H70" s="12" t="str">
        <f>IFERROR(INDEX(MASTER!$I$2:$I$2000,MATCH($A70,MASTER!$A$2:$A$2000,0))&amp;"","")</f>
        <v>tests/test_docx_tables.py (9); tests/test_golden_documents.py::test_16_table_engine and the golden round trips (signature with tables' geometry); tests/test_docx_parser.py::test_a_picture_in_a_table_cell_is_kept_as_the_cells_block; frontend/editor/tableLook.test.ts (4); frontend/e2e/tables.spec.ts; backend 968 passed/1 skipped; Vitest 158; Playwright 26</v>
      </c>
      <c r="I70" s="19">
        <f>IFERROR(IF(INDEX(MASTER!$O$2:$O$2000,MATCH($A70,MASTER!$A$2:$A$2000,0))="","",INDEX(MASTER!$O$2:$O$2000,MATCH($A70,MASTER!$A$2:$A$2000,0))),"")</f>
        <v>46294.923842592587</v>
      </c>
      <c r="J70" s="12" t="str">
        <f>IFERROR(INDEX(MASTER!$P$2:$P$2000,MATCH($A70,MASTER!$A$2:$A$2000,0))&amp;"","")</f>
        <v>62e7957</v>
      </c>
      <c r="K70" s="12" t="str">
        <f>IFERROR(INDEX(MASTER!$Q$2:$Q$2000,MATCH($A70,MASTER!$A$2:$A$2000,0))&amp;"","")</f>
        <v>From EDIT-011 (2026-09-27): add per-cell alignment and column widths to the model (the editor's cell align/colwidth, Word tcW/tblGrid, PDF colWidths); until then the editor names them as not kept.</v>
      </c>
      <c r="L70" s="12" t="str">
        <f>IFERROR(INDEX(MASTER!$R$2:$R$2000,MATCH($A70,MASTER!$A$2:$A$2000,0))&amp;"","")</f>
        <v/>
      </c>
    </row>
    <row r="71" spans="1:12" x14ac:dyDescent="0.25">
      <c r="A71" s="15" t="s">
        <v>588</v>
      </c>
      <c r="B71" s="12" t="str">
        <f>IFERROR(INDEX(MASTER!$C$2:$C$2000,MATCH($A71,MASTER!$A$2:$A$2000,0))&amp;"","")</f>
        <v>DOCX</v>
      </c>
      <c r="C71" s="16">
        <f>IFERROR(INDEX(MASTER!$B$2:$B$2000,MATCH($A71,MASTER!$A$2:$A$2000,0)),"")</f>
        <v>3</v>
      </c>
      <c r="D71" s="12" t="str">
        <f>IFERROR(INDEX(MASTER!$D$2:$D$2000,MATCH($A71,MASTER!$A$2:$A$2000,0))&amp;"","")</f>
        <v>Images</v>
      </c>
      <c r="E71" s="12" t="str">
        <f>IFERROR(INDEX(MASTER!$F$2:$F$2000,MATCH($A71,MASTER!$A$2:$A$2000,0))&amp;"","")</f>
        <v>P0</v>
      </c>
      <c r="F71" s="12" t="str">
        <f>IFERROR(INDEX(MASTER!$G$2:$G$2000,MATCH($A71,MASTER!$A$2:$A$2000,0))&amp;"","NOT IN MASTER")</f>
        <v>DONE</v>
      </c>
      <c r="G71" s="12" t="str">
        <f>IFERROR(INDEX(MASTER!$H$2:$H$2000,MATCH($A71,MASTER!$A$2:$A$2000,0))&amp;"","")</f>
        <v>ImageContent keeps mime, name, alt/title, widthCm/heightCm (wp:extent), crop (ImageCrop from a:srcRect), rotation and flips (a:xfrm), and a floating picture's placement (ImagePlacement from wp:anchor: wrap, positionH/V from/align/offset, distances, allowOverlap, layoutInCell) - parsers/docx_pictures.py::picture_properties, also for pictures in table cells. Word export writes them back: docPr descr/title/name, a:srcRect, xfrm rot/flipH/flipV, wp:effectExtent for a turned picture's room (_turn_room), a rebuilt wp:anchor (_float); WebP (and any format Word can't hold) goes in as PNG (_word_picture). PDF crops, flips and turns with PIL (_shaped_picture), sized by its turned outline (export/images.py::turned_box); an unchanged picture keeps its exact width (picture_width_cm: the importer's width rule is rounded to 0.1%). Editor: editor/pictureLook.ts draws size, crop (whole picture clipped, edges pulled in), turn and flips, and a turned picture's room; attributes round-trip through tiptapToDocument. Floating pictures shown in line here and in a PDF (docx.image.floating, DETECTED_NOT_EDITABLE); docx.image.crop/rotation and docx.table.cell_image_size reports removed. Golden 17-pictures.docx; golden signature compares picture properties. Seen in the browser and in a rendered PDF.</v>
      </c>
      <c r="H71" s="12" t="str">
        <f>IFERROR(INDEX(MASTER!$I$2:$I$2000,MATCH($A71,MASTER!$A$2:$A$2000,0))&amp;"","")</f>
        <v>backend 987 passed/1 skipped (tests/test_docx_pictures.py 7, test_golden_documents.py test_17_pictures + 17-file round trips, test_export_fidelity WebP-&gt;PNG); Vitest 164 (editor/pictureLook.test.ts 4, editor round trip of 17 golden files); Playwright 27 (e2e/pictures.spec.ts: clip, turn, flips, turned room, cell size); tsc + eslint clean</v>
      </c>
      <c r="I71" s="19">
        <f>IFERROR(IF(INDEX(MASTER!$O$2:$O$2000,MATCH($A71,MASTER!$A$2:$A$2000,0))="","",INDEX(MASTER!$O$2:$O$2000,MATCH($A71,MASTER!$A$2:$A$2000,0))),"")</f>
        <v>46294.95752314815</v>
      </c>
      <c r="J71" s="12" t="str">
        <f>IFERROR(INDEX(MASTER!$P$2:$P$2000,MATCH($A71,MASTER!$A$2:$A$2000,0))&amp;"","")</f>
        <v>17dfd4d</v>
      </c>
      <c r="K71" s="12" t="str">
        <f>IFERROR(INDEX(MASTER!$Q$2:$Q$2000,MATCH($A71,MASTER!$A$2:$A$2000,0))&amp;"","")</f>
        <v>Alt text + title now exported (docPr descr/title) with DOCX-001; crop, rotation, WEBP still open.</v>
      </c>
      <c r="L71" s="12" t="str">
        <f>IFERROR(INDEX(MASTER!$R$2:$R$2000,MATCH($A71,MASTER!$A$2:$A$2000,0))&amp;"","")</f>
        <v/>
      </c>
    </row>
    <row r="72" spans="1:12" x14ac:dyDescent="0.25">
      <c r="A72" s="15" t="s">
        <v>688</v>
      </c>
      <c r="B72" s="12" t="str">
        <f>IFERROR(INDEX(MASTER!$C$2:$C$2000,MATCH($A72,MASTER!$A$2:$A$2000,0))&amp;"","")</f>
        <v>DOCX</v>
      </c>
      <c r="C72" s="16">
        <f>IFERROR(INDEX(MASTER!$B$2:$B$2000,MATCH($A72,MASTER!$A$2:$A$2000,0)),"")</f>
        <v>3</v>
      </c>
      <c r="D72" s="12" t="str">
        <f>IFERROR(INDEX(MASTER!$D$2:$D$2000,MATCH($A72,MASTER!$A$2:$A$2000,0))&amp;"","")</f>
        <v>Hidden text stays hidden</v>
      </c>
      <c r="E72" s="12" t="str">
        <f>IFERROR(INDEX(MASTER!$F$2:$F$2000,MATCH($A72,MASTER!$A$2:$A$2000,0))&amp;"","")</f>
        <v>P0</v>
      </c>
      <c r="F72" s="12" t="str">
        <f>IFERROR(INDEX(MASTER!$G$2:$G$2000,MATCH($A72,MASTER!$A$2:$A$2000,0))&amp;"","NOT IN MASTER")</f>
        <v>DONE</v>
      </c>
      <c r="G72" s="12" t="str">
        <f>IFERROR(INDEX(MASTER!$H$2:$H$2000,MATCH($A72,MASTER!$A$2:$A$2000,0))&amp;"","")</f>
        <v>MarkType.HIDDEN (appended; no existing mark order changes). Importer resolves w:vanish as Word does: run, character style, paragraph style (the default paragraph style when none), docDefaults; webHidden stays visible; an explicit vanish=0 shows text in a hidden style. The detector uses the default paragraph style the same way and names hidden text as kept hidden (DETECTED_PRESERVED, not a content change). Editor: non-inclusive hidden mark (editor/hiddenText.ts; Word's display:none paste stays hidden), hidden by CSS unless .show-hidden; status bar 'Show hidden text (N words)' toggles it and re-paginates; the Structure panel leaves hidden text out of headings. Word export writes w:vanish (copied blocks keep theirs); PDF doesn't print hidden runs, export.pdf.hidden_text names the word count, and the PDF content check compares visible words (document_words(visible_only=True)); Word-side checks count hidden text on both sides. Golden 02-rich-text gained a hidden sentence (editor round trip in Vitest).</v>
      </c>
      <c r="H72" s="12" t="str">
        <f>IFERROR(INDEX(MASTER!$I$2:$I$2000,MATCH($A72,MASTER!$A$2:$A$2000,0))&amp;"","")</f>
        <v>backend 876 passed/1 skipped (tests/test_hidden_text.py 7: import resolution, default paragraph style, report, upload + content check + editor save, Word export round trip, PDF text + note + check); Vitest 125 (editor/hiddenText.test.tsx 6, golden round trip of 02); Playwright 22 (e2e/hidden-text.spec.ts: hidden until asked, dotted line when shown, vanish in the Word export); tsc + eslint clean</v>
      </c>
      <c r="I72" s="19">
        <f>IFERROR(IF(INDEX(MASTER!$O$2:$O$2000,MATCH($A72,MASTER!$A$2:$A$2000,0))="","",INDEX(MASTER!$O$2:$O$2000,MATCH($A72,MASTER!$A$2:$A$2000,0))),"")</f>
        <v>46292.793113425927</v>
      </c>
      <c r="J72" s="12" t="str">
        <f>IFERROR(INDEX(MASTER!$P$2:$P$2000,MATCH($A72,MASTER!$A$2:$A$2000,0))&amp;"","")</f>
        <v>7d1af86</v>
      </c>
      <c r="K72" s="12" t="str">
        <f>IFERROR(INDEX(MASTER!$Q$2:$Q$2000,MATCH($A72,MASTER!$A$2:$A$2000,0))&amp;"","")</f>
        <v>DOCX-028: vanish survives in unchanged blocks only; the model still shows hidden text as ordinary text - next task.</v>
      </c>
      <c r="L72" s="12" t="str">
        <f>IFERROR(INDEX(MASTER!$R$2:$R$2000,MATCH($A72,MASTER!$A$2:$A$2000,0))&amp;"","")</f>
        <v/>
      </c>
    </row>
    <row r="73" spans="1:12" x14ac:dyDescent="0.25">
      <c r="A73" s="15" t="s">
        <v>696</v>
      </c>
      <c r="B73" s="12" t="str">
        <f>IFERROR(INDEX(MASTER!$C$2:$C$2000,MATCH($A73,MASTER!$A$2:$A$2000,0))&amp;"","")</f>
        <v>DOCX</v>
      </c>
      <c r="C73" s="16">
        <f>IFERROR(INDEX(MASTER!$B$2:$B$2000,MATCH($A73,MASTER!$A$2:$A$2000,0)),"")</f>
        <v>3</v>
      </c>
      <c r="D73" s="12" t="str">
        <f>IFERROR(INDEX(MASTER!$D$2:$D$2000,MATCH($A73,MASTER!$A$2:$A$2000,0))&amp;"","")</f>
        <v>Hyperlink policy and no silent autolink</v>
      </c>
      <c r="E73" s="12" t="str">
        <f>IFERROR(INDEX(MASTER!$F$2:$F$2000,MATCH($A73,MASTER!$A$2:$A$2000,0))&amp;"","")</f>
        <v>P0</v>
      </c>
      <c r="F73" s="12" t="str">
        <f>IFERROR(INDEX(MASTER!$G$2:$G$2000,MATCH($A73,MASTER!$A$2:$A$2000,0))&amp;"","NOT IN MASTER")</f>
        <v>DONE</v>
      </c>
      <c r="G73" s="12" t="str">
        <f>IFERROR(INDEX(MASTER!$H$2:$H$2000,MATCH($A73,MASTER!$A$2:$A$2000,0))&amp;"","")</f>
        <v>Web and e-mail addresses a Word file has as plain text stay text by default (parsers/docx.py _inline autolinks only when the import's _AUTOLINK context variable is set, by import_docx(autolink=True)); the import report says they became links only then (fidelity/docx_detect.detect_docx_features(autolink=)). The option: autolink form field on POST /jobs/import-file (job payload) and POST /documents/upload, threaded through ingestion_service and DocumentService.create_from_bytes; the new-document wizard shows a checkbox for a .docx (importFile(..., { autolink })). Unsafe addresses were already kept as plain text and reported (docx.link.unsafe). Golden 05-links.docx now says its plain address stays text; capability rows docx.autolinks/docx.hyperlinks updated.</v>
      </c>
      <c r="H73" s="12" t="str">
        <f>IFERROR(INDEX(MASTER!$I$2:$I$2000,MATCH($A73,MASTER!$A$2:$A$2000,0))&amp;"","")</f>
        <v>backend 996 passed/1 skipped (tests/test_autolink.py 3: stays text by default, becomes links when asked and is reported, the upload takes the option; test_docx_fidelity/test_docx_detect/test_05_links updated); Vitest 166 (services/api/jobs.test.ts 2); Playwright 28 (e2e/links.spec.ts: golden 05 uploaded both ways); tsc + eslint clean</v>
      </c>
      <c r="I73" s="19">
        <f>IFERROR(IF(INDEX(MASTER!$O$2:$O$2000,MATCH($A73,MASTER!$A$2:$A$2000,0))="","",INDEX(MASTER!$O$2:$O$2000,MATCH($A73,MASTER!$A$2:$A$2000,0))),"")</f>
        <v>46295.115312499998</v>
      </c>
      <c r="J73" s="12" t="str">
        <f>IFERROR(INDEX(MASTER!$P$2:$P$2000,MATCH($A73,MASTER!$A$2:$A$2000,0))&amp;"","")</f>
        <v>914476f</v>
      </c>
      <c r="K73" s="12" t="str">
        <f>IFERROR(INDEX(MASTER!$Q$2:$Q$2000,MATCH($A73,MASTER!$A$2:$A$2000,0))&amp;"","")</f>
        <v>Done: links to unsafe addresses (javascript:, file:, UNC...) are kept as plain text and reported (docx.link.unsafe); plain-text addresses turned into links are reported (docx.autolink). Remaining: stop autolinking by default (a setting), per the task.</v>
      </c>
      <c r="L73" s="12" t="str">
        <f>IFERROR(INDEX(MASTER!$R$2:$R$2000,MATCH($A73,MASTER!$A$2:$A$2000,0))&amp;"","")</f>
        <v/>
      </c>
    </row>
    <row r="74" spans="1:12" x14ac:dyDescent="0.25">
      <c r="A74" s="15" t="s">
        <v>704</v>
      </c>
      <c r="B74" s="12" t="str">
        <f>IFERROR(INDEX(MASTER!$C$2:$C$2000,MATCH($A74,MASTER!$A$2:$A$2000,0))&amp;"","")</f>
        <v>FORMATTING</v>
      </c>
      <c r="C74" s="16">
        <f>IFERROR(INDEX(MASTER!$B$2:$B$2000,MATCH($A74,MASTER!$A$2:$A$2000,0)),"")</f>
        <v>3</v>
      </c>
      <c r="D74" s="12" t="str">
        <f>IFERROR(INDEX(MASTER!$D$2:$D$2000,MATCH($A74,MASTER!$A$2:$A$2000,0))&amp;"","")</f>
        <v>Render-spec defaults respect the source</v>
      </c>
      <c r="E74" s="12" t="str">
        <f>IFERROR(INDEX(MASTER!$F$2:$F$2000,MATCH($A74,MASTER!$A$2:$A$2000,0))&amp;"","")</f>
        <v>P0</v>
      </c>
      <c r="F74" s="12" t="str">
        <f>IFERROR(INDEX(MASTER!$G$2:$G$2000,MATCH($A74,MASTER!$A$2:$A$2000,0))&amp;"","NOT IN MASTER")</f>
        <v>DONE</v>
      </c>
      <c r="G74" s="12" t="str">
        <f>IFERROR(INDEX(MASTER!$H$2:$H$2000,MATCH($A74,MASTER!$A$2:$A$2000,0))&amp;"","")</f>
        <v>parsers/docx_styles.py: as_word_draws completes what a Word style and the document defaults leave unset with what Word draws there (no bold/italics, no spacing, single lines, left aligned, no indent, 10 pt Times New Roman) - the last level of every style extract_style_system takes and of each paragraph compared with its kind in parsers/docx.py _element_rules (tables and notes fall back on their kind: their look is only what their text shares). Word tables leave no gap after them (tables spaceAfterPt 0; pdf_export no longer turns a 0 margin-bottom into 6 pt). So render_spec defaults (bold headings, 18/6 pt around them, 8 pt after paragraphs and tables, 1 cm quote indent, small italic captions) no longer override an import; templates (priority 4-5) still restyle it (source 6, defaults 8). Visual baseline updated after review (12-complex + Академичен: quote not indented, captions not italic, no gap after the table - as the file says). Documents imported earlier keep their rules.</v>
      </c>
      <c r="H74" s="12" t="str">
        <f>IFERROR(INDEX(MASTER!$I$2:$I$2000,MATCH($A74,MASTER!$A$2:$A$2000,0))&amp;"","")</f>
        <v>backend 993 passed/1 skipped (tests/test_source_styles.py 3: a heading style that isn't bold stays regular and unspaced, in Word too; what the file leaves unset is what Word draws; a template still restyles); Vitest 164; Playwright 27 (visual baseline regenerated and reviewed); tsc + eslint clean</v>
      </c>
      <c r="I74" s="19">
        <f>IFERROR(IF(INDEX(MASTER!$O$2:$O$2000,MATCH($A74,MASTER!$A$2:$A$2000,0))="","",INDEX(MASTER!$O$2:$O$2000,MATCH($A74,MASTER!$A$2:$A$2000,0))),"")</f>
        <v>46295.10664351852</v>
      </c>
      <c r="J74" s="12" t="str">
        <f>IFERROR(INDEX(MASTER!$P$2:$P$2000,MATCH($A74,MASTER!$A$2:$A$2000,0))&amp;"","")</f>
        <v>54a36e4</v>
      </c>
      <c r="K74" s="12" t="str">
        <f>IFERROR(INDEX(MASTER!$Q$2:$Q$2000,MATCH($A74,MASTER!$A$2:$A$2000,0))&amp;"","")</f>
        <v/>
      </c>
      <c r="L74" s="12" t="str">
        <f>IFERROR(INDEX(MASTER!$R$2:$R$2000,MATCH($A74,MASTER!$A$2:$A$2000,0))&amp;"","")</f>
        <v/>
      </c>
    </row>
    <row r="75" spans="1:12" x14ac:dyDescent="0.25">
      <c r="A75" s="15" t="s">
        <v>711</v>
      </c>
      <c r="B75" s="12" t="str">
        <f>IFERROR(INDEX(MASTER!$C$2:$C$2000,MATCH($A75,MASTER!$A$2:$A$2000,0))&amp;"","")</f>
        <v>TESTING</v>
      </c>
      <c r="C75" s="16">
        <f>IFERROR(INDEX(MASTER!$B$2:$B$2000,MATCH($A75,MASTER!$A$2:$A$2000,0)),"")</f>
        <v>3</v>
      </c>
      <c r="D75" s="12" t="str">
        <f>IFERROR(INDEX(MASTER!$D$2:$D$2000,MATCH($A75,MASTER!$A$2:$A$2000,0))&amp;"","")</f>
        <v>Word-authored fixtures in the repository</v>
      </c>
      <c r="E75" s="12" t="str">
        <f>IFERROR(INDEX(MASTER!$F$2:$F$2000,MATCH($A75,MASTER!$A$2:$A$2000,0))&amp;"","")</f>
        <v>P0</v>
      </c>
      <c r="F75" s="12" t="str">
        <f>IFERROR(INDEX(MASTER!$G$2:$G$2000,MATCH($A75,MASTER!$A$2:$A$2000,0))&amp;"","NOT IN MASTER")</f>
        <v>DONE</v>
      </c>
      <c r="G75" s="12" t="str">
        <f>IFERROR(INDEX(MASTER!$H$2:$H$2000,MATCH($A75,MASTER!$A$2:$A$2000,0))&amp;"","")</f>
        <v>backend/tests/fixtures/word/: 20 synthetic documents written by Microsoft Word through COM (the audit's a01-a12 and r01-r05 plus a13-pictures, a14-modified-styles, a15-links), built by backend/scripts/make_word_fixtures.py (Windows + Word only, refuses while Word is open, kills no process), manifest.json recording every feature Word put in (none refused), a README saying what each holds. Each file scrubbed: the Word user's name and initials, Office sensitivity labels (MSIP_Label_*), comment authors' sign-in identities (w15:presenceInfo; the audit's a07 carried the account's e-mail), any company/manager/author Office filled in; the fixtures' own made-up values kept (a12's custom properties, a07's comment authors). Secret scan clean over 498 files.</v>
      </c>
      <c r="H75" s="12" t="str">
        <f>IFERROR(INDEX(MASTER!$I$2:$I$2000,MATCH($A75,MASTER!$A$2:$A$2000,0))&amp;"","")</f>
        <v>backend 1037 passed/1 skipped (tests/test_word_fixtures.py 41: 20 files listed in the manifest with nothing refused; nothing identifying in any part - labels, presence info, home folders, non-example e-mails, authors, core/app properties; each imports and exports to a sound Word file)</v>
      </c>
      <c r="I75" s="19">
        <f>IFERROR(IF(INDEX(MASTER!$O$2:$O$2000,MATCH($A75,MASTER!$A$2:$A$2000,0))="","",INDEX(MASTER!$O$2:$O$2000,MATCH($A75,MASTER!$A$2:$A$2000,0))),"")</f>
        <v>46295.122604166667</v>
      </c>
      <c r="J75" s="12" t="str">
        <f>IFERROR(INDEX(MASTER!$P$2:$P$2000,MATCH($A75,MASTER!$A$2:$A$2000,0))&amp;"","")</f>
        <v>505d97f</v>
      </c>
      <c r="K75" s="12" t="str">
        <f>IFERROR(INDEX(MASTER!$Q$2:$Q$2000,MATCH($A75,MASTER!$A$2:$A$2000,0))&amp;"","")</f>
        <v/>
      </c>
      <c r="L75" s="12" t="str">
        <f>IFERROR(INDEX(MASTER!$R$2:$R$2000,MATCH($A75,MASTER!$A$2:$A$2000,0))&amp;"","")</f>
        <v/>
      </c>
    </row>
    <row r="76" spans="1:12" x14ac:dyDescent="0.25">
      <c r="A76" s="15" t="s">
        <v>718</v>
      </c>
      <c r="B76" s="12" t="str">
        <f>IFERROR(INDEX(MASTER!$C$2:$C$2000,MATCH($A76,MASTER!$A$2:$A$2000,0))&amp;"","")</f>
        <v>TESTING</v>
      </c>
      <c r="C76" s="16">
        <f>IFERROR(INDEX(MASTER!$B$2:$B$2000,MATCH($A76,MASTER!$A$2:$A$2000,0)),"")</f>
        <v>3</v>
      </c>
      <c r="D76" s="12" t="str">
        <f>IFERROR(INDEX(MASTER!$D$2:$D$2000,MATCH($A76,MASTER!$A$2:$A$2000,0))&amp;"","")</f>
        <v>Expected-loss manifests in CI</v>
      </c>
      <c r="E76" s="12" t="str">
        <f>IFERROR(INDEX(MASTER!$F$2:$F$2000,MATCH($A76,MASTER!$A$2:$A$2000,0))&amp;"","")</f>
        <v>P0</v>
      </c>
      <c r="F76" s="12" t="str">
        <f>IFERROR(INDEX(MASTER!$G$2:$G$2000,MATCH($A76,MASTER!$A$2:$A$2000,0))&amp;"","NOT IN MASTER")</f>
        <v>DONE</v>
      </c>
      <c r="G76" s="12" t="str">
        <f>IFERROR(INDEX(MASTER!$H$2:$H$2000,MATCH($A76,MASTER!$A$2:$A$2000,0))&amp;"","")</f>
        <v>Next to each of the 37 fixtures (17 golden, 20 Word-authored), &lt;fixture&gt;.expected-loss.json: the import report and the Word and PDF exports' reports as an upload and an export job make them (file kept via with_source_kept, fingerprints stamped, Word export into the original), reduced to each item's feature, policy, count, contentChanged and each content check's status (app/fidelity/loss_manifest.py). tests/test_expected_losses.py compares them with what happens now - in CI too - naming each new, gone or changed item; scripts/export_expected_losses.py rewrites them on purpose (keeping other platforms' PDF claims). PDF claims are per platform (win32 recorded) because PDF fonts come from the machine; import and Word export are compared everywhere. Recorded gaps include a03 numbered headings typed into text (DOCX-016A), a07 tracked changes accepted (DOCX-022), a09 charts/SmartArt/objects left out (DOCX-019), a11 scripts missing from the PDF.</v>
      </c>
      <c r="H76" s="12" t="str">
        <f>IFERROR(INDEX(MASTER!$I$2:$I$2000,MATCH($A76,MASTER!$A$2:$A$2000,0))&amp;"","")</f>
        <v>backend 1075 passed/1 skipped (tests/test_expected_losses.py 38: every fixture has a manifest; each fixture loses what its manifest says - deterministic over two runs; a mutated manifest fails naming the new item and the content change)</v>
      </c>
      <c r="I76" s="19">
        <f>IFERROR(IF(INDEX(MASTER!$O$2:$O$2000,MATCH($A76,MASTER!$A$2:$A$2000,0))="","",INDEX(MASTER!$O$2:$O$2000,MATCH($A76,MASTER!$A$2:$A$2000,0))),"")</f>
        <v>46295.127291666657</v>
      </c>
      <c r="J76" s="12" t="str">
        <f>IFERROR(INDEX(MASTER!$P$2:$P$2000,MATCH($A76,MASTER!$A$2:$A$2000,0))&amp;"","")</f>
        <v>05c6c69</v>
      </c>
      <c r="K76" s="12" t="str">
        <f>IFERROR(INDEX(MASTER!$Q$2:$Q$2000,MATCH($A76,MASTER!$A$2:$A$2000,0))&amp;"","")</f>
        <v/>
      </c>
      <c r="L76" s="12" t="str">
        <f>IFERROR(INDEX(MASTER!$R$2:$R$2000,MATCH($A76,MASTER!$A$2:$A$2000,0))&amp;"","")</f>
        <v>TEST-020</v>
      </c>
    </row>
    <row r="77" spans="1:12" x14ac:dyDescent="0.25">
      <c r="A77" s="15" t="s">
        <v>731</v>
      </c>
      <c r="B77" s="12" t="str">
        <f>IFERROR(INDEX(MASTER!$C$2:$C$2000,MATCH($A77,MASTER!$A$2:$A$2000,0))&amp;"","")</f>
        <v>TESTING</v>
      </c>
      <c r="C77" s="16">
        <f>IFERROR(INDEX(MASTER!$B$2:$B$2000,MATCH($A77,MASTER!$A$2:$A$2000,0)),"")</f>
        <v>3</v>
      </c>
      <c r="D77" s="12" t="str">
        <f>IFERROR(INDEX(MASTER!$D$2:$D$2000,MATCH($A77,MASTER!$A$2:$A$2000,0))&amp;"","")</f>
        <v>True fidelity test</v>
      </c>
      <c r="E77" s="12" t="str">
        <f>IFERROR(INDEX(MASTER!$F$2:$F$2000,MATCH($A77,MASTER!$A$2:$A$2000,0))&amp;"","")</f>
        <v>P0</v>
      </c>
      <c r="F77" s="12" t="str">
        <f>IFERROR(INDEX(MASTER!$G$2:$G$2000,MATCH($A77,MASTER!$A$2:$A$2000,0))&amp;"","NOT IN MASTER")</f>
        <v>DONE</v>
      </c>
      <c r="G77" s="12" t="str">
        <f>IFERROR(INDEX(MASTER!$H$2:$H$2000,MATCH($A77,MASTER!$A$2:$A$2000,0))&amp;"","")</f>
        <v>app/fidelity/round_trip.py: every fixture (37) through the app's whole path - imported as an upload imports it (with_source_kept, fingerprints), the academic template (apply_formatting), the editor's save (elements through JSON, keep_provenance), a Word export into the original - and the result file against the source on four axes each on its own: content (body and header words, compare_words), structure (kinds, heading levels, list levels, table shapes, pictures; difflib), formatting (each used kind's look and mark counts against the formatted document), metadata (core and custom properties; modified excluded). Pinned per fixture in &lt;fixture&gt;.expected-fidelity.json (scripts/export_expected_fidelity.py). Found and fixed: (1) the Word export overwrote the title - a file without one got its display name, a12's own title was replaced by its first heading - now SourceProperties.title/importedTitle keep them apart; (2) after a template, kinds it didn't set looked one way in the app and another in Word (Word styles based on Normal took the new body look): the import leaves out of each kind what it only inherits from Normal (docx_styles.inherit_from_normal, render_spec.FROM_BODY) and the export into the original writes every kind's style once Normal changed. Today only a03's typed heading numbers differ (DOCX-016A). Visual baseline updated after review (lists, table text, captions, quote follow the template's body font as in Word).</v>
      </c>
      <c r="H77" s="12" t="str">
        <f>IFERROR(INDEX(MASTER!$I$2:$I$2000,MATCH($A77,MASTER!$A$2:$A$2000,0))&amp;"","")</f>
        <v>backend 1224 passed/1 skipped (tests/test_true_fidelity.py 149: 37 fixtures x 4 axes + manifest check; test_docx_detect title case updated incl. a rename); Vitest 166; Playwright 28 (visual baseline regenerated and reviewed); tsc + eslint clean</v>
      </c>
      <c r="I77" s="19">
        <f>IFERROR(IF(INDEX(MASTER!$O$2:$O$2000,MATCH($A77,MASTER!$A$2:$A$2000,0))="","",INDEX(MASTER!$O$2:$O$2000,MATCH($A77,MASTER!$A$2:$A$2000,0))),"")</f>
        <v>46295.137418981481</v>
      </c>
      <c r="J77" s="12" t="str">
        <f>IFERROR(INDEX(MASTER!$P$2:$P$2000,MATCH($A77,MASTER!$A$2:$A$2000,0))&amp;"","")</f>
        <v>6869d5c</v>
      </c>
      <c r="K77" s="12" t="str">
        <f>IFERROR(INDEX(MASTER!$Q$2:$Q$2000,MATCH($A77,MASTER!$A$2:$A$2000,0))&amp;"","")</f>
        <v/>
      </c>
      <c r="L77" s="12" t="str">
        <f>IFERROR(INDEX(MASTER!$R$2:$R$2000,MATCH($A77,MASTER!$A$2:$A$2000,0))&amp;"","")</f>
        <v>TEST-020</v>
      </c>
    </row>
    <row r="78" spans="1:12" x14ac:dyDescent="0.25">
      <c r="A78" s="15" t="s">
        <v>743</v>
      </c>
      <c r="B78" s="12" t="str">
        <f>IFERROR(INDEX(MASTER!$C$2:$C$2000,MATCH($A78,MASTER!$A$2:$A$2000,0))&amp;"","")</f>
        <v>DOCX</v>
      </c>
      <c r="C78" s="16">
        <f>IFERROR(INDEX(MASTER!$B$2:$B$2000,MATCH($A78,MASTER!$A$2:$A$2000,0)),"")</f>
        <v>3</v>
      </c>
      <c r="D78" s="12" t="str">
        <f>IFERROR(INDEX(MASTER!$D$2:$D$2000,MATCH($A78,MASTER!$A$2:$A$2000,0))&amp;"","")</f>
        <v>Importer builds nested blocks</v>
      </c>
      <c r="E78" s="12" t="str">
        <f>IFERROR(INDEX(MASTER!$F$2:$F$2000,MATCH($A78,MASTER!$A$2:$A$2000,0))&amp;"","")</f>
        <v>P0</v>
      </c>
      <c r="F78" s="12" t="str">
        <f>IFERROR(INDEX(MASTER!$G$2:$G$2000,MATCH($A78,MASTER!$A$2:$A$2000,0))&amp;"","NOT IN MASTER")</f>
        <v>DONE</v>
      </c>
      <c r="G78" s="12" t="str">
        <f>IFERROR(INDEX(MASTER!$H$2:$H$2000,MATCH($A78,MASTER!$A$2:$A$2000,0))&amp;"","")</f>
        <v>Importer (parsers/docx.py): a numbered paragraph's pictures are what its item holds after its text -- ListItem.blocks image blocks (_pictures, _picture_blocks) with their picture properties, top-level (_flush_list) and in table cells (_CellPart item pictures; a cell's list is no longer split by an item's picture); a numbered paragraph holding only a picture is an item (no longer left out as empty); floating ones noted (_note_floating). Word export (_add_list): an item's leading pictures go back into its own paragraph (_add_image into=), so a round trip is stable; the editor and a PDF draw them under the item's text. docx.list_item.image removed; capability docx.list_item_images now yes/yes/yes/yes. Cells were done with DOCX-017. Golden 17-pictures.docx has the list; golden signature compares list items' blocks (_held). Seen in the browser and a rendered PDF.</v>
      </c>
      <c r="H78" s="12" t="str">
        <f>IFERROR(INDEX(MASTER!$I$2:$I$2000,MATCH($A78,MASTER!$A$2:$A$2000,0))&amp;"","")</f>
        <v>backend 990 passed/1 skipped (tests/test_docx_pictures.py 10 incl. list round trip, cell list, PDF; test_docx_parser.py::test_a_picture_in_a_list_item_is_the_items_block; golden 17 round trips); Vitest 164 (editor round trip of golden 17 with the list); Playwright 27 (e2e/pictures.spec.ts: list items hold their pictures, labels 1..3); tsc + eslint clean</v>
      </c>
      <c r="I78" s="19">
        <f>IFERROR(IF(INDEX(MASTER!$O$2:$O$2000,MATCH($A78,MASTER!$A$2:$A$2000,0))="","",INDEX(MASTER!$O$2:$O$2000,MATCH($A78,MASTER!$A$2:$A$2000,0))),"")</f>
        <v>46294.96597222222</v>
      </c>
      <c r="J78" s="12" t="str">
        <f>IFERROR(INDEX(MASTER!$P$2:$P$2000,MATCH($A78,MASTER!$A$2:$A$2000,0))&amp;"","")</f>
        <v>a6c0b98</v>
      </c>
      <c r="K78" s="12" t="str">
        <f>IFERROR(INDEX(MASTER!$Q$2:$Q$2000,MATCH($A78,MASTER!$A$2:$A$2000,0))&amp;"","")</f>
        <v/>
      </c>
      <c r="L78" s="12" t="str">
        <f>IFERROR(INDEX(MASTER!$R$2:$R$2000,MATCH($A78,MASTER!$A$2:$A$2000,0))&amp;"","")</f>
        <v/>
      </c>
    </row>
    <row r="79" spans="1:12" x14ac:dyDescent="0.25">
      <c r="A79" s="15" t="s">
        <v>768</v>
      </c>
      <c r="B79" s="12" t="str">
        <f>IFERROR(INDEX(MASTER!$C$2:$C$2000,MATCH($A79,MASTER!$A$2:$A$2000,0))&amp;"","")</f>
        <v>DOCX</v>
      </c>
      <c r="C79" s="16">
        <f>IFERROR(INDEX(MASTER!$B$2:$B$2000,MATCH($A79,MASTER!$A$2:$A$2000,0)),"")</f>
        <v>3</v>
      </c>
      <c r="D79" s="12" t="str">
        <f>IFERROR(INDEX(MASTER!$D$2:$D$2000,MATCH($A79,MASTER!$A$2:$A$2000,0))&amp;"","")</f>
        <v>Blocks deleted here never come back in a Word export</v>
      </c>
      <c r="E79" s="12" t="str">
        <f>IFERROR(INDEX(MASTER!$F$2:$F$2000,MATCH($A79,MASTER!$A$2:$A$2000,0))&amp;"","")</f>
        <v>P0</v>
      </c>
      <c r="F79" s="12" t="str">
        <f>IFERROR(INDEX(MASTER!$G$2:$G$2000,MATCH($A79,MASTER!$A$2:$A$2000,0))&amp;"","NOT IN MASTER")</f>
        <v>DONE</v>
      </c>
      <c r="G79" s="12" t="str">
        <f>IFERROR(INDEX(MASTER!$H$2:$H$2000,MATCH($A79,MASTER!$A$2:$A$2000,0))&amp;"","")</f>
        <v>Reproduced: three paragraphs, the second deleted -&gt; all three in a Word export into the original; a paragraph's picture deleted -&gt; back with its unchanged paragraph; a section break deleted whose paragraph was unchanged -&gt; back. The copy plan (_copy_plan) took an original body child no element holds for one the import left out (a spacing paragraph) and copied it with the block before, and copied a group whose shared child lost one of its elements. Now stamping as imported (export/provenance.py stamp, block_use) records how many elements each body child was read into (Document.sourceBlockUse, server-side: saves only replace elements); a child fewer elements hold now had one deleted: never copied nor taken for one left out, and a group still holding it is written anew; contiguity allows the gaps of deleted children; children the import left out still go with the block before. A document stamped before this has its file read again as its import read it (_block_use). OpenAPI and frontend types regenerated.</v>
      </c>
      <c r="H79" s="12" t="str">
        <f>IFERROR(INDEX(MASTER!$I$2:$I$2000,MATCH($A79,MASTER!$A$2:$A$2000,0))&amp;"","")</f>
        <v>backend 1261 passed/1 skipped (tests/test_original_blocks.py 9: a block deleted here never comes back - first, middle and last, as stamped now and stamped before (file read again), the spacing paragraph kept and the rest still copied; a picture deleted from its paragraph; a section break deleted; through the API - all fail without the fix); Playwright 29 (kept-blocks: a paragraph deleted in the editor is gone from the Word export, the untouched blocks still copied - fails without the fix); Vitest 166; tsc + eslint clean</v>
      </c>
      <c r="I79" s="19">
        <f>IFERROR(IF(INDEX(MASTER!$O$2:$O$2000,MATCH($A79,MASTER!$A$2:$A$2000,0))="","",INDEX(MASTER!$O$2:$O$2000,MATCH($A79,MASTER!$A$2:$A$2000,0))),"")</f>
        <v>46295.354259259257</v>
      </c>
      <c r="J79" s="12" t="str">
        <f>IFERROR(INDEX(MASTER!$P$2:$P$2000,MATCH($A79,MASTER!$A$2:$A$2000,0))&amp;"","")</f>
        <v>0485210</v>
      </c>
      <c r="K79" s="12" t="str">
        <f>IFERROR(INDEX(MASTER!$Q$2:$Q$2000,MATCH($A79,MASTER!$A$2:$A$2000,0))&amp;"","")</f>
        <v>Found while finishing DOCX-021 (2026-09-30): three paragraphs, the second deleted -&gt; all three in the export.</v>
      </c>
      <c r="L79" s="12" t="str">
        <f>IFERROR(INDEX(MASTER!$R$2:$R$2000,MATCH($A79,MASTER!$A$2:$A$2000,0))&amp;"","")</f>
        <v>DOCX-028</v>
      </c>
    </row>
    <row r="80" spans="1:12" x14ac:dyDescent="0.25">
      <c r="A80" s="15" t="s">
        <v>793</v>
      </c>
      <c r="B80" s="12" t="str">
        <f>IFERROR(INDEX(MASTER!$C$2:$C$2000,MATCH($A80,MASTER!$A$2:$A$2000,0))&amp;"","")</f>
        <v>SECURITY</v>
      </c>
      <c r="C80" s="16">
        <f>IFERROR(INDEX(MASTER!$B$2:$B$2000,MATCH($A80,MASTER!$A$2:$A$2000,0)),"")</f>
        <v>4</v>
      </c>
      <c r="D80" s="12" t="str">
        <f>IFERROR(INDEX(MASTER!$D$2:$D$2000,MATCH($A80,MASTER!$A$2:$A$2000,0))&amp;"","")</f>
        <v>Malformed DOCX -&gt; safe 4xx</v>
      </c>
      <c r="E80" s="12" t="str">
        <f>IFERROR(INDEX(MASTER!$F$2:$F$2000,MATCH($A80,MASTER!$A$2:$A$2000,0))&amp;"","")</f>
        <v>P0</v>
      </c>
      <c r="F80" s="12" t="str">
        <f>IFERROR(INDEX(MASTER!$G$2:$G$2000,MATCH($A80,MASTER!$A$2:$A$2000,0))&amp;"","NOT IN MASTER")</f>
        <v>DONE</v>
      </c>
      <c r="G80" s="12" t="str">
        <f>IFERROR(INDEX(MASTER!$H$2:$H$2000,MATCH($A80,MASTER!$A$2:$A$2000,0))&amp;"","")</f>
        <v>Malformed Word files are a 400 invalid_file with a message for people from upload, import-file and extract-reference jobs and /templates/extract; never a 500, nothing stored (no row, no asset). parsers/docx.py::_check_parts checks every XML part before python-docx opens the file (streamed parser target, no tree): well-formed and no DTD (OPC forbids DTDs). The probe found two silent gaps it closes: a DTD's entities made python-docx read an empty document; unread parts (theme, font table, customXml, app.xml) went in broken and would have gone back out in a Word export into the original. Failures after that say 'couldn't be read'; the log names the exception type and innermost frames, never its message. 10/10 mutations killed.</v>
      </c>
      <c r="H80" s="12" t="str">
        <f>IFERROR(INDEX(MASTER!$I$2:$I$2000,MATCH($A80,MASTER!$A$2:$A$2000,0))&amp;"","")</f>
        <v>backend/tests/test_malformed_files.py (110: corpus of a03 and 12-complex through the parser, the upload route and the jobs; external entity never read; log leaks nothing; report failure refused); backend/tests/malformed_docx.py (corpus)</v>
      </c>
      <c r="I80" s="19">
        <f>IFERROR(IF(INDEX(MASTER!$O$2:$O$2000,MATCH($A80,MASTER!$A$2:$A$2000,0))="","",INDEX(MASTER!$O$2:$O$2000,MATCH($A80,MASTER!$A$2:$A$2000,0))),"")</f>
        <v>46295.626087962963</v>
      </c>
      <c r="J80" s="12" t="str">
        <f>IFERROR(INDEX(MASTER!$P$2:$P$2000,MATCH($A80,MASTER!$A$2:$A$2000,0))&amp;"","")</f>
        <v>5b159e0</v>
      </c>
      <c r="K80" s="12" t="str">
        <f>IFERROR(INDEX(MASTER!$Q$2:$Q$2000,MATCH($A80,MASTER!$A$2:$A$2000,0))&amp;"","")</f>
        <v/>
      </c>
      <c r="L80" s="12" t="str">
        <f>IFERROR(INDEX(MASTER!$R$2:$R$2000,MATCH($A80,MASTER!$A$2:$A$2000,0))&amp;"","")</f>
        <v/>
      </c>
    </row>
    <row r="81" spans="1:12" x14ac:dyDescent="0.25">
      <c r="A81" s="15" t="s">
        <v>800</v>
      </c>
      <c r="B81" s="12" t="str">
        <f>IFERROR(INDEX(MASTER!$C$2:$C$2000,MATCH($A81,MASTER!$A$2:$A$2000,0))&amp;"","")</f>
        <v>SECURITY</v>
      </c>
      <c r="C81" s="16">
        <f>IFERROR(INDEX(MASTER!$B$2:$B$2000,MATCH($A81,MASTER!$A$2:$A$2000,0)),"")</f>
        <v>4</v>
      </c>
      <c r="D81" s="12" t="str">
        <f>IFERROR(INDEX(MASTER!$D$2:$D$2000,MATCH($A81,MASTER!$A$2:$A$2000,0))&amp;"","")</f>
        <v>Malformed PDF -&gt; safe 4xx</v>
      </c>
      <c r="E81" s="12" t="str">
        <f>IFERROR(INDEX(MASTER!$F$2:$F$2000,MATCH($A81,MASTER!$A$2:$A$2000,0))&amp;"","")</f>
        <v>P0</v>
      </c>
      <c r="F81" s="12" t="str">
        <f>IFERROR(INDEX(MASTER!$G$2:$G$2000,MATCH($A81,MASTER!$A$2:$A$2000,0))&amp;"","NOT IN MASTER")</f>
        <v>DONE</v>
      </c>
      <c r="G81" s="12" t="str">
        <f>IFERROR(INDEX(MASTER!$H$2:$H$2000,MATCH($A81,MASTER!$A$2:$A$2000,0))&amp;"","")</f>
        <v>A PDF that can't be read is a 400 invalid_file with its exact message (not valid, password, too much data, no text, damaged) from upload, the import-file job and an instructions file; one app-level handler. Whatever pypdf throws is a refusal, logged by type and frames. Probe found pypdf mends a stream that doesn't decode or a missing object and loses that text with only a warning: read_pdf collects pypdf's warnings per read (ContextVar) and tells harmless repairs from losing ones; the import reports pdf.damaged (a content change), an instructions file is refused, a damaged file with no text says so. pypdf's warnings never reach the log. Uncountable pictures are said to be possibly left out. Dead duplicate build_document_from_pdf removed. 17/17 mutations killed.</v>
      </c>
      <c r="H81" s="12" t="str">
        <f>IFERROR(INDEX(MASTER!$I$2:$I$2000,MATCH($A81,MASTER!$A$2:$A$2000,0))&amp;"","")</f>
        <v>backend/tests/test_malformed_pdfs.py (45: 19 variants through the reader and the upload route, the import job, the instructions route, the log, concurrent reads, uncountable pictures); backend/tests/malformed_pdf.py (corpus)</v>
      </c>
      <c r="I81" s="19">
        <f>IFERROR(IF(INDEX(MASTER!$O$2:$O$2000,MATCH($A81,MASTER!$A$2:$A$2000,0))="","",INDEX(MASTER!$O$2:$O$2000,MATCH($A81,MASTER!$A$2:$A$2000,0))),"")</f>
        <v>46295.91511574074</v>
      </c>
      <c r="J81" s="12" t="str">
        <f>IFERROR(INDEX(MASTER!$P$2:$P$2000,MATCH($A81,MASTER!$A$2:$A$2000,0))&amp;"","")</f>
        <v>44958e6</v>
      </c>
      <c r="K81" s="12" t="str">
        <f>IFERROR(INDEX(MASTER!$Q$2:$Q$2000,MATCH($A81,MASTER!$A$2:$A$2000,0))&amp;"","")</f>
        <v/>
      </c>
      <c r="L81" s="12" t="str">
        <f>IFERROR(INDEX(MASTER!$R$2:$R$2000,MATCH($A81,MASTER!$A$2:$A$2000,0))&amp;"","")</f>
        <v/>
      </c>
    </row>
    <row r="82" spans="1:12" x14ac:dyDescent="0.25">
      <c r="A82" s="15" t="s">
        <v>806</v>
      </c>
      <c r="B82" s="12" t="str">
        <f>IFERROR(INDEX(MASTER!$C$2:$C$2000,MATCH($A82,MASTER!$A$2:$A$2000,0))&amp;"","")</f>
        <v>SECURITY</v>
      </c>
      <c r="C82" s="16">
        <f>IFERROR(INDEX(MASTER!$B$2:$B$2000,MATCH($A82,MASTER!$A$2:$A$2000,0)),"")</f>
        <v>4</v>
      </c>
      <c r="D82" s="12" t="str">
        <f>IFERROR(INDEX(MASTER!$D$2:$D$2000,MATCH($A82,MASTER!$A$2:$A$2000,0))&amp;"","")</f>
        <v>Image resource limits</v>
      </c>
      <c r="E82" s="12" t="str">
        <f>IFERROR(INDEX(MASTER!$F$2:$F$2000,MATCH($A82,MASTER!$A$2:$A$2000,0))&amp;"","")</f>
        <v>P0</v>
      </c>
      <c r="F82" s="12" t="str">
        <f>IFERROR(INDEX(MASTER!$G$2:$G$2000,MATCH($A82,MASTER!$A$2:$A$2000,0))&amp;"","NOT IN MASTER")</f>
        <v>DONE</v>
      </c>
      <c r="G82" s="12" t="str">
        <f>IFERROR(INDEX(MASTER!$H$2:$H$2000,MATCH($A82,MASTER!$A$2:$A$2000,0))&amp;"","")</f>
        <v>Limits (security/files.py): a picture 20 MB, 50 megapixels, 20,000 px a side; a document 1000 pictures / 200 MB (an export holds them in memory at once). picture_problem judges the header before any decode; only PNG/JPEG/GIF/WebP/BMP ever opened (formats= on every Image.open; Pillow would try 43, EPS runs Ghostscript); a picture must be the type it claims. Pillow backstop: MAX_IMAGE_PIXELS = half the limit, so Pillow itself refuses past it for any decode (reportlab's) whatever warning filters are in force. Word import: left out and said to be (docx.image.too_large / too_many). Editor save: such a picture removed and named; past the document's number or bytes -&gt; 413 too_large before anything is stored; the editor shows why and stops retrying. Export: a picture from before the limits left out (export.image.too_large). Found: autosave re-sent a failing save every 1.2 s (id sync scheduled saves) -- fixed, backoff pinned. 16/16 backend mutations killed + the frontend loop fix.</v>
      </c>
      <c r="H82" s="12" t="str">
        <f>IFERROR(INDEX(MASTER!$I$2:$I$2000,MATCH($A82,MASTER!$A$2:$A$2000,0))&amp;"","")</f>
        <v>backend/tests/test_picture_limits.py (25: 18-picture corpus by header &lt;0.5 s, Pillow backstop, allowlist, Word import, save removal and 413 storing nothing, both exports); frontend/editor/useAutoSave.test.tsx (413 says why and isn't retried; a failing save backs off)</v>
      </c>
      <c r="I82" s="19">
        <f>IFERROR(IF(INDEX(MASTER!$O$2:$O$2000,MATCH($A82,MASTER!$A$2:$A$2000,0))="","",INDEX(MASTER!$O$2:$O$2000,MATCH($A82,MASTER!$A$2:$A$2000,0))),"")</f>
        <v>46295.935868055552</v>
      </c>
      <c r="J82" s="12" t="str">
        <f>IFERROR(INDEX(MASTER!$P$2:$P$2000,MATCH($A82,MASTER!$A$2:$A$2000,0))&amp;"","")</f>
        <v>6550753</v>
      </c>
      <c r="K82" s="12" t="str">
        <f>IFERROR(INDEX(MASTER!$Q$2:$Q$2000,MATCH($A82,MASTER!$A$2:$A$2000,0))&amp;"","")</f>
        <v/>
      </c>
      <c r="L82" s="12" t="str">
        <f>IFERROR(INDEX(MASTER!$R$2:$R$2000,MATCH($A82,MASTER!$A$2:$A$2000,0))&amp;"","")</f>
        <v/>
      </c>
    </row>
    <row r="83" spans="1:12" x14ac:dyDescent="0.25">
      <c r="A83" s="15" t="s">
        <v>820</v>
      </c>
      <c r="B83" s="12" t="str">
        <f>IFERROR(INDEX(MASTER!$C$2:$C$2000,MATCH($A83,MASTER!$A$2:$A$2000,0))&amp;"","")</f>
        <v>SECURITY</v>
      </c>
      <c r="C83" s="16">
        <f>IFERROR(INDEX(MASTER!$B$2:$B$2000,MATCH($A83,MASTER!$A$2:$A$2000,0)),"")</f>
        <v>4</v>
      </c>
      <c r="D83" s="12" t="str">
        <f>IFERROR(INDEX(MASTER!$D$2:$D$2000,MATCH($A83,MASTER!$A$2:$A$2000,0))&amp;"","")</f>
        <v>Href policy</v>
      </c>
      <c r="E83" s="12" t="str">
        <f>IFERROR(INDEX(MASTER!$F$2:$F$2000,MATCH($A83,MASTER!$A$2:$A$2000,0))&amp;"","")</f>
        <v>P0</v>
      </c>
      <c r="F83" s="12" t="str">
        <f>IFERROR(INDEX(MASTER!$G$2:$G$2000,MATCH($A83,MASTER!$A$2:$A$2000,0))&amp;"","NOT IN MASTER")</f>
        <v>DONE</v>
      </c>
      <c r="G83" s="12" t="str">
        <f>IFERROR(INDEX(MASTER!$H$2:$H$2000,MATCH($A83,MASTER!$A$2:$A$2000,0))&amp;"","")</f>
        <v>One policy for link addresses (backend/app/security/links.py::safe_href): absolute addresses with http, https, ftp, ftps, mailto, tel, callto, sms, xmpp (the editor's Tiptap list but cid:); bare www. gets https://; never javascript:, data:, vbscript:, file:, UNC, protocol-relative, relative, #anchor, or past 2048 chars; control codes dropped and tabs/newlines inside removed before the scheme is read. The model keeps no other address (Mark.href validator; a link without one keeps its text). Word import (docx.link.unsafe) and Markdown (markdown.link.unsafe) report; neither export writes an unsafe address as a live link whatever it is handed; the health check never calls one usable. The editor uses the same rule (editor/linkPolicy.ts as Tiptap isAllowedUri; the reconcile names a link it can't keep). A shared 34-case fixture (frontend/tests/fixtures/link-policy.json) is read by both test suites. 14/14 mutations killed.</v>
      </c>
      <c r="H83" s="12" t="str">
        <f>IFERROR(INDEX(MASTER!$I$2:$I$2000,MATCH($A83,MASTER!$A$2:$A$2000,0))&amp;"","")</f>
        <v>backend/tests/test_link_policy.py (39: the shared corpus, length and IPv6, the API keeps no unsafe address, Markdown report, both exports, health); frontend/editor/linkPolicy.test.ts (38: the shared corpus, paste, reconcile note, www., length)</v>
      </c>
      <c r="I83" s="19">
        <f>IFERROR(IF(INDEX(MASTER!$O$2:$O$2000,MATCH($A83,MASTER!$A$2:$A$2000,0))="","",INDEX(MASTER!$O$2:$O$2000,MATCH($A83,MASTER!$A$2:$A$2000,0))),"")</f>
        <v>46295.95</v>
      </c>
      <c r="J83" s="12" t="str">
        <f>IFERROR(INDEX(MASTER!$P$2:$P$2000,MATCH($A83,MASTER!$A$2:$A$2000,0))&amp;"","")</f>
        <v>cfdf3af</v>
      </c>
      <c r="K83" s="12" t="str">
        <f>IFERROR(INDEX(MASTER!$Q$2:$Q$2000,MATCH($A83,MASTER!$A$2:$A$2000,0))&amp;"","")</f>
        <v/>
      </c>
      <c r="L83" s="12" t="str">
        <f>IFERROR(INDEX(MASTER!$R$2:$R$2000,MATCH($A83,MASTER!$A$2:$A$2000,0))&amp;"","")</f>
        <v/>
      </c>
    </row>
    <row r="84" spans="1:12" x14ac:dyDescent="0.25">
      <c r="A84" s="15" t="s">
        <v>828</v>
      </c>
      <c r="B84" s="12" t="str">
        <f>IFERROR(INDEX(MASTER!$C$2:$C$2000,MATCH($A84,MASTER!$A$2:$A$2000,0))&amp;"","")</f>
        <v>SECURITY</v>
      </c>
      <c r="C84" s="16">
        <f>IFERROR(INDEX(MASTER!$B$2:$B$2000,MATCH($A84,MASTER!$A$2:$A$2000,0)),"")</f>
        <v>4</v>
      </c>
      <c r="D84" s="12" t="str">
        <f>IFERROR(INDEX(MASTER!$D$2:$D$2000,MATCH($A84,MASTER!$A$2:$A$2000,0))&amp;"","")</f>
        <v>Field instruction allowlist</v>
      </c>
      <c r="E84" s="12" t="str">
        <f>IFERROR(INDEX(MASTER!$F$2:$F$2000,MATCH($A84,MASTER!$A$2:$A$2000,0))&amp;"","")</f>
        <v>P0</v>
      </c>
      <c r="F84" s="12" t="str">
        <f>IFERROR(INDEX(MASTER!$G$2:$G$2000,MATCH($A84,MASTER!$A$2:$A$2000,0))&amp;"","NOT IN MASTER")</f>
        <v>DONE</v>
      </c>
      <c r="G84" s="12" t="str">
        <f>IFERROR(INDEX(MASTER!$H$2:$H$2000,MATCH($A84,MASTER!$A$2:$A$2000,0))&amp;"","")</f>
        <v>Only fields that show what the document holds or works out stay fields (backend/app/security/fields.py ALLOWED_FIELDS; HYPERLINK only to a SEC-014 address or a bookmark). DDE, DDEAUTO, INCLUDETEXT, INCLUDEPICTURE, INCLUDE, IMPORT, LINK, RD, DATABASE, MACROBUTTON, PRINT and anything unlisted keep their last result: an upload is cleaned before it is read or kept (clean_package/neutralize_fields over body, headers, footers, notes, comments, building blocks; nested and tracked-deleted fields too), reported as docx.field.unsafe; the importer keeps none whoever calls it; the export writes a field fragment only when allowed and drops a refused region's end with its start. Found: a save took preservedAttributes from the browser -- keep_preserved now keeps the server's at any depth. A HYPERLINK javascript: field is no longer kept as a field. Word opens the cleaned file and its export (DATE, PAGE only). 11/11 mutations killed.</v>
      </c>
      <c r="H84" s="12" t="str">
        <f>IFERROR(INDEX(MASTER!$I$2:$I$2000,MATCH($A84,MASTER!$A$2:$A$2000,0))&amp;"","")</f>
        <v>backend/tests/test_field_policy.py (32: allowlist corpus, neutralize on nested/deleted/never-calculated, Word file body+header cleaned/reported/exported clean, a save adding a DDE field, the export's own check, the importer alone)</v>
      </c>
      <c r="I84" s="19">
        <f>IFERROR(IF(INDEX(MASTER!$O$2:$O$2000,MATCH($A84,MASTER!$A$2:$A$2000,0))="","",INDEX(MASTER!$O$2:$O$2000,MATCH($A84,MASTER!$A$2:$A$2000,0))),"")</f>
        <v>46295.96601851852</v>
      </c>
      <c r="J84" s="12" t="str">
        <f>IFERROR(INDEX(MASTER!$P$2:$P$2000,MATCH($A84,MASTER!$A$2:$A$2000,0))&amp;"","")</f>
        <v>eaf65f0</v>
      </c>
      <c r="K84" s="12" t="str">
        <f>IFERROR(INDEX(MASTER!$Q$2:$Q$2000,MATCH($A84,MASTER!$A$2:$A$2000,0))&amp;"","")</f>
        <v/>
      </c>
      <c r="L84" s="12" t="str">
        <f>IFERROR(INDEX(MASTER!$R$2:$R$2000,MATCH($A84,MASTER!$A$2:$A$2000,0))&amp;"","")</f>
        <v/>
      </c>
    </row>
    <row r="85" spans="1:12" x14ac:dyDescent="0.25">
      <c r="A85" s="15" t="s">
        <v>864</v>
      </c>
      <c r="B85" s="12" t="str">
        <f>IFERROR(INDEX(MASTER!$C$2:$C$2000,MATCH($A85,MASTER!$A$2:$A$2000,0))&amp;"","")</f>
        <v>TESTING</v>
      </c>
      <c r="C85" s="16">
        <f>IFERROR(INDEX(MASTER!$B$2:$B$2000,MATCH($A85,MASTER!$A$2:$A$2000,0)),"")</f>
        <v>4</v>
      </c>
      <c r="D85" s="12" t="str">
        <f>IFERROR(INDEX(MASTER!$D$2:$D$2000,MATCH($A85,MASTER!$A$2:$A$2000,0))&amp;"","")</f>
        <v>Security regression suite</v>
      </c>
      <c r="E85" s="12" t="str">
        <f>IFERROR(INDEX(MASTER!$F$2:$F$2000,MATCH($A85,MASTER!$A$2:$A$2000,0))&amp;"","")</f>
        <v>P0</v>
      </c>
      <c r="F85" s="12" t="str">
        <f>IFERROR(INDEX(MASTER!$G$2:$G$2000,MATCH($A85,MASTER!$A$2:$A$2000,0))&amp;"","NOT IN MASTER")</f>
        <v>DONE</v>
      </c>
      <c r="G85" s="12" t="str">
        <f>IFERROR(INDEX(MASTER!$H$2:$H$2000,MATCH($A85,MASTER!$A$2:$A$2000,0))&amp;"","")</f>
        <v>The security regression suite is one pytest marker (security, registered in backend/pytest.ini; 433 tests): the SEC-010..015 corpora (malformed Word, PDF, pictures, link and field policies), prompt injection, upload checks, document authorization, and backend/tests/test_security_suite.py, which reads the API's OpenAPI schema so no route goes unchecked: all 33 routes taking an id answer another workspace exactly as a missing id (404, same body), need sign-in, and leave the owner's document, picture, job and template untouched (a route without a request in its table fails the suite); all 37 writes refuse another site's Origin. CI runs it as its own step, then -m 'not security' (each test once). 5/5 mutations killed (document/asset/job/template ownership, cross-site check).</v>
      </c>
      <c r="H85" s="12" t="str">
        <f>IFERROR(INDEX(MASTER!$I$2:$I$2000,MATCH($A85,MASTER!$A$2:$A$2000,0))&amp;"","")</f>
        <v>backend/tests/test_security_suite.py (106); pytest -m security (433)</v>
      </c>
      <c r="I85" s="19">
        <f>IFERROR(IF(INDEX(MASTER!$O$2:$O$2000,MATCH($A85,MASTER!$A$2:$A$2000,0))="","",INDEX(MASTER!$O$2:$O$2000,MATCH($A85,MASTER!$A$2:$A$2000,0))),"")</f>
        <v>46295.975891203707</v>
      </c>
      <c r="J85" s="12" t="str">
        <f>IFERROR(INDEX(MASTER!$P$2:$P$2000,MATCH($A85,MASTER!$A$2:$A$2000,0))&amp;"","")</f>
        <v>d15574f</v>
      </c>
      <c r="K85" s="12" t="str">
        <f>IFERROR(INDEX(MASTER!$Q$2:$Q$2000,MATCH($A85,MASTER!$A$2:$A$2000,0))&amp;"","")</f>
        <v/>
      </c>
      <c r="L85" s="12" t="str">
        <f>IFERROR(INDEX(MASTER!$R$2:$R$2000,MATCH($A85,MASTER!$A$2:$A$2000,0))&amp;"","")</f>
        <v/>
      </c>
    </row>
    <row r="86" spans="1:12" x14ac:dyDescent="0.25">
      <c r="A86" s="15" t="s">
        <v>877</v>
      </c>
      <c r="B86" s="12" t="str">
        <f>IFERROR(INDEX(MASTER!$C$2:$C$2000,MATCH($A86,MASTER!$A$2:$A$2000,0))&amp;"","")</f>
        <v>SECURITY</v>
      </c>
      <c r="C86" s="16">
        <f>IFERROR(INDEX(MASTER!$B$2:$B$2000,MATCH($A86,MASTER!$A$2:$A$2000,0)),"")</f>
        <v>4</v>
      </c>
      <c r="D86" s="12" t="str">
        <f>IFERROR(INDEX(MASTER!$D$2:$D$2000,MATCH($A86,MASTER!$A$2:$A$2000,0))&amp;"","")</f>
        <v>Formatting rule values can't break out of a style</v>
      </c>
      <c r="E86" s="12" t="str">
        <f>IFERROR(INDEX(MASTER!$F$2:$F$2000,MATCH($A86,MASTER!$A$2:$A$2000,0))&amp;"","")</f>
        <v>P0</v>
      </c>
      <c r="F86" s="12" t="str">
        <f>IFERROR(INDEX(MASTER!$G$2:$G$2000,MATCH($A86,MASTER!$A$2:$A$2000,0))&amp;"","NOT IN MASTER")</f>
        <v>DONE</v>
      </c>
      <c r="G86" s="12" t="str">
        <f>IFERROR(INDEX(MASTER!$H$2:$H$2000,MATCH($A86,MASTER!$A$2:$A$2000,0))&amp;"","")</f>
        <v>app/formatting/values.py: clean_rule_value per property (the StyleSystem's limits: choices, true/false, one safe font name, renderable colours, bounded numbers with known units, header/footer text &lt;=500). Refused with 422 by the element-style and page-setting endpoints (schemas RuleValue); instruction rules and set_style operations with such values dropped (FMT-005), validate_operations refuses them; stored rules no renderer can use are skipped at resolve (engine._usable) so old documents can't carry them either. All 177 default/template rules pass unchanged.</v>
      </c>
      <c r="H86" s="12" t="str">
        <f>IFERROR(INDEX(MASTER!$I$2:$I$2000,MATCH($A86,MASTER!$A$2:$A$2000,0))&amp;"","")</f>
        <v>tests/test_rule_values.py (34 cases incl. API 422, stored-rule skip, instruction drop)</v>
      </c>
      <c r="I86" s="19">
        <f>IFERROR(IF(INDEX(MASTER!$O$2:$O$2000,MATCH($A86,MASTER!$A$2:$A$2000,0))="","",INDEX(MASTER!$O$2:$O$2000,MATCH($A86,MASTER!$A$2:$A$2000,0))),"")</f>
        <v>46292.399004629631</v>
      </c>
      <c r="J86" s="12" t="str">
        <f>IFERROR(INDEX(MASTER!$P$2:$P$2000,MATCH($A86,MASTER!$A$2:$A$2000,0))&amp;"","")</f>
        <v>53c84e4</v>
      </c>
      <c r="K86" s="12" t="str">
        <f>IFERROR(INDEX(MASTER!$Q$2:$Q$2000,MATCH($A86,MASTER!$A$2:$A$2000,0))&amp;"","")</f>
        <v>Found 2026-09-27 while mapping editor alignment (EDIT-008); probe confirmed the raw value in resolvedStyles.</v>
      </c>
      <c r="L86" s="12" t="str">
        <f>IFERROR(INDEX(MASTER!$R$2:$R$2000,MATCH($A86,MASTER!$A$2:$A$2000,0))&amp;"","")</f>
        <v/>
      </c>
    </row>
    <row r="87" spans="1:12" x14ac:dyDescent="0.25">
      <c r="A87" s="15" t="s">
        <v>889</v>
      </c>
      <c r="B87" s="12" t="str">
        <f>IFERROR(INDEX(MASTER!$C$2:$C$2000,MATCH($A87,MASTER!$A$2:$A$2000,0))&amp;"","")</f>
        <v>PERFORMANCE</v>
      </c>
      <c r="C87" s="16">
        <f>IFERROR(INDEX(MASTER!$B$2:$B$2000,MATCH($A87,MASTER!$A$2:$A$2000,0)),"")</f>
        <v>5</v>
      </c>
      <c r="D87" s="12" t="str">
        <f>IFERROR(INDEX(MASTER!$D$2:$D$2000,MATCH($A87,MASTER!$A$2:$A$2000,0))&amp;"","")</f>
        <v>Linear DOCX table export</v>
      </c>
      <c r="E87" s="12" t="str">
        <f>IFERROR(INDEX(MASTER!$F$2:$F$2000,MATCH($A87,MASTER!$A$2:$A$2000,0))&amp;"","")</f>
        <v>P0</v>
      </c>
      <c r="F87" s="12" t="str">
        <f>IFERROR(INDEX(MASTER!$G$2:$G$2000,MATCH($A87,MASTER!$A$2:$A$2000,0))&amp;"","NOT IN MASTER")</f>
        <v>DONE</v>
      </c>
      <c r="G87" s="12" t="str">
        <f>IFERROR(INDEX(MASTER!$H$2:$H$2000,MATCH($A87,MASTER!$A$2:$A$2000,0))&amp;"","")</f>
        <v>backend/app/export/docx_export.py (linear table writing), docs/cloud-reports/PERF-001.md, docs/performance/after-perf-001/</v>
      </c>
      <c r="H87" s="12" t="str">
        <f>IFERROR(INDEX(MASTER!$I$2:$I$2000,MATCH($A87,MASTER!$A$2:$A$2000,0))&amp;"","")</f>
        <v>backend/tests/test_export_scaling.py; all 37 fixtures' XML byte for byte unchanged</v>
      </c>
      <c r="I87" s="19">
        <f>IFERROR(IF(INDEX(MASTER!$O$2:$O$2000,MATCH($A87,MASTER!$A$2:$A$2000,0))="","",INDEX(MASTER!$O$2:$O$2000,MATCH($A87,MASTER!$A$2:$A$2000,0))),"")</f>
        <v>46301.614942129629</v>
      </c>
      <c r="J87" s="12" t="str">
        <f>IFERROR(INDEX(MASTER!$P$2:$P$2000,MATCH($A87,MASTER!$A$2:$A$2000,0))&amp;"","")</f>
        <v>8966ec7</v>
      </c>
      <c r="K87" s="12" t="str">
        <f>IFERROR(INDEX(MASTER!$Q$2:$Q$2000,MATCH($A87,MASTER!$A$2:$A$2000,0))&amp;"","")</f>
        <v>2026-10-01: delegated to a cloud session (branch cloud/..., report docs/cloud-reports/PERF-001.md); to be reviewed, verified and merged locally.</v>
      </c>
      <c r="L87" s="12" t="str">
        <f>IFERROR(INDEX(MASTER!$R$2:$R$2000,MATCH($A87,MASTER!$A$2:$A$2000,0))&amp;"","")</f>
        <v/>
      </c>
    </row>
    <row r="88" spans="1:12" x14ac:dyDescent="0.25">
      <c r="A88" s="15" t="s">
        <v>948</v>
      </c>
      <c r="B88" s="12" t="str">
        <f>IFERROR(INDEX(MASTER!$C$2:$C$2000,MATCH($A88,MASTER!$A$2:$A$2000,0))&amp;"","")</f>
        <v>ACCOUNT</v>
      </c>
      <c r="C88" s="16">
        <f>IFERROR(INDEX(MASTER!$B$2:$B$2000,MATCH($A88,MASTER!$A$2:$A$2000,0)),"")</f>
        <v>6</v>
      </c>
      <c r="D88" s="12" t="str">
        <f>IFERROR(INDEX(MASTER!$D$2:$D$2000,MATCH($A88,MASTER!$A$2:$A$2000,0))&amp;"","")</f>
        <v>E-mail sender abstraction</v>
      </c>
      <c r="E88" s="12" t="str">
        <f>IFERROR(INDEX(MASTER!$F$2:$F$2000,MATCH($A88,MASTER!$A$2:$A$2000,0))&amp;"","")</f>
        <v>P0</v>
      </c>
      <c r="F88" s="12" t="str">
        <f>IFERROR(INDEX(MASTER!$G$2:$G$2000,MATCH($A88,MASTER!$A$2:$A$2000,0))&amp;"","NOT IN MASTER")</f>
        <v>DONE</v>
      </c>
      <c r="G88" s="12" t="str">
        <f>IFERROR(INDEX(MASTER!$H$2:$H$2000,MATCH($A88,MASTER!$A$2:$A$2000,0))&amp;"","")</f>
        <v>backend/app/mail/sender.py (OutboxSender, SmtpSender, MemorySender, get_email_sender), backend/app/config.py (email_*, smtp_*, _email_can_go_out), backend/.env.example, README.md (E-mail), docs/security/README.md (E-mail)</v>
      </c>
      <c r="H88" s="12" t="str">
        <f>IFERROR(INDEX(MASTER!$I$2:$I$2000,MATCH($A88,MASTER!$A$2:$A$2000,0))&amp;"","")</f>
        <v>backend/tests/test_email.py (6, security suite); tests/conftest.py sent_mail; 7/7 mutations</v>
      </c>
      <c r="I88" s="19">
        <f>IFERROR(IF(INDEX(MASTER!$O$2:$O$2000,MATCH($A88,MASTER!$A$2:$A$2000,0))="","",INDEX(MASTER!$O$2:$O$2000,MATCH($A88,MASTER!$A$2:$A$2000,0))),"")</f>
        <v>46296.64025462963</v>
      </c>
      <c r="J88" s="12" t="str">
        <f>IFERROR(INDEX(MASTER!$P$2:$P$2000,MATCH($A88,MASTER!$A$2:$A$2000,0))&amp;"","")</f>
        <v>fba062b</v>
      </c>
      <c r="K88" s="12" t="str">
        <f>IFERROR(INDEX(MASTER!$Q$2:$Q$2000,MATCH($A88,MASTER!$A$2:$A$2000,0))&amp;"","")</f>
        <v/>
      </c>
      <c r="L88" s="12" t="str">
        <f>IFERROR(INDEX(MASTER!$R$2:$R$2000,MATCH($A88,MASTER!$A$2:$A$2000,0))&amp;"","")</f>
        <v/>
      </c>
    </row>
    <row r="89" spans="1:12" x14ac:dyDescent="0.25">
      <c r="A89" s="15" t="s">
        <v>955</v>
      </c>
      <c r="B89" s="12" t="str">
        <f>IFERROR(INDEX(MASTER!$C$2:$C$2000,MATCH($A89,MASTER!$A$2:$A$2000,0))&amp;"","")</f>
        <v>ACCOUNT</v>
      </c>
      <c r="C89" s="16">
        <f>IFERROR(INDEX(MASTER!$B$2:$B$2000,MATCH($A89,MASTER!$A$2:$A$2000,0)),"")</f>
        <v>6</v>
      </c>
      <c r="D89" s="12" t="str">
        <f>IFERROR(INDEX(MASTER!$D$2:$D$2000,MATCH($A89,MASTER!$A$2:$A$2000,0))&amp;"","")</f>
        <v>Password reset</v>
      </c>
      <c r="E89" s="12" t="str">
        <f>IFERROR(INDEX(MASTER!$F$2:$F$2000,MATCH($A89,MASTER!$A$2:$A$2000,0))&amp;"","")</f>
        <v>P0</v>
      </c>
      <c r="F89" s="12" t="str">
        <f>IFERROR(INDEX(MASTER!$G$2:$G$2000,MATCH($A89,MASTER!$A$2:$A$2000,0))&amp;"","NOT IN MASTER")</f>
        <v>DONE</v>
      </c>
      <c r="G89" s="12" t="str">
        <f>IFERROR(INDEX(MASTER!$H$2:$H$2000,MATCH($A89,MASTER!$A$2:$A$2000,0))&amp;"","")</f>
        <v>backend/app/services/account_tokens.py, auth_service.py (start_password_reset, reset_password, revoke_sessions), services/password_reset.py, api/auth.py (/auth/password-reset, /auth/password-reset/confirm), migration 1da599e1913f (applied to Supabase), frontend/components/PasswordResetForms.tsx, app/forgot-password, app/reset-password</v>
      </c>
      <c r="H89" s="12" t="str">
        <f>IFERROR(INDEX(MASTER!$I$2:$I$2000,MATCH($A89,MASTER!$A$2:$A$2000,0))&amp;"","")</f>
        <v>backend/tests/test_password_reset.py (9, security suite), frontend/components/PasswordResetForms.test.tsx (5), e2e/auth.spec.ts (forgotten password); 13/13 mutations</v>
      </c>
      <c r="I89" s="19">
        <f>IFERROR(IF(INDEX(MASTER!$O$2:$O$2000,MATCH($A89,MASTER!$A$2:$A$2000,0))="","",INDEX(MASTER!$O$2:$O$2000,MATCH($A89,MASTER!$A$2:$A$2000,0))),"")</f>
        <v>46296.657175925917</v>
      </c>
      <c r="J89" s="12" t="str">
        <f>IFERROR(INDEX(MASTER!$P$2:$P$2000,MATCH($A89,MASTER!$A$2:$A$2000,0))&amp;"","")</f>
        <v>4463ee6</v>
      </c>
      <c r="K89" s="12" t="str">
        <f>IFERROR(INDEX(MASTER!$Q$2:$Q$2000,MATCH($A89,MASTER!$A$2:$A$2000,0))&amp;"","")</f>
        <v/>
      </c>
      <c r="L89" s="12" t="str">
        <f>IFERROR(INDEX(MASTER!$R$2:$R$2000,MATCH($A89,MASTER!$A$2:$A$2000,0))&amp;"","")</f>
        <v/>
      </c>
    </row>
    <row r="90" spans="1:12" x14ac:dyDescent="0.25">
      <c r="A90" s="15" t="s">
        <v>962</v>
      </c>
      <c r="B90" s="12" t="str">
        <f>IFERROR(INDEX(MASTER!$C$2:$C$2000,MATCH($A90,MASTER!$A$2:$A$2000,0))&amp;"","")</f>
        <v>ACCOUNT</v>
      </c>
      <c r="C90" s="16">
        <f>IFERROR(INDEX(MASTER!$B$2:$B$2000,MATCH($A90,MASTER!$A$2:$A$2000,0)),"")</f>
        <v>6</v>
      </c>
      <c r="D90" s="12" t="str">
        <f>IFERROR(INDEX(MASTER!$D$2:$D$2000,MATCH($A90,MASTER!$A$2:$A$2000,0))&amp;"","")</f>
        <v>E-mail verification</v>
      </c>
      <c r="E90" s="12" t="str">
        <f>IFERROR(INDEX(MASTER!$F$2:$F$2000,MATCH($A90,MASTER!$A$2:$A$2000,0))&amp;"","")</f>
        <v>P0</v>
      </c>
      <c r="F90" s="12" t="str">
        <f>IFERROR(INDEX(MASTER!$G$2:$G$2000,MATCH($A90,MASTER!$A$2:$A$2000,0))&amp;"","NOT IN MASTER")</f>
        <v>DONE</v>
      </c>
      <c r="G90" s="12" t="str">
        <f>IFERROR(INDEX(MASTER!$H$2:$H$2000,MATCH($A90,MASTER!$A$2:$A$2000,0))&amp;"","")</f>
        <v>backend/app/services/auth_service.py (start_email_verification, verify_email), services/account_mail.py (send_verification_link), api/auth.py (/auth/verify-email, /auth/verify-email/confirm, sign-up link, emailVerified), migration 0417f0f393fc (applied to Supabase), frontend/components/VerifyEmail.tsx, app/verify-email, dashboard notice</v>
      </c>
      <c r="H90" s="12" t="str">
        <f>IFERROR(INDEX(MASTER!$I$2:$I$2000,MATCH($A90,MASTER!$A$2:$A$2000,0))&amp;"","")</f>
        <v>backend/tests/test_email_verification.py (5, security suite), frontend/components/VerifyEmail.test.tsx (4), e2e/auth.spec.ts (address confirmed); 8/8 mutations</v>
      </c>
      <c r="I90" s="19">
        <f>IFERROR(IF(INDEX(MASTER!$O$2:$O$2000,MATCH($A90,MASTER!$A$2:$A$2000,0))="","",INDEX(MASTER!$O$2:$O$2000,MATCH($A90,MASTER!$A$2:$A$2000,0))),"")</f>
        <v>46296.673993055563</v>
      </c>
      <c r="J90" s="12" t="str">
        <f>IFERROR(INDEX(MASTER!$P$2:$P$2000,MATCH($A90,MASTER!$A$2:$A$2000,0))&amp;"","")</f>
        <v>390effe</v>
      </c>
      <c r="K90" s="12" t="str">
        <f>IFERROR(INDEX(MASTER!$Q$2:$Q$2000,MATCH($A90,MASTER!$A$2:$A$2000,0))&amp;"","")</f>
        <v/>
      </c>
      <c r="L90" s="12" t="str">
        <f>IFERROR(INDEX(MASTER!$R$2:$R$2000,MATCH($A90,MASTER!$A$2:$A$2000,0))&amp;"","")</f>
        <v/>
      </c>
    </row>
    <row r="91" spans="1:12" x14ac:dyDescent="0.25">
      <c r="A91" s="15" t="s">
        <v>968</v>
      </c>
      <c r="B91" s="12" t="str">
        <f>IFERROR(INDEX(MASTER!$C$2:$C$2000,MATCH($A91,MASTER!$A$2:$A$2000,0))&amp;"","")</f>
        <v>ACCOUNT</v>
      </c>
      <c r="C91" s="16">
        <f>IFERROR(INDEX(MASTER!$B$2:$B$2000,MATCH($A91,MASTER!$A$2:$A$2000,0)),"")</f>
        <v>6</v>
      </c>
      <c r="D91" s="12" t="str">
        <f>IFERROR(INDEX(MASTER!$D$2:$D$2000,MATCH($A91,MASTER!$A$2:$A$2000,0))&amp;"","")</f>
        <v>Password change</v>
      </c>
      <c r="E91" s="12" t="str">
        <f>IFERROR(INDEX(MASTER!$F$2:$F$2000,MATCH($A91,MASTER!$A$2:$A$2000,0))&amp;"","")</f>
        <v>P0</v>
      </c>
      <c r="F91" s="12" t="str">
        <f>IFERROR(INDEX(MASTER!$G$2:$G$2000,MATCH($A91,MASTER!$A$2:$A$2000,0))&amp;"","NOT IN MASTER")</f>
        <v>DONE</v>
      </c>
      <c r="G91" s="12" t="str">
        <f>IFERROR(INDEX(MASTER!$H$2:$H$2000,MATCH($A91,MASTER!$A$2:$A$2000,0))&amp;"","")</f>
        <v>backend/app/services/auth_service.py (change_password), backend/app/api/auth.py (PUT /auth/password), frontend/components/AccountSettings.tsx, app/settings/account, AccountMenu link</v>
      </c>
      <c r="H91" s="12" t="str">
        <f>IFERROR(INDEX(MASTER!$I$2:$I$2000,MATCH($A91,MASTER!$A$2:$A$2000,0))&amp;"","")</f>
        <v>backend/tests/test_password_change.py (3, security suite), frontend/components/AccountSettings.test.tsx (3), e2e/auth.spec.ts (password changed); 7/7 mutations</v>
      </c>
      <c r="I91" s="19">
        <f>IFERROR(IF(INDEX(MASTER!$O$2:$O$2000,MATCH($A91,MASTER!$A$2:$A$2000,0))="","",INDEX(MASTER!$O$2:$O$2000,MATCH($A91,MASTER!$A$2:$A$2000,0))),"")</f>
        <v>46296.683622685188</v>
      </c>
      <c r="J91" s="12" t="str">
        <f>IFERROR(INDEX(MASTER!$P$2:$P$2000,MATCH($A91,MASTER!$A$2:$A$2000,0))&amp;"","")</f>
        <v>f8a8290</v>
      </c>
      <c r="K91" s="12" t="str">
        <f>IFERROR(INDEX(MASTER!$Q$2:$Q$2000,MATCH($A91,MASTER!$A$2:$A$2000,0))&amp;"","")</f>
        <v/>
      </c>
      <c r="L91" s="12" t="str">
        <f>IFERROR(INDEX(MASTER!$R$2:$R$2000,MATCH($A91,MASTER!$A$2:$A$2000,0))&amp;"","")</f>
        <v/>
      </c>
    </row>
    <row r="92" spans="1:12" x14ac:dyDescent="0.25">
      <c r="A92" s="15" t="s">
        <v>974</v>
      </c>
      <c r="B92" s="12" t="str">
        <f>IFERROR(INDEX(MASTER!$C$2:$C$2000,MATCH($A92,MASTER!$A$2:$A$2000,0))&amp;"","")</f>
        <v>ACCOUNT</v>
      </c>
      <c r="C92" s="16">
        <f>IFERROR(INDEX(MASTER!$B$2:$B$2000,MATCH($A92,MASTER!$A$2:$A$2000,0)),"")</f>
        <v>6</v>
      </c>
      <c r="D92" s="12" t="str">
        <f>IFERROR(INDEX(MASTER!$D$2:$D$2000,MATCH($A92,MASTER!$A$2:$A$2000,0))&amp;"","")</f>
        <v>Account deletion</v>
      </c>
      <c r="E92" s="12" t="str">
        <f>IFERROR(INDEX(MASTER!$F$2:$F$2000,MATCH($A92,MASTER!$A$2:$A$2000,0))&amp;"","")</f>
        <v>P0</v>
      </c>
      <c r="F92" s="12" t="str">
        <f>IFERROR(INDEX(MASTER!$G$2:$G$2000,MATCH($A92,MASTER!$A$2:$A$2000,0))&amp;"","NOT IN MASTER")</f>
        <v>DONE</v>
      </c>
      <c r="G92" s="12" t="str">
        <f>IFERROR(INDEX(MASTER!$H$2:$H$2000,MATCH($A92,MASTER!$A$2:$A$2000,0))&amp;"","")</f>
        <v>backend/app/services/account_deletion.py, DELETE /auth/account, AccountSettings delete section, docs/cloud-reports/ACCT-005-007.md</v>
      </c>
      <c r="H92" s="12" t="str">
        <f>IFERROR(INDEX(MASTER!$I$2:$I$2000,MATCH($A92,MASTER!$A$2:$A$2000,0))&amp;"","")</f>
        <v>backend/tests/test_account_deletion.py (with the Stripe-id rule fixed in 7ba8c0c), AccountSettings.test.tsx, e2e</v>
      </c>
      <c r="I92" s="19">
        <f>IFERROR(IF(INDEX(MASTER!$O$2:$O$2000,MATCH($A92,MASTER!$A$2:$A$2000,0))="","",INDEX(MASTER!$O$2:$O$2000,MATCH($A92,MASTER!$A$2:$A$2000,0))),"")</f>
        <v>46301.615520833337</v>
      </c>
      <c r="J92" s="12" t="str">
        <f>IFERROR(INDEX(MASTER!$P$2:$P$2000,MATCH($A92,MASTER!$A$2:$A$2000,0))&amp;"","")</f>
        <v>7ba8c0c</v>
      </c>
      <c r="K92" s="12" t="str">
        <f>IFERROR(INDEX(MASTER!$Q$2:$Q$2000,MATCH($A92,MASTER!$A$2:$A$2000,0))&amp;"","")</f>
        <v/>
      </c>
      <c r="L92" s="12" t="str">
        <f>IFERROR(INDEX(MASTER!$R$2:$R$2000,MATCH($A92,MASTER!$A$2:$A$2000,0))&amp;"","")</f>
        <v/>
      </c>
    </row>
    <row r="93" spans="1:12" x14ac:dyDescent="0.25">
      <c r="A93" s="15" t="s">
        <v>991</v>
      </c>
      <c r="B93" s="12" t="str">
        <f>IFERROR(INDEX(MASTER!$C$2:$C$2000,MATCH($A93,MASTER!$A$2:$A$2000,0))&amp;"","")</f>
        <v>BILLING</v>
      </c>
      <c r="C93" s="16">
        <f>IFERROR(INDEX(MASTER!$B$2:$B$2000,MATCH($A93,MASTER!$A$2:$A$2000,0)),"")</f>
        <v>6</v>
      </c>
      <c r="D93" s="12" t="str">
        <f>IFERROR(INDEX(MASTER!$D$2:$D$2000,MATCH($A93,MASTER!$A$2:$A$2000,0))&amp;"","")</f>
        <v>Usage units</v>
      </c>
      <c r="E93" s="12" t="str">
        <f>IFERROR(INDEX(MASTER!$F$2:$F$2000,MATCH($A93,MASTER!$A$2:$A$2000,0))&amp;"","")</f>
        <v>P0</v>
      </c>
      <c r="F93" s="12" t="str">
        <f>IFERROR(INDEX(MASTER!$G$2:$G$2000,MATCH($A93,MASTER!$A$2:$A$2000,0))&amp;"","NOT IN MASTER")</f>
        <v>DONE</v>
      </c>
      <c r="G93" s="12" t="str">
        <f>IFERROR(INDEX(MASTER!$H$2:$H$2000,MATCH($A93,MASTER!$A$2:$A$2000,0))&amp;"","")</f>
        <v>backend/app/billing/units.py, usage API, billing page units</v>
      </c>
      <c r="H93" s="12" t="str">
        <f>IFERROR(INDEX(MASTER!$I$2:$I$2000,MATCH($A93,MASTER!$A$2:$A$2000,0))&amp;"","")</f>
        <v>backend/tests/test_usage_units.py, BillingPage.test.tsx</v>
      </c>
      <c r="I93" s="19">
        <f>IFERROR(IF(INDEX(MASTER!$O$2:$O$2000,MATCH($A93,MASTER!$A$2:$A$2000,0))="","",INDEX(MASTER!$O$2:$O$2000,MATCH($A93,MASTER!$A$2:$A$2000,0))),"")</f>
        <v>46301.615335648137</v>
      </c>
      <c r="J93" s="12" t="str">
        <f>IFERROR(INDEX(MASTER!$P$2:$P$2000,MATCH($A93,MASTER!$A$2:$A$2000,0))&amp;"","")</f>
        <v>d7682c0</v>
      </c>
      <c r="K93" s="12" t="str">
        <f>IFERROR(INDEX(MASTER!$Q$2:$Q$2000,MATCH($A93,MASTER!$A$2:$A$2000,0))&amp;"","")</f>
        <v/>
      </c>
      <c r="L93" s="12" t="str">
        <f>IFERROR(INDEX(MASTER!$R$2:$R$2000,MATCH($A93,MASTER!$A$2:$A$2000,0))&amp;"","")</f>
        <v/>
      </c>
    </row>
    <row r="94" spans="1:12" x14ac:dyDescent="0.25">
      <c r="A94" s="15" t="s">
        <v>1004</v>
      </c>
      <c r="B94" s="12" t="str">
        <f>IFERROR(INDEX(MASTER!$C$2:$C$2000,MATCH($A94,MASTER!$A$2:$A$2000,0))&amp;"","")</f>
        <v>BILLING</v>
      </c>
      <c r="C94" s="16">
        <f>IFERROR(INDEX(MASTER!$B$2:$B$2000,MATCH($A94,MASTER!$A$2:$A$2000,0)),"")</f>
        <v>6</v>
      </c>
      <c r="D94" s="12" t="str">
        <f>IFERROR(INDEX(MASTER!$D$2:$D$2000,MATCH($A94,MASTER!$A$2:$A$2000,0))&amp;"","")</f>
        <v>Atomic entitlement checks</v>
      </c>
      <c r="E94" s="12" t="str">
        <f>IFERROR(INDEX(MASTER!$F$2:$F$2000,MATCH($A94,MASTER!$A$2:$A$2000,0))&amp;"","")</f>
        <v>P0</v>
      </c>
      <c r="F94" s="12" t="str">
        <f>IFERROR(INDEX(MASTER!$G$2:$G$2000,MATCH($A94,MASTER!$A$2:$A$2000,0))&amp;"","NOT IN MASTER")</f>
        <v>DONE</v>
      </c>
      <c r="G94" s="12" t="str">
        <f>IFERROR(INDEX(MASTER!$H$2:$H$2000,MATCH($A94,MASTER!$A$2:$A$2000,0))&amp;"","")</f>
        <v>backend/app/services/entitlements_service.py (UsageReservations), app/jobs/runner.py, app/api/deps.py, docs/cloud-reports/PLAN-001-005.md</v>
      </c>
      <c r="H94" s="12" t="str">
        <f>IFERROR(INDEX(MASTER!$I$2:$I$2000,MATCH($A94,MASTER!$A$2:$A$2000,0))&amp;"","")</f>
        <v>backend/tests/test_usage_reservations.py, test_plan_limits_atomic.py</v>
      </c>
      <c r="I94" s="19">
        <f>IFERROR(IF(INDEX(MASTER!$O$2:$O$2000,MATCH($A94,MASTER!$A$2:$A$2000,0))="","",INDEX(MASTER!$O$2:$O$2000,MATCH($A94,MASTER!$A$2:$A$2000,0))),"")</f>
        <v>46301.615300925929</v>
      </c>
      <c r="J94" s="12" t="str">
        <f>IFERROR(INDEX(MASTER!$P$2:$P$2000,MATCH($A94,MASTER!$A$2:$A$2000,0))&amp;"","")</f>
        <v>d7682c0</v>
      </c>
      <c r="K94" s="12" t="str">
        <f>IFERROR(INDEX(MASTER!$Q$2:$Q$2000,MATCH($A94,MASTER!$A$2:$A$2000,0))&amp;"","")</f>
        <v>2026-10-01: documents, templates and storage held (b165cea): the check right before the use holds the workspace row until the use is committed; a second request waits and counts it. Remaining: AI operations (a reservation per call, released on failure, consistent with JOB-001's retries and timeouts) after the cloud's JOB-001 merges. PostgreSQL run: TEST-031.</v>
      </c>
      <c r="L94" s="12" t="str">
        <f>IFERROR(INDEX(MASTER!$R$2:$R$2000,MATCH($A94,MASTER!$A$2:$A$2000,0))&amp;"","")</f>
        <v/>
      </c>
    </row>
    <row r="95" spans="1:12" x14ac:dyDescent="0.25">
      <c r="A95" s="15" t="s">
        <v>1022</v>
      </c>
      <c r="B95" s="12" t="str">
        <f>IFERROR(INDEX(MASTER!$C$2:$C$2000,MATCH($A95,MASTER!$A$2:$A$2000,0))&amp;"","")</f>
        <v>PDF</v>
      </c>
      <c r="C95" s="16">
        <f>IFERROR(INDEX(MASTER!$B$2:$B$2000,MATCH($A95,MASTER!$A$2:$A$2000,0)),"")</f>
        <v>7</v>
      </c>
      <c r="D95" s="12" t="str">
        <f>IFERROR(INDEX(MASTER!$D$2:$D$2000,MATCH($A95,MASTER!$A$2:$A$2000,0))&amp;"","")</f>
        <v>Geometry-aware PDF parser</v>
      </c>
      <c r="E95" s="12" t="str">
        <f>IFERROR(INDEX(MASTER!$F$2:$F$2000,MATCH($A95,MASTER!$A$2:$A$2000,0))&amp;"","")</f>
        <v>P0</v>
      </c>
      <c r="F95" s="12" t="str">
        <f>IFERROR(INDEX(MASTER!$G$2:$G$2000,MATCH($A95,MASTER!$A$2:$A$2000,0))&amp;"","NOT IN MASTER")</f>
        <v>DONE</v>
      </c>
      <c r="G95" s="12" t="str">
        <f>IFERROR(INDEX(MASTER!$H$2:$H$2000,MATCH($A95,MASTER!$A$2:$A$2000,0))&amp;"","")</f>
        <v>backend/app/parsers/pdf_geometry.py (pdfminer.six, MIT), docs/cloud-reports/PDF-010-012.md</v>
      </c>
      <c r="H95" s="12" t="str">
        <f>IFERROR(INDEX(MASTER!$I$2:$I$2000,MATCH($A95,MASTER!$A$2:$A$2000,0))&amp;"","")</f>
        <v>backend/tests/test_pdf_geometry.py</v>
      </c>
      <c r="I95" s="19">
        <f>IFERROR(IF(INDEX(MASTER!$O$2:$O$2000,MATCH($A95,MASTER!$A$2:$A$2000,0))="","",INDEX(MASTER!$O$2:$O$2000,MATCH($A95,MASTER!$A$2:$A$2000,0))),"")</f>
        <v>46301.615659722222</v>
      </c>
      <c r="J95" s="12" t="str">
        <f>IFERROR(INDEX(MASTER!$P$2:$P$2000,MATCH($A95,MASTER!$A$2:$A$2000,0))&amp;"","")</f>
        <v>68940e6</v>
      </c>
      <c r="K95" s="12" t="str">
        <f>IFERROR(INDEX(MASTER!$Q$2:$Q$2000,MATCH($A95,MASTER!$A$2:$A$2000,0))&amp;"","")</f>
        <v/>
      </c>
      <c r="L95" s="12" t="str">
        <f>IFERROR(INDEX(MASTER!$R$2:$R$2000,MATCH($A95,MASTER!$A$2:$A$2000,0))&amp;"","")</f>
        <v/>
      </c>
    </row>
    <row r="96" spans="1:12" x14ac:dyDescent="0.25">
      <c r="A96" s="15" t="s">
        <v>1029</v>
      </c>
      <c r="B96" s="12" t="str">
        <f>IFERROR(INDEX(MASTER!$C$2:$C$2000,MATCH($A96,MASTER!$A$2:$A$2000,0))&amp;"","")</f>
        <v>PDF</v>
      </c>
      <c r="C96" s="16">
        <f>IFERROR(INDEX(MASTER!$B$2:$B$2000,MATCH($A96,MASTER!$A$2:$A$2000,0)),"")</f>
        <v>7</v>
      </c>
      <c r="D96" s="12" t="str">
        <f>IFERROR(INDEX(MASTER!$D$2:$D$2000,MATCH($A96,MASTER!$A$2:$A$2000,0))&amp;"","")</f>
        <v>Page classifier</v>
      </c>
      <c r="E96" s="12" t="str">
        <f>IFERROR(INDEX(MASTER!$F$2:$F$2000,MATCH($A96,MASTER!$A$2:$A$2000,0))&amp;"","")</f>
        <v>P0</v>
      </c>
      <c r="F96" s="12" t="str">
        <f>IFERROR(INDEX(MASTER!$G$2:$G$2000,MATCH($A96,MASTER!$A$2:$A$2000,0))&amp;"","NOT IN MASTER")</f>
        <v>DONE</v>
      </c>
      <c r="G96" s="12" t="str">
        <f>IFERROR(INDEX(MASTER!$H$2:$H$2000,MATCH($A96,MASTER!$A$2:$A$2000,0))&amp;"","")</f>
        <v>page classifier TEXT/SCANNED/HYBRID with evidence</v>
      </c>
      <c r="H96" s="12" t="str">
        <f>IFERROR(INDEX(MASTER!$I$2:$I$2000,MATCH($A96,MASTER!$A$2:$A$2000,0))&amp;"","")</f>
        <v>backend/tests/test_pdf_inspection.py</v>
      </c>
      <c r="I96" s="19">
        <f>IFERROR(IF(INDEX(MASTER!$O$2:$O$2000,MATCH($A96,MASTER!$A$2:$A$2000,0))="","",INDEX(MASTER!$O$2:$O$2000,MATCH($A96,MASTER!$A$2:$A$2000,0))),"")</f>
        <v>46301.615706018521</v>
      </c>
      <c r="J96" s="12" t="str">
        <f>IFERROR(INDEX(MASTER!$P$2:$P$2000,MATCH($A96,MASTER!$A$2:$A$2000,0))&amp;"","")</f>
        <v>68940e6</v>
      </c>
      <c r="K96" s="12" t="str">
        <f>IFERROR(INDEX(MASTER!$Q$2:$Q$2000,MATCH($A96,MASTER!$A$2:$A$2000,0))&amp;"","")</f>
        <v/>
      </c>
      <c r="L96" s="12" t="str">
        <f>IFERROR(INDEX(MASTER!$R$2:$R$2000,MATCH($A96,MASTER!$A$2:$A$2000,0))&amp;"","")</f>
        <v/>
      </c>
    </row>
    <row r="97" spans="1:12" x14ac:dyDescent="0.25">
      <c r="A97" s="15" t="s">
        <v>1038</v>
      </c>
      <c r="B97" s="12" t="str">
        <f>IFERROR(INDEX(MASTER!$C$2:$C$2000,MATCH($A97,MASTER!$A$2:$A$2000,0))&amp;"","")</f>
        <v>P2E</v>
      </c>
      <c r="C97" s="16">
        <f>IFERROR(INDEX(MASTER!$B$2:$B$2000,MATCH($A97,MASTER!$A$2:$A$2000,0)),"")</f>
        <v>8</v>
      </c>
      <c r="D97" s="12" t="str">
        <f>IFERROR(INDEX(MASTER!$D$2:$D$2000,MATCH($A97,MASTER!$A$2:$A$2000,0))&amp;"","")</f>
        <v>Layout primitives where PDF needs them</v>
      </c>
      <c r="E97" s="12" t="str">
        <f>IFERROR(INDEX(MASTER!$F$2:$F$2000,MATCH($A97,MASTER!$A$2:$A$2000,0))&amp;"","")</f>
        <v>P0</v>
      </c>
      <c r="F97" s="12" t="str">
        <f>IFERROR(INDEX(MASTER!$G$2:$G$2000,MATCH($A97,MASTER!$A$2:$A$2000,0))&amp;"","NOT IN MASTER")</f>
        <v>DONE</v>
      </c>
      <c r="G97" s="12" t="str">
        <f>IFERROR(INDEX(MASTER!$H$2:$H$2000,MATCH($A97,MASTER!$A$2:$A$2000,0))&amp;"","")</f>
        <v>backend/app/models/document.py ElementLayout + Element.layout; export/provenance.py keep_provenance keeps it; docs/document-model/README.md</v>
      </c>
      <c r="H97" s="12" t="str">
        <f>IFERROR(INDEX(MASTER!$I$2:$I$2000,MATCH($A97,MASTER!$A$2:$A$2000,0))&amp;"","")</f>
        <v>tests/test_pdf_structure.py::test_the_layout_is_kept_through_saves_and_never_taken_from_the_editor, ::test_a_layout_is_only_what_a_page_can_be, ::test_word_markdown_and_text_documents_carry_no_layout</v>
      </c>
      <c r="I97" s="19">
        <f>IFERROR(IF(INDEX(MASTER!$O$2:$O$2000,MATCH($A97,MASTER!$A$2:$A$2000,0))="","",INDEX(MASTER!$O$2:$O$2000,MATCH($A97,MASTER!$A$2:$A$2000,0))),"")</f>
        <v>46301.819004629629</v>
      </c>
      <c r="J97" s="12" t="str">
        <f>IFERROR(INDEX(MASTER!$P$2:$P$2000,MATCH($A97,MASTER!$A$2:$A$2000,0))&amp;"","")</f>
        <v>4d67979</v>
      </c>
      <c r="K97" s="12" t="str">
        <f>IFERROR(INDEX(MASTER!$Q$2:$Q$2000,MATCH($A97,MASTER!$A$2:$A$2000,0))&amp;"","")</f>
        <v>2026-10-06: layout primitives only where a PDF import needs them (page, box, rotation, lastPage, column, lines, source); the page itself is pdfInspection's page; confidence is Element.confidence. Server-owned like sourceBlocks.</v>
      </c>
      <c r="L97" s="12" t="str">
        <f>IFERROR(INDEX(MASTER!$R$2:$R$2000,MATCH($A97,MASTER!$A$2:$A$2000,0))&amp;"","")</f>
        <v/>
      </c>
    </row>
    <row r="98" spans="1:12" x14ac:dyDescent="0.25">
      <c r="A98" s="15" t="s">
        <v>1045</v>
      </c>
      <c r="B98" s="12" t="str">
        <f>IFERROR(INDEX(MASTER!$C$2:$C$2000,MATCH($A98,MASTER!$A$2:$A$2000,0))&amp;"","")</f>
        <v>P2E</v>
      </c>
      <c r="C98" s="16">
        <f>IFERROR(INDEX(MASTER!$B$2:$B$2000,MATCH($A98,MASTER!$A$2:$A$2000,0)),"")</f>
        <v>8</v>
      </c>
      <c r="D98" s="12" t="str">
        <f>IFERROR(INDEX(MASTER!$D$2:$D$2000,MATCH($A98,MASTER!$A$2:$A$2000,0))&amp;"","")</f>
        <v>Structure reconstruction</v>
      </c>
      <c r="E98" s="12" t="str">
        <f>IFERROR(INDEX(MASTER!$F$2:$F$2000,MATCH($A98,MASTER!$A$2:$A$2000,0))&amp;"","")</f>
        <v>P0</v>
      </c>
      <c r="F98" s="12" t="str">
        <f>IFERROR(INDEX(MASTER!$G$2:$G$2000,MATCH($A98,MASTER!$A$2:$A$2000,0))&amp;"","NOT IN MASTER")</f>
        <v>DONE</v>
      </c>
      <c r="G98" s="12" t="str">
        <f>IFERROR(INDEX(MASTER!$H$2:$H$2000,MATCH($A98,MASTER!$A$2:$A$2000,0))&amp;"","")</f>
        <v>backend/app/parsers/pdf_structure.py; services/ingestion_service.py _read_pdf_layout/_rebuilt; docs/architecture/fidelity.md 'The PDF -&gt; editable reconstruction'; capability pdf.import_structure</v>
      </c>
      <c r="H98" s="12" t="str">
        <f>IFERROR(INDEX(MASTER!$I$2:$I$2000,MATCH($A98,MASTER!$A$2:$A$2000,0))&amp;"","")</f>
        <v>tests/test_pdf_structure.py (29), tests/test_pdf_inspection.py, e2e/workflows.spec.ts PDF import; 10/10 mutations</v>
      </c>
      <c r="I98" s="19">
        <f>IFERROR(IF(INDEX(MASTER!$O$2:$O$2000,MATCH($A98,MASTER!$A$2:$A$2000,0))="","",INDEX(MASTER!$O$2:$O$2000,MATCH($A98,MASTER!$A$2:$A$2000,0))),"")</f>
        <v>46301.819050925929</v>
      </c>
      <c r="J98" s="12" t="str">
        <f>IFERROR(INDEX(MASTER!$P$2:$P$2000,MATCH($A98,MASTER!$A$2:$A$2000,0))&amp;"","")</f>
        <v>4d67979</v>
      </c>
      <c r="K98" s="12" t="str">
        <f>IFERROR(INDEX(MASTER!$Q$2:$Q$2000,MATCH($A98,MASTER!$A$2:$A$2000,0))&amp;"","")</f>
        <v>2026-10-06: deterministic, one geometry read. XY cut with column test; paragraphs, headings (size/bold), lists (bullets/numbers/indent, numbering checked), captions, running header/footer/page numbers -&gt; settings, links/colours/bold/italic. Fallback to the text read when pages are missing or &gt;5% of its words aren't found. Tables stay a row a paragraph until P2E-004; pictures P2E-003.</v>
      </c>
      <c r="L98" s="12" t="str">
        <f>IFERROR(INDEX(MASTER!$R$2:$R$2000,MATCH($A98,MASTER!$A$2:$A$2000,0))&amp;"","")</f>
        <v/>
      </c>
    </row>
    <row r="99" spans="1:12" x14ac:dyDescent="0.25">
      <c r="A99" s="15" t="s">
        <v>1066</v>
      </c>
      <c r="B99" s="12" t="str">
        <f>IFERROR(INDEX(MASTER!$C$2:$C$2000,MATCH($A99,MASTER!$A$2:$A$2000,0))&amp;"","")</f>
        <v>P2E</v>
      </c>
      <c r="C99" s="16">
        <f>IFERROR(INDEX(MASTER!$B$2:$B$2000,MATCH($A99,MASTER!$A$2:$A$2000,0)),"")</f>
        <v>8</v>
      </c>
      <c r="D99" s="12" t="str">
        <f>IFERROR(INDEX(MASTER!$D$2:$D$2000,MATCH($A99,MASTER!$A$2:$A$2000,0))&amp;"","")</f>
        <v>Confidence and conversion report</v>
      </c>
      <c r="E99" s="12" t="str">
        <f>IFERROR(INDEX(MASTER!$F$2:$F$2000,MATCH($A99,MASTER!$A$2:$A$2000,0))&amp;"","")</f>
        <v>P0</v>
      </c>
      <c r="F99" s="12" t="str">
        <f>IFERROR(INDEX(MASTER!$G$2:$G$2000,MATCH($A99,MASTER!$A$2:$A$2000,0))&amp;"","NOT IN MASTER")</f>
        <v>DONE</v>
      </c>
      <c r="G99" s="12" t="str">
        <f>IFERROR(INDEX(MASTER!$H$2:$H$2000,MATCH($A99,MASTER!$A$2:$A$2000,0))&amp;"","")</f>
        <v>backend/app/fidelity/pdf_conversion.py; models/pdf_inspection.py PdfConversion/PdfAspectConfidence; Document.pdfConversion; docs/architecture/fidelity.md 'The PDF conversion's confidence and report'; capabilities pdf.conversion_confidence, pdf.import_extras</v>
      </c>
      <c r="H99" s="12" t="str">
        <f>IFERROR(INDEX(MASTER!$I$2:$I$2000,MATCH($A99,MASTER!$A$2:$A$2000,0))&amp;"","")</f>
        <v>tests/test_pdf_conversion.py (8); 6/6 mutations</v>
      </c>
      <c r="I99" s="19">
        <f>IFERROR(IF(INDEX(MASTER!$O$2:$O$2000,MATCH($A99,MASTER!$A$2:$A$2000,0))="","",INDEX(MASTER!$O$2:$O$2000,MATCH($A99,MASTER!$A$2:$A$2000,0))),"")</f>
        <v>46301.832280092603</v>
      </c>
      <c r="J99" s="12" t="str">
        <f>IFERROR(INDEX(MASTER!$P$2:$P$2000,MATCH($A99,MASTER!$A$2:$A$2000,0))&amp;"","")</f>
        <v>33c0e4b</v>
      </c>
      <c r="K99" s="12" t="str">
        <f>IFERROR(INDEX(MASTER!$Q$2:$Q$2000,MATCH($A99,MASTER!$A$2:$A$2000,0))&amp;"","")</f>
        <v>2026-10-06: per-element confidence (Element.confidence, P2E-002) + per-aspect and overall conversion confidence; report items for annotations, form fields, outline, links; nothing dropped silently. Shown in the UI with P2E-007.</v>
      </c>
      <c r="L99" s="12" t="str">
        <f>IFERROR(INDEX(MASTER!$R$2:$R$2000,MATCH($A99,MASTER!$A$2:$A$2000,0))&amp;"","")</f>
        <v/>
      </c>
    </row>
    <row r="100" spans="1:12" x14ac:dyDescent="0.25">
      <c r="A100" s="15" t="s">
        <v>1089</v>
      </c>
      <c r="B100" s="12" t="str">
        <f>IFERROR(INDEX(MASTER!$C$2:$C$2000,MATCH($A100,MASTER!$A$2:$A$2000,0))&amp;"","")</f>
        <v>P2E</v>
      </c>
      <c r="C100" s="16">
        <f>IFERROR(INDEX(MASTER!$B$2:$B$2000,MATCH($A100,MASTER!$A$2:$A$2000,0)),"")</f>
        <v>8</v>
      </c>
      <c r="D100" s="12" t="str">
        <f>IFERROR(INDEX(MASTER!$D$2:$D$2000,MATCH($A100,MASTER!$A$2:$A$2000,0))&amp;"","")</f>
        <v>PDF fixtures and tests</v>
      </c>
      <c r="E100" s="12" t="str">
        <f>IFERROR(INDEX(MASTER!$F$2:$F$2000,MATCH($A100,MASTER!$A$2:$A$2000,0))&amp;"","")</f>
        <v>P0</v>
      </c>
      <c r="F100" s="12" t="str">
        <f>IFERROR(INDEX(MASTER!$G$2:$G$2000,MATCH($A100,MASTER!$A$2:$A$2000,0))&amp;"","NOT IN MASTER")</f>
        <v>DONE</v>
      </c>
      <c r="G100" s="12" t="str">
        <f>IFERROR(INDEX(MASTER!$H$2:$H$2000,MATCH($A100,MASTER!$A$2:$A$2000,0))&amp;"","")</f>
        <v>structure.pdf (lists, nesting, numbered from 3, running header, page numbers, caption, paragraph across pages)</v>
      </c>
      <c r="H100" s="12" t="str">
        <f>IFERROR(INDEX(MASTER!$I$2:$I$2000,MATCH($A100,MASTER!$A$2:$A$2000,0))&amp;"","")</f>
        <v>tests/test_pdf_structure.py: expected structure of every fixture</v>
      </c>
      <c r="I100" s="19">
        <f>IFERROR(IF(INDEX(MASTER!$O$2:$O$2000,MATCH($A100,MASTER!$A$2:$A$2000,0))="","",INDEX(MASTER!$O$2:$O$2000,MATCH($A100,MASTER!$A$2:$A$2000,0))),"")</f>
        <v>46301.819097222222</v>
      </c>
      <c r="J100" s="12" t="str">
        <f>IFERROR(INDEX(MASTER!$P$2:$P$2000,MATCH($A100,MASTER!$A$2:$A$2000,0))&amp;"","")</f>
        <v>4d67979</v>
      </c>
      <c r="K100" s="12" t="str">
        <f>IFERROR(INDEX(MASTER!$Q$2:$Q$2000,MATCH($A100,MASTER!$A$2:$A$2000,0))&amp;"","")</f>
        <v>2026-10-06: fixtures (text, columns, table, pictures, scanned, hybrid, rotated, multilingual) and their builder from PDF-010..012 (68940e6); the reconstruction tests come with P2E-002.; 2026-10-06: every fixture's expected structure tested; the table fixture's as a table comes with P2E-004.</v>
      </c>
      <c r="L100" s="12" t="str">
        <f>IFERROR(INDEX(MASTER!$R$2:$R$2000,MATCH($A100,MASTER!$A$2:$A$2000,0))&amp;"","")</f>
        <v/>
      </c>
    </row>
    <row r="101" spans="1:12" x14ac:dyDescent="0.25">
      <c r="A101" s="15" t="s">
        <v>1125</v>
      </c>
      <c r="B101" s="12" t="str">
        <f>IFERROR(INDEX(MASTER!$C$2:$C$2000,MATCH($A101,MASTER!$A$2:$A$2000,0))&amp;"","")</f>
        <v>TRANSLATION</v>
      </c>
      <c r="C101" s="16">
        <f>IFERROR(INDEX(MASTER!$B$2:$B$2000,MATCH($A101,MASTER!$A$2:$A$2000,0)),"")</f>
        <v>10</v>
      </c>
      <c r="D101" s="12" t="str">
        <f>IFERROR(INDEX(MASTER!$D$2:$D$2000,MATCH($A101,MASTER!$A$2:$A$2000,0))&amp;"","")</f>
        <v>Segments and tag protocol</v>
      </c>
      <c r="E101" s="12" t="str">
        <f>IFERROR(INDEX(MASTER!$F$2:$F$2000,MATCH($A101,MASTER!$A$2:$A$2000,0))&amp;"","")</f>
        <v>P0</v>
      </c>
      <c r="F101" s="12" t="str">
        <f>IFERROR(INDEX(MASTER!$G$2:$G$2000,MATCH($A101,MASTER!$A$2:$A$2000,0))&amp;"","NOT IN MASTER")</f>
        <v>DONE</v>
      </c>
      <c r="G101" s="12" t="str">
        <f>IFERROR(INDEX(MASTER!$H$2:$H$2000,MATCH($A101,MASTER!$A$2:$A$2000,0))&amp;"","")</f>
        <v>backend/app/translation/{segments,providers,validation}.py</v>
      </c>
      <c r="H101" s="12" t="str">
        <f>IFERROR(INDEX(MASTER!$I$2:$I$2000,MATCH($A101,MASTER!$A$2:$A$2000,0))&amp;"","")</f>
        <v>tests/test_translation_core.py (20); 11/11 mutations</v>
      </c>
      <c r="I101" s="19">
        <f>IFERROR(IF(INDEX(MASTER!$O$2:$O$2000,MATCH($A101,MASTER!$A$2:$A$2000,0))="","",INDEX(MASTER!$O$2:$O$2000,MATCH($A101,MASTER!$A$2:$A$2000,0))),"")</f>
        <v>46301.890613425923</v>
      </c>
      <c r="J101" s="12" t="str">
        <f>IFERROR(INDEX(MASTER!$P$2:$P$2000,MATCH($A101,MASTER!$A$2:$A$2000,0))&amp;"","")</f>
        <v>a5a341c</v>
      </c>
      <c r="K101" s="12" t="str">
        <f>IFERROR(INDEX(MASTER!$Q$2:$Q$2000,MATCH($A101,MASTER!$A$2:$A$2000,0))&amp;"","")</f>
        <v>2026-10-06: core of Phase 10; wired into proposals/versions next (TRAN-005/006).</v>
      </c>
      <c r="L101" s="12" t="str">
        <f>IFERROR(INDEX(MASTER!$R$2:$R$2000,MATCH($A101,MASTER!$A$2:$A$2000,0))&amp;"","")</f>
        <v/>
      </c>
    </row>
    <row r="102" spans="1:12" x14ac:dyDescent="0.25">
      <c r="A102" s="15" t="s">
        <v>1133</v>
      </c>
      <c r="B102" s="12" t="str">
        <f>IFERROR(INDEX(MASTER!$C$2:$C$2000,MATCH($A102,MASTER!$A$2:$A$2000,0))&amp;"","")</f>
        <v>TRANSLATION</v>
      </c>
      <c r="C102" s="16">
        <f>IFERROR(INDEX(MASTER!$B$2:$B$2000,MATCH($A102,MASTER!$A$2:$A$2000,0)),"")</f>
        <v>10</v>
      </c>
      <c r="D102" s="12" t="str">
        <f>IFERROR(INDEX(MASTER!$D$2:$D$2000,MATCH($A102,MASTER!$A$2:$A$2000,0))&amp;"","")</f>
        <v>TranslationProvider abstraction</v>
      </c>
      <c r="E102" s="12" t="str">
        <f>IFERROR(INDEX(MASTER!$F$2:$F$2000,MATCH($A102,MASTER!$A$2:$A$2000,0))&amp;"","")</f>
        <v>P0</v>
      </c>
      <c r="F102" s="12" t="str">
        <f>IFERROR(INDEX(MASTER!$G$2:$G$2000,MATCH($A102,MASTER!$A$2:$A$2000,0))&amp;"","NOT IN MASTER")</f>
        <v>DONE</v>
      </c>
      <c r="G102" s="12" t="str">
        <f>IFERROR(INDEX(MASTER!$H$2:$H$2000,MATCH($A102,MASTER!$A$2:$A$2000,0))&amp;"","")</f>
        <v>backend/app/translation/{segments,providers,validation}.py</v>
      </c>
      <c r="H102" s="12" t="str">
        <f>IFERROR(INDEX(MASTER!$I$2:$I$2000,MATCH($A102,MASTER!$A$2:$A$2000,0))&amp;"","")</f>
        <v>tests/test_translation_core.py (20); 11/11 mutations</v>
      </c>
      <c r="I102" s="19">
        <f>IFERROR(IF(INDEX(MASTER!$O$2:$O$2000,MATCH($A102,MASTER!$A$2:$A$2000,0))="","",INDEX(MASTER!$O$2:$O$2000,MATCH($A102,MASTER!$A$2:$A$2000,0))),"")</f>
        <v>46301.890648148154</v>
      </c>
      <c r="J102" s="12" t="str">
        <f>IFERROR(INDEX(MASTER!$P$2:$P$2000,MATCH($A102,MASTER!$A$2:$A$2000,0))&amp;"","")</f>
        <v>a5a341c</v>
      </c>
      <c r="K102" s="12" t="str">
        <f>IFERROR(INDEX(MASTER!$Q$2:$Q$2000,MATCH($A102,MASTER!$A$2:$A$2000,0))&amp;"","")</f>
        <v>2026-10-06: core of Phase 10; wired into proposals/versions next (TRAN-005/006).</v>
      </c>
      <c r="L102" s="12" t="str">
        <f>IFERROR(INDEX(MASTER!$R$2:$R$2000,MATCH($A102,MASTER!$A$2:$A$2000,0))&amp;"","")</f>
        <v/>
      </c>
    </row>
    <row r="103" spans="1:12" x14ac:dyDescent="0.25">
      <c r="A103" s="15" t="s">
        <v>1136</v>
      </c>
      <c r="B103" s="12" t="str">
        <f>IFERROR(INDEX(MASTER!$C$2:$C$2000,MATCH($A103,MASTER!$A$2:$A$2000,0))&amp;"","")</f>
        <v>TRANSLATION</v>
      </c>
      <c r="C103" s="16">
        <f>IFERROR(INDEX(MASTER!$B$2:$B$2000,MATCH($A103,MASTER!$A$2:$A$2000,0)),"")</f>
        <v>10</v>
      </c>
      <c r="D103" s="12" t="str">
        <f>IFERROR(INDEX(MASTER!$D$2:$D$2000,MATCH($A103,MASTER!$A$2:$A$2000,0))&amp;"","")</f>
        <v>Translation validation</v>
      </c>
      <c r="E103" s="12" t="str">
        <f>IFERROR(INDEX(MASTER!$F$2:$F$2000,MATCH($A103,MASTER!$A$2:$A$2000,0))&amp;"","")</f>
        <v>P0</v>
      </c>
      <c r="F103" s="12" t="str">
        <f>IFERROR(INDEX(MASTER!$G$2:$G$2000,MATCH($A103,MASTER!$A$2:$A$2000,0))&amp;"","NOT IN MASTER")</f>
        <v>DONE</v>
      </c>
      <c r="G103" s="12" t="str">
        <f>IFERROR(INDEX(MASTER!$H$2:$H$2000,MATCH($A103,MASTER!$A$2:$A$2000,0))&amp;"","")</f>
        <v>backend/app/translation/{segments,providers,validation}.py</v>
      </c>
      <c r="H103" s="12" t="str">
        <f>IFERROR(INDEX(MASTER!$I$2:$I$2000,MATCH($A103,MASTER!$A$2:$A$2000,0))&amp;"","")</f>
        <v>tests/test_translation_core.py (20); 11/11 mutations</v>
      </c>
      <c r="I103" s="19">
        <f>IFERROR(IF(INDEX(MASTER!$O$2:$O$2000,MATCH($A103,MASTER!$A$2:$A$2000,0))="","",INDEX(MASTER!$O$2:$O$2000,MATCH($A103,MASTER!$A$2:$A$2000,0))),"")</f>
        <v>46301.890694444453</v>
      </c>
      <c r="J103" s="12" t="str">
        <f>IFERROR(INDEX(MASTER!$P$2:$P$2000,MATCH($A103,MASTER!$A$2:$A$2000,0))&amp;"","")</f>
        <v>a5a341c</v>
      </c>
      <c r="K103" s="12" t="str">
        <f>IFERROR(INDEX(MASTER!$Q$2:$Q$2000,MATCH($A103,MASTER!$A$2:$A$2000,0))&amp;"","")</f>
        <v>2026-10-06: core of Phase 10; wired into proposals/versions next (TRAN-005/006).</v>
      </c>
      <c r="L103" s="12" t="str">
        <f>IFERROR(INDEX(MASTER!$R$2:$R$2000,MATCH($A103,MASTER!$A$2:$A$2000,0))&amp;"","")</f>
        <v/>
      </c>
    </row>
    <row r="104" spans="1:12" x14ac:dyDescent="0.25">
      <c r="A104" s="15" t="s">
        <v>1147</v>
      </c>
      <c r="B104" s="12" t="str">
        <f>IFERROR(INDEX(MASTER!$C$2:$C$2000,MATCH($A104,MASTER!$A$2:$A$2000,0))&amp;"","")</f>
        <v>TRANSLATION</v>
      </c>
      <c r="C104" s="16">
        <f>IFERROR(INDEX(MASTER!$B$2:$B$2000,MATCH($A104,MASTER!$A$2:$A$2000,0)),"")</f>
        <v>10</v>
      </c>
      <c r="D104" s="12" t="str">
        <f>IFERROR(INDEX(MASTER!$D$2:$D$2000,MATCH($A104,MASTER!$A$2:$A$2000,0))&amp;"","")</f>
        <v>Selection/paragraph/block translation proposals</v>
      </c>
      <c r="E104" s="12" t="str">
        <f>IFERROR(INDEX(MASTER!$F$2:$F$2000,MATCH($A104,MASTER!$A$2:$A$2000,0))&amp;"","")</f>
        <v>P0</v>
      </c>
      <c r="F104" s="12" t="str">
        <f>IFERROR(INDEX(MASTER!$G$2:$G$2000,MATCH($A104,MASTER!$A$2:$A$2000,0))&amp;"","NOT IN MASTER")</f>
        <v>DONE</v>
      </c>
      <c r="G104" s="12" t="str">
        <f>IFERROR(INDEX(MASTER!$H$2:$H$2000,MATCH($A104,MASTER!$A$2:$A$2000,0))&amp;"","")</f>
        <v>backend/app/translation/*, services/translation_service.py, api/documents.py translate/language/glossary, api/jobs.py translate-document, frontend/editor/panels/TranslatePanel.tsx; docs/translation/README.md</v>
      </c>
      <c r="H104" s="12" t="str">
        <f>IFERROR(INDEX(MASTER!$I$2:$I$2000,MATCH($A104,MASTER!$A$2:$A$2000,0))&amp;"","")</f>
        <v>tests/test_translation_api.py (9), test_translation_extra.py (3), test_translation_core.py (20); Vitest TranslatePanel/translationTarget (+11); e2e/translation.spec.ts (2); mutations 11/11 + 9/9</v>
      </c>
      <c r="I104" s="19">
        <f>IFERROR(IF(INDEX(MASTER!$O$2:$O$2000,MATCH($A104,MASTER!$A$2:$A$2000,0))="","",INDEX(MASTER!$O$2:$O$2000,MATCH($A104,MASTER!$A$2:$A$2000,0))),"")</f>
        <v>46301.923217592594</v>
      </c>
      <c r="J104" s="12" t="str">
        <f>IFERROR(INDEX(MASTER!$P$2:$P$2000,MATCH($A104,MASTER!$A$2:$A$2000,0))&amp;"","")</f>
        <v>23b6c56</v>
      </c>
      <c r="K104" s="12" t="str">
        <f>IFERROR(INDEX(MASTER!$Q$2:$Q$2000,MATCH($A104,MASTER!$A$2:$A$2000,0))&amp;"","")</f>
        <v>2026-10-06: see docs/translation/README.md section for this task.</v>
      </c>
      <c r="L104" s="12" t="str">
        <f>IFERROR(INDEX(MASTER!$R$2:$R$2000,MATCH($A104,MASTER!$A$2:$A$2000,0))&amp;"","")</f>
        <v/>
      </c>
    </row>
    <row r="105" spans="1:12" x14ac:dyDescent="0.25">
      <c r="A105" s="15" t="s">
        <v>1151</v>
      </c>
      <c r="B105" s="12" t="str">
        <f>IFERROR(INDEX(MASTER!$C$2:$C$2000,MATCH($A105,MASTER!$A$2:$A$2000,0))&amp;"","")</f>
        <v>TRANSLATION</v>
      </c>
      <c r="C105" s="16">
        <f>IFERROR(INDEX(MASTER!$B$2:$B$2000,MATCH($A105,MASTER!$A$2:$A$2000,0)),"")</f>
        <v>10</v>
      </c>
      <c r="D105" s="12" t="str">
        <f>IFERROR(INDEX(MASTER!$D$2:$D$2000,MATCH($A105,MASTER!$A$2:$A$2000,0))&amp;"","")</f>
        <v>Whole-document translated version</v>
      </c>
      <c r="E105" s="12" t="str">
        <f>IFERROR(INDEX(MASTER!$F$2:$F$2000,MATCH($A105,MASTER!$A$2:$A$2000,0))&amp;"","")</f>
        <v>P0</v>
      </c>
      <c r="F105" s="12" t="str">
        <f>IFERROR(INDEX(MASTER!$G$2:$G$2000,MATCH($A105,MASTER!$A$2:$A$2000,0))&amp;"","NOT IN MASTER")</f>
        <v>DONE</v>
      </c>
      <c r="G105" s="12" t="str">
        <f>IFERROR(INDEX(MASTER!$H$2:$H$2000,MATCH($A105,MASTER!$A$2:$A$2000,0))&amp;"","")</f>
        <v>backend/app/translation/*, services/translation_service.py, api/documents.py translate/language/glossary, api/jobs.py translate-document, frontend/editor/panels/TranslatePanel.tsx; docs/translation/README.md</v>
      </c>
      <c r="H105" s="12" t="str">
        <f>IFERROR(INDEX(MASTER!$I$2:$I$2000,MATCH($A105,MASTER!$A$2:$A$2000,0))&amp;"","")</f>
        <v>tests/test_translation_api.py (9), test_translation_extra.py (3), test_translation_core.py (20); Vitest TranslatePanel/translationTarget (+11); e2e/translation.spec.ts (2); mutations 11/11 + 9/9</v>
      </c>
      <c r="I105" s="19">
        <f>IFERROR(IF(INDEX(MASTER!$O$2:$O$2000,MATCH($A105,MASTER!$A$2:$A$2000,0))="","",INDEX(MASTER!$O$2:$O$2000,MATCH($A105,MASTER!$A$2:$A$2000,0))),"")</f>
        <v>46301.923263888893</v>
      </c>
      <c r="J105" s="12" t="str">
        <f>IFERROR(INDEX(MASTER!$P$2:$P$2000,MATCH($A105,MASTER!$A$2:$A$2000,0))&amp;"","")</f>
        <v>23b6c56</v>
      </c>
      <c r="K105" s="12" t="str">
        <f>IFERROR(INDEX(MASTER!$Q$2:$Q$2000,MATCH($A105,MASTER!$A$2:$A$2000,0))&amp;"","")</f>
        <v>2026-10-06: see docs/translation/README.md section for this task.</v>
      </c>
      <c r="L105" s="12" t="str">
        <f>IFERROR(INDEX(MASTER!$R$2:$R$2000,MATCH($A105,MASTER!$A$2:$A$2000,0))&amp;"","")</f>
        <v/>
      </c>
    </row>
    <row r="106" spans="1:12" x14ac:dyDescent="0.25">
      <c r="A106" s="15" t="s">
        <v>1157</v>
      </c>
      <c r="B106" s="12" t="str">
        <f>IFERROR(INDEX(MASTER!$C$2:$C$2000,MATCH($A106,MASTER!$A$2:$A$2000,0))&amp;"","")</f>
        <v>TRANSLATION</v>
      </c>
      <c r="C106" s="16">
        <f>IFERROR(INDEX(MASTER!$B$2:$B$2000,MATCH($A106,MASTER!$A$2:$A$2000,0)),"")</f>
        <v>10</v>
      </c>
      <c r="D106" s="12" t="str">
        <f>IFERROR(INDEX(MASTER!$D$2:$D$2000,MATCH($A106,MASTER!$A$2:$A$2000,0))&amp;"","")</f>
        <v>Translation UX</v>
      </c>
      <c r="E106" s="12" t="str">
        <f>IFERROR(INDEX(MASTER!$F$2:$F$2000,MATCH($A106,MASTER!$A$2:$A$2000,0))&amp;"","")</f>
        <v>P0</v>
      </c>
      <c r="F106" s="12" t="str">
        <f>IFERROR(INDEX(MASTER!$G$2:$G$2000,MATCH($A106,MASTER!$A$2:$A$2000,0))&amp;"","NOT IN MASTER")</f>
        <v>DONE</v>
      </c>
      <c r="G106" s="12" t="str">
        <f>IFERROR(INDEX(MASTER!$H$2:$H$2000,MATCH($A106,MASTER!$A$2:$A$2000,0))&amp;"","")</f>
        <v>backend/app/translation/*, services/translation_service.py, api/documents.py translate/language/glossary, api/jobs.py translate-document, frontend/editor/panels/TranslatePanel.tsx; docs/translation/README.md</v>
      </c>
      <c r="H106" s="12" t="str">
        <f>IFERROR(INDEX(MASTER!$I$2:$I$2000,MATCH($A106,MASTER!$A$2:$A$2000,0))&amp;"","")</f>
        <v>tests/test_translation_api.py (9), test_translation_extra.py (3), test_translation_core.py (20); Vitest TranslatePanel/translationTarget (+11); e2e/translation.spec.ts (2); mutations 11/11 + 9/9</v>
      </c>
      <c r="I106" s="19">
        <f>IFERROR(IF(INDEX(MASTER!$O$2:$O$2000,MATCH($A106,MASTER!$A$2:$A$2000,0))="","",INDEX(MASTER!$O$2:$O$2000,MATCH($A106,MASTER!$A$2:$A$2000,0))),"")</f>
        <v>46301.923356481479</v>
      </c>
      <c r="J106" s="12" t="str">
        <f>IFERROR(INDEX(MASTER!$P$2:$P$2000,MATCH($A106,MASTER!$A$2:$A$2000,0))&amp;"","")</f>
        <v>23b6c56</v>
      </c>
      <c r="K106" s="12" t="str">
        <f>IFERROR(INDEX(MASTER!$Q$2:$Q$2000,MATCH($A106,MASTER!$A$2:$A$2000,0))&amp;"","")</f>
        <v>2026-10-06: see docs/translation/README.md section for this task.</v>
      </c>
      <c r="L106" s="12" t="str">
        <f>IFERROR(INDEX(MASTER!$R$2:$R$2000,MATCH($A106,MASTER!$A$2:$A$2000,0))&amp;"","")</f>
        <v/>
      </c>
    </row>
    <row r="107" spans="1:12" x14ac:dyDescent="0.25">
      <c r="A107" s="15" t="s">
        <v>1163</v>
      </c>
      <c r="B107" s="12" t="str">
        <f>IFERROR(INDEX(MASTER!$C$2:$C$2000,MATCH($A107,MASTER!$A$2:$A$2000,0))&amp;"","")</f>
        <v>TRANSLATION</v>
      </c>
      <c r="C107" s="16">
        <f>IFERROR(INDEX(MASTER!$B$2:$B$2000,MATCH($A107,MASTER!$A$2:$A$2000,0)),"")</f>
        <v>10</v>
      </c>
      <c r="D107" s="12" t="str">
        <f>IFERROR(INDEX(MASTER!$D$2:$D$2000,MATCH($A107,MASTER!$A$2:$A$2000,0))&amp;"","")</f>
        <v>Translation tests</v>
      </c>
      <c r="E107" s="12" t="str">
        <f>IFERROR(INDEX(MASTER!$F$2:$F$2000,MATCH($A107,MASTER!$A$2:$A$2000,0))&amp;"","")</f>
        <v>P0</v>
      </c>
      <c r="F107" s="12" t="str">
        <f>IFERROR(INDEX(MASTER!$G$2:$G$2000,MATCH($A107,MASTER!$A$2:$A$2000,0))&amp;"","NOT IN MASTER")</f>
        <v>DONE</v>
      </c>
      <c r="G107" s="12" t="str">
        <f>IFERROR(INDEX(MASTER!$H$2:$H$2000,MATCH($A107,MASTER!$A$2:$A$2000,0))&amp;"","")</f>
        <v>backend/app/translation/*, services/translation_service.py, api/documents.py translate/language/glossary, api/jobs.py translate-document, frontend/editor/panels/TranslatePanel.tsx; docs/translation/README.md</v>
      </c>
      <c r="H107" s="12" t="str">
        <f>IFERROR(INDEX(MASTER!$I$2:$I$2000,MATCH($A107,MASTER!$A$2:$A$2000,0))&amp;"","")</f>
        <v>tests/test_translation_api.py (9), test_translation_extra.py (3), test_translation_core.py (20); Vitest TranslatePanel/translationTarget (+11); e2e/translation.spec.ts (2); mutations 11/11 + 9/9</v>
      </c>
      <c r="I107" s="19">
        <f>IFERROR(IF(INDEX(MASTER!$O$2:$O$2000,MATCH($A107,MASTER!$A$2:$A$2000,0))="","",INDEX(MASTER!$O$2:$O$2000,MATCH($A107,MASTER!$A$2:$A$2000,0))),"")</f>
        <v>46301.923460648148</v>
      </c>
      <c r="J107" s="12" t="str">
        <f>IFERROR(INDEX(MASTER!$P$2:$P$2000,MATCH($A107,MASTER!$A$2:$A$2000,0))&amp;"","")</f>
        <v>23b6c56</v>
      </c>
      <c r="K107" s="12" t="str">
        <f>IFERROR(INDEX(MASTER!$Q$2:$Q$2000,MATCH($A107,MASTER!$A$2:$A$2000,0))&amp;"","")</f>
        <v>2026-10-06: see docs/translation/README.md section for this task.</v>
      </c>
      <c r="L107" s="12" t="str">
        <f>IFERROR(INDEX(MASTER!$R$2:$R$2000,MATCH($A107,MASTER!$A$2:$A$2000,0))&amp;"","")</f>
        <v/>
      </c>
    </row>
    <row r="108" spans="1:12" x14ac:dyDescent="0.25">
      <c r="A108" s="15" t="s">
        <v>1166</v>
      </c>
      <c r="B108" s="12" t="str">
        <f>IFERROR(INDEX(MASTER!$C$2:$C$2000,MATCH($A108,MASTER!$A$2:$A$2000,0))&amp;"","")</f>
        <v>FONT</v>
      </c>
      <c r="C108" s="16">
        <f>IFERROR(INDEX(MASTER!$B$2:$B$2000,MATCH($A108,MASTER!$A$2:$A$2000,0)),"")</f>
        <v>11</v>
      </c>
      <c r="D108" s="12" t="str">
        <f>IFERROR(INDEX(MASTER!$D$2:$D$2000,MATCH($A108,MASTER!$A$2:$A$2000,0))&amp;"","")</f>
        <v>Font catalogue with Unicode coverage</v>
      </c>
      <c r="E108" s="12" t="str">
        <f>IFERROR(INDEX(MASTER!$F$2:$F$2000,MATCH($A108,MASTER!$A$2:$A$2000,0))&amp;"","")</f>
        <v>P0</v>
      </c>
      <c r="F108" s="12" t="str">
        <f>IFERROR(INDEX(MASTER!$G$2:$G$2000,MATCH($A108,MASTER!$A$2:$A$2000,0))&amp;"","NOT IN MASTER")</f>
        <v>DONE</v>
      </c>
      <c r="G108" s="12" t="str">
        <f>IFERROR(INDEX(MASTER!$H$2:$H$2000,MATCH($A108,MASTER!$A$2:$A$2000,0))&amp;"","")</f>
        <v>backend/app/export/{font_catalogue,font_resolver,rtl}.py, app/bidi.py, pdf_export.py, docx_export.py, fidelity/exports.py; docs/fonts/README.md</v>
      </c>
      <c r="H108" s="12" t="str">
        <f>IFERROR(INDEX(MASTER!$I$2:$I$2000,MATCH($A108,MASTER!$A$2:$A$2000,0))&amp;"","")</f>
        <v>tests/test_multilingual.py (29), test_export_fidelity.py, expected-loss manifests; 11/11 mutations</v>
      </c>
      <c r="I108" s="19">
        <f>IFERROR(IF(INDEX(MASTER!$O$2:$O$2000,MATCH($A108,MASTER!$A$2:$A$2000,0))="","",INDEX(MASTER!$O$2:$O$2000,MATCH($A108,MASTER!$A$2:$A$2000,0))),"")</f>
        <v>46302.364791666667</v>
      </c>
      <c r="J108" s="12" t="str">
        <f>IFERROR(INDEX(MASTER!$P$2:$P$2000,MATCH($A108,MASTER!$A$2:$A$2000,0))&amp;"","")</f>
        <v>ad6887f</v>
      </c>
      <c r="K108" s="12" t="str">
        <f>IFERROR(INDEX(MASTER!$Q$2:$Q$2000,MATCH($A108,MASTER!$A$2:$A$2000,0))&amp;"","")</f>
        <v>2026-10-07: fontTools catalogue -- coverage by script, metrics, embeddability (fsType 2 never embedded).</v>
      </c>
      <c r="L108" s="12" t="str">
        <f>IFERROR(INDEX(MASTER!$R$2:$R$2000,MATCH($A108,MASTER!$A$2:$A$2000,0))&amp;"","")</f>
        <v/>
      </c>
    </row>
    <row r="109" spans="1:12" x14ac:dyDescent="0.25">
      <c r="A109" s="15" t="s">
        <v>1175</v>
      </c>
      <c r="B109" s="12" t="str">
        <f>IFERROR(INDEX(MASTER!$C$2:$C$2000,MATCH($A109,MASTER!$A$2:$A$2000,0))&amp;"","")</f>
        <v>FONT</v>
      </c>
      <c r="C109" s="16">
        <f>IFERROR(INDEX(MASTER!$B$2:$B$2000,MATCH($A109,MASTER!$A$2:$A$2000,0)),"")</f>
        <v>11</v>
      </c>
      <c r="D109" s="12" t="str">
        <f>IFERROR(INDEX(MASTER!$D$2:$D$2000,MATCH($A109,MASTER!$A$2:$A$2000,0))&amp;"","")</f>
        <v>FontResolver</v>
      </c>
      <c r="E109" s="12" t="str">
        <f>IFERROR(INDEX(MASTER!$F$2:$F$2000,MATCH($A109,MASTER!$A$2:$A$2000,0))&amp;"","")</f>
        <v>P0</v>
      </c>
      <c r="F109" s="12" t="str">
        <f>IFERROR(INDEX(MASTER!$G$2:$G$2000,MATCH($A109,MASTER!$A$2:$A$2000,0))&amp;"","NOT IN MASTER")</f>
        <v>DONE</v>
      </c>
      <c r="G109" s="12" t="str">
        <f>IFERROR(INDEX(MASTER!$H$2:$H$2000,MATCH($A109,MASTER!$A$2:$A$2000,0))&amp;"","")</f>
        <v>backend/app/export/{font_catalogue,font_resolver,rtl}.py, app/bidi.py, pdf_export.py, docx_export.py, fidelity/exports.py; docs/fonts/README.md</v>
      </c>
      <c r="H109" s="12" t="str">
        <f>IFERROR(INDEX(MASTER!$I$2:$I$2000,MATCH($A109,MASTER!$A$2:$A$2000,0))&amp;"","")</f>
        <v>tests/test_multilingual.py (29), test_export_fidelity.py, expected-loss manifests; 11/11 mutations</v>
      </c>
      <c r="I109" s="19">
        <f>IFERROR(IF(INDEX(MASTER!$O$2:$O$2000,MATCH($A109,MASTER!$A$2:$A$2000,0))="","",INDEX(MASTER!$O$2:$O$2000,MATCH($A109,MASTER!$A$2:$A$2000,0))),"")</f>
        <v>46302.364837962959</v>
      </c>
      <c r="J109" s="12" t="str">
        <f>IFERROR(INDEX(MASTER!$P$2:$P$2000,MATCH($A109,MASTER!$A$2:$A$2000,0))&amp;"","")</f>
        <v>ad6887f</v>
      </c>
      <c r="K109" s="12" t="str">
        <f>IFERROR(INDEX(MASTER!$Q$2:$Q$2000,MATCH($A109,MASTER!$A$2:$A$2000,0))&amp;"","")</f>
        <v>2026-10-07: deterministic resolver (no AI): script runs, the paragraph's font by letters, script chains, symbol fallback, missing named.</v>
      </c>
      <c r="L109" s="12" t="str">
        <f>IFERROR(INDEX(MASTER!$R$2:$R$2000,MATCH($A109,MASTER!$A$2:$A$2000,0))&amp;"","")</f>
        <v>FONT-001</v>
      </c>
    </row>
    <row r="110" spans="1:12" x14ac:dyDescent="0.25">
      <c r="A110" s="15" t="s">
        <v>1179</v>
      </c>
      <c r="B110" s="12" t="str">
        <f>IFERROR(INDEX(MASTER!$C$2:$C$2000,MATCH($A110,MASTER!$A$2:$A$2000,0))&amp;"","")</f>
        <v>FONT</v>
      </c>
      <c r="C110" s="16">
        <f>IFERROR(INDEX(MASTER!$B$2:$B$2000,MATCH($A110,MASTER!$A$2:$A$2000,0)),"")</f>
        <v>11</v>
      </c>
      <c r="D110" s="12" t="str">
        <f>IFERROR(INDEX(MASTER!$D$2:$D$2000,MATCH($A110,MASTER!$A$2:$A$2000,0))&amp;"","")</f>
        <v>Multilingual PDF rendering</v>
      </c>
      <c r="E110" s="12" t="str">
        <f>IFERROR(INDEX(MASTER!$F$2:$F$2000,MATCH($A110,MASTER!$A$2:$A$2000,0))&amp;"","")</f>
        <v>P0</v>
      </c>
      <c r="F110" s="12" t="str">
        <f>IFERROR(INDEX(MASTER!$G$2:$G$2000,MATCH($A110,MASTER!$A$2:$A$2000,0))&amp;"","NOT IN MASTER")</f>
        <v>DONE</v>
      </c>
      <c r="G110" s="12" t="str">
        <f>IFERROR(INDEX(MASTER!$H$2:$H$2000,MATCH($A110,MASTER!$A$2:$A$2000,0))&amp;"","")</f>
        <v>backend/app/export/{font_catalogue,font_resolver,rtl}.py, app/bidi.py, pdf_export.py, docx_export.py, fidelity/exports.py; docs/fonts/README.md</v>
      </c>
      <c r="H110" s="12" t="str">
        <f>IFERROR(INDEX(MASTER!$I$2:$I$2000,MATCH($A110,MASTER!$A$2:$A$2000,0))&amp;"","")</f>
        <v>tests/test_multilingual.py (29), test_export_fidelity.py, expected-loss manifests; 11/11 mutations</v>
      </c>
      <c r="I110" s="19">
        <f>IFERROR(IF(INDEX(MASTER!$O$2:$O$2000,MATCH($A110,MASTER!$A$2:$A$2000,0))="","",INDEX(MASTER!$O$2:$O$2000,MATCH($A110,MASTER!$A$2:$A$2000,0))),"")</f>
        <v>46302.364884259259</v>
      </c>
      <c r="J110" s="12" t="str">
        <f>IFERROR(INDEX(MASTER!$P$2:$P$2000,MATCH($A110,MASTER!$A$2:$A$2000,0))&amp;"","")</f>
        <v>ad6887f</v>
      </c>
      <c r="K110" s="12" t="str">
        <f>IFERROR(INDEX(MASTER!$Q$2:$Q$2000,MATCH($A110,MASTER!$A$2:$A$2000,0))&amp;"","")</f>
        <v>2026-10-07: HarfBuzz shaping; own UAX#9 bidi as reportlab's rlbidi; RtlParagraph orders lines right to left; notes for undrawable characters and Devanagari/Thai text layer; read-back via pdfminer for RTL documents.</v>
      </c>
      <c r="L110" s="12" t="str">
        <f>IFERROR(INDEX(MASTER!$R$2:$R$2000,MATCH($A110,MASTER!$A$2:$A$2000,0))&amp;"","")</f>
        <v>FONT-002</v>
      </c>
    </row>
    <row r="111" spans="1:12" x14ac:dyDescent="0.25">
      <c r="A111" s="15" t="s">
        <v>1193</v>
      </c>
      <c r="B111" s="12" t="str">
        <f>IFERROR(INDEX(MASTER!$C$2:$C$2000,MATCH($A111,MASTER!$A$2:$A$2000,0))&amp;"","")</f>
        <v>FONT</v>
      </c>
      <c r="C111" s="16">
        <f>IFERROR(INDEX(MASTER!$B$2:$B$2000,MATCH($A111,MASTER!$A$2:$A$2000,0)),"")</f>
        <v>11</v>
      </c>
      <c r="D111" s="12" t="str">
        <f>IFERROR(INDEX(MASTER!$D$2:$D$2000,MATCH($A111,MASTER!$A$2:$A$2000,0))&amp;"","")</f>
        <v>Multilingual tests</v>
      </c>
      <c r="E111" s="12" t="str">
        <f>IFERROR(INDEX(MASTER!$F$2:$F$2000,MATCH($A111,MASTER!$A$2:$A$2000,0))&amp;"","")</f>
        <v>P0</v>
      </c>
      <c r="F111" s="12" t="str">
        <f>IFERROR(INDEX(MASTER!$G$2:$G$2000,MATCH($A111,MASTER!$A$2:$A$2000,0))&amp;"","NOT IN MASTER")</f>
        <v>DONE</v>
      </c>
      <c r="G111" s="12" t="str">
        <f>IFERROR(INDEX(MASTER!$H$2:$H$2000,MATCH($A111,MASTER!$A$2:$A$2000,0))&amp;"","")</f>
        <v>backend/app/export/{font_catalogue,font_resolver,rtl}.py, app/bidi.py, pdf_export.py, docx_export.py, fidelity/exports.py; docs/fonts/README.md</v>
      </c>
      <c r="H111" s="12" t="str">
        <f>IFERROR(INDEX(MASTER!$I$2:$I$2000,MATCH($A111,MASTER!$A$2:$A$2000,0))&amp;"","")</f>
        <v>tests/test_multilingual.py (29), test_export_fidelity.py, expected-loss manifests; 11/11 mutations</v>
      </c>
      <c r="I111" s="19">
        <f>IFERROR(IF(INDEX(MASTER!$O$2:$O$2000,MATCH($A111,MASTER!$A$2:$A$2000,0))="","",INDEX(MASTER!$O$2:$O$2000,MATCH($A111,MASTER!$A$2:$A$2000,0))),"")</f>
        <v>46302.364976851852</v>
      </c>
      <c r="J111" s="12" t="str">
        <f>IFERROR(INDEX(MASTER!$P$2:$P$2000,MATCH($A111,MASTER!$A$2:$A$2000,0))&amp;"","")</f>
        <v>ad6887f</v>
      </c>
      <c r="K111" s="12" t="str">
        <f>IFERROR(INDEX(MASTER!$Q$2:$Q$2000,MATCH($A111,MASTER!$A$2:$A$2000,0))&amp;"","")</f>
        <v>2026-10-07: script matrix x PDF (on the machine's fonts; uncovered scripts expected to be reported) and Word XML; bidi checked against python-bidi.</v>
      </c>
      <c r="L111" s="12" t="str">
        <f>IFERROR(INDEX(MASTER!$R$2:$R$2000,MATCH($A111,MASTER!$A$2:$A$2000,0))&amp;"","")</f>
        <v>FONT-003</v>
      </c>
    </row>
    <row r="112" spans="1:12" x14ac:dyDescent="0.25">
      <c r="A112" s="15" t="s">
        <v>1234</v>
      </c>
      <c r="B112" s="12" t="str">
        <f>IFERROR(INDEX(MASTER!$C$2:$C$2000,MATCH($A112,MASTER!$A$2:$A$2000,0))&amp;"","")</f>
        <v>REVIEW</v>
      </c>
      <c r="C112" s="16">
        <f>IFERROR(INDEX(MASTER!$B$2:$B$2000,MATCH($A112,MASTER!$A$2:$A$2000,0)),"")</f>
        <v>14</v>
      </c>
      <c r="D112" s="12" t="str">
        <f>IFERROR(INDEX(MASTER!$D$2:$D$2000,MATCH($A112,MASTER!$A$2:$A$2000,0))&amp;"","")</f>
        <v>Review Changes UI</v>
      </c>
      <c r="E112" s="12" t="str">
        <f>IFERROR(INDEX(MASTER!$F$2:$F$2000,MATCH($A112,MASTER!$A$2:$A$2000,0))&amp;"","")</f>
        <v>P0</v>
      </c>
      <c r="F112" s="12" t="str">
        <f>IFERROR(INDEX(MASTER!$G$2:$G$2000,MATCH($A112,MASTER!$A$2:$A$2000,0))&amp;"","NOT IN MASTER")</f>
        <v>DONE</v>
      </c>
      <c r="G112" s="12" t="str">
        <f>IFERROR(INDEX(MASTER!$H$2:$H$2000,MATCH($A112,MASTER!$A$2:$A$2000,0))&amp;"","")</f>
        <v>backend/app/formatting/{engine,proposals}.py, services/document_service.py, api/documents.py proposals/accept; frontend editor/panels/ReviewPanel.tsx, ProposalsList.tsx (ProposalCard, useProposalActions); README.md</v>
      </c>
      <c r="H112" s="12" t="str">
        <f>IFERROR(INDEX(MASTER!$I$2:$I$2000,MATCH($A112,MASTER!$A$2:$A$2000,0))&amp;"","")</f>
        <v>tests/test_review_changes.py (6), test_formatting_engine.py, ReviewPanel.test.tsx (4), e2e/review.spec.ts; 8/8 mutations</v>
      </c>
      <c r="I112" s="19">
        <f>IFERROR(IF(INDEX(MASTER!$O$2:$O$2000,MATCH($A112,MASTER!$A$2:$A$2000,0))="","",INDEX(MASTER!$O$2:$O$2000,MATCH($A112,MASTER!$A$2:$A$2000,0))),"")</f>
        <v>46302.366180555553</v>
      </c>
      <c r="J112" s="12" t="str">
        <f>IFERROR(INDEX(MASTER!$P$2:$P$2000,MATCH($A112,MASTER!$A$2:$A$2000,0))&amp;"","")</f>
        <v>ed68af3</v>
      </c>
      <c r="K112" s="12" t="str">
        <f>IFERROR(INDEX(MASTER!$Q$2:$Q$2000,MATCH($A112,MASTER!$A$2:$A$2000,0))&amp;"","")</f>
        <v>2026-10-07: Преглед panel: every waiting change (instruction, translation, health) grouped by the six categories, filter chips, source tags, accept/reject/show, Accept all per category except content.</v>
      </c>
      <c r="L112" s="12" t="str">
        <f>IFERROR(INDEX(MASTER!$R$2:$R$2000,MATCH($A112,MASTER!$A$2:$A$2000,0))&amp;"","")</f>
        <v/>
      </c>
    </row>
    <row r="113" spans="1:12" x14ac:dyDescent="0.25">
      <c r="A113" s="15" t="s">
        <v>1241</v>
      </c>
      <c r="B113" s="12" t="str">
        <f>IFERROR(INDEX(MASTER!$C$2:$C$2000,MATCH($A113,MASTER!$A$2:$A$2000,0))&amp;"","")</f>
        <v>REVIEW</v>
      </c>
      <c r="C113" s="16">
        <f>IFERROR(INDEX(MASTER!$B$2:$B$2000,MATCH($A113,MASTER!$A$2:$A$2000,0)),"")</f>
        <v>14</v>
      </c>
      <c r="D113" s="12" t="str">
        <f>IFERROR(INDEX(MASTER!$D$2:$D$2000,MATCH($A113,MASTER!$A$2:$A$2000,0))&amp;"","")</f>
        <v>Content changes need acceptance</v>
      </c>
      <c r="E113" s="12" t="str">
        <f>IFERROR(INDEX(MASTER!$F$2:$F$2000,MATCH($A113,MASTER!$A$2:$A$2000,0))&amp;"","")</f>
        <v>P0</v>
      </c>
      <c r="F113" s="12" t="str">
        <f>IFERROR(INDEX(MASTER!$G$2:$G$2000,MATCH($A113,MASTER!$A$2:$A$2000,0))&amp;"","NOT IN MASTER")</f>
        <v>DONE</v>
      </c>
      <c r="G113" s="12" t="str">
        <f>IFERROR(INDEX(MASTER!$H$2:$H$2000,MATCH($A113,MASTER!$A$2:$A$2000,0))&amp;"","")</f>
        <v>backend/app/formatting/{engine,proposals}.py, services/document_service.py, api/documents.py proposals/accept; frontend editor/panels/ReviewPanel.tsx, ProposalsList.tsx (ProposalCard, useProposalActions); README.md</v>
      </c>
      <c r="H113" s="12" t="str">
        <f>IFERROR(INDEX(MASTER!$I$2:$I$2000,MATCH($A113,MASTER!$A$2:$A$2000,0))&amp;"","")</f>
        <v>tests/test_review_changes.py (6), test_formatting_engine.py, ReviewPanel.test.tsx (4), e2e/review.spec.ts; 8/8 mutations</v>
      </c>
      <c r="I113" s="19">
        <f>IFERROR(IF(INDEX(MASTER!$O$2:$O$2000,MATCH($A113,MASTER!$A$2:$A$2000,0))="","",INDEX(MASTER!$O$2:$O$2000,MATCH($A113,MASTER!$A$2:$A$2000,0))),"")</f>
        <v>46302.366226851853</v>
      </c>
      <c r="J113" s="12" t="str">
        <f>IFERROR(INDEX(MASTER!$P$2:$P$2000,MATCH($A113,MASTER!$A$2:$A$2000,0))&amp;"","")</f>
        <v>ed68af3</v>
      </c>
      <c r="K113" s="12" t="str">
        <f>IFERROR(INDEX(MASTER!$Q$2:$Q$2000,MATCH($A113,MASTER!$A$2:$A$2000,0))&amp;"","")</f>
        <v>2026-10-07: apply_operations refuses insert/delete/move without accepted=True (UnacceptedContentChangeError) -- only proposals.accept sets it; POST .../proposals/accept: one category, one undo step, 422 content_needs_review for content, word-changing proposals of other categories left waiting (translations excepted).</v>
      </c>
      <c r="L113" s="12" t="str">
        <f>IFERROR(INDEX(MASTER!$R$2:$R$2000,MATCH($A113,MASTER!$A$2:$A$2000,0))&amp;"","")</f>
        <v>REV-002</v>
      </c>
    </row>
    <row r="114" spans="1:12" x14ac:dyDescent="0.25">
      <c r="A114" s="15" t="s">
        <v>1342</v>
      </c>
      <c r="B114" s="12" t="str">
        <f>IFERROR(INDEX(MASTER!$C$2:$C$2000,MATCH($A114,MASTER!$A$2:$A$2000,0))&amp;"","")</f>
        <v>INFRA</v>
      </c>
      <c r="C114" s="16">
        <f>IFERROR(INDEX(MASTER!$B$2:$B$2000,MATCH($A114,MASTER!$A$2:$A$2000,0)),"")</f>
        <v>17</v>
      </c>
      <c r="D114" s="12" t="str">
        <f>IFERROR(INDEX(MASTER!$D$2:$D$2000,MATCH($A114,MASTER!$A$2:$A$2000,0))&amp;"","")</f>
        <v>CI gates</v>
      </c>
      <c r="E114" s="12" t="str">
        <f>IFERROR(INDEX(MASTER!$F$2:$F$2000,MATCH($A114,MASTER!$A$2:$A$2000,0))&amp;"","")</f>
        <v>P0</v>
      </c>
      <c r="F114" s="12" t="str">
        <f>IFERROR(INDEX(MASTER!$G$2:$G$2000,MATCH($A114,MASTER!$A$2:$A$2000,0))&amp;"","NOT IN MASTER")</f>
        <v>DONE</v>
      </c>
      <c r="G114" s="12" t="str">
        <f>IFERROR(INDEX(MASTER!$H$2:$H$2000,MATCH($A114,MASTER!$A$2:$A$2000,0))&amp;"","")</f>
        <v>.github/workflows/ci.yml (next typegen, audit job, PostgreSQL tests), docs/cloud-reports/INTEGRATION.md</v>
      </c>
      <c r="H114" s="12" t="str">
        <f>IFERROR(INDEX(MASTER!$I$2:$I$2000,MATCH($A114,MASTER!$A$2:$A$2000,0))&amp;"","")</f>
        <v>CI green on PR #8 (backend, migrations + postgres, frontend, e2e, audit)</v>
      </c>
      <c r="I114" s="19">
        <f>IFERROR(IF(INDEX(MASTER!$O$2:$O$2000,MATCH($A114,MASTER!$A$2:$A$2000,0))="","",INDEX(MASTER!$O$2:$O$2000,MATCH($A114,MASTER!$A$2:$A$2000,0))),"")</f>
        <v>46301.615208333344</v>
      </c>
      <c r="J114" s="12" t="str">
        <f>IFERROR(INDEX(MASTER!$P$2:$P$2000,MATCH($A114,MASTER!$A$2:$A$2000,0))&amp;"","")</f>
        <v>8966ec7</v>
      </c>
      <c r="K114" s="12" t="str">
        <f>IFERROR(INDEX(MASTER!$Q$2:$Q$2000,MATCH($A114,MASTER!$A$2:$A$2000,0))&amp;"","")</f>
        <v/>
      </c>
      <c r="L114" s="12" t="str">
        <f>IFERROR(INDEX(MASTER!$R$2:$R$2000,MATCH($A114,MASTER!$A$2:$A$2000,0))&amp;"","")</f>
        <v/>
      </c>
    </row>
    <row r="115" spans="1:12" x14ac:dyDescent="0.25">
      <c r="A115" s="15" t="s">
        <v>1349</v>
      </c>
      <c r="B115" s="12" t="str">
        <f>IFERROR(INDEX(MASTER!$C$2:$C$2000,MATCH($A115,MASTER!$A$2:$A$2000,0))&amp;"","")</f>
        <v>TESTING</v>
      </c>
      <c r="C115" s="16">
        <f>IFERROR(INDEX(MASTER!$B$2:$B$2000,MATCH($A115,MASTER!$A$2:$A$2000,0)),"")</f>
        <v>17</v>
      </c>
      <c r="D115" s="12" t="str">
        <f>IFERROR(INDEX(MASTER!$D$2:$D$2000,MATCH($A115,MASTER!$A$2:$A$2000,0))&amp;"","")</f>
        <v>Playwright workflow coverage</v>
      </c>
      <c r="E115" s="12" t="str">
        <f>IFERROR(INDEX(MASTER!$F$2:$F$2000,MATCH($A115,MASTER!$A$2:$A$2000,0))&amp;"","")</f>
        <v>P0</v>
      </c>
      <c r="F115" s="12" t="str">
        <f>IFERROR(INDEX(MASTER!$G$2:$G$2000,MATCH($A115,MASTER!$A$2:$A$2000,0))&amp;"","NOT IN MASTER")</f>
        <v>DONE</v>
      </c>
      <c r="G115" s="12" t="str">
        <f>IFERROR(INDEX(MASTER!$H$2:$H$2000,MATCH($A115,MASTER!$A$2:$A$2000,0))&amp;"","")</f>
        <v>docs/testing/README.md (the 24 workflows mapped), frontend/e2e/workflows.spec.ts</v>
      </c>
      <c r="H115" s="12" t="str">
        <f>IFERROR(INDEX(MASTER!$I$2:$I$2000,MATCH($A115,MASTER!$A$2:$A$2000,0))&amp;"","")</f>
        <v>frontend/e2e/workflows.spec.ts (4); Playwright 42 passed</v>
      </c>
      <c r="I115" s="19">
        <f>IFERROR(IF(INDEX(MASTER!$O$2:$O$2000,MATCH($A115,MASTER!$A$2:$A$2000,0))="","",INDEX(MASTER!$O$2:$O$2000,MATCH($A115,MASTER!$A$2:$A$2000,0))),"")</f>
        <v>46301.640289351853</v>
      </c>
      <c r="J115" s="12" t="str">
        <f>IFERROR(INDEX(MASTER!$P$2:$P$2000,MATCH($A115,MASTER!$A$2:$A$2000,0))&amp;"","")</f>
        <v>a00632e</v>
      </c>
      <c r="K115" s="12" t="str">
        <f>IFERROR(INDEX(MASTER!$Q$2:$Q$2000,MATCH($A115,MASTER!$A$2:$A$2000,0))&amp;"","")</f>
        <v/>
      </c>
      <c r="L115" s="12" t="str">
        <f>IFERROR(INDEX(MASTER!$R$2:$R$2000,MATCH($A115,MASTER!$A$2:$A$2000,0))&amp;"","")</f>
        <v/>
      </c>
    </row>
    <row r="116" spans="1:12" x14ac:dyDescent="0.25">
      <c r="A116" s="15" t="s">
        <v>1375</v>
      </c>
      <c r="B116" s="12" t="str">
        <f>IFERROR(INDEX(MASTER!$C$2:$C$2000,MATCH($A116,MASTER!$A$2:$A$2000,0))&amp;"","")</f>
        <v>DOCS</v>
      </c>
      <c r="C116" s="16">
        <f>IFERROR(INDEX(MASTER!$B$2:$B$2000,MATCH($A116,MASTER!$A$2:$A$2000,0)),"")</f>
        <v>18</v>
      </c>
      <c r="D116" s="12" t="str">
        <f>IFERROR(INDEX(MASTER!$D$2:$D$2000,MATCH($A116,MASTER!$A$2:$A$2000,0))&amp;"","")</f>
        <v>final-production-readiness.md</v>
      </c>
      <c r="E116" s="12" t="str">
        <f>IFERROR(INDEX(MASTER!$F$2:$F$2000,MATCH($A116,MASTER!$A$2:$A$2000,0))&amp;"","")</f>
        <v>P0</v>
      </c>
      <c r="F116" s="12" t="str">
        <f>IFERROR(INDEX(MASTER!$G$2:$G$2000,MATCH($A116,MASTER!$A$2:$A$2000,0))&amp;"","NOT IN MASTER")</f>
        <v>DONE</v>
      </c>
      <c r="G116" s="12" t="str">
        <f>IFERROR(INDEX(MASTER!$H$2:$H$2000,MATCH($A116,MASTER!$A$2:$A$2000,0))&amp;"","")</f>
        <v>docs/final-production-readiness.md (the 16 sections of brief §112), linked from README.md and docs/README.md</v>
      </c>
      <c r="H116" s="12" t="str">
        <f>IFERROR(INDEX(MASTER!$I$2:$I$2000,MATCH($A116,MASTER!$A$2:$A$2000,0))&amp;"","")</f>
        <v>claims checked against the code (capability matrix counts, plans.json, skip reasons, limits) and today's runs: backend 2344/11, Vitest 277, Playwright 49</v>
      </c>
      <c r="I116" s="19">
        <f>IFERROR(IF(INDEX(MASTER!$O$2:$O$2000,MATCH($A116,MASTER!$A$2:$A$2000,0))="","",INDEX(MASTER!$O$2:$O$2000,MATCH($A116,MASTER!$A$2:$A$2000,0))),"")</f>
        <v>46302.367800925917</v>
      </c>
      <c r="J116" s="12" t="str">
        <f>IFERROR(INDEX(MASTER!$P$2:$P$2000,MATCH($A116,MASTER!$A$2:$A$2000,0))&amp;"","")</f>
        <v>95873d8</v>
      </c>
      <c r="K116" s="12" t="str">
        <f>IFERROR(INDEX(MASTER!$Q$2:$Q$2000,MATCH($A116,MASTER!$A$2:$A$2000,0))&amp;"","")</f>
        <v>2026-10-07: verdict -- code complete for P0/P1; launch needs the owner's decisions and the first Docker start. Release gates: evidence listed per gate; set PASS only from Phase 18's verification run.</v>
      </c>
      <c r="L116" s="12" t="str">
        <f>IFERROR(INDEX(MASTER!$R$2:$R$2000,MATCH($A116,MASTER!$A$2:$A$2000,0))&amp;"","")</f>
        <v/>
      </c>
    </row>
    <row r="117" spans="1:12" x14ac:dyDescent="0.25">
      <c r="A117" s="15" t="s">
        <v>1389</v>
      </c>
      <c r="B117" s="12" t="str">
        <f>IFERROR(INDEX(MASTER!$C$2:$C$2000,MATCH($A117,MASTER!$A$2:$A$2000,0))&amp;"","")</f>
        <v>RELEASE</v>
      </c>
      <c r="C117" s="16">
        <f>IFERROR(INDEX(MASTER!$B$2:$B$2000,MATCH($A117,MASTER!$A$2:$A$2000,0)),"")</f>
        <v>19</v>
      </c>
      <c r="D117" s="12" t="str">
        <f>IFERROR(INDEX(MASTER!$D$2:$D$2000,MATCH($A117,MASTER!$A$2:$A$2000,0))&amp;"","")</f>
        <v>Release scope and feature freeze</v>
      </c>
      <c r="E117" s="12" t="str">
        <f>IFERROR(INDEX(MASTER!$F$2:$F$2000,MATCH($A117,MASTER!$A$2:$A$2000,0))&amp;"","")</f>
        <v>P0</v>
      </c>
      <c r="F117" s="12" t="str">
        <f>IFERROR(INDEX(MASTER!$G$2:$G$2000,MATCH($A117,MASTER!$A$2:$A$2000,0))&amp;"","NOT IN MASTER")</f>
        <v>DONE</v>
      </c>
      <c r="G117" s="12" t="str">
        <f>IFERROR(INDEX(MASTER!$H$2:$H$2000,MATCH($A117,MASTER!$A$2:$A$2000,0))&amp;"","")</f>
        <v>Scope agreed with the owner in chat on 2026-10-13 (Vercel Hobby; billing off; no e-mail domain; uploads/downloads under 4.5 MB) and written down in docs/deployment/vercel.md 'Limits of this release'.</v>
      </c>
      <c r="H117" s="12" t="str">
        <f>IFERROR(INDEX(MASTER!$I$2:$I$2000,MATCH($A117,MASTER!$A$2:$A$2000,0))&amp;"","")</f>
        <v>Owner's answers recorded 2026-10-13; docs/deployment/vercel.md committed in 68a89a9.</v>
      </c>
      <c r="I117" s="19">
        <f>IFERROR(IF(INDEX(MASTER!$O$2:$O$2000,MATCH($A117,MASTER!$A$2:$A$2000,0))="","",INDEX(MASTER!$O$2:$O$2000,MATCH($A117,MASTER!$A$2:$A$2000,0))),"")</f>
        <v>46308.595995370371</v>
      </c>
      <c r="J117" s="12" t="str">
        <f>IFERROR(INDEX(MASTER!$P$2:$P$2000,MATCH($A117,MASTER!$A$2:$A$2000,0))&amp;"","")</f>
        <v>68a89a9</v>
      </c>
      <c r="K117" s="12" t="str">
        <f>IFERROR(INDEX(MASTER!$Q$2:$Q$2000,MATCH($A117,MASTER!$A$2:$A$2000,0))&amp;"","")</f>
        <v>Mandatory before launch: yes. Owner approved: Vercel Hobby, billing off, no e-mail domain, 4.5 MB limit (2026-10-13).</v>
      </c>
      <c r="L117" s="12" t="str">
        <f>IFERROR(INDEX(MASTER!$R$2:$R$2000,MATCH($A117,MASTER!$A$2:$A$2000,0))&amp;"","")</f>
        <v/>
      </c>
    </row>
    <row r="118" spans="1:12" x14ac:dyDescent="0.25">
      <c r="A118" s="15" t="s">
        <v>1397</v>
      </c>
      <c r="B118" s="12" t="str">
        <f>IFERROR(INDEX(MASTER!$C$2:$C$2000,MATCH($A118,MASTER!$A$2:$A$2000,0))&amp;"","")</f>
        <v>RELEASE</v>
      </c>
      <c r="C118" s="16">
        <f>IFERROR(INDEX(MASTER!$B$2:$B$2000,MATCH($A118,MASTER!$A$2:$A$2000,0)),"")</f>
        <v>19</v>
      </c>
      <c r="D118" s="12" t="str">
        <f>IFERROR(INDEX(MASTER!$D$2:$D$2000,MATCH($A118,MASTER!$A$2:$A$2000,0))&amp;"","")</f>
        <v>Vercel project with frontend + backend services</v>
      </c>
      <c r="E118" s="12" t="str">
        <f>IFERROR(INDEX(MASTER!$F$2:$F$2000,MATCH($A118,MASTER!$A$2:$A$2000,0))&amp;"","")</f>
        <v>P0</v>
      </c>
      <c r="F118" s="12" t="str">
        <f>IFERROR(INDEX(MASTER!$G$2:$G$2000,MATCH($A118,MASTER!$A$2:$A$2000,0))&amp;"","NOT IN MASTER")</f>
        <v>DONE</v>
      </c>
      <c r="G118" s="12" t="str">
        <f>IFERROR(INDEX(MASTER!$H$2:$H$2000,MATCH($A118,MASTER!$A$2:$A$2000,0))&amp;"","")</f>
        <v>Vercel project smartdoc (prj_ObL3...) under team drajeto: framework services, GitHub Drajeto07/claude, production branch main (deployments of the feature branch promoted to production by the owner); production aliases smartdoc-peach.vercel.app; deployments READY (CLI, the owner's login, read-only, 2026-10-13). The owner: /api/ready = ready, database ok; sign-up and the dashboard work on production.</v>
      </c>
      <c r="H118" s="12" t="str">
        <f>IFERROR(INDEX(MASTER!$I$2:$I$2000,MATCH($A118,MASTER!$A$2:$A$2000,0))&amp;"","")</f>
        <v>vercel api /v9/projects and /v6/deployments (read-only); the owner's checks on the production URL 2026-10-13.</v>
      </c>
      <c r="I118" s="19">
        <f>IFERROR(IF(INDEX(MASTER!$O$2:$O$2000,MATCH($A118,MASTER!$A$2:$A$2000,0))="","",INDEX(MASTER!$O$2:$O$2000,MATCH($A118,MASTER!$A$2:$A$2000,0))),"")</f>
        <v>46308.71770833333</v>
      </c>
      <c r="J118" s="12" t="str">
        <f>IFERROR(INDEX(MASTER!$P$2:$P$2000,MATCH($A118,MASTER!$A$2:$A$2000,0))&amp;"","")</f>
        <v>4c8fdca</v>
      </c>
      <c r="K118" s="12" t="str">
        <f>IFERROR(INDEX(MASTER!$Q$2:$Q$2000,MATCH($A118,MASTER!$A$2:$A$2000,0))&amp;"","")</f>
        <v>Mandatory before launch: yes. BLOCKED 2026-10-13: the Vercel connector's token is not authorized for the account's team scope 'drajeto' (403 on list/create project). Owner: re-authorize the Vercel connector for that scope, or import Drajeto07/claude in the Vercel dashboard (framework Services from vercel.json).</v>
      </c>
      <c r="L118" s="12" t="str">
        <f>IFERROR(INDEX(MASTER!$R$2:$R$2000,MATCH($A118,MASTER!$A$2:$A$2000,0))&amp;"","")</f>
        <v/>
      </c>
    </row>
    <row r="119" spans="1:12" x14ac:dyDescent="0.25">
      <c r="A119" s="15" t="s">
        <v>1405</v>
      </c>
      <c r="B119" s="12" t="str">
        <f>IFERROR(INDEX(MASTER!$C$2:$C$2000,MATCH($A119,MASTER!$A$2:$A$2000,0))&amp;"","")</f>
        <v>RELEASE</v>
      </c>
      <c r="C119" s="16">
        <f>IFERROR(INDEX(MASTER!$B$2:$B$2000,MATCH($A119,MASTER!$A$2:$A$2000,0)),"")</f>
        <v>19</v>
      </c>
      <c r="D119" s="12" t="str">
        <f>IFERROR(INDEX(MASTER!$D$2:$D$2000,MATCH($A119,MASTER!$A$2:$A$2000,0))&amp;"","")</f>
        <v>Production settings and secrets in Vercel</v>
      </c>
      <c r="E119" s="12" t="str">
        <f>IFERROR(INDEX(MASTER!$F$2:$F$2000,MATCH($A119,MASTER!$A$2:$A$2000,0))&amp;"","")</f>
        <v>P0</v>
      </c>
      <c r="F119" s="12" t="str">
        <f>IFERROR(INDEX(MASTER!$G$2:$G$2000,MATCH($A119,MASTER!$A$2:$A$2000,0))&amp;"","NOT IN MASTER")</f>
        <v>BLOCKED</v>
      </c>
      <c r="G119" s="12" t="str">
        <f>IFERROR(INDEX(MASTER!$H$2:$H$2000,MATCH($A119,MASTER!$A$2:$A$2000,0))&amp;"","")</f>
        <v>Production has: DATABASE_URL, S3_ACCESS_KEY_ID, S3_SECRET_ACCESS_KEY, DATABASE_POOLER, JOB_BACKEND, NEXT_PUBLIC_API_BASE_URL, PORT (names only, 2026-10-13). Missing in Production: STORAGE_BACKEND, S3_BUCKET, S3_ENDPOINT_URL, S3_REGION, MAX_UPLOAD_SIZE_MB, MAX_REQUEST_SIZE_MB, LOG_FORMAT, LOG_REQUESTS, SENTRY_DSN, CORS_ORIGINS, FRONTEND_URL. Preview also lacks DATABASE_POOLER and JOB_BACKEND (the image defaults them since 2490e5d).</v>
      </c>
      <c r="H119" s="12" t="str">
        <f>IFERROR(INDEX(MASTER!$I$2:$I$2000,MATCH($A119,MASTER!$A$2:$A$2000,0))&amp;"","")</f>
        <v/>
      </c>
      <c r="I119" s="19" t="str">
        <f>IFERROR(IF(INDEX(MASTER!$O$2:$O$2000,MATCH($A119,MASTER!$A$2:$A$2000,0))="","",INDEX(MASTER!$O$2:$O$2000,MATCH($A119,MASTER!$A$2:$A$2000,0))),"")</f>
        <v/>
      </c>
      <c r="J119" s="12" t="str">
        <f>IFERROR(INDEX(MASTER!$P$2:$P$2000,MATCH($A119,MASTER!$A$2:$A$2000,0))&amp;"","")</f>
        <v/>
      </c>
      <c r="K119" s="12" t="str">
        <f>IFERROR(INDEX(MASTER!$Q$2:$Q$2000,MATCH($A119,MASTER!$A$2:$A$2000,0))&amp;"","")</f>
        <v>Mandatory before launch: yes. BLOCKED 2026-10-13 on the owner's approval to set the missing plain settings in Production (a storage/infrastructure change) -- values in docs/deployment/vercel.md; no secret among them except SENTRY_DSN's key, which is a public client key.</v>
      </c>
      <c r="L119" s="12" t="str">
        <f>IFERROR(INDEX(MASTER!$R$2:$R$2000,MATCH($A119,MASTER!$A$2:$A$2000,0))&amp;"","")</f>
        <v/>
      </c>
    </row>
    <row r="120" spans="1:12" x14ac:dyDescent="0.25">
      <c r="A120" s="15" t="s">
        <v>1410</v>
      </c>
      <c r="B120" s="12" t="str">
        <f>IFERROR(INDEX(MASTER!$C$2:$C$2000,MATCH($A120,MASTER!$A$2:$A$2000,0))&amp;"","")</f>
        <v>RELEASE</v>
      </c>
      <c r="C120" s="16">
        <f>IFERROR(INDEX(MASTER!$B$2:$B$2000,MATCH($A120,MASTER!$A$2:$A$2000,0)),"")</f>
        <v>19</v>
      </c>
      <c r="D120" s="12" t="str">
        <f>IFERROR(INDEX(MASTER!$D$2:$D$2000,MATCH($A120,MASTER!$A$2:$A$2000,0))&amp;"","")</f>
        <v>Production database: restored, schema current, RLS on</v>
      </c>
      <c r="E120" s="12" t="str">
        <f>IFERROR(INDEX(MASTER!$F$2:$F$2000,MATCH($A120,MASTER!$A$2:$A$2000,0))&amp;"","")</f>
        <v>P0</v>
      </c>
      <c r="F120" s="12" t="str">
        <f>IFERROR(INDEX(MASTER!$G$2:$G$2000,MATCH($A120,MASTER!$A$2:$A$2000,0))&amp;"","NOT IN MASTER")</f>
        <v>DONE</v>
      </c>
      <c r="G120" s="12" t="str">
        <f>IFERROR(INDEX(MASTER!$H$2:$H$2000,MATCH($A120,MASTER!$A$2:$A$2000,0))&amp;"","")</f>
        <v>Supabase connector: restore_project -&gt; ACTIVE_HEALTHY (eu-central-1, Postgres 17); SQL: alembic_version = d41f7a60c9e2 = `alembic heads` of the code; list_migrations: 14 applied, the last d41f7a60c9e2; security advisors: only rls_enabled_no_policy (INFO) on all 16 public tables (RLS on, no policies by design: the API connects as owner). Holds 1 account and 8 documents from development (REL-020).</v>
      </c>
      <c r="H120" s="12" t="str">
        <f>IFERROR(INDEX(MASTER!$I$2:$I$2000,MATCH($A120,MASTER!$A$2:$A$2000,0))&amp;"","")</f>
        <v>Supabase get_project, execute_sql (alembic_version), list_migrations, get_advisors(security) on 2026-10-13.</v>
      </c>
      <c r="I120" s="19">
        <f>IFERROR(IF(INDEX(MASTER!$O$2:$O$2000,MATCH($A120,MASTER!$A$2:$A$2000,0))="","",INDEX(MASTER!$O$2:$O$2000,MATCH($A120,MASTER!$A$2:$A$2000,0))),"")</f>
        <v>46308.596041666657</v>
      </c>
      <c r="J120" s="12" t="str">
        <f>IFERROR(INDEX(MASTER!$P$2:$P$2000,MATCH($A120,MASTER!$A$2:$A$2000,0))&amp;"","")</f>
        <v>68a89a9</v>
      </c>
      <c r="K120" s="12" t="str">
        <f>IFERROR(INDEX(MASTER!$Q$2:$Q$2000,MATCH($A120,MASTER!$A$2:$A$2000,0))&amp;"","")</f>
        <v>Mandatory before launch: yes. Restored from paused 2026-10-13 with the owner's approval.</v>
      </c>
      <c r="L120" s="12" t="str">
        <f>IFERROR(INDEX(MASTER!$R$2:$R$2000,MATCH($A120,MASTER!$A$2:$A$2000,0))&amp;"","")</f>
        <v/>
      </c>
    </row>
    <row r="121" spans="1:12" x14ac:dyDescent="0.25">
      <c r="A121" s="15" t="s">
        <v>1417</v>
      </c>
      <c r="B121" s="12" t="str">
        <f>IFERROR(INDEX(MASTER!$C$2:$C$2000,MATCH($A121,MASTER!$A$2:$A$2000,0))&amp;"","")</f>
        <v>RELEASE</v>
      </c>
      <c r="C121" s="16">
        <f>IFERROR(INDEX(MASTER!$B$2:$B$2000,MATCH($A121,MASTER!$A$2:$A$2000,0)),"")</f>
        <v>19</v>
      </c>
      <c r="D121" s="12" t="str">
        <f>IFERROR(INDEX(MASTER!$D$2:$D$2000,MATCH($A121,MASTER!$A$2:$A$2000,0))&amp;"","")</f>
        <v>File storage: private Supabase Storage bucket over S3</v>
      </c>
      <c r="E121" s="12" t="str">
        <f>IFERROR(INDEX(MASTER!$F$2:$F$2000,MATCH($A121,MASTER!$A$2:$A$2000,0))&amp;"","")</f>
        <v>P0</v>
      </c>
      <c r="F121" s="12" t="str">
        <f>IFERROR(INDEX(MASTER!$G$2:$G$2000,MATCH($A121,MASTER!$A$2:$A$2000,0))&amp;"","NOT IN MASTER")</f>
        <v>BLOCKED</v>
      </c>
      <c r="G121" s="12" t="str">
        <f>IFERROR(INDEX(MASTER!$H$2:$H$2000,MATCH($A121,MASTER!$A$2:$A$2000,0))&amp;"","")</f>
        <v>Private bucket smartdoc-files created in Supabase Storage (storage.buckets public=false) on 2026-10-13. Waiting: an S3 access key pair created by the owner (Supabase -&gt; Storage -&gt; S3 Connection) and entered in Vercel.</v>
      </c>
      <c r="H121" s="12" t="str">
        <f>IFERROR(INDEX(MASTER!$I$2:$I$2000,MATCH($A121,MASTER!$A$2:$A$2000,0))&amp;"","")</f>
        <v/>
      </c>
      <c r="I121" s="19" t="str">
        <f>IFERROR(IF(INDEX(MASTER!$O$2:$O$2000,MATCH($A121,MASTER!$A$2:$A$2000,0))="","",INDEX(MASTER!$O$2:$O$2000,MATCH($A121,MASTER!$A$2:$A$2000,0))),"")</f>
        <v/>
      </c>
      <c r="J121" s="12" t="str">
        <f>IFERROR(INDEX(MASTER!$P$2:$P$2000,MATCH($A121,MASTER!$A$2:$A$2000,0))&amp;"","")</f>
        <v/>
      </c>
      <c r="K121" s="12" t="str">
        <f>IFERROR(INDEX(MASTER!$Q$2:$Q$2000,MATCH($A121,MASTER!$A$2:$A$2000,0))&amp;"","")</f>
        <v>Mandatory before launch: yes. CRITICAL 2026-10-13: STORAGE_BACKEND isn't set in Production, so it is 'local': uploaded pictures and export files are written inside the container and lost when the instance stops (5 minutes idle) or another instance answers. S3 keys are in place; STORAGE_BACKEND=s3, S3_BUCKET, S3_ENDPOINT_URL, S3_REGION wait for the owner's approval (REL-003).</v>
      </c>
      <c r="L121" s="12" t="str">
        <f>IFERROR(INDEX(MASTER!$R$2:$R$2000,MATCH($A121,MASTER!$A$2:$A$2000,0))&amp;"","")</f>
        <v/>
      </c>
    </row>
    <row r="122" spans="1:12" x14ac:dyDescent="0.25">
      <c r="A122" s="15" t="s">
        <v>1422</v>
      </c>
      <c r="B122" s="12" t="str">
        <f>IFERROR(INDEX(MASTER!$C$2:$C$2000,MATCH($A122,MASTER!$A$2:$A$2000,0))&amp;"","")</f>
        <v>RELEASE</v>
      </c>
      <c r="C122" s="16">
        <f>IFERROR(INDEX(MASTER!$B$2:$B$2000,MATCH($A122,MASTER!$A$2:$A$2000,0)),"")</f>
        <v>19</v>
      </c>
      <c r="D122" s="12" t="str">
        <f>IFERROR(INDEX(MASTER!$D$2:$D$2000,MATCH($A122,MASTER!$A$2:$A$2000,0))&amp;"","")</f>
        <v>Serverless-ready configuration in code</v>
      </c>
      <c r="E122" s="12" t="str">
        <f>IFERROR(INDEX(MASTER!$F$2:$F$2000,MATCH($A122,MASTER!$A$2:$A$2000,0))&amp;"","")</f>
        <v>P0</v>
      </c>
      <c r="F122" s="12" t="str">
        <f>IFERROR(INDEX(MASTER!$G$2:$G$2000,MATCH($A122,MASTER!$A$2:$A$2000,0))&amp;"","NOT IN MASTER")</f>
        <v>IMPLEMENTED</v>
      </c>
      <c r="G122" s="12" t="str">
        <f>IFERROR(INDEX(MASTER!$H$2:$H$2000,MATCH($A122,MASTER!$A$2:$A$2000,0))&amp;"","")</f>
        <v>On production the code's defaults were in force at first (DATABASE_POOLER=session, JOB_BACKEND=background): the exported runtime log of dpl_4r5f... shows asyncpg's numbered statements (__asyncpg_stmt_a__ ...) colliding in the pooler and fail_interrupted_jobs at start. Fixed in settings by the owner (Production) and in code (2490e5d: Dockerfile.vercel defaults; SQLAlchemy's statement cache off too). The owner: /api/ready = ready after the settings.</v>
      </c>
      <c r="H122" s="12" t="str">
        <f>IFERROR(INDEX(MASTER!$I$2:$I$2000,MATCH($A122,MASTER!$A$2:$A$2000,0))&amp;"","")</f>
        <v>tests/test_release_config.py (7); backend 2580 passed, 11 skipped; preview of 2490e5d READY. Pending: 2490e5d promoted to production and checked.</v>
      </c>
      <c r="I122" s="19" t="str">
        <f>IFERROR(IF(INDEX(MASTER!$O$2:$O$2000,MATCH($A122,MASTER!$A$2:$A$2000,0))="","",INDEX(MASTER!$O$2:$O$2000,MATCH($A122,MASTER!$A$2:$A$2000,0))),"")</f>
        <v/>
      </c>
      <c r="J122" s="12" t="str">
        <f>IFERROR(INDEX(MASTER!$P$2:$P$2000,MATCH($A122,MASTER!$A$2:$A$2000,0))&amp;"","")</f>
        <v>2490e5d</v>
      </c>
      <c r="K122" s="12" t="str">
        <f>IFERROR(INDEX(MASTER!$Q$2:$Q$2000,MATCH($A122,MASTER!$A$2:$A$2000,0))&amp;"","")</f>
        <v>Mandatory before launch: yes.</v>
      </c>
      <c r="L122" s="12" t="str">
        <f>IFERROR(INDEX(MASTER!$R$2:$R$2000,MATCH($A122,MASTER!$A$2:$A$2000,0))&amp;"","")</f>
        <v/>
      </c>
    </row>
    <row r="123" spans="1:12" x14ac:dyDescent="0.25">
      <c r="A123" s="15" t="s">
        <v>1430</v>
      </c>
      <c r="B123" s="12" t="str">
        <f>IFERROR(INDEX(MASTER!$C$2:$C$2000,MATCH($A123,MASTER!$A$2:$A$2000,0))&amp;"","")</f>
        <v>RELEASE</v>
      </c>
      <c r="C123" s="16">
        <f>IFERROR(INDEX(MASTER!$B$2:$B$2000,MATCH($A123,MASTER!$A$2:$A$2000,0)),"")</f>
        <v>19</v>
      </c>
      <c r="D123" s="12" t="str">
        <f>IFERROR(INDEX(MASTER!$D$2:$D$2000,MATCH($A123,MASTER!$A$2:$A$2000,0))&amp;"","")</f>
        <v>Error monitoring (Sentry, backend)</v>
      </c>
      <c r="E123" s="12" t="str">
        <f>IFERROR(INDEX(MASTER!$F$2:$F$2000,MATCH($A123,MASTER!$A$2:$A$2000,0))&amp;"","")</f>
        <v>P0</v>
      </c>
      <c r="F123" s="12" t="str">
        <f>IFERROR(INDEX(MASTER!$G$2:$G$2000,MATCH($A123,MASTER!$A$2:$A$2000,0))&amp;"","NOT IN MASTER")</f>
        <v>IMPLEMENTED</v>
      </c>
      <c r="G123" s="12" t="str">
        <f>IFERROR(INDEX(MASTER!$H$2:$H$2000,MATCH($A123,MASTER!$A$2:$A$2000,0))&amp;"","")</f>
        <v>backend/app/monitoring.py (init_monitoring, scrub) called from app/main.py; settings SENTRY_DSN, SENTRY_ENVIRONMENT, SENTRY_TRACES_SAMPLE_RATE; sentry-sdk 2.70.0 direct dependency; Sentry project drajeto/smartdoc-backend created (EU, python-fastapi) with a DSN.</v>
      </c>
      <c r="H123" s="12" t="str">
        <f>IFERROR(INDEX(MASTER!$I$2:$I$2000,MATCH($A123,MASTER!$A$2:$A$2000,0))&amp;"","")</f>
        <v>backend tests/test_monitoring.py (3: off without DSN; real SDK with a captured transport: the error and request id reported, the body/cookie/Authorization/query/local variable not; scrub unit test). Pending: SENTRY_DSN in Vercel and a test event from the deployment.</v>
      </c>
      <c r="I123" s="19" t="str">
        <f>IFERROR(IF(INDEX(MASTER!$O$2:$O$2000,MATCH($A123,MASTER!$A$2:$A$2000,0))="","",INDEX(MASTER!$O$2:$O$2000,MATCH($A123,MASTER!$A$2:$A$2000,0))),"")</f>
        <v/>
      </c>
      <c r="J123" s="12" t="str">
        <f>IFERROR(INDEX(MASTER!$P$2:$P$2000,MATCH($A123,MASTER!$A$2:$A$2000,0))&amp;"","")</f>
        <v>c25b124</v>
      </c>
      <c r="K123" s="12" t="str">
        <f>IFERROR(INDEX(MASTER!$Q$2:$Q$2000,MATCH($A123,MASTER!$A$2:$A$2000,0))&amp;"","")</f>
        <v>Mandatory before launch: yes. Project created 2026-10-13 (EU region).</v>
      </c>
      <c r="L123" s="12" t="str">
        <f>IFERROR(INDEX(MASTER!$R$2:$R$2000,MATCH($A123,MASTER!$A$2:$A$2000,0))&amp;"","")</f>
        <v/>
      </c>
    </row>
    <row r="124" spans="1:12" x14ac:dyDescent="0.25">
      <c r="A124" s="15" t="s">
        <v>1443</v>
      </c>
      <c r="B124" s="12" t="str">
        <f>IFERROR(INDEX(MASTER!$C$2:$C$2000,MATCH($A124,MASTER!$A$2:$A$2000,0))&amp;"","")</f>
        <v>RELEASE</v>
      </c>
      <c r="C124" s="16">
        <f>IFERROR(INDEX(MASTER!$B$2:$B$2000,MATCH($A124,MASTER!$A$2:$A$2000,0)),"")</f>
        <v>19</v>
      </c>
      <c r="D124" s="12" t="str">
        <f>IFERROR(INDEX(MASTER!$D$2:$D$2000,MATCH($A124,MASTER!$A$2:$A$2000,0))&amp;"","")</f>
        <v>Preview deployment and smoke test</v>
      </c>
      <c r="E124" s="12" t="str">
        <f>IFERROR(INDEX(MASTER!$F$2:$F$2000,MATCH($A124,MASTER!$A$2:$A$2000,0))&amp;"","")</f>
        <v>P0</v>
      </c>
      <c r="F124" s="12" t="str">
        <f>IFERROR(INDEX(MASTER!$G$2:$G$2000,MATCH($A124,MASTER!$A$2:$A$2000,0))&amp;"","NOT IN MASTER")</f>
        <v>IN_PROGRESS</v>
      </c>
      <c r="G124" s="12" t="str">
        <f>IFERROR(INDEX(MASTER!$H$2:$H$2000,MATCH($A124,MASTER!$A$2:$A$2000,0))&amp;"","")</f>
        <v>Preview deployments build: 2490e5d READY (smartdoc-q5vlxmv36-drajeto.vercel.app); ad60739 pushed. The smoke test itself can't run: every deployment is behind Vercel Authentication and no tool has a way in (REL-022).</v>
      </c>
      <c r="H124" s="12" t="str">
        <f>IFERROR(INDEX(MASTER!$I$2:$I$2000,MATCH($A124,MASTER!$A$2:$A$2000,0))&amp;"","")</f>
        <v/>
      </c>
      <c r="I124" s="19" t="str">
        <f>IFERROR(IF(INDEX(MASTER!$O$2:$O$2000,MATCH($A124,MASTER!$A$2:$A$2000,0))="","",INDEX(MASTER!$O$2:$O$2000,MATCH($A124,MASTER!$A$2:$A$2000,0))),"")</f>
        <v/>
      </c>
      <c r="J124" s="12" t="str">
        <f>IFERROR(INDEX(MASTER!$P$2:$P$2000,MATCH($A124,MASTER!$A$2:$A$2000,0))&amp;"","")</f>
        <v/>
      </c>
      <c r="K124" s="12" t="str">
        <f>IFERROR(INDEX(MASTER!$Q$2:$Q$2000,MATCH($A124,MASTER!$A$2:$A$2000,0))&amp;"","")</f>
        <v>Mandatory before launch: yes.</v>
      </c>
      <c r="L124" s="12" t="str">
        <f>IFERROR(INDEX(MASTER!$R$2:$R$2000,MATCH($A124,MASTER!$A$2:$A$2000,0))&amp;"","")</f>
        <v/>
      </c>
    </row>
    <row r="125" spans="1:12" x14ac:dyDescent="0.25">
      <c r="A125" s="15" t="s">
        <v>1441</v>
      </c>
      <c r="B125" s="12" t="str">
        <f>IFERROR(INDEX(MASTER!$C$2:$C$2000,MATCH($A125,MASTER!$A$2:$A$2000,0))&amp;"","")</f>
        <v>RELEASE</v>
      </c>
      <c r="C125" s="16">
        <f>IFERROR(INDEX(MASTER!$B$2:$B$2000,MATCH($A125,MASTER!$A$2:$A$2000,0)),"")</f>
        <v>19</v>
      </c>
      <c r="D125" s="12" t="str">
        <f>IFERROR(INDEX(MASTER!$D$2:$D$2000,MATCH($A125,MASTER!$A$2:$A$2000,0))&amp;"","")</f>
        <v>Production deployment and live acceptance</v>
      </c>
      <c r="E125" s="12" t="str">
        <f>IFERROR(INDEX(MASTER!$F$2:$F$2000,MATCH($A125,MASTER!$A$2:$A$2000,0))&amp;"","")</f>
        <v>P0</v>
      </c>
      <c r="F125" s="12" t="str">
        <f>IFERROR(INDEX(MASTER!$G$2:$G$2000,MATCH($A125,MASTER!$A$2:$A$2000,0))&amp;"","NOT IN MASTER")</f>
        <v>NOT_STARTED</v>
      </c>
      <c r="G125" s="12" t="str">
        <f>IFERROR(INDEX(MASTER!$H$2:$H$2000,MATCH($A125,MASTER!$A$2:$A$2000,0))&amp;"","")</f>
        <v/>
      </c>
      <c r="H125" s="12" t="str">
        <f>IFERROR(INDEX(MASTER!$I$2:$I$2000,MATCH($A125,MASTER!$A$2:$A$2000,0))&amp;"","")</f>
        <v/>
      </c>
      <c r="I125" s="19" t="str">
        <f>IFERROR(IF(INDEX(MASTER!$O$2:$O$2000,MATCH($A125,MASTER!$A$2:$A$2000,0))="","",INDEX(MASTER!$O$2:$O$2000,MATCH($A125,MASTER!$A$2:$A$2000,0))),"")</f>
        <v/>
      </c>
      <c r="J125" s="12" t="str">
        <f>IFERROR(INDEX(MASTER!$P$2:$P$2000,MATCH($A125,MASTER!$A$2:$A$2000,0))&amp;"","")</f>
        <v/>
      </c>
      <c r="K125" s="12" t="str">
        <f>IFERROR(INDEX(MASTER!$Q$2:$Q$2000,MATCH($A125,MASTER!$A$2:$A$2000,0))&amp;"","")</f>
        <v>Mandatory before launch: yes. Needs the owner's go-ahead (public).</v>
      </c>
      <c r="L125" s="12" t="str">
        <f>IFERROR(INDEX(MASTER!$R$2:$R$2000,MATCH($A125,MASTER!$A$2:$A$2000,0))&amp;"","")</f>
        <v/>
      </c>
    </row>
    <row r="126" spans="1:12" x14ac:dyDescent="0.25">
      <c r="A126" s="15" t="s">
        <v>1451</v>
      </c>
      <c r="B126" s="12" t="str">
        <f>IFERROR(INDEX(MASTER!$C$2:$C$2000,MATCH($A126,MASTER!$A$2:$A$2000,0))&amp;"","")</f>
        <v>RELEASE</v>
      </c>
      <c r="C126" s="16">
        <f>IFERROR(INDEX(MASTER!$B$2:$B$2000,MATCH($A126,MASTER!$A$2:$A$2000,0)),"")</f>
        <v>19</v>
      </c>
      <c r="D126" s="12" t="str">
        <f>IFERROR(INDEX(MASTER!$D$2:$D$2000,MATCH($A126,MASTER!$A$2:$A$2000,0))&amp;"","")</f>
        <v>Cross-user isolation on the live deployment</v>
      </c>
      <c r="E126" s="12" t="str">
        <f>IFERROR(INDEX(MASTER!$F$2:$F$2000,MATCH($A126,MASTER!$A$2:$A$2000,0))&amp;"","")</f>
        <v>P0</v>
      </c>
      <c r="F126" s="12" t="str">
        <f>IFERROR(INDEX(MASTER!$G$2:$G$2000,MATCH($A126,MASTER!$A$2:$A$2000,0))&amp;"","NOT IN MASTER")</f>
        <v>IN_PROGRESS</v>
      </c>
      <c r="G126" s="12" t="str">
        <f>IFERROR(INDEX(MASTER!$H$2:$H$2000,MATCH($A126,MASTER!$A$2:$A$2000,0))&amp;"","")</f>
        <v>Code: every document, asset, job and export route goes authenticate -&gt; authorize -&gt; fetch (404 across accounts). Local proof: the security suite (pytest -m security, part of the backend run 2588 passed) has the cross-account IDOR checks; Playwright 59 passed. Live: needs two test accounts on the deployment, which only the owner may create (Claude doesn't create accounts or sign in on a non-local site), and a way through Vercel Authentication (REL-022).</v>
      </c>
      <c r="H126" s="12" t="str">
        <f>IFERROR(INDEX(MASTER!$I$2:$I$2000,MATCH($A126,MASTER!$A$2:$A$2000,0))&amp;"","")</f>
        <v/>
      </c>
      <c r="I126" s="19" t="str">
        <f>IFERROR(IF(INDEX(MASTER!$O$2:$O$2000,MATCH($A126,MASTER!$A$2:$A$2000,0))="","",INDEX(MASTER!$O$2:$O$2000,MATCH($A126,MASTER!$A$2:$A$2000,0))),"")</f>
        <v/>
      </c>
      <c r="J126" s="12" t="str">
        <f>IFERROR(INDEX(MASTER!$P$2:$P$2000,MATCH($A126,MASTER!$A$2:$A$2000,0))&amp;"","")</f>
        <v/>
      </c>
      <c r="K126" s="12" t="str">
        <f>IFERROR(INDEX(MASTER!$Q$2:$Q$2000,MATCH($A126,MASTER!$A$2:$A$2000,0))&amp;"","")</f>
        <v>Mandatory before launch: yes. The live check is the owner's: two test accounts; the steps are in AI-CONTINUATION.</v>
      </c>
      <c r="L126" s="12" t="str">
        <f>IFERROR(INDEX(MASTER!$R$2:$R$2000,MATCH($A126,MASTER!$A$2:$A$2000,0))&amp;"","")</f>
        <v/>
      </c>
    </row>
    <row r="127" spans="1:12" x14ac:dyDescent="0.25">
      <c r="A127" s="15" t="s">
        <v>1500</v>
      </c>
      <c r="B127" s="12" t="str">
        <f>IFERROR(INDEX(MASTER!$C$2:$C$2000,MATCH($A127,MASTER!$A$2:$A$2000,0))&amp;"","")</f>
        <v>RELEASE</v>
      </c>
      <c r="C127" s="16">
        <f>IFERROR(INDEX(MASTER!$B$2:$B$2000,MATCH($A127,MASTER!$A$2:$A$2000,0)),"")</f>
        <v>19</v>
      </c>
      <c r="D127" s="12" t="str">
        <f>IFERROR(INDEX(MASTER!$D$2:$D$2000,MATCH($A127,MASTER!$A$2:$A$2000,0))&amp;"","")</f>
        <v>E-mail off is said plainly: no false 'link sent'</v>
      </c>
      <c r="E127" s="12" t="str">
        <f>IFERROR(INDEX(MASTER!$F$2:$F$2000,MATCH($A127,MASTER!$A$2:$A$2000,0))&amp;"","")</f>
        <v>P0</v>
      </c>
      <c r="F127" s="12" t="str">
        <f>IFERROR(INDEX(MASTER!$G$2:$G$2000,MATCH($A127,MASTER!$A$2:$A$2000,0))&amp;"","NOT IN MASTER")</f>
        <v>IMPLEMENTED</v>
      </c>
      <c r="G127" s="12" t="str">
        <f>IFERROR(INDEX(MASTER!$H$2:$H$2000,MATCH($A127,MASTER!$A$2:$A$2000,0))&amp;"","")</f>
        <v>EMAIL_BACKEND=disabled (config, DisabledSender, Dockerfile.vercel default); GET /api/v1/auth/email-delivery; 503 for password-reset and verify-email while off; VerifyEmailBanner, ForgotPasswordForm and the account-deleted notice follow it. Seen on a throwaway local server with e-mail off (scripts/e2e_server.py E2E_EMAIL_BACKEND=disabled): the forgot-password page says it isn't available, the dashboard shows no banner.</v>
      </c>
      <c r="H127" s="12" t="str">
        <f>IFERROR(INDEX(MASTER!$I$2:$I$2000,MATCH($A127,MASTER!$A$2:$A$2000,0))&amp;"","")</f>
        <v>tests/test_email_disabled.py (7); VerifyEmail.test.tsx + PasswordResetForms.test.tsx (11); backend full run; Vitest 368; tsc, next build. Pending: the deployment.</v>
      </c>
      <c r="I127" s="19" t="str">
        <f>IFERROR(IF(INDEX(MASTER!$O$2:$O$2000,MATCH($A127,MASTER!$A$2:$A$2000,0))="","",INDEX(MASTER!$O$2:$O$2000,MATCH($A127,MASTER!$A$2:$A$2000,0))),"")</f>
        <v/>
      </c>
      <c r="J127" s="12" t="str">
        <f>IFERROR(INDEX(MASTER!$P$2:$P$2000,MATCH($A127,MASTER!$A$2:$A$2000,0))&amp;"","")</f>
        <v>ad60739</v>
      </c>
      <c r="K127" s="12" t="str">
        <f>IFERROR(INDEX(MASTER!$Q$2:$Q$2000,MATCH($A127,MASTER!$A$2:$A$2000,0))&amp;"","")</f>
        <v>Mandatory before launch: yes. Found 2026-10-13: the owner pressed 'Send the link again', was told a link was sent, and none came (EMAIL_BACKEND defaulted to outbox: a file in the container).</v>
      </c>
      <c r="L127" s="12" t="str">
        <f>IFERROR(INDEX(MASTER!$R$2:$R$2000,MATCH($A127,MASTER!$A$2:$A$2000,0))&amp;"","")</f>
        <v/>
      </c>
    </row>
    <row r="128" spans="1:12" x14ac:dyDescent="0.25">
      <c r="A128" s="15" t="s">
        <v>1511</v>
      </c>
      <c r="B128" s="12" t="str">
        <f>IFERROR(INDEX(MASTER!$C$2:$C$2000,MATCH($A128,MASTER!$A$2:$A$2000,0))&amp;"","")</f>
        <v>RELEASE</v>
      </c>
      <c r="C128" s="16">
        <f>IFERROR(INDEX(MASTER!$B$2:$B$2000,MATCH($A128,MASTER!$A$2:$A$2000,0)),"")</f>
        <v>19</v>
      </c>
      <c r="D128" s="12" t="str">
        <f>IFERROR(INDEX(MASTER!$D$2:$D$2000,MATCH($A128,MASTER!$A$2:$A$2000,0))&amp;"","")</f>
        <v>Free public sign-up only with real e-mail and password reset</v>
      </c>
      <c r="E128" s="12" t="str">
        <f>IFERROR(INDEX(MASTER!$F$2:$F$2000,MATCH($A128,MASTER!$A$2:$A$2000,0))&amp;"","")</f>
        <v>P0</v>
      </c>
      <c r="F128" s="12" t="str">
        <f>IFERROR(INDEX(MASTER!$G$2:$G$2000,MATCH($A128,MASTER!$A$2:$A$2000,0))&amp;"","NOT IN MASTER")</f>
        <v>NOT_STARTED</v>
      </c>
      <c r="G128" s="12" t="str">
        <f>IFERROR(INDEX(MASTER!$H$2:$H$2000,MATCH($A128,MASTER!$A$2:$A$2000,0))&amp;"","")</f>
        <v/>
      </c>
      <c r="H128" s="12" t="str">
        <f>IFERROR(INDEX(MASTER!$I$2:$I$2000,MATCH($A128,MASTER!$A$2:$A$2000,0))&amp;"","")</f>
        <v/>
      </c>
      <c r="I128" s="19" t="str">
        <f>IFERROR(IF(INDEX(MASTER!$O$2:$O$2000,MATCH($A128,MASTER!$A$2:$A$2000,0))="","",INDEX(MASTER!$O$2:$O$2000,MATCH($A128,MASTER!$A$2:$A$2000,0))),"")</f>
        <v/>
      </c>
      <c r="J128" s="12" t="str">
        <f>IFERROR(INDEX(MASTER!$P$2:$P$2000,MATCH($A128,MASTER!$A$2:$A$2000,0))&amp;"","")</f>
        <v/>
      </c>
      <c r="K128" s="12" t="str">
        <f>IFERROR(INDEX(MASTER!$Q$2:$Q$2000,MATCH($A128,MASTER!$A$2:$A$2000,0))&amp;"","")</f>
        <v>Mandatory before public sign-up: yes. Until then only people the owner lets through Vercel Authentication reach the app.</v>
      </c>
      <c r="L128" s="12" t="str">
        <f>IFERROR(INDEX(MASTER!$R$2:$R$2000,MATCH($A128,MASTER!$A$2:$A$2000,0))&amp;"","")</f>
        <v/>
      </c>
    </row>
  </sheetData>
  <autoFilter ref="A31:L128" xr:uid="{00000000-0009-0000-0000-000002000000}"/>
  <conditionalFormatting sqref="B8:B27">
    <cfRule type="cellIs" dxfId="334" priority="1" operator="equal">
      <formula>"RESOLVED"</formula>
    </cfRule>
    <cfRule type="cellIs" dxfId="333" priority="2" operator="equal">
      <formula>"IN_PROGRESS"</formula>
    </cfRule>
    <cfRule type="cellIs" dxfId="332" priority="3" operator="equal">
      <formula>"BLOCKED"</formula>
    </cfRule>
    <cfRule type="cellIs" dxfId="331" priority="4" operator="equal">
      <formula>"OPEN"</formula>
    </cfRule>
  </conditionalFormatting>
  <conditionalFormatting sqref="C8:C27">
    <cfRule type="dataBar" priority="5">
      <dataBar>
        <cfvo type="num" val="0"/>
        <cfvo type="num" val="1"/>
        <color rgb="FF63BE7B"/>
      </dataBar>
    </cfRule>
  </conditionalFormatting>
  <conditionalFormatting sqref="E32:E128">
    <cfRule type="cellIs" dxfId="330" priority="24" operator="equal">
      <formula>"P0"</formula>
    </cfRule>
    <cfRule type="cellIs" dxfId="329" priority="25" operator="equal">
      <formula>"P1"</formula>
    </cfRule>
  </conditionalFormatting>
  <conditionalFormatting sqref="F32:F128">
    <cfRule type="cellIs" dxfId="328" priority="6" operator="equal">
      <formula>"DONE"</formula>
    </cfRule>
    <cfRule type="cellIs" dxfId="327" priority="7" operator="equal">
      <formula>"VERIFIED"</formula>
    </cfRule>
    <cfRule type="cellIs" dxfId="326" priority="8" operator="equal">
      <formula>"IN_PROGRESS"</formula>
    </cfRule>
    <cfRule type="cellIs" dxfId="325" priority="9" operator="equal">
      <formula>"IMPLEMENTED"</formula>
    </cfRule>
    <cfRule type="cellIs" dxfId="324" priority="10" operator="equal">
      <formula>"TESTING"</formula>
    </cfRule>
    <cfRule type="cellIs" dxfId="323" priority="11" operator="equal">
      <formula>"BLOCKED"</formula>
    </cfRule>
    <cfRule type="cellIs" dxfId="322" priority="12" operator="equal">
      <formula>"FAILED"</formula>
    </cfRule>
    <cfRule type="cellIs" dxfId="321" priority="13" operator="equal">
      <formula>"DEFERRED"</formula>
    </cfRule>
    <cfRule type="cellIs" dxfId="320" priority="14" operator="equal">
      <formula>"UNKNOWN"</formula>
    </cfRule>
    <cfRule type="cellIs" dxfId="319" priority="15" operator="equal">
      <formula>"PASS"</formula>
    </cfRule>
    <cfRule type="cellIs" dxfId="318" priority="16" operator="equal">
      <formula>"FAIL"</formula>
    </cfRule>
    <cfRule type="cellIs" dxfId="317" priority="17" operator="equal">
      <formula>"PARTIAL"</formula>
    </cfRule>
    <cfRule type="cellIs" dxfId="316" priority="18" operator="equal">
      <formula>"RESOLVED"</formula>
    </cfRule>
    <cfRule type="cellIs" dxfId="315" priority="19" operator="equal">
      <formula>"OPEN"</formula>
    </cfRule>
    <cfRule type="cellIs" dxfId="314" priority="20" operator="equal">
      <formula>"WITHIN"</formula>
    </cfRule>
    <cfRule type="cellIs" dxfId="313" priority="21" operator="equal">
      <formula>"OVER"</formula>
    </cfRule>
    <cfRule type="cellIs" dxfId="312" priority="22" operator="equal">
      <formula>"NOW"</formula>
    </cfRule>
    <cfRule type="cellIs" dxfId="311" priority="23" operator="equal">
      <formula>"NOT IN MASTER"</formula>
    </cfRule>
  </conditionalFormatting>
  <pageMargins left="0.75" right="0.75" top="1" bottom="1" header="0.5" footer="0.5"/>
  <pageSetup fitToHeight="0"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L24"/>
  <sheetViews>
    <sheetView workbookViewId="0">
      <pane ySplit="4" topLeftCell="A5" activePane="bottomLeft" state="frozen"/>
      <selection pane="bottomLeft"/>
    </sheetView>
  </sheetViews>
  <sheetFormatPr defaultRowHeight="15" x14ac:dyDescent="0.25"/>
  <cols>
    <col min="1" max="1" width="12" customWidth="1"/>
    <col min="2" max="2" width="14" customWidth="1"/>
    <col min="3" max="3" width="7" customWidth="1"/>
    <col min="4" max="4" width="44" customWidth="1"/>
    <col min="5" max="5" width="9" customWidth="1"/>
    <col min="6" max="6" width="14" customWidth="1"/>
    <col min="7" max="7" width="40" customWidth="1"/>
    <col min="8" max="8" width="34" customWidth="1"/>
    <col min="9" max="9" width="16" customWidth="1"/>
    <col min="10" max="10" width="10" customWidth="1"/>
    <col min="11" max="11" width="40" customWidth="1"/>
    <col min="12" max="12" width="11" customWidth="1"/>
  </cols>
  <sheetData>
    <row r="1" spans="1:12" ht="20.25" x14ac:dyDescent="0.3">
      <c r="A1" s="3" t="s">
        <v>1575</v>
      </c>
    </row>
    <row r="2" spans="1:12" x14ac:dyDescent="0.25">
      <c r="A2" s="4" t="s">
        <v>1576</v>
      </c>
    </row>
    <row r="3" spans="1:12" x14ac:dyDescent="0.25">
      <c r="A3" s="6" t="s">
        <v>45</v>
      </c>
      <c r="B3" s="6" t="s">
        <v>46</v>
      </c>
      <c r="C3" s="6" t="s">
        <v>47</v>
      </c>
      <c r="D3" s="6" t="s">
        <v>13</v>
      </c>
      <c r="E3" s="6" t="s">
        <v>16</v>
      </c>
      <c r="F3" s="6" t="s">
        <v>19</v>
      </c>
      <c r="G3" s="6" t="s">
        <v>48</v>
      </c>
      <c r="H3" s="6" t="s">
        <v>33</v>
      </c>
    </row>
    <row r="4" spans="1:12" x14ac:dyDescent="0.25">
      <c r="A4" s="7">
        <f>COUNTIF(MASTER!$C$2:$C$2000,"CORE")+COUNTIF(MASTER!$C$2:$C$2000,"FIDELITY")+COUNTIF(MASTER!$C$2:$C$2000,"REVIEW")</f>
        <v>17</v>
      </c>
      <c r="B4" s="7">
        <f>COUNTIFS(MASTER!$C$2:$C$2000,"CORE",MASTER!$G$2:$G$2000,"DONE")+COUNTIFS(MASTER!$C$2:$C$2000,"FIDELITY",MASTER!$G$2:$G$2000,"DONE")+COUNTIFS(MASTER!$C$2:$C$2000,"REVIEW",MASTER!$G$2:$G$2000,"DONE")</f>
        <v>16</v>
      </c>
      <c r="C4" s="7">
        <f>COUNTIFS(MASTER!$C$2:$C$2000,"CORE",MASTER!$G$2:$G$2000,"VERIFIED")+COUNTIFS(MASTER!$C$2:$C$2000,"FIDELITY",MASTER!$G$2:$G$2000,"VERIFIED")+COUNTIFS(MASTER!$C$2:$C$2000,"REVIEW",MASTER!$G$2:$G$2000,"VERIFIED")+B4</f>
        <v>16</v>
      </c>
      <c r="D4" s="7">
        <f>COUNTIFS(MASTER!$C$2:$C$2000,"CORE",MASTER!$G$2:$G$2000,"IN_PROGRESS")+COUNTIFS(MASTER!$C$2:$C$2000,"CORE",MASTER!$G$2:$G$2000,"IMPLEMENTED")+COUNTIFS(MASTER!$C$2:$C$2000,"CORE",MASTER!$G$2:$G$2000,"TESTING")+COUNTIFS(MASTER!$C$2:$C$2000,"FIDELITY",MASTER!$G$2:$G$2000,"IN_PROGRESS")+COUNTIFS(MASTER!$C$2:$C$2000,"FIDELITY",MASTER!$G$2:$G$2000,"IMPLEMENTED")+COUNTIFS(MASTER!$C$2:$C$2000,"FIDELITY",MASTER!$G$2:$G$2000,"TESTING")+COUNTIFS(MASTER!$C$2:$C$2000,"REVIEW",MASTER!$G$2:$G$2000,"IN_PROGRESS")+COUNTIFS(MASTER!$C$2:$C$2000,"REVIEW",MASTER!$G$2:$G$2000,"IMPLEMENTED")+COUNTIFS(MASTER!$C$2:$C$2000,"REVIEW",MASTER!$G$2:$G$2000,"TESTING")</f>
        <v>0</v>
      </c>
      <c r="E4" s="7">
        <f>COUNTIFS(MASTER!$C$2:$C$2000,"CORE",MASTER!$G$2:$G$2000,"BLOCKED")+COUNTIFS(MASTER!$C$2:$C$2000,"FIDELITY",MASTER!$G$2:$G$2000,"BLOCKED")+COUNTIFS(MASTER!$C$2:$C$2000,"REVIEW",MASTER!$G$2:$G$2000,"BLOCKED")</f>
        <v>0</v>
      </c>
      <c r="F4" s="7">
        <f>COUNTIFS(MASTER!$C$2:$C$2000,"CORE",MASTER!$G$2:$G$2000,"FAILED")+COUNTIFS(MASTER!$C$2:$C$2000,"FIDELITY",MASTER!$G$2:$G$2000,"FAILED")+COUNTIFS(MASTER!$C$2:$C$2000,"REVIEW",MASTER!$G$2:$G$2000,"FAILED")</f>
        <v>0</v>
      </c>
      <c r="G4" s="9">
        <f>IF(A4=0,0,B4/A4)</f>
        <v>0.94117647058823528</v>
      </c>
      <c r="H4" s="9">
        <f>IF(A4=0,0,C4/A4)</f>
        <v>0.94117647058823528</v>
      </c>
    </row>
    <row r="6" spans="1:12" ht="15.75" x14ac:dyDescent="0.25">
      <c r="A6" s="5" t="s">
        <v>1577</v>
      </c>
    </row>
    <row r="7" spans="1:12" x14ac:dyDescent="0.25">
      <c r="A7" s="10" t="s">
        <v>166</v>
      </c>
      <c r="B7" s="10" t="s">
        <v>100</v>
      </c>
      <c r="C7" s="10" t="s">
        <v>43</v>
      </c>
      <c r="D7" s="10" t="s">
        <v>167</v>
      </c>
      <c r="E7" s="10" t="s">
        <v>169</v>
      </c>
      <c r="F7" s="10" t="s">
        <v>57</v>
      </c>
      <c r="G7" s="10" t="s">
        <v>170</v>
      </c>
      <c r="H7" s="10" t="s">
        <v>171</v>
      </c>
      <c r="I7" s="10" t="s">
        <v>15</v>
      </c>
      <c r="J7" s="10" t="s">
        <v>177</v>
      </c>
      <c r="K7" s="10" t="s">
        <v>178</v>
      </c>
      <c r="L7" s="10" t="s">
        <v>179</v>
      </c>
    </row>
    <row r="8" spans="1:12" x14ac:dyDescent="0.25">
      <c r="A8" s="15" t="s">
        <v>252</v>
      </c>
      <c r="B8" s="12" t="str">
        <f>IFERROR(INDEX(MASTER!$C$2:$C$2000,MATCH($A8,MASTER!$A$2:$A$2000,0))&amp;"","")</f>
        <v>CORE</v>
      </c>
      <c r="C8" s="16">
        <f>IFERROR(INDEX(MASTER!$B$2:$B$2000,MATCH($A8,MASTER!$A$2:$A$2000,0)),"")</f>
        <v>1</v>
      </c>
      <c r="D8" s="12" t="str">
        <f>IFERROR(INDEX(MASTER!$D$2:$D$2000,MATCH($A8,MASTER!$A$2:$A$2000,0))&amp;"","")</f>
        <v>Nested block containers in the model</v>
      </c>
      <c r="E8" s="12" t="str">
        <f>IFERROR(INDEX(MASTER!$F$2:$F$2000,MATCH($A8,MASTER!$A$2:$A$2000,0))&amp;"","")</f>
        <v>P0</v>
      </c>
      <c r="F8" s="12" t="str">
        <f>IFERROR(INDEX(MASTER!$G$2:$G$2000,MATCH($A8,MASTER!$A$2:$A$2000,0))&amp;"","NOT IN MASTER")</f>
        <v>DONE</v>
      </c>
      <c r="G8" s="12" t="str">
        <f>IFERROR(INDEX(MASTER!$H$2:$H$2000,MATCH($A8,MASTER!$A$2:$A$2000,0))&amp;"","")</f>
        <v>backend/app/models/document.py: TableCell.blocks, ListItem.blocks, Element.children, Element.numbering (ListNumbering start/format), MAX_BLOCK_DEPTH=8 validator, child_blocks/walk_elements/inline_runs</v>
      </c>
      <c r="H8" s="12" t="str">
        <f>IFERROR(INDEX(MASTER!$I$2:$I$2000,MATCH($A8,MASTER!$A$2:$A$2000,0))&amp;"","")</f>
        <v>tests/test_document_nesting.py (9); full backend 659 passed</v>
      </c>
      <c r="I8" s="19">
        <f>IFERROR(IF(INDEX(MASTER!$O$2:$O$2000,MATCH($A8,MASTER!$A$2:$A$2000,0))="","",INDEX(MASTER!$O$2:$O$2000,MATCH($A8,MASTER!$A$2:$A$2000,0))),"")</f>
        <v>46292.196493055562</v>
      </c>
      <c r="J8" s="12" t="str">
        <f>IFERROR(INDEX(MASTER!$P$2:$P$2000,MATCH($A8,MASTER!$A$2:$A$2000,0))&amp;"","")</f>
        <v>1fe27a9</v>
      </c>
      <c r="K8" s="12" t="str">
        <f>IFERROR(INDEX(MASTER!$Q$2:$Q$2000,MATCH($A8,MASTER!$A$2:$A$2000,0))&amp;"","")</f>
        <v>Design: TableCell.blocks / ListItem.blocks / Element.children hold nested Elements (authoritative when set; inline keeps the plain text); Element.numbering {start, format}; nesting capped at MAX_BLOCK_DEPTH; walk_elements() for every consumer.</v>
      </c>
      <c r="L8" s="12" t="str">
        <f>IFERROR(INDEX(MASTER!$R$2:$R$2000,MATCH($A8,MASTER!$A$2:$A$2000,0))&amp;"","")</f>
        <v/>
      </c>
    </row>
    <row r="9" spans="1:12" x14ac:dyDescent="0.25">
      <c r="A9" s="15" t="s">
        <v>262</v>
      </c>
      <c r="B9" s="12" t="str">
        <f>IFERROR(INDEX(MASTER!$C$2:$C$2000,MATCH($A9,MASTER!$A$2:$A$2000,0))&amp;"","")</f>
        <v>CORE</v>
      </c>
      <c r="C9" s="16">
        <f>IFERROR(INDEX(MASTER!$B$2:$B$2000,MATCH($A9,MASTER!$A$2:$A$2000,0)),"")</f>
        <v>1</v>
      </c>
      <c r="D9" s="12" t="str">
        <f>IFERROR(INDEX(MASTER!$D$2:$D$2000,MATCH($A9,MASTER!$A$2:$A$2000,0))&amp;"","")</f>
        <v>OpenAPI + generated types for nested blocks</v>
      </c>
      <c r="E9" s="12" t="str">
        <f>IFERROR(INDEX(MASTER!$F$2:$F$2000,MATCH($A9,MASTER!$A$2:$A$2000,0))&amp;"","")</f>
        <v>P0</v>
      </c>
      <c r="F9" s="12" t="str">
        <f>IFERROR(INDEX(MASTER!$G$2:$G$2000,MATCH($A9,MASTER!$A$2:$A$2000,0))&amp;"","NOT IN MASTER")</f>
        <v>DONE</v>
      </c>
      <c r="G9" s="12" t="str">
        <f>IFERROR(INDEX(MASTER!$H$2:$H$2000,MATCH($A9,MASTER!$A$2:$A$2000,0))&amp;"","")</f>
        <v>frontend/types/generated/openapi.json + api.ts regenerated; types/document.ts exports ListNumbering/NumberFormat</v>
      </c>
      <c r="H9" s="12" t="str">
        <f>IFERROR(INDEX(MASTER!$I$2:$I$2000,MATCH($A9,MASTER!$A$2:$A$2000,0))&amp;"","")</f>
        <v>tests/test_openapi_contract.py; npx tsc --noEmit clean</v>
      </c>
      <c r="I9" s="19">
        <f>IFERROR(IF(INDEX(MASTER!$O$2:$O$2000,MATCH($A9,MASTER!$A$2:$A$2000,0))="","",INDEX(MASTER!$O$2:$O$2000,MATCH($A9,MASTER!$A$2:$A$2000,0))),"")</f>
        <v>46292.196527777778</v>
      </c>
      <c r="J9" s="12" t="str">
        <f>IFERROR(INDEX(MASTER!$P$2:$P$2000,MATCH($A9,MASTER!$A$2:$A$2000,0))&amp;"","")</f>
        <v>1fe27a9</v>
      </c>
      <c r="K9" s="12" t="str">
        <f>IFERROR(INDEX(MASTER!$Q$2:$Q$2000,MATCH($A9,MASTER!$A$2:$A$2000,0))&amp;"","")</f>
        <v/>
      </c>
      <c r="L9" s="12" t="str">
        <f>IFERROR(INDEX(MASTER!$R$2:$R$2000,MATCH($A9,MASTER!$A$2:$A$2000,0))&amp;"","")</f>
        <v>CORE-001</v>
      </c>
    </row>
    <row r="10" spans="1:12" x14ac:dyDescent="0.25">
      <c r="A10" s="15" t="s">
        <v>270</v>
      </c>
      <c r="B10" s="12" t="str">
        <f>IFERROR(INDEX(MASTER!$C$2:$C$2000,MATCH($A10,MASTER!$A$2:$A$2000,0))&amp;"","")</f>
        <v>CORE</v>
      </c>
      <c r="C10" s="16">
        <f>IFERROR(INDEX(MASTER!$B$2:$B$2000,MATCH($A10,MASTER!$A$2:$A$2000,0)),"")</f>
        <v>1</v>
      </c>
      <c r="D10" s="12" t="str">
        <f>IFERROR(INDEX(MASTER!$D$2:$D$2000,MATCH($A10,MASTER!$A$2:$A$2000,0))&amp;"","")</f>
        <v>Nested blocks through the backend</v>
      </c>
      <c r="E10" s="12" t="str">
        <f>IFERROR(INDEX(MASTER!$F$2:$F$2000,MATCH($A10,MASTER!$A$2:$A$2000,0))&amp;"","")</f>
        <v>P0</v>
      </c>
      <c r="F10" s="12" t="str">
        <f>IFERROR(INDEX(MASTER!$G$2:$G$2000,MATCH($A10,MASTER!$A$2:$A$2000,0))&amp;"","NOT IN MASTER")</f>
        <v>DONE</v>
      </c>
      <c r="G10" s="12" t="str">
        <f>IFERROR(INDEX(MASTER!$H$2:$H$2000,MATCH($A10,MASTER!$A$2:$A$2000,0))&amp;"","")</f>
        <v>services/image_assets.py (nested data: images validated and stored, junk removed and reported), services/document_service.py export_assets (walk_elements), formatting/health.py links via inline_runs; asset cleanup already scans the whole JSON</v>
      </c>
      <c r="H10" s="12" t="str">
        <f>IFERROR(INDEX(MASTER!$I$2:$I$2000,MATCH($A10,MASTER!$A$2:$A$2000,0))&amp;"","")</f>
        <v>tests/test_nested_blocks_api.py (stored as sent, asset once, junk removed, depth 422); tests/test_health.py nested links</v>
      </c>
      <c r="I10" s="19">
        <f>IFERROR(IF(INDEX(MASTER!$O$2:$O$2000,MATCH($A10,MASTER!$A$2:$A$2000,0))="","",INDEX(MASTER!$O$2:$O$2000,MATCH($A10,MASTER!$A$2:$A$2000,0))),"")</f>
        <v>46292.196562500001</v>
      </c>
      <c r="J10" s="12" t="str">
        <f>IFERROR(INDEX(MASTER!$P$2:$P$2000,MATCH($A10,MASTER!$A$2:$A$2000,0))&amp;"","")</f>
        <v>1fe27a9</v>
      </c>
      <c r="K10" s="12" t="str">
        <f>IFERROR(INDEX(MASTER!$Q$2:$Q$2000,MATCH($A10,MASTER!$A$2:$A$2000,0))&amp;"","")</f>
        <v/>
      </c>
      <c r="L10" s="12" t="str">
        <f>IFERROR(INDEX(MASTER!$R$2:$R$2000,MATCH($A10,MASTER!$A$2:$A$2000,0))&amp;"","")</f>
        <v>CORE-001</v>
      </c>
    </row>
    <row r="11" spans="1:12" x14ac:dyDescent="0.25">
      <c r="A11" s="15" t="s">
        <v>352</v>
      </c>
      <c r="B11" s="12" t="str">
        <f>IFERROR(INDEX(MASTER!$C$2:$C$2000,MATCH($A11,MASTER!$A$2:$A$2000,0))&amp;"","")</f>
        <v>FIDELITY</v>
      </c>
      <c r="C11" s="16">
        <f>IFERROR(INDEX(MASTER!$B$2:$B$2000,MATCH($A11,MASTER!$A$2:$A$2000,0)),"")</f>
        <v>1</v>
      </c>
      <c r="D11" s="12" t="str">
        <f>IFERROR(INDEX(MASTER!$D$2:$D$2000,MATCH($A11,MASTER!$A$2:$A$2000,0))&amp;"","")</f>
        <v>Structured Document Fidelity Report</v>
      </c>
      <c r="E11" s="12" t="str">
        <f>IFERROR(INDEX(MASTER!$F$2:$F$2000,MATCH($A11,MASTER!$A$2:$A$2000,0))&amp;"","")</f>
        <v>P0</v>
      </c>
      <c r="F11" s="12" t="str">
        <f>IFERROR(INDEX(MASTER!$G$2:$G$2000,MATCH($A11,MASTER!$A$2:$A$2000,0))&amp;"","NOT IN MASTER")</f>
        <v>DONE</v>
      </c>
      <c r="G11" s="12" t="str">
        <f>IFERROR(INDEX(MASTER!$H$2:$H$2000,MATCH($A11,MASTER!$A$2:$A$2000,0))&amp;"","")</f>
        <v>backend/app/fidelity/{report,content,docx_source,text_sources,imports}.py; Document.importReport; ingestion_service attaches it for DOCX, PDF, .txt and paste</v>
      </c>
      <c r="H11" s="12" t="str">
        <f>IFERROR(INDEX(MASTER!$I$2:$I$2000,MATCH($A11,MASTER!$A$2:$A$2000,0))&amp;"","")</f>
        <v>tests/test_fidelity_report.py (29); calibration: 29 Word/golden fixtures verified except the genuine a03 heading-number change</v>
      </c>
      <c r="I11" s="19">
        <f>IFERROR(IF(INDEX(MASTER!$O$2:$O$2000,MATCH($A11,MASTER!$A$2:$A$2000,0))="","",INDEX(MASTER!$O$2:$O$2000,MATCH($A11,MASTER!$A$2:$A$2000,0))),"")</f>
        <v>46292.219282407408</v>
      </c>
      <c r="J11" s="12" t="str">
        <f>IFERROR(INDEX(MASTER!$P$2:$P$2000,MATCH($A11,MASTER!$A$2:$A$2000,0))&amp;"","")</f>
        <v>8a330be</v>
      </c>
      <c r="K11" s="12" t="str">
        <f>IFERROR(INDEX(MASTER!$Q$2:$Q$2000,MATCH($A11,MASTER!$A$2:$A$2000,0))&amp;"","")</f>
        <v/>
      </c>
      <c r="L11" s="12" t="str">
        <f>IFERROR(INDEX(MASTER!$R$2:$R$2000,MATCH($A11,MASTER!$A$2:$A$2000,0))&amp;"","")</f>
        <v/>
      </c>
    </row>
    <row r="12" spans="1:12" x14ac:dyDescent="0.25">
      <c r="A12" s="15" t="s">
        <v>358</v>
      </c>
      <c r="B12" s="12" t="str">
        <f>IFERROR(INDEX(MASTER!$C$2:$C$2000,MATCH($A12,MASTER!$A$2:$A$2000,0))&amp;"","")</f>
        <v>FIDELITY</v>
      </c>
      <c r="C12" s="16">
        <f>IFERROR(INDEX(MASTER!$B$2:$B$2000,MATCH($A12,MASTER!$A$2:$A$2000,0)),"")</f>
        <v>1</v>
      </c>
      <c r="D12" s="12" t="str">
        <f>IFERROR(INDEX(MASTER!$D$2:$D$2000,MATCH($A12,MASTER!$A$2:$A$2000,0))&amp;"","")</f>
        <v>Importer reports every detected change</v>
      </c>
      <c r="E12" s="12" t="str">
        <f>IFERROR(INDEX(MASTER!$F$2:$F$2000,MATCH($A12,MASTER!$A$2:$A$2000,0))&amp;"","")</f>
        <v>P0</v>
      </c>
      <c r="F12" s="12" t="str">
        <f>IFERROR(INDEX(MASTER!$G$2:$G$2000,MATCH($A12,MASTER!$A$2:$A$2000,0))&amp;"","NOT IN MASTER")</f>
        <v>DONE</v>
      </c>
      <c r="G12" s="12" t="str">
        <f>IFERROR(INDEX(MASTER!$H$2:$H$2000,MATCH($A12,MASTER!$A$2:$A$2000,0))&amp;"","")</f>
        <v>Importer names every change it makes without keeping: hidden text, caps, underline variants, content controls, custom properties + sensitivity labels (values never echoed), crop/rotation, table geometry, bullets in cells, RTL, autolinks, charts/SmartArt/shapes (app/fidelity/docx_detect.py on the file itself, with an example of the text); numbering labels/multi-level/empty items + numbered headings (parsers/docx.py); empty spacing paragraphs; links with unsafe addresses kept as text (docx_inline._safe); sections: page setup per section, odd/even breaks, page-number restarts/styles, page borders, line numbers, vertical alignment. Header/footer variants already caught by the header/footer word check.</v>
      </c>
      <c r="H12" s="12" t="str">
        <f>IFERROR(INDEX(MASTER!$I$2:$I$2000,MATCH($A12,MASTER!$A$2:$A$2000,0))&amp;"","")</f>
        <v>tests/test_docx_detect.py (9 tests), tests/test_docx_numbering.py (5), tests/test_capabilities.py (6), tests/test_fidelity_report.py; full backend 713 passed/1 skipped; Vitest 84 passed; tsc + eslint clean</v>
      </c>
      <c r="I12" s="19">
        <f>IFERROR(IF(INDEX(MASTER!$O$2:$O$2000,MATCH($A12,MASTER!$A$2:$A$2000,0))="","",INDEX(MASTER!$O$2:$O$2000,MATCH($A12,MASTER!$A$2:$A$2000,0))),"")</f>
        <v>46292.376377314817</v>
      </c>
      <c r="J12" s="12" t="str">
        <f>IFERROR(INDEX(MASTER!$P$2:$P$2000,MATCH($A12,MASTER!$A$2:$A$2000,0))&amp;"","")</f>
        <v>622d9c1</v>
      </c>
      <c r="K12" s="12" t="str">
        <f>IFERROR(INDEX(MASTER!$Q$2:$Q$2000,MATCH($A12,MASTER!$A$2:$A$2000,0))&amp;"","")</f>
        <v>Done: all existing importer notes structured; content check catches any word loss; header/footer text loss detected. Open: explicit detections for hidden text, caps, underline variants, numbering formats/continuation/start, sections, content controls, custom properties, dropped links, crop/rotation, table geometry, bullets in cells, empty paragraphs, autolinks, SmartArt/charts.</v>
      </c>
      <c r="L12" s="12" t="str">
        <f>IFERROR(INDEX(MASTER!$R$2:$R$2000,MATCH($A12,MASTER!$A$2:$A$2000,0))&amp;"","")</f>
        <v>FID-001</v>
      </c>
    </row>
    <row r="13" spans="1:12" x14ac:dyDescent="0.25">
      <c r="A13" s="15" t="s">
        <v>367</v>
      </c>
      <c r="B13" s="12" t="str">
        <f>IFERROR(INDEX(MASTER!$C$2:$C$2000,MATCH($A13,MASTER!$A$2:$A$2000,0))&amp;"","")</f>
        <v>FIDELITY</v>
      </c>
      <c r="C13" s="16">
        <f>IFERROR(INDEX(MASTER!$B$2:$B$2000,MATCH($A13,MASTER!$A$2:$A$2000,0)),"")</f>
        <v>1</v>
      </c>
      <c r="D13" s="12" t="str">
        <f>IFERROR(INDEX(MASTER!$D$2:$D$2000,MATCH($A13,MASTER!$A$2:$A$2000,0))&amp;"","")</f>
        <v>Export fidelity report</v>
      </c>
      <c r="E13" s="12" t="str">
        <f>IFERROR(INDEX(MASTER!$F$2:$F$2000,MATCH($A13,MASTER!$A$2:$A$2000,0))&amp;"","")</f>
        <v>P0</v>
      </c>
      <c r="F13" s="12" t="str">
        <f>IFERROR(INDEX(MASTER!$G$2:$G$2000,MATCH($A13,MASTER!$A$2:$A$2000,0))&amp;"","NOT IN MASTER")</f>
        <v>DONE</v>
      </c>
      <c r="G13" s="12" t="str">
        <f>IFERROR(INDEX(MASTER!$H$2:$H$2000,MATCH($A13,MASTER!$A$2:$A$2000,0))&amp;"","")</f>
        <v>backend/app/fidelity/exports.py (collecting/note, pdf_document_notes, export_report); docx_export/pdf_export record what they approximate or drop; export job result carries 'fidelity'; frontend ExportMenu ExportResult; PDF alt-text note</v>
      </c>
      <c r="H13" s="12" t="str">
        <f>IFERROR(INDEX(MASTER!$I$2:$I$2000,MATCH($A13,MASTER!$A$2:$A$2000,0))&amp;"","")</f>
        <v>tests/test_export_fidelity.py (6), tests/test_jobs.py; editor/ExportResult.test.tsx (4); e2e documents.spec.ts export test checks the message; calibration: DOCX export re-reads identically on 29 fixtures, PDF on all but a11-multilingual (genuine)</v>
      </c>
      <c r="I13" s="19">
        <f>IFERROR(IF(INDEX(MASTER!$O$2:$O$2000,MATCH($A13,MASTER!$A$2:$A$2000,0))="","",INDEX(MASTER!$O$2:$O$2000,MATCH($A13,MASTER!$A$2:$A$2000,0))),"")</f>
        <v>46292.351134259261</v>
      </c>
      <c r="J13" s="12" t="str">
        <f>IFERROR(INDEX(MASTER!$P$2:$P$2000,MATCH($A13,MASTER!$A$2:$A$2000,0))&amp;"","")</f>
        <v>e55412f</v>
      </c>
      <c r="K13" s="12" t="str">
        <f>IFERROR(INDEX(MASTER!$Q$2:$Q$2000,MATCH($A13,MASTER!$A$2:$A$2000,0))&amp;"","")</f>
        <v/>
      </c>
      <c r="L13" s="12" t="str">
        <f>IFERROR(INDEX(MASTER!$R$2:$R$2000,MATCH($A13,MASTER!$A$2:$A$2000,0))&amp;"","")</f>
        <v>FID-001</v>
      </c>
    </row>
    <row r="14" spans="1:12" x14ac:dyDescent="0.25">
      <c r="A14" s="15" t="s">
        <v>374</v>
      </c>
      <c r="B14" s="12" t="str">
        <f>IFERROR(INDEX(MASTER!$C$2:$C$2000,MATCH($A14,MASTER!$A$2:$A$2000,0))&amp;"","")</f>
        <v>FIDELITY</v>
      </c>
      <c r="C14" s="16">
        <f>IFERROR(INDEX(MASTER!$B$2:$B$2000,MATCH($A14,MASTER!$A$2:$A$2000,0)),"")</f>
        <v>1</v>
      </c>
      <c r="D14" s="12" t="str">
        <f>IFERROR(INDEX(MASTER!$D$2:$D$2000,MATCH($A14,MASTER!$A$2:$A$2000,0))&amp;"","")</f>
        <v>Content protection UI</v>
      </c>
      <c r="E14" s="12" t="str">
        <f>IFERROR(INDEX(MASTER!$F$2:$F$2000,MATCH($A14,MASTER!$A$2:$A$2000,0))&amp;"","")</f>
        <v>P0</v>
      </c>
      <c r="F14" s="12" t="str">
        <f>IFERROR(INDEX(MASTER!$G$2:$G$2000,MATCH($A14,MASTER!$A$2:$A$2000,0))&amp;"","NOT IN MASTER")</f>
        <v>DONE</v>
      </c>
      <c r="G14" s="12" t="str">
        <f>IFERROR(INDEX(MASTER!$H$2:$H$2000,MATCH($A14,MASTER!$A$2:$A$2000,0))&amp;"","")</f>
        <v>frontend/editor/panels/FidelityPanel.tsx (Проверка rail panel), EditorStatusBar import badge; 'No content changes' only when the words matched and no item lost content</v>
      </c>
      <c r="H14" s="12" t="str">
        <f>IFERROR(INDEX(MASTER!$I$2:$I$2000,MATCH($A14,MASTER!$A$2:$A$2000,0))&amp;"","")</f>
        <v>editor/panels/FidelityPanel.test.tsx (3); e2e/fidelity.spec.ts; checked in a throwaway stack with the audit's a03/a05 fixtures</v>
      </c>
      <c r="I14" s="19">
        <f>IFERROR(IF(INDEX(MASTER!$O$2:$O$2000,MATCH($A14,MASTER!$A$2:$A$2000,0))="","",INDEX(MASTER!$O$2:$O$2000,MATCH($A14,MASTER!$A$2:$A$2000,0))),"")</f>
        <v>46292.219317129631</v>
      </c>
      <c r="J14" s="12" t="str">
        <f>IFERROR(INDEX(MASTER!$P$2:$P$2000,MATCH($A14,MASTER!$A$2:$A$2000,0))&amp;"","")</f>
        <v>8a330be</v>
      </c>
      <c r="K14" s="12" t="str">
        <f>IFERROR(INDEX(MASTER!$Q$2:$Q$2000,MATCH($A14,MASTER!$A$2:$A$2000,0))&amp;"","")</f>
        <v/>
      </c>
      <c r="L14" s="12" t="str">
        <f>IFERROR(INDEX(MASTER!$R$2:$R$2000,MATCH($A14,MASTER!$A$2:$A$2000,0))&amp;"","")</f>
        <v>FID-001</v>
      </c>
    </row>
    <row r="15" spans="1:12" x14ac:dyDescent="0.25">
      <c r="A15" s="15" t="s">
        <v>379</v>
      </c>
      <c r="B15" s="12" t="str">
        <f>IFERROR(INDEX(MASTER!$C$2:$C$2000,MATCH($A15,MASTER!$A$2:$A$2000,0))&amp;"","")</f>
        <v>FIDELITY</v>
      </c>
      <c r="C15" s="16">
        <f>IFERROR(INDEX(MASTER!$B$2:$B$2000,MATCH($A15,MASTER!$A$2:$A$2000,0)),"")</f>
        <v>1</v>
      </c>
      <c r="D15" s="12" t="str">
        <f>IFERROR(INDEX(MASTER!$D$2:$D$2000,MATCH($A15,MASTER!$A$2:$A$2000,0))&amp;"","")</f>
        <v>Unsupported-feature policy classes</v>
      </c>
      <c r="E15" s="12" t="str">
        <f>IFERROR(INDEX(MASTER!$F$2:$F$2000,MATCH($A15,MASTER!$A$2:$A$2000,0))&amp;"","")</f>
        <v>P0</v>
      </c>
      <c r="F15" s="12" t="str">
        <f>IFERROR(INDEX(MASTER!$G$2:$G$2000,MATCH($A15,MASTER!$A$2:$A$2000,0))&amp;"","NOT IN MASTER")</f>
        <v>DONE</v>
      </c>
      <c r="G15" s="12" t="str">
        <f>IFERROR(INDEX(MASTER!$H$2:$H$2000,MATCH($A15,MASTER!$A$2:$A$2000,0))&amp;"","")</f>
        <v>app/fidelity/report.py FidelityPolicy (not_detected, detected_preserved, detected_not_editable, lossy, unsupported, blocked); every DOCX importer note classified (docx_inline.Notes, docx.py)</v>
      </c>
      <c r="H15" s="12" t="str">
        <f>IFERROR(INDEX(MASTER!$I$2:$I$2000,MATCH($A15,MASTER!$A$2:$A$2000,0))&amp;"","")</f>
        <v>tests/test_fidelity_report.py</v>
      </c>
      <c r="I15" s="19">
        <f>IFERROR(IF(INDEX(MASTER!$O$2:$O$2000,MATCH($A15,MASTER!$A$2:$A$2000,0))="","",INDEX(MASTER!$O$2:$O$2000,MATCH($A15,MASTER!$A$2:$A$2000,0))),"")</f>
        <v>46292.219351851847</v>
      </c>
      <c r="J15" s="12" t="str">
        <f>IFERROR(INDEX(MASTER!$P$2:$P$2000,MATCH($A15,MASTER!$A$2:$A$2000,0))&amp;"","")</f>
        <v>8a330be</v>
      </c>
      <c r="K15" s="12" t="str">
        <f>IFERROR(INDEX(MASTER!$Q$2:$Q$2000,MATCH($A15,MASTER!$A$2:$A$2000,0))&amp;"","")</f>
        <v/>
      </c>
      <c r="L15" s="12" t="str">
        <f>IFERROR(INDEX(MASTER!$R$2:$R$2000,MATCH($A15,MASTER!$A$2:$A$2000,0))&amp;"","")</f>
        <v>FID-001</v>
      </c>
    </row>
    <row r="16" spans="1:12" x14ac:dyDescent="0.25">
      <c r="A16" s="15" t="s">
        <v>384</v>
      </c>
      <c r="B16" s="12" t="str">
        <f>IFERROR(INDEX(MASTER!$C$2:$C$2000,MATCH($A16,MASTER!$A$2:$A$2000,0))&amp;"","")</f>
        <v>CORE</v>
      </c>
      <c r="C16" s="16">
        <f>IFERROR(INDEX(MASTER!$B$2:$B$2000,MATCH($A16,MASTER!$A$2:$A$2000,0)),"")</f>
        <v>1</v>
      </c>
      <c r="D16" s="12" t="str">
        <f>IFERROR(INDEX(MASTER!$D$2:$D$2000,MATCH($A16,MASTER!$A$2:$A$2000,0))&amp;"","")</f>
        <v>Machine-readable capability matrix</v>
      </c>
      <c r="E16" s="12" t="str">
        <f>IFERROR(INDEX(MASTER!$F$2:$F$2000,MATCH($A16,MASTER!$A$2:$A$2000,0))&amp;"","")</f>
        <v>P1</v>
      </c>
      <c r="F16" s="12" t="str">
        <f>IFERROR(INDEX(MASTER!$G$2:$G$2000,MATCH($A16,MASTER!$A$2:$A$2000,0))&amp;"","NOT IN MASTER")</f>
        <v>DONE</v>
      </c>
      <c r="G16" s="12" t="str">
        <f>IFERROR(INDEX(MASTER!$H$2:$H$2000,MATCH($A16,MASTER!$A$2:$A$2000,0))&amp;"","")</f>
        <v>backend/app/capabilities.py (67 features across Word, PDF, editor, text: import/edit/export/roundTrip + policy + report keys + tests + notes naming the task for every unreported gap); GET /api/v1/capabilities (public)</v>
      </c>
      <c r="H16" s="12" t="str">
        <f>IFERROR(INDEX(MASTER!$I$2:$I$2000,MATCH($A16,MASTER!$A$2:$A$2000,0))&amp;"","")</f>
        <v>tests/test_capabilities.py (6): every reported key described and every described key reported, cited tests exist, no round trip 'yes' without a test, gaps name their task, API</v>
      </c>
      <c r="I16" s="19">
        <f>IFERROR(IF(INDEX(MASTER!$O$2:$O$2000,MATCH($A16,MASTER!$A$2:$A$2000,0))="","",INDEX(MASTER!$O$2:$O$2000,MATCH($A16,MASTER!$A$2:$A$2000,0))),"")</f>
        <v>46292.357858796298</v>
      </c>
      <c r="J16" s="12" t="str">
        <f>IFERROR(INDEX(MASTER!$P$2:$P$2000,MATCH($A16,MASTER!$A$2:$A$2000,0))&amp;"","")</f>
        <v>fcf30d7</v>
      </c>
      <c r="K16" s="12" t="str">
        <f>IFERROR(INDEX(MASTER!$Q$2:$Q$2000,MATCH($A16,MASTER!$A$2:$A$2000,0))&amp;"","")</f>
        <v>UI use (badges, pre-export warnings) comes with REV-002/FID-004 follow-ups.</v>
      </c>
      <c r="L16" s="12" t="str">
        <f>IFERROR(INDEX(MASTER!$R$2:$R$2000,MATCH($A16,MASTER!$A$2:$A$2000,0))&amp;"","")</f>
        <v/>
      </c>
    </row>
    <row r="17" spans="1:12" x14ac:dyDescent="0.25">
      <c r="A17" s="15" t="s">
        <v>406</v>
      </c>
      <c r="B17" s="12" t="str">
        <f>IFERROR(INDEX(MASTER!$C$2:$C$2000,MATCH($A17,MASTER!$A$2:$A$2000,0))&amp;"","")</f>
        <v>FIDELITY</v>
      </c>
      <c r="C17" s="16">
        <f>IFERROR(INDEX(MASTER!$B$2:$B$2000,MATCH($A17,MASTER!$A$2:$A$2000,0)),"")</f>
        <v>1</v>
      </c>
      <c r="D17" s="12" t="str">
        <f>IFERROR(INDEX(MASTER!$D$2:$D$2000,MATCH($A17,MASTER!$A$2:$A$2000,0))&amp;"","")</f>
        <v>Text imports name what Markdown can't bring in</v>
      </c>
      <c r="E17" s="12" t="str">
        <f>IFERROR(INDEX(MASTER!$F$2:$F$2000,MATCH($A17,MASTER!$A$2:$A$2000,0))&amp;"","")</f>
        <v>P1</v>
      </c>
      <c r="F17" s="12" t="str">
        <f>IFERROR(INDEX(MASTER!$G$2:$G$2000,MATCH($A17,MASTER!$A$2:$A$2000,0))&amp;"","NOT IN MASTER")</f>
        <v>DONE</v>
      </c>
      <c r="G17" s="12" t="str">
        <f>IFERROR(INDEX(MASTER!$H$2:$H$2000,MATCH($A17,MASTER!$A$2:$A$2000,0))&amp;"","")</f>
        <v>parse_markdown attaches an import report: pictures -&gt; markdown.image (UNSUPPORTED, contentChanged, count, example description) so the verdict is 'Body text complete, some content left out'; not fetched on purpose (server-side fetch of any address). '---' is now a horizontal rule element. Raw HTML stays literal text (html=False), no words lost (probed). Matrix rows text.markdown + text.markdown_images; capability key pattern knows 'markdown.'.</v>
      </c>
      <c r="H17" s="12" t="str">
        <f>IFERROR(INDEX(MASTER!$I$2:$I$2000,MATCH($A17,MASTER!$A$2:$A$2000,0))&amp;"","")</f>
        <v>tests/test_markdown_parser.py::test_a_thematic_break_is_a_horizontal_rule, tests/test_markdown_parser.py::test_pictures_are_named_as_left_out_not_dropped_silently, tests/test_capabilities.py</v>
      </c>
      <c r="I17" s="19">
        <f>IFERROR(IF(INDEX(MASTER!$O$2:$O$2000,MATCH($A17,MASTER!$A$2:$A$2000,0))="","",INDEX(MASTER!$O$2:$O$2000,MATCH($A17,MASTER!$A$2:$A$2000,0))),"")</f>
        <v>46292.416180555563</v>
      </c>
      <c r="J17" s="12" t="str">
        <f>IFERROR(INDEX(MASTER!$P$2:$P$2000,MATCH($A17,MASTER!$A$2:$A$2000,0))&amp;"","")</f>
        <v>66bbdf1</v>
      </c>
      <c r="K17" s="12" t="str">
        <f>IFERROR(INDEX(MASTER!$Q$2:$Q$2000,MATCH($A17,MASTER!$A$2:$A$2000,0))&amp;"","")</f>
        <v>Found 2026-09-27 during EDIT-010 (probe: '![chart](url)' -&gt; 'See  below.', status verified, no items).</v>
      </c>
      <c r="L17" s="12" t="str">
        <f>IFERROR(INDEX(MASTER!$R$2:$R$2000,MATCH($A17,MASTER!$A$2:$A$2000,0))&amp;"","")</f>
        <v/>
      </c>
    </row>
    <row r="18" spans="1:12" x14ac:dyDescent="0.25">
      <c r="A18" s="15" t="s">
        <v>468</v>
      </c>
      <c r="B18" s="12" t="str">
        <f>IFERROR(INDEX(MASTER!$C$2:$C$2000,MATCH($A18,MASTER!$A$2:$A$2000,0))&amp;"","")</f>
        <v>REVIEW</v>
      </c>
      <c r="C18" s="16">
        <f>IFERROR(INDEX(MASTER!$B$2:$B$2000,MATCH($A18,MASTER!$A$2:$A$2000,0)),"")</f>
        <v>2</v>
      </c>
      <c r="D18" s="12" t="str">
        <f>IFERROR(INDEX(MASTER!$D$2:$D$2000,MATCH($A18,MASTER!$A$2:$A$2000,0))&amp;"","")</f>
        <v>Change model</v>
      </c>
      <c r="E18" s="12" t="str">
        <f>IFERROR(INDEX(MASTER!$F$2:$F$2000,MATCH($A18,MASTER!$A$2:$A$2000,0))&amp;"","")</f>
        <v>P0</v>
      </c>
      <c r="F18" s="12" t="str">
        <f>IFERROR(INDEX(MASTER!$G$2:$G$2000,MATCH($A18,MASTER!$A$2:$A$2000,0))&amp;"","NOT IN MASTER")</f>
        <v>DONE</v>
      </c>
      <c r="G18" s="12" t="str">
        <f>IFERROR(INDEX(MASTER!$H$2:$H$2000,MATCH($A18,MASTER!$A$2:$A$2000,0))&amp;"","")</f>
        <v>models/document.py: ChangeCategory (format/structure/content/metadata/preservation/translation) and ProposedChange {id, type, category, elementId, afterElementId, elementType, property, before, after, reason, source, confidence, createdAt}; Document.proposals (&lt;=200); in the OpenAPI schema and generated types.</v>
      </c>
      <c r="H18" s="12" t="str">
        <f>IFERROR(INDEX(MASTER!$I$2:$I$2000,MATCH($A18,MASTER!$A$2:$A$2000,0))&amp;"","")</f>
        <v>tests/test_ai_proposals.py</v>
      </c>
      <c r="I18" s="19">
        <f>IFERROR(IF(INDEX(MASTER!$O$2:$O$2000,MATCH($A18,MASTER!$A$2:$A$2000,0))="","",INDEX(MASTER!$O$2:$O$2000,MATCH($A18,MASTER!$A$2:$A$2000,0))),"")</f>
        <v>46292.606539351851</v>
      </c>
      <c r="J18" s="12" t="str">
        <f>IFERROR(INDEX(MASTER!$P$2:$P$2000,MATCH($A18,MASTER!$A$2:$A$2000,0))&amp;"","")</f>
        <v>5f67f5a</v>
      </c>
      <c r="K18" s="12" t="str">
        <f>IFERROR(INDEX(MASTER!$Q$2:$Q$2000,MATCH($A18,MASTER!$A$2:$A$2000,0))&amp;"","")</f>
        <v/>
      </c>
      <c r="L18" s="12" t="str">
        <f>IFERROR(INDEX(MASTER!$R$2:$R$2000,MATCH($A18,MASTER!$A$2:$A$2000,0))&amp;"","")</f>
        <v/>
      </c>
    </row>
    <row r="19" spans="1:12" x14ac:dyDescent="0.25">
      <c r="A19" s="15" t="s">
        <v>473</v>
      </c>
      <c r="B19" s="12" t="str">
        <f>IFERROR(INDEX(MASTER!$C$2:$C$2000,MATCH($A19,MASTER!$A$2:$A$2000,0))&amp;"","")</f>
        <v>CORE</v>
      </c>
      <c r="C19" s="16">
        <f>IFERROR(INDEX(MASTER!$B$2:$B$2000,MATCH($A19,MASTER!$A$2:$A$2000,0)),"")</f>
        <v>2</v>
      </c>
      <c r="D19" s="12" t="str">
        <f>IFERROR(INDEX(MASTER!$D$2:$D$2000,MATCH($A19,MASTER!$A$2:$A$2000,0))&amp;"","")</f>
        <v>Document command model</v>
      </c>
      <c r="E19" s="12" t="str">
        <f>IFERROR(INDEX(MASTER!$F$2:$F$2000,MATCH($A19,MASTER!$A$2:$A$2000,0))&amp;"","")</f>
        <v>P1</v>
      </c>
      <c r="F19" s="12" t="str">
        <f>IFERROR(INDEX(MASTER!$G$2:$G$2000,MATCH($A19,MASTER!$A$2:$A$2000,0))&amp;"","NOT IN MASTER")</f>
        <v>DEFERRED</v>
      </c>
      <c r="G19" s="12" t="str">
        <f>IFERROR(INDEX(MASTER!$H$2:$H$2000,MATCH($A19,MASTER!$A$2:$A$2000,0))&amp;"","")</f>
        <v/>
      </c>
      <c r="H19" s="12" t="str">
        <f>IFERROR(INDEX(MASTER!$I$2:$I$2000,MATCH($A19,MASTER!$A$2:$A$2000,0))&amp;"","")</f>
        <v/>
      </c>
      <c r="I19" s="19" t="str">
        <f>IFERROR(IF(INDEX(MASTER!$O$2:$O$2000,MATCH($A19,MASTER!$A$2:$A$2000,0))="","",INDEX(MASTER!$O$2:$O$2000,MATCH($A19,MASTER!$A$2:$A$2000,0))),"")</f>
        <v/>
      </c>
      <c r="J19" s="12" t="str">
        <f>IFERROR(INDEX(MASTER!$P$2:$P$2000,MATCH($A19,MASTER!$A$2:$A$2000,0))&amp;"","")</f>
        <v/>
      </c>
      <c r="K19" s="12" t="str">
        <f>IFERROR(INDEX(MASTER!$Q$2:$Q$2000,MATCH($A19,MASTER!$A$2:$A$2000,0))&amp;"","")</f>
        <v>Proposals (AI-006, 5f67f5a) are the first command: validate (validate_operations), preview (ProposedChange), apply (apply_operations), undo (document history). A shared command abstraction is deferred until a second kind exists (translation TRAN-*, repair HLTH-002/REV-003, batch) so it isn't designed from one example; revisit at Phase 10/14/15.</v>
      </c>
      <c r="L19" s="12" t="str">
        <f>IFERROR(INDEX(MASTER!$R$2:$R$2000,MATCH($A19,MASTER!$A$2:$A$2000,0))&amp;"","")</f>
        <v/>
      </c>
    </row>
    <row r="20" spans="1:12" x14ac:dyDescent="0.25">
      <c r="A20" s="15" t="s">
        <v>782</v>
      </c>
      <c r="B20" s="12" t="str">
        <f>IFERROR(INDEX(MASTER!$C$2:$C$2000,MATCH($A20,MASTER!$A$2:$A$2000,0))&amp;"","")</f>
        <v>FIDELITY</v>
      </c>
      <c r="C20" s="16">
        <f>IFERROR(INDEX(MASTER!$B$2:$B$2000,MATCH($A20,MASTER!$A$2:$A$2000,0)),"")</f>
        <v>3</v>
      </c>
      <c r="D20" s="12" t="str">
        <f>IFERROR(INDEX(MASTER!$D$2:$D$2000,MATCH($A20,MASTER!$A$2:$A$2000,0))&amp;"","")</f>
        <v>Reports follow the Word copy</v>
      </c>
      <c r="E20" s="12" t="str">
        <f>IFERROR(INDEX(MASTER!$F$2:$F$2000,MATCH($A20,MASTER!$A$2:$A$2000,0))&amp;"","")</f>
        <v>P1</v>
      </c>
      <c r="F20" s="12" t="str">
        <f>IFERROR(INDEX(MASTER!$G$2:$G$2000,MATCH($A20,MASTER!$A$2:$A$2000,0))&amp;"","NOT IN MASTER")</f>
        <v>DONE</v>
      </c>
      <c r="G20" s="12" t="str">
        <f>IFERROR(INDEX(MASTER!$H$2:$H$2000,MATCH($A20,MASTER!$A$2:$A$2000,0))&amp;"","")</f>
        <v>fidelity/imports.py KEPT_WHILE_UNCHANGED (content controls, text boxes, charts/shapes/SmartArt, objects, picture crop/rotation/floating, drop caps, empty paragraphs, approximated underlines, character scale, text effects, RTL) -&gt; detected_not_editable 'kept while the paragraph isn't changed or restyled'; docx_export._copy_plan returns rewritten groups, _lost_in/_rewritten_losses -&gt; export.docx.rewritten_blocks (LOSSY, count, kinds incl. proofing exclusions); _safe_links keeps groups with unsafe links (relationships or HYPERLINK fields) from being copied; the PDF's Word-only note covers the features.</v>
      </c>
      <c r="H20" s="12" t="str">
        <f>IFERROR(INDEX(MASTER!$I$2:$I$2000,MATCH($A20,MASTER!$A$2:$A$2000,0))&amp;"","")</f>
        <v>tests/test_copy_reports.py (6): kept while unchanged at import, rewritten losses named (content controls, stretched text), unsafe javascript: link never copied back, PDF word-only; backend 894 passed/1 skipped; Playwright 22</v>
      </c>
      <c r="I20" s="19">
        <f>IFERROR(IF(INDEX(MASTER!$O$2:$O$2000,MATCH($A20,MASTER!$A$2:$A$2000,0))="","",INDEX(MASTER!$O$2:$O$2000,MATCH($A20,MASTER!$A$2:$A$2000,0))),"")</f>
        <v>46292.818101851852</v>
      </c>
      <c r="J20" s="12" t="str">
        <f>IFERROR(INDEX(MASTER!$P$2:$P$2000,MATCH($A20,MASTER!$A$2:$A$2000,0))&amp;"","")</f>
        <v>d32c6a6</v>
      </c>
      <c r="K20" s="12" t="str">
        <f>IFERROR(INDEX(MASTER!$Q$2:$Q$2000,MATCH($A20,MASTER!$A$2:$A$2000,0))&amp;"","")</f>
        <v>Generalises DOCX-028's section handling (export.docx.section_lost) to everything the model doesn't hold inside blocks.</v>
      </c>
      <c r="L20" s="12" t="str">
        <f>IFERROR(INDEX(MASTER!$R$2:$R$2000,MATCH($A20,MASTER!$A$2:$A$2000,0))&amp;"","")</f>
        <v/>
      </c>
    </row>
    <row r="21" spans="1:12" x14ac:dyDescent="0.25">
      <c r="A21" s="15" t="s">
        <v>1234</v>
      </c>
      <c r="B21" s="12" t="str">
        <f>IFERROR(INDEX(MASTER!$C$2:$C$2000,MATCH($A21,MASTER!$A$2:$A$2000,0))&amp;"","")</f>
        <v>REVIEW</v>
      </c>
      <c r="C21" s="16">
        <f>IFERROR(INDEX(MASTER!$B$2:$B$2000,MATCH($A21,MASTER!$A$2:$A$2000,0)),"")</f>
        <v>14</v>
      </c>
      <c r="D21" s="12" t="str">
        <f>IFERROR(INDEX(MASTER!$D$2:$D$2000,MATCH($A21,MASTER!$A$2:$A$2000,0))&amp;"","")</f>
        <v>Review Changes UI</v>
      </c>
      <c r="E21" s="12" t="str">
        <f>IFERROR(INDEX(MASTER!$F$2:$F$2000,MATCH($A21,MASTER!$A$2:$A$2000,0))&amp;"","")</f>
        <v>P0</v>
      </c>
      <c r="F21" s="12" t="str">
        <f>IFERROR(INDEX(MASTER!$G$2:$G$2000,MATCH($A21,MASTER!$A$2:$A$2000,0))&amp;"","NOT IN MASTER")</f>
        <v>DONE</v>
      </c>
      <c r="G21" s="12" t="str">
        <f>IFERROR(INDEX(MASTER!$H$2:$H$2000,MATCH($A21,MASTER!$A$2:$A$2000,0))&amp;"","")</f>
        <v>backend/app/formatting/{engine,proposals}.py, services/document_service.py, api/documents.py proposals/accept; frontend editor/panels/ReviewPanel.tsx, ProposalsList.tsx (ProposalCard, useProposalActions); README.md</v>
      </c>
      <c r="H21" s="12" t="str">
        <f>IFERROR(INDEX(MASTER!$I$2:$I$2000,MATCH($A21,MASTER!$A$2:$A$2000,0))&amp;"","")</f>
        <v>tests/test_review_changes.py (6), test_formatting_engine.py, ReviewPanel.test.tsx (4), e2e/review.spec.ts; 8/8 mutations</v>
      </c>
      <c r="I21" s="19">
        <f>IFERROR(IF(INDEX(MASTER!$O$2:$O$2000,MATCH($A21,MASTER!$A$2:$A$2000,0))="","",INDEX(MASTER!$O$2:$O$2000,MATCH($A21,MASTER!$A$2:$A$2000,0))),"")</f>
        <v>46302.366180555553</v>
      </c>
      <c r="J21" s="12" t="str">
        <f>IFERROR(INDEX(MASTER!$P$2:$P$2000,MATCH($A21,MASTER!$A$2:$A$2000,0))&amp;"","")</f>
        <v>ed68af3</v>
      </c>
      <c r="K21" s="12" t="str">
        <f>IFERROR(INDEX(MASTER!$Q$2:$Q$2000,MATCH($A21,MASTER!$A$2:$A$2000,0))&amp;"","")</f>
        <v>2026-10-07: Преглед panel: every waiting change (instruction, translation, health) grouped by the six categories, filter chips, source tags, accept/reject/show, Accept all per category except content.</v>
      </c>
      <c r="L21" s="12" t="str">
        <f>IFERROR(INDEX(MASTER!$R$2:$R$2000,MATCH($A21,MASTER!$A$2:$A$2000,0))&amp;"","")</f>
        <v/>
      </c>
    </row>
    <row r="22" spans="1:12" x14ac:dyDescent="0.25">
      <c r="A22" s="15" t="s">
        <v>1241</v>
      </c>
      <c r="B22" s="12" t="str">
        <f>IFERROR(INDEX(MASTER!$C$2:$C$2000,MATCH($A22,MASTER!$A$2:$A$2000,0))&amp;"","")</f>
        <v>REVIEW</v>
      </c>
      <c r="C22" s="16">
        <f>IFERROR(INDEX(MASTER!$B$2:$B$2000,MATCH($A22,MASTER!$A$2:$A$2000,0)),"")</f>
        <v>14</v>
      </c>
      <c r="D22" s="12" t="str">
        <f>IFERROR(INDEX(MASTER!$D$2:$D$2000,MATCH($A22,MASTER!$A$2:$A$2000,0))&amp;"","")</f>
        <v>Content changes need acceptance</v>
      </c>
      <c r="E22" s="12" t="str">
        <f>IFERROR(INDEX(MASTER!$F$2:$F$2000,MATCH($A22,MASTER!$A$2:$A$2000,0))&amp;"","")</f>
        <v>P0</v>
      </c>
      <c r="F22" s="12" t="str">
        <f>IFERROR(INDEX(MASTER!$G$2:$G$2000,MATCH($A22,MASTER!$A$2:$A$2000,0))&amp;"","NOT IN MASTER")</f>
        <v>DONE</v>
      </c>
      <c r="G22" s="12" t="str">
        <f>IFERROR(INDEX(MASTER!$H$2:$H$2000,MATCH($A22,MASTER!$A$2:$A$2000,0))&amp;"","")</f>
        <v>backend/app/formatting/{engine,proposals}.py, services/document_service.py, api/documents.py proposals/accept; frontend editor/panels/ReviewPanel.tsx, ProposalsList.tsx (ProposalCard, useProposalActions); README.md</v>
      </c>
      <c r="H22" s="12" t="str">
        <f>IFERROR(INDEX(MASTER!$I$2:$I$2000,MATCH($A22,MASTER!$A$2:$A$2000,0))&amp;"","")</f>
        <v>tests/test_review_changes.py (6), test_formatting_engine.py, ReviewPanel.test.tsx (4), e2e/review.spec.ts; 8/8 mutations</v>
      </c>
      <c r="I22" s="19">
        <f>IFERROR(IF(INDEX(MASTER!$O$2:$O$2000,MATCH($A22,MASTER!$A$2:$A$2000,0))="","",INDEX(MASTER!$O$2:$O$2000,MATCH($A22,MASTER!$A$2:$A$2000,0))),"")</f>
        <v>46302.366226851853</v>
      </c>
      <c r="J22" s="12" t="str">
        <f>IFERROR(INDEX(MASTER!$P$2:$P$2000,MATCH($A22,MASTER!$A$2:$A$2000,0))&amp;"","")</f>
        <v>ed68af3</v>
      </c>
      <c r="K22" s="12" t="str">
        <f>IFERROR(INDEX(MASTER!$Q$2:$Q$2000,MATCH($A22,MASTER!$A$2:$A$2000,0))&amp;"","")</f>
        <v>2026-10-07: apply_operations refuses insert/delete/move without accepted=True (UnacceptedContentChangeError) -- only proposals.accept sets it; POST .../proposals/accept: one category, one undo step, 422 content_needs_review for content, word-changing proposals of other categories left waiting (translations excepted).</v>
      </c>
      <c r="L22" s="12" t="str">
        <f>IFERROR(INDEX(MASTER!$R$2:$R$2000,MATCH($A22,MASTER!$A$2:$A$2000,0))&amp;"","")</f>
        <v>REV-002</v>
      </c>
    </row>
    <row r="23" spans="1:12" x14ac:dyDescent="0.25">
      <c r="A23" s="15" t="s">
        <v>1246</v>
      </c>
      <c r="B23" s="12" t="str">
        <f>IFERROR(INDEX(MASTER!$C$2:$C$2000,MATCH($A23,MASTER!$A$2:$A$2000,0))&amp;"","")</f>
        <v>REVIEW</v>
      </c>
      <c r="C23" s="16">
        <f>IFERROR(INDEX(MASTER!$B$2:$B$2000,MATCH($A23,MASTER!$A$2:$A$2000,0)),"")</f>
        <v>14</v>
      </c>
      <c r="D23" s="12" t="str">
        <f>IFERROR(INDEX(MASTER!$D$2:$D$2000,MATCH($A23,MASTER!$A$2:$A$2000,0))&amp;"","")</f>
        <v>Repair</v>
      </c>
      <c r="E23" s="12" t="str">
        <f>IFERROR(INDEX(MASTER!$F$2:$F$2000,MATCH($A23,MASTER!$A$2:$A$2000,0))&amp;"","")</f>
        <v>P2</v>
      </c>
      <c r="F23" s="12" t="str">
        <f>IFERROR(INDEX(MASTER!$G$2:$G$2000,MATCH($A23,MASTER!$A$2:$A$2000,0))&amp;"","NOT IN MASTER")</f>
        <v>DONE</v>
      </c>
      <c r="G23" s="12" t="str">
        <f>IFERROR(INDEX(MASTER!$H$2:$H$2000,MATCH($A23,MASTER!$A$2:$A$2000,0))&amp;"","")</f>
        <v>GET /documents/{id}/repair (formatting/repair.py): issues by kind (numbering, styles, tables, links, structures, input) from Health checks + import content check, each with fix count; Преглед panel RepairSection proposes fixes (POST health/fixes) shown as reviewable proposals with preview, applied on accept. New broken_tables check + fix (table_repair.py). e2e: broken table found -&gt; proposed -&gt; previewed -&gt; accepted -&gt; stored table repaired.</v>
      </c>
      <c r="H23" s="12" t="str">
        <f>IFERROR(INDEX(MASTER!$I$2:$I$2000,MATCH($A23,MASTER!$A$2:$A$2000,0))&amp;"","")</f>
        <v>backend/tests/test_repair.py (8; 11/11 mutations); RepairSection.test.tsx (2); ReviewPanel.test.tsx; e2e review.spec.ts (+1); security suite; backend 2452/11 (+deflaked account-deletion test, 858c8ec), Vitest 303, Playwright 54</v>
      </c>
      <c r="I23" s="19">
        <f>IFERROR(IF(INDEX(MASTER!$O$2:$O$2000,MATCH($A23,MASTER!$A$2:$A$2000,0))="","",INDEX(MASTER!$O$2:$O$2000,MATCH($A23,MASTER!$A$2:$A$2000,0))),"")</f>
        <v>46302.733923611107</v>
      </c>
      <c r="J23" s="12" t="str">
        <f>IFERROR(INDEX(MASTER!$P$2:$P$2000,MATCH($A23,MASTER!$A$2:$A$2000,0))&amp;"","")</f>
        <v>a1c91e8</v>
      </c>
      <c r="K23" s="12" t="str">
        <f>IFERROR(INDEX(MASTER!$Q$2:$Q$2000,MATCH($A23,MASTER!$A$2:$A$2000,0))&amp;"","")</f>
        <v>The editor's table plugin already draws a short row padded; the stored table changes when the repair is accepted (or the table is edited). Malformed input / unsupported structures have no automatic fix.</v>
      </c>
      <c r="L23" s="12" t="str">
        <f>IFERROR(INDEX(MASTER!$R$2:$R$2000,MATCH($A23,MASTER!$A$2:$A$2000,0))&amp;"","")</f>
        <v/>
      </c>
    </row>
    <row r="24" spans="1:12" x14ac:dyDescent="0.25">
      <c r="A24" s="15" t="s">
        <v>1253</v>
      </c>
      <c r="B24" s="12" t="str">
        <f>IFERROR(INDEX(MASTER!$C$2:$C$2000,MATCH($A24,MASTER!$A$2:$A$2000,0))&amp;"","")</f>
        <v>REVIEW</v>
      </c>
      <c r="C24" s="16">
        <f>IFERROR(INDEX(MASTER!$B$2:$B$2000,MATCH($A24,MASTER!$A$2:$A$2000,0)),"")</f>
        <v>14</v>
      </c>
      <c r="D24" s="12" t="str">
        <f>IFERROR(INDEX(MASTER!$D$2:$D$2000,MATCH($A24,MASTER!$A$2:$A$2000,0))&amp;"","")</f>
        <v>Clean copy</v>
      </c>
      <c r="E24" s="12" t="str">
        <f>IFERROR(INDEX(MASTER!$F$2:$F$2000,MATCH($A24,MASTER!$A$2:$A$2000,0))&amp;"","")</f>
        <v>P2</v>
      </c>
      <c r="F24" s="12" t="str">
        <f>IFERROR(INDEX(MASTER!$G$2:$G$2000,MATCH($A24,MASTER!$A$2:$A$2000,0))&amp;"","NOT IN MASTER")</f>
        <v>DONE</v>
      </c>
      <c r="G24" s="12" t="str">
        <f>IFERROR(INDEX(MASTER!$H$2:$H$2000,MATCH($A24,MASTER!$A$2:$A$2000,0))&amp;"","")</f>
        <v>POST /documents/{id}/clean-copy + Проверка panel CleanCopySection: new document, 5 explicit actions (none preselected): comments, tracked changes accepted, hidden text, metadata, formatting normalised; original untouched; own picture assets; no source file (export from model, said); 422 tracked_changes / nothing_chosen.</v>
      </c>
      <c r="H24" s="12" t="str">
        <f>IFERROR(INDEX(MASTER!$I$2:$I$2000,MATCH($A24,MASTER!$A$2:$A$2000,0))&amp;"","")</f>
        <v>backend/tests/test_clean_copy.py (3; 11/11 mutations); CleanCopySection.test.tsx (2); e2e tracked-changes.spec.ts (+1, a07); security suite; backend 2460/11, Vitest 305, Playwright 55</v>
      </c>
      <c r="I24" s="19">
        <f>IFERROR(IF(INDEX(MASTER!$O$2:$O$2000,MATCH($A24,MASTER!$A$2:$A$2000,0))="","",INDEX(MASTER!$O$2:$O$2000,MATCH($A24,MASTER!$A$2:$A$2000,0))),"")</f>
        <v>46302.751793981479</v>
      </c>
      <c r="J24" s="12" t="str">
        <f>IFERROR(INDEX(MASTER!$P$2:$P$2000,MATCH($A24,MASTER!$A$2:$A$2000,0))&amp;"","")</f>
        <v>842999c</v>
      </c>
      <c r="K24" s="12" t="str">
        <f>IFERROR(INDEX(MASTER!$Q$2:$Q$2000,MATCH($A24,MASTER!$A$2:$A$2000,0))&amp;"","")</f>
        <v/>
      </c>
      <c r="L24" s="12" t="str">
        <f>IFERROR(INDEX(MASTER!$R$2:$R$2000,MATCH($A24,MASTER!$A$2:$A$2000,0))&amp;"","")</f>
        <v/>
      </c>
    </row>
  </sheetData>
  <autoFilter ref="A7:L24" xr:uid="{00000000-0009-0000-0000-000003000000}"/>
  <conditionalFormatting sqref="E8:E24">
    <cfRule type="cellIs" dxfId="310" priority="19" operator="equal">
      <formula>"P0"</formula>
    </cfRule>
    <cfRule type="cellIs" dxfId="309" priority="20" operator="equal">
      <formula>"P1"</formula>
    </cfRule>
  </conditionalFormatting>
  <conditionalFormatting sqref="F8:F24">
    <cfRule type="cellIs" dxfId="308" priority="1" operator="equal">
      <formula>"DONE"</formula>
    </cfRule>
    <cfRule type="cellIs" dxfId="307" priority="2" operator="equal">
      <formula>"VERIFIED"</formula>
    </cfRule>
    <cfRule type="cellIs" dxfId="306" priority="3" operator="equal">
      <formula>"IN_PROGRESS"</formula>
    </cfRule>
    <cfRule type="cellIs" dxfId="305" priority="4" operator="equal">
      <formula>"IMPLEMENTED"</formula>
    </cfRule>
    <cfRule type="cellIs" dxfId="304" priority="5" operator="equal">
      <formula>"TESTING"</formula>
    </cfRule>
    <cfRule type="cellIs" dxfId="303" priority="6" operator="equal">
      <formula>"BLOCKED"</formula>
    </cfRule>
    <cfRule type="cellIs" dxfId="302" priority="7" operator="equal">
      <formula>"FAILED"</formula>
    </cfRule>
    <cfRule type="cellIs" dxfId="301" priority="8" operator="equal">
      <formula>"DEFERRED"</formula>
    </cfRule>
    <cfRule type="cellIs" dxfId="300" priority="9" operator="equal">
      <formula>"UNKNOWN"</formula>
    </cfRule>
    <cfRule type="cellIs" dxfId="299" priority="10" operator="equal">
      <formula>"PASS"</formula>
    </cfRule>
    <cfRule type="cellIs" dxfId="298" priority="11" operator="equal">
      <formula>"FAIL"</formula>
    </cfRule>
    <cfRule type="cellIs" dxfId="297" priority="12" operator="equal">
      <formula>"PARTIAL"</formula>
    </cfRule>
    <cfRule type="cellIs" dxfId="296" priority="13" operator="equal">
      <formula>"RESOLVED"</formula>
    </cfRule>
    <cfRule type="cellIs" dxfId="295" priority="14" operator="equal">
      <formula>"OPEN"</formula>
    </cfRule>
    <cfRule type="cellIs" dxfId="294" priority="15" operator="equal">
      <formula>"WITHIN"</formula>
    </cfRule>
    <cfRule type="cellIs" dxfId="293" priority="16" operator="equal">
      <formula>"OVER"</formula>
    </cfRule>
    <cfRule type="cellIs" dxfId="292" priority="17" operator="equal">
      <formula>"NOW"</formula>
    </cfRule>
    <cfRule type="cellIs" dxfId="291" priority="18" operator="equal">
      <formula>"NOT IN MASTER"</formula>
    </cfRule>
  </conditionalFormatting>
  <pageMargins left="0.75" right="0.75" top="1" bottom="1" header="0.5" footer="0.5"/>
  <pageSetup fitToHeight="0"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L44"/>
  <sheetViews>
    <sheetView workbookViewId="0">
      <pane ySplit="4" topLeftCell="A5" activePane="bottomLeft" state="frozen"/>
      <selection pane="bottomLeft"/>
    </sheetView>
  </sheetViews>
  <sheetFormatPr defaultRowHeight="15" x14ac:dyDescent="0.25"/>
  <cols>
    <col min="1" max="1" width="12" customWidth="1"/>
    <col min="2" max="2" width="14" customWidth="1"/>
    <col min="3" max="3" width="7" customWidth="1"/>
    <col min="4" max="4" width="44" customWidth="1"/>
    <col min="5" max="5" width="9" customWidth="1"/>
    <col min="6" max="6" width="14" customWidth="1"/>
    <col min="7" max="7" width="40" customWidth="1"/>
    <col min="8" max="8" width="34" customWidth="1"/>
    <col min="9" max="9" width="16" customWidth="1"/>
    <col min="10" max="10" width="10" customWidth="1"/>
    <col min="11" max="11" width="40" customWidth="1"/>
    <col min="12" max="12" width="11" customWidth="1"/>
  </cols>
  <sheetData>
    <row r="1" spans="1:12" ht="20.25" x14ac:dyDescent="0.3">
      <c r="A1" s="3" t="s">
        <v>1578</v>
      </c>
    </row>
    <row r="2" spans="1:12" x14ac:dyDescent="0.25">
      <c r="A2" s="4" t="s">
        <v>1579</v>
      </c>
    </row>
    <row r="3" spans="1:12" x14ac:dyDescent="0.25">
      <c r="A3" s="6" t="s">
        <v>45</v>
      </c>
      <c r="B3" s="6" t="s">
        <v>46</v>
      </c>
      <c r="C3" s="6" t="s">
        <v>47</v>
      </c>
      <c r="D3" s="6" t="s">
        <v>13</v>
      </c>
      <c r="E3" s="6" t="s">
        <v>16</v>
      </c>
      <c r="F3" s="6" t="s">
        <v>19</v>
      </c>
      <c r="G3" s="6" t="s">
        <v>48</v>
      </c>
      <c r="H3" s="6" t="s">
        <v>33</v>
      </c>
    </row>
    <row r="4" spans="1:12" x14ac:dyDescent="0.25">
      <c r="A4" s="7">
        <f>COUNTIF(MASTER!$C$2:$C$2000,"DOCX")</f>
        <v>37</v>
      </c>
      <c r="B4" s="7">
        <f>COUNTIFS(MASTER!$C$2:$C$2000,"DOCX",MASTER!$G$2:$G$2000,"DONE")</f>
        <v>37</v>
      </c>
      <c r="C4" s="7">
        <f>COUNTIFS(MASTER!$C$2:$C$2000,"DOCX",MASTER!$G$2:$G$2000,"VERIFIED")+B4</f>
        <v>37</v>
      </c>
      <c r="D4" s="7">
        <f>COUNTIFS(MASTER!$C$2:$C$2000,"DOCX",MASTER!$G$2:$G$2000,"IN_PROGRESS")+COUNTIFS(MASTER!$C$2:$C$2000,"DOCX",MASTER!$G$2:$G$2000,"IMPLEMENTED")+COUNTIFS(MASTER!$C$2:$C$2000,"DOCX",MASTER!$G$2:$G$2000,"TESTING")</f>
        <v>0</v>
      </c>
      <c r="E4" s="7">
        <f>COUNTIFS(MASTER!$C$2:$C$2000,"DOCX",MASTER!$G$2:$G$2000,"BLOCKED")</f>
        <v>0</v>
      </c>
      <c r="F4" s="7">
        <f>COUNTIFS(MASTER!$C$2:$C$2000,"DOCX",MASTER!$G$2:$G$2000,"FAILED")</f>
        <v>0</v>
      </c>
      <c r="G4" s="9">
        <f>IF(A4=0,0,B4/A4)</f>
        <v>1</v>
      </c>
      <c r="H4" s="9">
        <f>IF(A4=0,0,C4/A4)</f>
        <v>1</v>
      </c>
    </row>
    <row r="6" spans="1:12" ht="15.75" x14ac:dyDescent="0.25">
      <c r="A6" s="5" t="s">
        <v>1577</v>
      </c>
    </row>
    <row r="7" spans="1:12" x14ac:dyDescent="0.25">
      <c r="A7" s="10" t="s">
        <v>166</v>
      </c>
      <c r="B7" s="10" t="s">
        <v>100</v>
      </c>
      <c r="C7" s="10" t="s">
        <v>43</v>
      </c>
      <c r="D7" s="10" t="s">
        <v>167</v>
      </c>
      <c r="E7" s="10" t="s">
        <v>169</v>
      </c>
      <c r="F7" s="10" t="s">
        <v>57</v>
      </c>
      <c r="G7" s="10" t="s">
        <v>170</v>
      </c>
      <c r="H7" s="10" t="s">
        <v>171</v>
      </c>
      <c r="I7" s="10" t="s">
        <v>15</v>
      </c>
      <c r="J7" s="10" t="s">
        <v>177</v>
      </c>
      <c r="K7" s="10" t="s">
        <v>178</v>
      </c>
      <c r="L7" s="10" t="s">
        <v>179</v>
      </c>
    </row>
    <row r="8" spans="1:12" x14ac:dyDescent="0.25">
      <c r="A8" s="15" t="s">
        <v>341</v>
      </c>
      <c r="B8" s="12" t="str">
        <f>IFERROR(INDEX(MASTER!$C$2:$C$2000,MATCH($A8,MASTER!$A$2:$A$2000,0))&amp;"","")</f>
        <v>DOCX</v>
      </c>
      <c r="C8" s="16">
        <f>IFERROR(INDEX(MASTER!$B$2:$B$2000,MATCH($A8,MASTER!$A$2:$A$2000,0)),"")</f>
        <v>1</v>
      </c>
      <c r="D8" s="12" t="str">
        <f>IFERROR(INDEX(MASTER!$D$2:$D$2000,MATCH($A8,MASTER!$A$2:$A$2000,0))&amp;"","")</f>
        <v>DOCX export of nested blocks</v>
      </c>
      <c r="E8" s="12" t="str">
        <f>IFERROR(INDEX(MASTER!$F$2:$F$2000,MATCH($A8,MASTER!$A$2:$A$2000,0))&amp;"","")</f>
        <v>P0</v>
      </c>
      <c r="F8" s="12" t="str">
        <f>IFERROR(INDEX(MASTER!$G$2:$G$2000,MATCH($A8,MASTER!$A$2:$A$2000,0))&amp;"","NOT IN MASTER")</f>
        <v>DONE</v>
      </c>
      <c r="G8" s="12" t="str">
        <f>IFERROR(INDEX(MASTER!$H$2:$H$2000,MATCH($A8,MASTER!$A$2:$A$2000,0))&amp;"","")</f>
        <v>export/docx_export.py: adders write into a _Place (body or cell, indent, width); cells render their blocks; list item blocks under the item text; nested lists one level deeper with own numbering; quote children; numbering start/format via startOverride + per-level numFmt; picture alt text/title (docPr descr/title)</v>
      </c>
      <c r="H8" s="12" t="str">
        <f>IFERROR(INDEX(MASTER!$I$2:$I$2000,MATCH($A8,MASTER!$A$2:$A$2000,0))&amp;"","")</f>
        <v>tests/test_nested_blocks_api.py::test_the_word_export_keeps_every_nested_block, ::test_the_word_export_numbers_a_list_from_its_start_in_its_format; existing DOCX suites green</v>
      </c>
      <c r="I8" s="19">
        <f>IFERROR(IF(INDEX(MASTER!$O$2:$O$2000,MATCH($A8,MASTER!$A$2:$A$2000,0))="","",INDEX(MASTER!$O$2:$O$2000,MATCH($A8,MASTER!$A$2:$A$2000,0))),"")</f>
        <v>46292.196828703702</v>
      </c>
      <c r="J8" s="12" t="str">
        <f>IFERROR(INDEX(MASTER!$P$2:$P$2000,MATCH($A8,MASTER!$A$2:$A$2000,0))&amp;"","")</f>
        <v>1fe27a9</v>
      </c>
      <c r="K8" s="12" t="str">
        <f>IFERROR(INDEX(MASTER!$Q$2:$Q$2000,MATCH($A8,MASTER!$A$2:$A$2000,0))&amp;"","")</f>
        <v/>
      </c>
      <c r="L8" s="12" t="str">
        <f>IFERROR(INDEX(MASTER!$R$2:$R$2000,MATCH($A8,MASTER!$A$2:$A$2000,0))&amp;"","")</f>
        <v/>
      </c>
    </row>
    <row r="9" spans="1:12" x14ac:dyDescent="0.25">
      <c r="A9" s="15" t="s">
        <v>477</v>
      </c>
      <c r="B9" s="12" t="str">
        <f>IFERROR(INDEX(MASTER!$C$2:$C$2000,MATCH($A9,MASTER!$A$2:$A$2000,0))&amp;"","")</f>
        <v>DOCX</v>
      </c>
      <c r="C9" s="16">
        <f>IFERROR(INDEX(MASTER!$B$2:$B$2000,MATCH($A9,MASTER!$A$2:$A$2000,0)),"")</f>
        <v>3</v>
      </c>
      <c r="D9" s="12" t="str">
        <f>IFERROR(INDEX(MASTER!$D$2:$D$2000,MATCH($A9,MASTER!$A$2:$A$2000,0))&amp;"","")</f>
        <v>Original package store</v>
      </c>
      <c r="E9" s="12" t="str">
        <f>IFERROR(INDEX(MASTER!$F$2:$F$2000,MATCH($A9,MASTER!$A$2:$A$2000,0))&amp;"","")</f>
        <v>P0</v>
      </c>
      <c r="F9" s="12" t="str">
        <f>IFERROR(INDEX(MASTER!$G$2:$G$2000,MATCH($A9,MASTER!$A$2:$A$2000,0))&amp;"","NOT IN MASTER")</f>
        <v>DONE</v>
      </c>
      <c r="G9" s="12" t="str">
        <f>IFERROR(INDEX(MASTER!$H$2:$H$2000,MATCH($A9,MASTER!$A$2:$A$2000,0))&amp;"","")</f>
        <v>An uploaded .docx is kept as it was: stored as a workspace asset on import (DocumentService.create source_docx) and referenced by Document.sourcePackage {assetId, sha256, size}; counted toward the plan's storage; served only to workspace members; checked by SHA-256 before use (source_package returns the problem when missing/altered); swept a day after the document is deleted.</v>
      </c>
      <c r="H9" s="12" t="str">
        <f>IFERROR(INDEX(MASTER!$I$2:$I$2000,MATCH($A9,MASTER!$A$2:$A$2000,0))&amp;"","")</f>
        <v>tests/test_source_package.py::test_the_imported_word_file_is_kept_as_it_was, ::test_a_stored_file_that_isnt_the_one_kept_is_not_used_and_the_export_says_so; tests/test_entitlements.py (storage counts the kept file)</v>
      </c>
      <c r="I9" s="19">
        <f>IFERROR(IF(INDEX(MASTER!$O$2:$O$2000,MATCH($A9,MASTER!$A$2:$A$2000,0))="","",INDEX(MASTER!$O$2:$O$2000,MATCH($A9,MASTER!$A$2:$A$2000,0))),"")</f>
        <v>46292.607546296298</v>
      </c>
      <c r="J9" s="12" t="str">
        <f>IFERROR(INDEX(MASTER!$P$2:$P$2000,MATCH($A9,MASTER!$A$2:$A$2000,0))&amp;"","")</f>
        <v>de23961</v>
      </c>
      <c r="K9" s="12" t="str">
        <f>IFERROR(INDEX(MASTER!$Q$2:$Q$2000,MATCH($A9,MASTER!$A$2:$A$2000,0))&amp;"","")</f>
        <v>Kept originals count toward plan storage (a Word file with a 1.2 MB picture uses ~2.4 MB: the picture asset + the file). Whether plans should exclude originals is Boril's pricing decision.</v>
      </c>
      <c r="L9" s="12" t="str">
        <f>IFERROR(INDEX(MASTER!$R$2:$R$2000,MATCH($A9,MASTER!$A$2:$A$2000,0))&amp;"","")</f>
        <v/>
      </c>
    </row>
    <row r="10" spans="1:12" x14ac:dyDescent="0.25">
      <c r="A10" s="15" t="s">
        <v>486</v>
      </c>
      <c r="B10" s="12" t="str">
        <f>IFERROR(INDEX(MASTER!$C$2:$C$2000,MATCH($A10,MASTER!$A$2:$A$2000,0))&amp;"","")</f>
        <v>DOCX</v>
      </c>
      <c r="C10" s="16">
        <f>IFERROR(INDEX(MASTER!$B$2:$B$2000,MATCH($A10,MASTER!$A$2:$A$2000,0)),"")</f>
        <v>3</v>
      </c>
      <c r="D10" s="12" t="str">
        <f>IFERROR(INDEX(MASTER!$D$2:$D$2000,MATCH($A10,MASTER!$A$2:$A$2000,0))&amp;"","")</f>
        <v>Patch-writer export for imported documents</v>
      </c>
      <c r="E10" s="12" t="str">
        <f>IFERROR(INDEX(MASTER!$F$2:$F$2000,MATCH($A10,MASTER!$A$2:$A$2000,0))&amp;"","")</f>
        <v>P0</v>
      </c>
      <c r="F10" s="12" t="str">
        <f>IFERROR(INDEX(MASTER!$G$2:$G$2000,MATCH($A10,MASTER!$A$2:$A$2000,0))&amp;"","NOT IN MASTER")</f>
        <v>DONE</v>
      </c>
      <c r="G10" s="12" t="str">
        <f>IFERROR(INDEX(MASTER!$H$2:$H$2000,MATCH($A10,MASTER!$A$2:$A$2000,0))&amp;"","")</f>
        <v>Word exports of imported documents are written into the original package: body replaced, the rest kept (styles rewritten only for kinds a template/instruction/person restyled; main header/footer rewritten only when changed in the app; page lengths within 0.02 cm left; old body's pictures/links/objects/charts relationships dropped; comments cleared and the kept ones re-added; missing built-in styles copied from the template without dangling references; comment styles defined). Fallback to a fresh build with export.docx.source_missing / source_unreadable. The import report says what the Word export keeps (with_source_kept): last section's header/footer variants, pictures, watermark, custom properties, sensitivity label, columns, own section properties -&gt; kept for export; earlier sections' still lost; PDF export notes export.pdf.word_only.</v>
      </c>
      <c r="H10" s="12" t="str">
        <f>IFERROR(INDEX(MASTER!$I$2:$I$2000,MATCH($A10,MASTER!$A$2:$A$2000,0))&amp;"","")</f>
        <v>tests/test_source_package.py (10), tests/test_package_check.py (13); backend suite</v>
      </c>
      <c r="I10" s="19">
        <f>IFERROR(IF(INDEX(MASTER!$O$2:$O$2000,MATCH($A10,MASTER!$A$2:$A$2000,0))="","",INDEX(MASTER!$O$2:$O$2000,MATCH($A10,MASTER!$A$2:$A$2000,0))),"")</f>
        <v>46292.607581018521</v>
      </c>
      <c r="J10" s="12" t="str">
        <f>IFERROR(INDEX(MASTER!$P$2:$P$2000,MATCH($A10,MASTER!$A$2:$A$2000,0))&amp;"","")</f>
        <v>de23961</v>
      </c>
      <c r="K10" s="12" t="str">
        <f>IFERROR(INDEX(MASTER!$Q$2:$Q$2000,MATCH($A10,MASTER!$A$2:$A$2000,0))&amp;"","")</f>
        <v>Package-level patch writer. Block-level preservation (unchanged blocks keep their original XML: fields, content controls, run-level features) is DOCX-028.</v>
      </c>
      <c r="L10" s="12" t="str">
        <f>IFERROR(INDEX(MASTER!$R$2:$R$2000,MATCH($A10,MASTER!$A$2:$A$2000,0))&amp;"","")</f>
        <v>DOCX-010</v>
      </c>
    </row>
    <row r="11" spans="1:12" x14ac:dyDescent="0.25">
      <c r="A11" s="15" t="s">
        <v>492</v>
      </c>
      <c r="B11" s="12" t="str">
        <f>IFERROR(INDEX(MASTER!$C$2:$C$2000,MATCH($A11,MASTER!$A$2:$A$2000,0))&amp;"","")</f>
        <v>DOCX</v>
      </c>
      <c r="C11" s="16">
        <f>IFERROR(INDEX(MASTER!$B$2:$B$2000,MATCH($A11,MASTER!$A$2:$A$2000,0)),"")</f>
        <v>3</v>
      </c>
      <c r="D11" s="12" t="str">
        <f>IFERROR(INDEX(MASTER!$D$2:$D$2000,MATCH($A11,MASTER!$A$2:$A$2000,0))&amp;"","")</f>
        <v>Metadata preserved and correct</v>
      </c>
      <c r="E11" s="12" t="str">
        <f>IFERROR(INDEX(MASTER!$F$2:$F$2000,MATCH($A11,MASTER!$A$2:$A$2000,0))&amp;"","")</f>
        <v>P0</v>
      </c>
      <c r="F11" s="12" t="str">
        <f>IFERROR(INDEX(MASTER!$G$2:$G$2000,MATCH($A11,MASTER!$A$2:$A$2000,0))&amp;"","NOT IN MASTER")</f>
        <v>DONE</v>
      </c>
      <c r="G11" s="12" t="str">
        <f>IFERROR(INDEX(MASTER!$H$2:$H$2000,MATCH($A11,MASTER!$A$2:$A$2000,0))&amp;"","")</f>
        <v>Core properties kept (sourceProperties, 622d9c1); custom properties, app properties and sensitivity labels now kept in Word exports via the original package (DOCX-011); never 'python-docx'; created from the source; reported without values.</v>
      </c>
      <c r="H11" s="12" t="str">
        <f>IFERROR(INDEX(MASTER!$I$2:$I$2000,MATCH($A11,MASTER!$A$2:$A$2000,0))&amp;"","")</f>
        <v>tests/test_docx_detect.py::test_the_files_own_properties_go_back_into_word_not_the_templates, tests/test_source_package.py::test_a_word_export_keeps_what_the_document_model_doesnt_hold</v>
      </c>
      <c r="I11" s="19">
        <f>IFERROR(IF(INDEX(MASTER!$O$2:$O$2000,MATCH($A11,MASTER!$A$2:$A$2000,0))="","",INDEX(MASTER!$O$2:$O$2000,MATCH($A11,MASTER!$A$2:$A$2000,0))),"")</f>
        <v>46292.607627314806</v>
      </c>
      <c r="J11" s="12" t="str">
        <f>IFERROR(INDEX(MASTER!$P$2:$P$2000,MATCH($A11,MASTER!$A$2:$A$2000,0))&amp;"","")</f>
        <v>de23961</v>
      </c>
      <c r="K11" s="12" t="str">
        <f>IFERROR(INDEX(MASTER!$Q$2:$Q$2000,MATCH($A11,MASTER!$A$2:$A$2000,0))&amp;"","")</f>
        <v>Done: the file's core properties (author, last modified by, created, modified, subject, keywords, description, category) are kept in DocumentMetadata.sourceProperties and written back to Word instead of python-docx's template ('python-docx', 2013); author/subject go into PDF metadata; pasted documents get the app's own title/created. Custom properties and sensitivity labels are reported (without their values), not kept - keeping them needs the original package store (DOCX-010).</v>
      </c>
      <c r="L11" s="12" t="str">
        <f>IFERROR(INDEX(MASTER!$R$2:$R$2000,MATCH($A11,MASTER!$A$2:$A$2000,0))&amp;"","")</f>
        <v/>
      </c>
    </row>
    <row r="12" spans="1:12" x14ac:dyDescent="0.25">
      <c r="A12" s="15" t="s">
        <v>499</v>
      </c>
      <c r="B12" s="12" t="str">
        <f>IFERROR(INDEX(MASTER!$C$2:$C$2000,MATCH($A12,MASTER!$A$2:$A$2000,0))&amp;"","")</f>
        <v>DOCX</v>
      </c>
      <c r="C12" s="16">
        <f>IFERROR(INDEX(MASTER!$B$2:$B$2000,MATCH($A12,MASTER!$A$2:$A$2000,0)),"")</f>
        <v>3</v>
      </c>
      <c r="D12" s="12" t="str">
        <f>IFERROR(INDEX(MASTER!$D$2:$D$2000,MATCH($A12,MASTER!$A$2:$A$2000,0))&amp;"","")</f>
        <v>Character formatting</v>
      </c>
      <c r="E12" s="12" t="str">
        <f>IFERROR(INDEX(MASTER!$F$2:$F$2000,MATCH($A12,MASTER!$A$2:$A$2000,0))&amp;"","")</f>
        <v>P0</v>
      </c>
      <c r="F12" s="12" t="str">
        <f>IFERROR(INDEX(MASTER!$G$2:$G$2000,MATCH($A12,MASTER!$A$2:$A$2000,0))&amp;"","NOT IN MASTER")</f>
        <v>DONE</v>
      </c>
      <c r="G12" s="12" t="str">
        <f>IFERROR(INDEX(MASTER!$H$2:$H$2000,MATCH($A12,MASTER!$A$2:$A$2000,0))&amp;"","")</f>
        <v>Part 1: Mark.lineStyle (underline double/thick/dotted/dashed/wavy, strike double) and textStyle caps/smallCaps/letterSpacingPt/baselineShiftPt, validated; importer resolves each as Word does (run, character style, paragraph style, defaults); Word's other underline styles map to the closest (LINE_STYLES) and only those are reported; runs that turn off their style's bold/italic/underline no longer show it (_release/_carry); editor global attributes with CSS and Word paste CSS; Word export in the schema's rPr order (_put_in_rpr, also fixes highlight/shd order); PDF draws double/thick lines, capitals, small capitals, raised/lowered text, notes spacing and dotted/dashed/wavy lines, and checks capitals as printed; golden 02 holds each.; Part 2: language kept (textStyle.lang where it isn't the document's own, through importer, editor lang attribute and Word export); character scale and text effects detected and, with the file kept, kept while unchanged; what rewritten blocks lose is named at export (FID-007); golden 02 includes a Bulgarian run.</v>
      </c>
      <c r="H12" s="12" t="str">
        <f>IFERROR(INDEX(MASTER!$I$2:$I$2000,MATCH($A12,MASTER!$A$2:$A$2000,0))&amp;"","")</f>
        <v>backend 888 passed/1 skipped (tests/test_character_formatting.py 12); Vitest 128 (editor/characterFormatting.test.ts 3, golden round trip of 02); Playwright 22; tsc + eslint clean; tests/test_copy_reports.py (6); frontend/editor/characterFormatting.test.ts (4); backend 894 passed/1 skipped; Vitest 129; Playwright 22</v>
      </c>
      <c r="I12" s="19">
        <f>IFERROR(IF(INDEX(MASTER!$O$2:$O$2000,MATCH($A12,MASTER!$A$2:$A$2000,0))="","",INDEX(MASTER!$O$2:$O$2000,MATCH($A12,MASTER!$A$2:$A$2000,0))),"")</f>
        <v>46292.818067129629</v>
      </c>
      <c r="J12" s="12" t="str">
        <f>IFERROR(INDEX(MASTER!$P$2:$P$2000,MATCH($A12,MASTER!$A$2:$A$2000,0))&amp;"","")</f>
        <v>d32c6a6</v>
      </c>
      <c r="K12" s="12" t="str">
        <f>IFERROR(INDEX(MASTER!$Q$2:$Q$2000,MATCH($A12,MASTER!$A$2:$A$2000,0))&amp;"","")</f>
        <v>Hidden text (listed here too) is done under DOCX-025.; Part 2 remaining: character scale, kerning, language/noProof, theme font/colour links, effects, emphasis marks - detect, 'kept while unchanged' with the source kept, and export.docx.rewritten_formatting for rewritten blocks.</v>
      </c>
      <c r="L12" s="12" t="str">
        <f>IFERROR(INDEX(MASTER!$R$2:$R$2000,MATCH($A12,MASTER!$A$2:$A$2000,0))&amp;"","")</f>
        <v/>
      </c>
    </row>
    <row r="13" spans="1:12" x14ac:dyDescent="0.25">
      <c r="A13" s="15" t="s">
        <v>507</v>
      </c>
      <c r="B13" s="12" t="str">
        <f>IFERROR(INDEX(MASTER!$C$2:$C$2000,MATCH($A13,MASTER!$A$2:$A$2000,0))&amp;"","")</f>
        <v>DOCX</v>
      </c>
      <c r="C13" s="16">
        <f>IFERROR(INDEX(MASTER!$B$2:$B$2000,MATCH($A13,MASTER!$A$2:$A$2000,0)),"")</f>
        <v>3</v>
      </c>
      <c r="D13" s="12" t="str">
        <f>IFERROR(INDEX(MASTER!$D$2:$D$2000,MATCH($A13,MASTER!$A$2:$A$2000,0))&amp;"","")</f>
        <v>Paragraph formatting</v>
      </c>
      <c r="E13" s="12" t="str">
        <f>IFERROR(INDEX(MASTER!$F$2:$F$2000,MATCH($A13,MASTER!$A$2:$A$2000,0))&amp;"","")</f>
        <v>P1</v>
      </c>
      <c r="F13" s="12" t="str">
        <f>IFERROR(INDEX(MASTER!$G$2:$G$2000,MATCH($A13,MASTER!$A$2:$A$2000,0))&amp;"","NOT IN MASTER")</f>
        <v>DONE</v>
      </c>
      <c r="G13" s="12" t="str">
        <f>IFERROR(INDEX(MASTER!$H$2:$H$2000,MATCH($A13,MASTER!$A$2:$A$2000,0))&amp;"","")</f>
        <v>Part 1: FormattingProperty INDENT_RIGHT, SHADING, KEEP_WITH_NEXT, KEEP_LINES_TOGETHER, WIDOW_CONTROL, CONTEXTUAL_SPACING, DIRECTION - validated, StyleSystem fields, CSS (margin-right, background-color, break-after, break-inside, widows/orphans, --contextual-spacing, direction); importer ParaProps from paragraph and style; Word export _apply_paragraph_extras in pPr order (_put_in_ppr); PDF rightIndent/backColor/keepWithNext/allowWidows, RTL right-aligned, KeepTogether, contextual spacing (_close_up); paragraph direction no longer reported (run-level w:rtl still is).; Part 2: BORDER_TOP/BOTTOM/LEFT/RIGHT ('solid 0.5pt #000000' or 'none') and TAB_STOPS ('right 16cm dot; left 2cm') rules with shared validation (values.border_value/tab_stops_value) and StyleSystem fields; importer reads pBdr sides and tabs from paragraph and style; CSS border-* (drawn in the editor) and --tab-stops; Word pBdr/tabs in pPr order; PDF box or lines above/below, names side-only borders and tab stops; detector names tabs in text (docx.tab_stops, detected_not_editable).</v>
      </c>
      <c r="H13" s="12" t="str">
        <f>IFERROR(INDEX(MASTER!$I$2:$I$2000,MATCH($A13,MASTER!$A$2:$A$2000,0))&amp;"","")</f>
        <v>backend 903 passed/1 skipped (tests/test_paragraph_formatting.py 9); Vitest 129; Playwright 22; tsc + eslint clean; tests/test_paragraph_formatting.py (19 in all); backend 913 passed/1 skipped; Vitest 129; Playwright 22</v>
      </c>
      <c r="I13" s="19">
        <f>IFERROR(IF(INDEX(MASTER!$O$2:$O$2000,MATCH($A13,MASTER!$A$2:$A$2000,0))="","",INDEX(MASTER!$O$2:$O$2000,MATCH($A13,MASTER!$A$2:$A$2000,0))),"")</f>
        <v>46292.834537037037</v>
      </c>
      <c r="J13" s="12" t="str">
        <f>IFERROR(INDEX(MASTER!$P$2:$P$2000,MATCH($A13,MASTER!$A$2:$A$2000,0))&amp;"","")</f>
        <v>c158722</v>
      </c>
      <c r="K13" s="12" t="str">
        <f>IFERROR(INDEX(MASTER!$Q$2:$Q$2000,MATCH($A13,MASTER!$A$2:$A$2000,0))&amp;"","")</f>
        <v>Part 2 remaining: paragraph borders (model + exports) and tab stops (detect, keep while unchanged, name when lost).</v>
      </c>
      <c r="L13" s="12" t="str">
        <f>IFERROR(INDEX(MASTER!$R$2:$R$2000,MATCH($A13,MASTER!$A$2:$A$2000,0))&amp;"","")</f>
        <v/>
      </c>
    </row>
    <row r="14" spans="1:12" x14ac:dyDescent="0.25">
      <c r="A14" s="15" t="s">
        <v>514</v>
      </c>
      <c r="B14" s="12" t="str">
        <f>IFERROR(INDEX(MASTER!$C$2:$C$2000,MATCH($A14,MASTER!$A$2:$A$2000,0))&amp;"","")</f>
        <v>DOCX</v>
      </c>
      <c r="C14" s="16">
        <f>IFERROR(INDEX(MASTER!$B$2:$B$2000,MATCH($A14,MASTER!$A$2:$A$2000,0)),"")</f>
        <v>3</v>
      </c>
      <c r="D14" s="12" t="str">
        <f>IFERROR(INDEX(MASTER!$D$2:$D$2000,MATCH($A14,MASTER!$A$2:$A$2000,0))&amp;"","")</f>
        <v>Sections as a first-class concept</v>
      </c>
      <c r="E14" s="12" t="str">
        <f>IFERROR(INDEX(MASTER!$F$2:$F$2000,MATCH($A14,MASTER!$A$2:$A$2000,0))&amp;"","")</f>
        <v>P0</v>
      </c>
      <c r="F14" s="12" t="str">
        <f>IFERROR(INDEX(MASTER!$G$2:$G$2000,MATCH($A14,MASTER!$A$2:$A$2000,0))&amp;"","NOT IN MASTER")</f>
        <v>DONE</v>
      </c>
      <c r="G14" s="12" t="str">
        <f>IFERROR(INDEX(MASTER!$H$2:$H$2000,MATCH($A14,MASTER!$A$2:$A$2000,0))&amp;"","")</f>
        <v>Part 3b: each section's pages in the editor at their own size, orientation, margins and header/footer distances (editor/sectionPages.ts mirrors the PDF's _SectionPage.of; pagination.ts lays out page boxes per section - a page is the section's of the block that begins it, a blank page before an even/odd start the section before's - and moves a section's blocks to its page's text column by margin decorations over their own margins, tables' wrapper without; EditorCanvas draws each page centred on a desk as wide as the widest, headers/footers at their distances; the fit zoom fits the widest). Brief 24 is covered: breaks of every kind, orientation, size, margins, columns (kept in Word and PDF; shown in one column here, DOCX-015B), header/footer distances, first-page and even/odd headers, linked-to-previous, page-number restart; the last section's header no longer shows on every page. Follow-ups: DOCX-015A (a last section's custom paper size), DOCX-015B, DOCX-015C.</v>
      </c>
      <c r="H14" s="12" t="str">
        <f>IFERROR(INDEX(MASTER!$I$2:$I$2000,MATCH($A14,MASTER!$A$2:$A$2000,0))&amp;"","")</f>
        <v>frontend/editor/sectionPages.test.ts (5); frontend/e2e/section-headers.spec.ts (2: headers per page; a landscape section's wide page and text column); tests/test_sections.py (16); backend 937 passed/1 skipped; Vitest 144; Playwright 24</v>
      </c>
      <c r="I14" s="19">
        <f>IFERROR(IF(INDEX(MASTER!$O$2:$O$2000,MATCH($A14,MASTER!$A$2:$A$2000,0))="","",INDEX(MASTER!$O$2:$O$2000,MATCH($A14,MASTER!$A$2:$A$2000,0))),"")</f>
        <v>46294.65284722222</v>
      </c>
      <c r="J14" s="12" t="str">
        <f>IFERROR(INDEX(MASTER!$P$2:$P$2000,MATCH($A14,MASTER!$A$2:$A$2000,0))&amp;"","")</f>
        <v>633c1d6</v>
      </c>
      <c r="K14" s="12" t="str">
        <f>IFERROR(INDEX(MASTER!$Q$2:$Q$2000,MATCH($A14,MASTER!$A$2:$A$2000,0))&amp;"","")</f>
        <v>Fixed: a section's w:type describes how THAT section starts (ECMA-376 17.6.22) - the importer used the ending section's own type, so a continuous break became a page break and continuous-&gt;new-page put the break between the wrong sections (probe confirmed). Now the next section's type decides. Per-section differences are reported (FID-002). Remaining: sections as a first-class model concept (orientation/margins/columns/headers per section, page-number restart) and export of several sections.; With DOCX-011 the last section's properties (columns, page numbering, borders, line numbers, vertical alignment, header/footer variants) are kept in Word exports; earlier sections' are still reported lost.; DOCX-028: earlier sections now survive in Word exports while their ending paragraph is unchanged; page setup/header/page-number changes apply to them; a lost one is reported (export.docx.section_lost). Modelling sections is still this task.</v>
      </c>
      <c r="L14" s="12" t="str">
        <f>IFERROR(INDEX(MASTER!$R$2:$R$2000,MATCH($A14,MASTER!$A$2:$A$2000,0))&amp;"","")</f>
        <v/>
      </c>
    </row>
    <row r="15" spans="1:12" x14ac:dyDescent="0.25">
      <c r="A15" s="15" t="s">
        <v>522</v>
      </c>
      <c r="B15" s="12" t="str">
        <f>IFERROR(INDEX(MASTER!$C$2:$C$2000,MATCH($A15,MASTER!$A$2:$A$2000,0))&amp;"","")</f>
        <v>DOCX</v>
      </c>
      <c r="C15" s="16">
        <f>IFERROR(INDEX(MASTER!$B$2:$B$2000,MATCH($A15,MASTER!$A$2:$A$2000,0)),"")</f>
        <v>3</v>
      </c>
      <c r="D15" s="12" t="str">
        <f>IFERROR(INDEX(MASTER!$D$2:$D$2000,MATCH($A15,MASTER!$A$2:$A$2000,0))&amp;"","")</f>
        <v>Custom page size of the last section</v>
      </c>
      <c r="E15" s="12" t="str">
        <f>IFERROR(INDEX(MASTER!$F$2:$F$2000,MATCH($A15,MASTER!$A$2:$A$2000,0))&amp;"","")</f>
        <v>P2</v>
      </c>
      <c r="F15" s="12" t="str">
        <f>IFERROR(INDEX(MASTER!$G$2:$G$2000,MATCH($A15,MASTER!$A$2:$A$2000,0))&amp;"","NOT IN MASTER")</f>
        <v>DONE</v>
      </c>
      <c r="G15" s="12" t="str">
        <f>IFERROR(INDEX(MASTER!$H$2:$H$2000,MATCH($A15,MASTER!$A$2:$A$2000,0))&amp;"","")</f>
        <v>parsers/docx.py _last_section, parsers/docx_styles.py + docx_inline.py (docx.page_setup.size), formatting/engine.py _drop_custom_page_size, export/docx_export.py _section_layout, frontend editor/sectionPages.ts basePage; capabilities.py; docs/docx/README.md</v>
      </c>
      <c r="H15" s="12" t="str">
        <f>IFERROR(INDEX(MASTER!$I$2:$I$2000,MATCH($A15,MASTER!$A$2:$A$2000,0))&amp;"","")</f>
        <v>tests/test_sections.py (2 new), sectionPages.test.ts; 4/4 mutations</v>
      </c>
      <c r="I15" s="19">
        <f>IFERROR(IF(INDEX(MASTER!$O$2:$O$2000,MATCH($A15,MASTER!$A$2:$A$2000,0))="","",INDEX(MASTER!$O$2:$O$2000,MATCH($A15,MASTER!$A$2:$A$2000,0))),"")</f>
        <v>46302.368518518517</v>
      </c>
      <c r="J15" s="12" t="str">
        <f>IFERROR(INDEX(MASTER!$P$2:$P$2000,MATCH($A15,MASTER!$A$2:$A$2000,0))&amp;"","")</f>
        <v>4a3c2ca</v>
      </c>
      <c r="K15" s="12" t="str">
        <f>IFERROR(INDEX(MASTER!$Q$2:$Q$2000,MATCH($A15,MASTER!$A$2:$A$2000,0))&amp;"","")</f>
        <v>2026-10-07: kept on the pages here and in both exports; a size or orientation chosen here (above the source tier) replaces it.</v>
      </c>
      <c r="L15" s="12" t="str">
        <f>IFERROR(INDEX(MASTER!$R$2:$R$2000,MATCH($A15,MASTER!$A$2:$A$2000,0))&amp;"","")</f>
        <v>DOCX-015</v>
      </c>
    </row>
    <row r="16" spans="1:12" x14ac:dyDescent="0.25">
      <c r="A16" s="15" t="s">
        <v>540</v>
      </c>
      <c r="B16" s="12" t="str">
        <f>IFERROR(INDEX(MASTER!$C$2:$C$2000,MATCH($A16,MASTER!$A$2:$A$2000,0))&amp;"","")</f>
        <v>DOCX</v>
      </c>
      <c r="C16" s="16">
        <f>IFERROR(INDEX(MASTER!$B$2:$B$2000,MATCH($A16,MASTER!$A$2:$A$2000,0)),"")</f>
        <v>3</v>
      </c>
      <c r="D16" s="12" t="str">
        <f>IFERROR(INDEX(MASTER!$D$2:$D$2000,MATCH($A16,MASTER!$A$2:$A$2000,0))&amp;"","")</f>
        <v>Numbering engine</v>
      </c>
      <c r="E16" s="12" t="str">
        <f>IFERROR(INDEX(MASTER!$F$2:$F$2000,MATCH($A16,MASTER!$A$2:$A$2000,0))&amp;"","")</f>
        <v>P0</v>
      </c>
      <c r="F16" s="12" t="str">
        <f>IFERROR(INDEX(MASTER!$G$2:$G$2000,MATCH($A16,MASTER!$A$2:$A$2000,0))&amp;"","NOT IN MASTER")</f>
        <v>DONE</v>
      </c>
      <c r="G16" s="12" t="str">
        <f>IFERROR(INDEX(MASTER!$H$2:$H$2000,MATCH($A16,MASTER!$A$2:$A$2000,0))&amp;"","")</f>
        <v>Part 3: the editor shows each item's label as Word and both exports number it (editor/listLabels.ts mirrors list_numbering.py: formatListNumber, levelLabel, Counters, listLevels, itemLabel; a decoration plugin sets data-label per item, nested lists counting as deeper levels where they nest as levels, and a list's own indents; CSS draws the label before the text, nested levels without a gap); page numbers use the same formatter. The 'shown here for now' notes are gone: only number styles the app doesn't have are reported. Brief 25 covered: decimal, roman, alpha, bullets, own labels (prefixes/suffixes), start, restart, continuation (across instances and sections), multilevel, numId/abstractNum/ilvl, indentation; fixtures 1/2/3/5 levels, custom, restart, continuation across sections (15-numbering.docx). Follow-ups DOCX-016A (numbered headings), DOCX-016B (more number styles).</v>
      </c>
      <c r="H16" s="12" t="str">
        <f>IFERROR(INDEX(MASTER!$I$2:$I$2000,MATCH($A16,MASTER!$A$2:$A$2000,0))&amp;"","")</f>
        <v>frontend/editor/listLabels.test.ts (4); frontend/e2e/list-labels.spec.ts; tests/test_docx_numbering.py (15); tests/test_golden_documents.py::test_15_numbering; backend 953 passed/1 skipped; Vitest 152; Playwright 25 (visual baseline updated: nested lists close up)</v>
      </c>
      <c r="I16" s="19">
        <f>IFERROR(IF(INDEX(MASTER!$O$2:$O$2000,MATCH($A16,MASTER!$A$2:$A$2000,0))="","",INDEX(MASTER!$O$2:$O$2000,MATCH($A16,MASTER!$A$2:$A$2000,0))),"")</f>
        <v>46294.696053240739</v>
      </c>
      <c r="J16" s="12" t="str">
        <f>IFERROR(INDEX(MASTER!$P$2:$P$2000,MATCH($A16,MASTER!$A$2:$A$2000,0))&amp;"","")</f>
        <v>bcdc9af</v>
      </c>
      <c r="K16" s="12" t="str">
        <f>IFERROR(INDEX(MASTER!$Q$2:$Q$2000,MATCH($A16,MASTER!$A$2:$A$2000,0))&amp;"","")</f>
        <v>Done so far: top-level list number format (decimal/roman/letters), start value (lvl start + lvlOverride/startOverride) and continuation across interrupting paragraphs imported into Element.numbering and written back to Word (per-level formats, startOverride) and PDF; empty numbered items keep counting. Reported, not kept: custom labels ('Чл. 1.', '(a)'), multi-level labels ('1.1'), numbered headings baked into text. Remaining: prefixes/suffixes, multilevel numbering model, restart semantics per level, indentation.</v>
      </c>
      <c r="L16" s="12" t="str">
        <f>IFERROR(INDEX(MASTER!$R$2:$R$2000,MATCH($A16,MASTER!$A$2:$A$2000,0))&amp;"","")</f>
        <v/>
      </c>
    </row>
    <row r="17" spans="1:12" x14ac:dyDescent="0.25">
      <c r="A17" s="15" t="s">
        <v>548</v>
      </c>
      <c r="B17" s="12" t="str">
        <f>IFERROR(INDEX(MASTER!$C$2:$C$2000,MATCH($A17,MASTER!$A$2:$A$2000,0))&amp;"","")</f>
        <v>DOCX</v>
      </c>
      <c r="C17" s="16">
        <f>IFERROR(INDEX(MASTER!$B$2:$B$2000,MATCH($A17,MASTER!$A$2:$A$2000,0)),"")</f>
        <v>3</v>
      </c>
      <c r="D17" s="12" t="str">
        <f>IFERROR(INDEX(MASTER!$D$2:$D$2000,MATCH($A17,MASTER!$A$2:$A$2000,0))&amp;"","")</f>
        <v>Numbered headings keep live numbering</v>
      </c>
      <c r="E17" s="12" t="str">
        <f>IFERROR(INDEX(MASTER!$F$2:$F$2000,MATCH($A17,MASTER!$A$2:$A$2000,0))&amp;"","")</f>
        <v>P1</v>
      </c>
      <c r="F17" s="12" t="str">
        <f>IFERROR(INDEX(MASTER!$G$2:$G$2000,MATCH($A17,MASTER!$A$2:$A$2000,0))&amp;"","NOT IN MASTER")</f>
        <v>DONE</v>
      </c>
      <c r="G17" s="12" t="str">
        <f>IFERROR(INDEX(MASTER!$H$2:$H$2000,MATCH($A17,MASTER!$A$2:$A$2000,0))&amp;"","")</f>
        <v>Measured in Word first (hidden, read-only, scratchpad/word_headings.py): a03 written anew had its headings' numbers typed into their text, and a heading edited here showed two numbers ('2.1 2.1 Scope and aims'). Import (parsers/docx.py _live_heading_numbering, _heading_numbering): when one list numbers the headings, each at its own level, the headings keep their own text and the document keeps the numbering (Document.headingNumbering: a ListLevel per heading level + the original's sourceNumId); a heading Word doesn't number (a Title) is Element.numbered False. The editor (frontend editor/headingNumbers.ts: decorations drawn by globals.css, the numbering set from the document into the extension's storage), the PDF and a Word export count them in order (formatting/list_numbering.heading_labels), so they follow when headings move. Word export: into the original a heading written anew is numbered with the original's numbering, counting on with the copied ones; a new file gets a numbering made from the levels and its Heading styles number with it. Headings numbered by more than one list, or not each at its own level, keep their typed numbers as before, and written anew into the original get numId 0 (never a second number). Word: a03 into the original, in a new file, and each with a heading edited: 1, 2, 2.1, 3 as numbering, the edited one '2.1 Scope and aims'. a03's true fidelity content axis is now verified (the typed numbers had been 5 added words).</v>
      </c>
      <c r="H17" s="12" t="str">
        <f>IFERROR(INDEX(MASTER!$I$2:$I$2000,MATCH($A17,MASTER!$A$2:$A$2000,0))&amp;"","")</f>
        <v>backend 1298 passed/1 skipped (tests/test_heading_numbering.py 8: numbering kept at import with the headings' own text; numbers follow moved headings; a Title isn't numbered; a new Word file numbers them again with its Heading styles; a heading edited into the original gets one number, from the original's numbering; a PDF prints them; a level's own format/label; headings numbered two ways keep typed numbers and never get a second -- each code path mutation-checked); test_docx_fidelity updated; a03 expected-loss and fidelity manifests updated on purpose; Vitest 177 (editor/headingNumbers.test.ts 5); Playwright 31 (list-labels: a03's headings show 2, 2.1, 3 before their own text); tsc + eslint clean; Word headings check</v>
      </c>
      <c r="I17" s="19">
        <f>IFERROR(IF(INDEX(MASTER!$O$2:$O$2000,MATCH($A17,MASTER!$A$2:$A$2000,0))="","",INDEX(MASTER!$O$2:$O$2000,MATCH($A17,MASTER!$A$2:$A$2000,0))),"")</f>
        <v>46295.589953703697</v>
      </c>
      <c r="J17" s="12" t="str">
        <f>IFERROR(INDEX(MASTER!$P$2:$P$2000,MATCH($A17,MASTER!$A$2:$A$2000,0))&amp;"","")</f>
        <v>ab029ad</v>
      </c>
      <c r="K17" s="12" t="str">
        <f>IFERROR(INDEX(MASTER!$Q$2:$Q$2000,MATCH($A17,MASTER!$A$2:$A$2000,0))&amp;"","")</f>
        <v/>
      </c>
      <c r="L17" s="12" t="str">
        <f>IFERROR(INDEX(MASTER!$R$2:$R$2000,MATCH($A17,MASTER!$A$2:$A$2000,0))&amp;"","")</f>
        <v>DOCX-016</v>
      </c>
    </row>
    <row r="18" spans="1:12" x14ac:dyDescent="0.25">
      <c r="A18" s="15" t="s">
        <v>554</v>
      </c>
      <c r="B18" s="12" t="str">
        <f>IFERROR(INDEX(MASTER!$C$2:$C$2000,MATCH($A18,MASTER!$A$2:$A$2000,0))&amp;"","")</f>
        <v>DOCX</v>
      </c>
      <c r="C18" s="16">
        <f>IFERROR(INDEX(MASTER!$B$2:$B$2000,MATCH($A18,MASTER!$A$2:$A$2000,0)),"")</f>
        <v>3</v>
      </c>
      <c r="D18" s="12" t="str">
        <f>IFERROR(INDEX(MASTER!$D$2:$D$2000,MATCH($A18,MASTER!$A$2:$A$2000,0))&amp;"","")</f>
        <v>More of Word's number styles</v>
      </c>
      <c r="E18" s="12" t="str">
        <f>IFERROR(INDEX(MASTER!$F$2:$F$2000,MATCH($A18,MASTER!$A$2:$A$2000,0))&amp;"","")</f>
        <v>P3</v>
      </c>
      <c r="F18" s="12" t="str">
        <f>IFERROR(INDEX(MASTER!$G$2:$G$2000,MATCH($A18,MASTER!$A$2:$A$2000,0))&amp;"","NOT IN MASTER")</f>
        <v>DONE</v>
      </c>
      <c r="G18" s="12" t="str">
        <f>IFERROR(INDEX(MASTER!$H$2:$H$2000,MATCH($A18,MASTER!$A$2:$A$2000,0))&amp;"","")</f>
        <v>backend/app/formatting/number_formats.py (40 Word styles: ordinal, hex, chicago, enclosed/full-width digits, ideographDigital, japanese/korean/chinese counting incl. Thousand and LegalSimplified, ideographTraditional/Zodiac, hebrew1 (wraps at 392 as Word), hebrew2, arabicAlpha/Abjad, hindi/thai letters and digits, aiueo/iroha, ganada/chosung, numberInDash) used by list_numbering.format_number; frontend/editor/numberFormats.ts mirror used by listLabels.formatListNumber; ListFormat/LevelFormat + parser allow-list extended; PDF labels drawn via _fonted / _label_font; Word's Cyrillic sequence fixed (includes ы: 26 ы, 27 э); reference labels read from Word in a hidden instance (tests/fixtures/word_number_labels.json, 2193 labels); Word reads an exported file's 48 labels in 12 styles back the same (48/48)</v>
      </c>
      <c r="H18" s="12" t="str">
        <f>IFERROR(INDEX(MASTER!$I$2:$I$2000,MATCH($A18,MASTER!$A$2:$A$2000,0))&amp;"","")</f>
        <v>backend tests/test_number_formats.py (48: every Word label per style, every style checked, import+Word export round trip without a report, words still reported, PDF labels, PDF font routing x2); test_docx_numbering updated (Cyrillic per Word); full backend 2530 passed/11 skipped; Vitest 350 (numberFormats.test.ts 42); Playwright list-labels 3 passed (new: 1st./⑲./十一./טו. shown and kept after reload and an edit); mutations 10/10</v>
      </c>
      <c r="I18" s="19">
        <f>IFERROR(IF(INDEX(MASTER!$O$2:$O$2000,MATCH($A18,MASTER!$A$2:$A$2000,0))="","",INDEX(MASTER!$O$2:$O$2000,MATCH($A18,MASTER!$A$2:$A$2000,0))),"")</f>
        <v>46302.921712962961</v>
      </c>
      <c r="J18" s="12" t="str">
        <f>IFERROR(INDEX(MASTER!$P$2:$P$2000,MATCH($A18,MASTER!$A$2:$A$2000,0))&amp;"","")</f>
        <v>a779e0a</v>
      </c>
      <c r="K18" s="12" t="str">
        <f>IFERROR(INDEX(MASTER!$Q$2:$Q$2000,MATCH($A18,MASTER!$A$2:$A$2000,0))&amp;"","")</f>
        <v>Number words in a language (cardinalText, ordinalText, hindiCounting, thaiCounting, vietnameseCounting) still numbered 1, 2, 3 and reported: DOCX-016C. Labels past Word's caps (repeated letters from 200/780, Hebrew past 392 wraps implemented) differ only where lists never reach.</v>
      </c>
      <c r="L18" s="12" t="str">
        <f>IFERROR(INDEX(MASTER!$R$2:$R$2000,MATCH($A18,MASTER!$A$2:$A$2000,0))&amp;"","")</f>
        <v>DOCX-016</v>
      </c>
    </row>
    <row r="19" spans="1:12" x14ac:dyDescent="0.25">
      <c r="A19" s="15" t="s">
        <v>561</v>
      </c>
      <c r="B19" s="12" t="str">
        <f>IFERROR(INDEX(MASTER!$C$2:$C$2000,MATCH($A19,MASTER!$A$2:$A$2000,0))&amp;"","")</f>
        <v>DOCX</v>
      </c>
      <c r="C19" s="16">
        <f>IFERROR(INDEX(MASTER!$B$2:$B$2000,MATCH($A19,MASTER!$A$2:$A$2000,0)),"")</f>
        <v>3</v>
      </c>
      <c r="D19" s="12" t="str">
        <f>IFERROR(INDEX(MASTER!$D$2:$D$2000,MATCH($A19,MASTER!$A$2:$A$2000,0))&amp;"","")</f>
        <v>Numbers spelled in words in their language</v>
      </c>
      <c r="E19" s="12" t="str">
        <f>IFERROR(INDEX(MASTER!$F$2:$F$2000,MATCH($A19,MASTER!$A$2:$A$2000,0))&amp;"","")</f>
        <v>P3</v>
      </c>
      <c r="F19" s="12" t="str">
        <f>IFERROR(INDEX(MASTER!$G$2:$G$2000,MATCH($A19,MASTER!$A$2:$A$2000,0))&amp;"","NOT IN MASTER")</f>
        <v>DONE</v>
      </c>
      <c r="G19" s="12" t="str">
        <f>IFERROR(INDEX(MASTER!$H$2:$H$2000,MATCH($A19,MASTER!$A$2:$A$2000,0))&amp;"","")</f>
        <v>number_formats.py WORD_FORMATS, _english (&lt;=999,999), _bulgarian (&lt;=999, Word's forms), spelled, words_language_known; ListNumbering.language; format_number/level_label/item_label take the language; parser _list_language + note for other languages; PDF labels in it; docx_export _mark_language on list item paragraph marks; editor numberFormats.ts/listLabels.ts mirror, listNumbering attr + documentToTiptap/tiptapToDocument carry language; Word read the exported labels back: Първият., Вторият., One., Two.; fixture word_number_words.json extended with a third Word round (34 more values each)</v>
      </c>
      <c r="H19" s="12" t="str">
        <f>IFERROR(INDEX(MASTER!$I$2:$I$2000,MATCH($A19,MASTER!$A$2:$A$2000,0))&amp;"","")</f>
        <v>backend tests/test_number_formats.py (Word's labels en-US&lt;=999,999 and bg-BG&lt;=999 for both styles, list keeps style+language through import/PDF/Word export with paragraph-mark lang, German shown as numbers + note, Hindi still reported); test_docx_numbering, test_nested_blocks_api, golden JSON regenerated (language: null); full backend run 2566 passed/11 skipped + the 2 tests fixed after it (60 passed in their files); Vitest 364; Playwright full 59 passed/1 skipped; mutations 9/9</v>
      </c>
      <c r="I19" s="19">
        <f>IFERROR(IF(INDEX(MASTER!$O$2:$O$2000,MATCH($A19,MASTER!$A$2:$A$2000,0))="","",INDEX(MASTER!$O$2:$O$2000,MATCH($A19,MASTER!$A$2:$A$2000,0))),"")</f>
        <v>46303.091087962966</v>
      </c>
      <c r="J19" s="12" t="str">
        <f>IFERROR(INDEX(MASTER!$P$2:$P$2000,MATCH($A19,MASTER!$A$2:$A$2000,0))&amp;"","")</f>
        <v>f3a3c0c</v>
      </c>
      <c r="K19" s="12" t="str">
        <f>IFERROR(INDEX(MASTER!$Q$2:$Q$2000,MATCH($A19,MASTER!$A$2:$A$2000,0))&amp;"","")</f>
        <v>Hindi, Thai and Vietnamese counting still 1, 2, 3 and reported; words in languages other than English/Bulgarian shown as numbers (kept for Word).</v>
      </c>
      <c r="L19" s="12" t="str">
        <f>IFERROR(INDEX(MASTER!$R$2:$R$2000,MATCH($A19,MASTER!$A$2:$A$2000,0))&amp;"","")</f>
        <v>DOCX-016</v>
      </c>
    </row>
    <row r="20" spans="1:12" x14ac:dyDescent="0.25">
      <c r="A20" s="15" t="s">
        <v>568</v>
      </c>
      <c r="B20" s="12" t="str">
        <f>IFERROR(INDEX(MASTER!$C$2:$C$2000,MATCH($A20,MASTER!$A$2:$A$2000,0))&amp;"","")</f>
        <v>DOCX</v>
      </c>
      <c r="C20" s="16">
        <f>IFERROR(INDEX(MASTER!$B$2:$B$2000,MATCH($A20,MASTER!$A$2:$A$2000,0)),"")</f>
        <v>3</v>
      </c>
      <c r="D20" s="12" t="str">
        <f>IFERROR(INDEX(MASTER!$D$2:$D$2000,MATCH($A20,MASTER!$A$2:$A$2000,0))&amp;"","")</f>
        <v>Table engine</v>
      </c>
      <c r="E20" s="12" t="str">
        <f>IFERROR(INDEX(MASTER!$F$2:$F$2000,MATCH($A20,MASTER!$A$2:$A$2000,0))&amp;"","")</f>
        <v>P0</v>
      </c>
      <c r="F20" s="12" t="str">
        <f>IFERROR(INDEX(MASTER!$G$2:$G$2000,MATCH($A20,MASTER!$A$2:$A$2000,0))&amp;"","NOT IN MASTER")</f>
        <v>DONE</v>
      </c>
      <c r="G20" s="12" t="str">
        <f>IFERROR(INDEX(MASTER!$H$2:$H$2000,MATCH($A20,MASTER!$A$2:$A$2000,0))&amp;"","")</f>
        <v>Part 1b: a Word cell's contents as blocks (paragraphs, lists numbered as Word does, pictures, nested tables read recursively without lifting their look), a single plain paragraph stays the cell's text; floating tables (TableFloat from tblpPr) and rows kept whole (cantSplit) kept and written back; the Word export no longer adds empty paragraphs after tables in cells. Brief 26 covered: rows, columns, header rows only from evidence, merges, colspan/rowspan, cell widths (grid), row heights, cell margins, borders, shading, alignment (column and cell), vertical alignment, nested tables, repeated header rows, table styles (resolved; by-position colours reported, DOCX-017A), captions, wrapping (kept for Word, reported, DOCX-017B); no forced Table Grid or header.</v>
      </c>
      <c r="H20" s="12" t="str">
        <f>IFERROR(INDEX(MASTER!$I$2:$I$2000,MATCH($A20,MASTER!$A$2:$A$2000,0))&amp;"","")</f>
        <v>tests/test_docx_tables.py (9); tests/test_golden_documents.py::test_16_table_engine and the golden round trips (signature with tables' geometry); tests/test_docx_parser.py::test_a_picture_in_a_table_cell_is_kept_as_the_cells_block; frontend/editor/tableLook.test.ts (4); frontend/e2e/tables.spec.ts; backend 968 passed/1 skipped; Vitest 158; Playwright 26</v>
      </c>
      <c r="I20" s="19">
        <f>IFERROR(IF(INDEX(MASTER!$O$2:$O$2000,MATCH($A20,MASTER!$A$2:$A$2000,0))="","",INDEX(MASTER!$O$2:$O$2000,MATCH($A20,MASTER!$A$2:$A$2000,0))),"")</f>
        <v>46294.923842592587</v>
      </c>
      <c r="J20" s="12" t="str">
        <f>IFERROR(INDEX(MASTER!$P$2:$P$2000,MATCH($A20,MASTER!$A$2:$A$2000,0))&amp;"","")</f>
        <v>62e7957</v>
      </c>
      <c r="K20" s="12" t="str">
        <f>IFERROR(INDEX(MASTER!$Q$2:$Q$2000,MATCH($A20,MASTER!$A$2:$A$2000,0))&amp;"","")</f>
        <v>From EDIT-011 (2026-09-27): add per-cell alignment and column widths to the model (the editor's cell align/colwidth, Word tcW/tblGrid, PDF colWidths); until then the editor names them as not kept.</v>
      </c>
      <c r="L20" s="12" t="str">
        <f>IFERROR(INDEX(MASTER!$R$2:$R$2000,MATCH($A20,MASTER!$A$2:$A$2000,0))&amp;"","")</f>
        <v/>
      </c>
    </row>
    <row r="21" spans="1:12" x14ac:dyDescent="0.25">
      <c r="A21" s="15" t="s">
        <v>575</v>
      </c>
      <c r="B21" s="12" t="str">
        <f>IFERROR(INDEX(MASTER!$C$2:$C$2000,MATCH($A21,MASTER!$A$2:$A$2000,0))&amp;"","")</f>
        <v>DOCX</v>
      </c>
      <c r="C21" s="16">
        <f>IFERROR(INDEX(MASTER!$B$2:$B$2000,MATCH($A21,MASTER!$A$2:$A$2000,0)),"")</f>
        <v>3</v>
      </c>
      <c r="D21" s="12" t="str">
        <f>IFERROR(INDEX(MASTER!$D$2:$D$2000,MATCH($A21,MASTER!$A$2:$A$2000,0))&amp;"","")</f>
        <v>Draw a table style's banded rows and first/last columns</v>
      </c>
      <c r="E21" s="12" t="str">
        <f>IFERROR(INDEX(MASTER!$F$2:$F$2000,MATCH($A21,MASTER!$A$2:$A$2000,0))&amp;"","")</f>
        <v>P2</v>
      </c>
      <c r="F21" s="12" t="str">
        <f>IFERROR(INDEX(MASTER!$G$2:$G$2000,MATCH($A21,MASTER!$A$2:$A$2000,0))&amp;"","NOT IN MASTER")</f>
        <v>DONE</v>
      </c>
      <c r="G21" s="12" t="str">
        <f>IFERROR(INDEX(MASTER!$H$2:$H$2000,MATCH($A21,MASTER!$A$2:$A$2000,0))&amp;"","")</f>
        <v>parsers/docx_tables.py (PositionLook, StyleLook.conditionals, position_look), parsers/docx.py (_styled_run), capabilities.py, docs/docx/README.md; golden 16-table-engine</v>
      </c>
      <c r="H21" s="12" t="str">
        <f>IFERROR(INDEX(MASTER!$I$2:$I$2000,MATCH($A21,MASTER!$A$2:$A$2000,0))&amp;"","")</f>
        <v>tests/test_docx_tables.py (3 new + header test), 6/6 mutations</v>
      </c>
      <c r="I21" s="19">
        <f>IFERROR(IF(INDEX(MASTER!$O$2:$O$2000,MATCH($A21,MASTER!$A$2:$A$2000,0))="","",INDEX(MASTER!$O$2:$O$2000,MATCH($A21,MASTER!$A$2:$A$2000,0))),"")</f>
        <v>46302.369062500002</v>
      </c>
      <c r="J21" s="12" t="str">
        <f>IFERROR(INDEX(MASTER!$P$2:$P$2000,MATCH($A21,MASTER!$A$2:$A$2000,0))&amp;"","")</f>
        <v>b7573d6</v>
      </c>
      <c r="K21" s="12" t="str">
        <f>IFERROR(INDEX(MASTER!$Q$2:$Q$2000,MATCH($A21,MASTER!$A$2:$A$2000,0))&amp;"","")</f>
        <v>2026-10-07: conditional formats resolved per cell in Word's order from tblLook, band sizes kept; own shading/run formatting win; borders by position still reported.</v>
      </c>
      <c r="L21" s="12" t="str">
        <f>IFERROR(INDEX(MASTER!$R$2:$R$2000,MATCH($A21,MASTER!$A$2:$A$2000,0))&amp;"","")</f>
        <v>DOCX-017</v>
      </c>
    </row>
    <row r="22" spans="1:12" x14ac:dyDescent="0.25">
      <c r="A22" s="15" t="s">
        <v>582</v>
      </c>
      <c r="B22" s="12" t="str">
        <f>IFERROR(INDEX(MASTER!$C$2:$C$2000,MATCH($A22,MASTER!$A$2:$A$2000,0))&amp;"","")</f>
        <v>DOCX</v>
      </c>
      <c r="C22" s="16">
        <f>IFERROR(INDEX(MASTER!$B$2:$B$2000,MATCH($A22,MASTER!$A$2:$A$2000,0)),"")</f>
        <v>3</v>
      </c>
      <c r="D22" s="12" t="str">
        <f>IFERROR(INDEX(MASTER!$D$2:$D$2000,MATCH($A22,MASTER!$A$2:$A$2000,0))&amp;"","")</f>
        <v>Float tables with text around them here and in a PDF</v>
      </c>
      <c r="E22" s="12" t="str">
        <f>IFERROR(INDEX(MASTER!$F$2:$F$2000,MATCH($A22,MASTER!$A$2:$A$2000,0))&amp;"","")</f>
        <v>P3</v>
      </c>
      <c r="F22" s="12" t="str">
        <f>IFERROR(INDEX(MASTER!$G$2:$G$2000,MATCH($A22,MASTER!$A$2:$A$2000,0))&amp;"","NOT IN MASTER")</f>
        <v>DONE</v>
      </c>
      <c r="G22" s="12" t="str">
        <f>IFERROR(INDEX(MASTER!$H$2:$H$2000,MATCH($A22,MASTER!$A$2:$A$2000,0))&amp;"","")</f>
        <v>TableFloat.side (models); docx_tables.table_side + parser note by side (docx.py _table_content, body tables only); PDF: _float_side/_placement_of/_floating_table (in line past 60% of the page height) and _Floated adapter for ImageAndFlowables; editor: tableLook.ts wrapper fit-content + align-self + Word's distance, floatWrap.ts sideOf(table); docs/docx/README.md, capabilities.py. Found and fixed: PDF export crashed for a floating text box followed by text (reportlab _restrictSize)</v>
      </c>
      <c r="H22" s="12" t="str">
        <f>IFERROR(INDEX(MASTER!$I$2:$I$2000,MATCH($A22,MASTER!$A$2:$A$2000,0))&amp;"","")</f>
        <v>backend tests/test_floating_tables.py (17: side rules x12, import side + Word round trip, centred/full width in line, PDF wraps left/right/in line, too tall in line, distances); test_text_boxes.py::test_a_pdf_lays_the_text_after_a_floating_box_beside_it; full backend 2549 passed/11 skipped; Vitest 351 (tableLook floating case); Playwright tables.spec 2 (text beside a right-floating table, kept after reload); mutations 7/7</v>
      </c>
      <c r="I22" s="19">
        <f>IFERROR(IF(INDEX(MASTER!$O$2:$O$2000,MATCH($A22,MASTER!$A$2:$A$2000,0))="","",INDEX(MASTER!$O$2:$O$2000,MATCH($A22,MASTER!$A$2:$A$2000,0))),"")</f>
        <v>46302.939097222217</v>
      </c>
      <c r="J22" s="12" t="str">
        <f>IFERROR(INDEX(MASTER!$P$2:$P$2000,MATCH($A22,MASTER!$A$2:$A$2000,0))&amp;"","")</f>
        <v>0fcf8bf</v>
      </c>
      <c r="K22" s="12" t="str">
        <f>IFERROR(INDEX(MASTER!$Q$2:$Q$2000,MATCH($A22,MASTER!$A$2:$A$2000,0))&amp;"","")</f>
        <v/>
      </c>
      <c r="L22" s="12" t="str">
        <f>IFERROR(INDEX(MASTER!$R$2:$R$2000,MATCH($A22,MASTER!$A$2:$A$2000,0))&amp;"","")</f>
        <v>DOCX-017</v>
      </c>
    </row>
    <row r="23" spans="1:12" x14ac:dyDescent="0.25">
      <c r="A23" s="15" t="s">
        <v>588</v>
      </c>
      <c r="B23" s="12" t="str">
        <f>IFERROR(INDEX(MASTER!$C$2:$C$2000,MATCH($A23,MASTER!$A$2:$A$2000,0))&amp;"","")</f>
        <v>DOCX</v>
      </c>
      <c r="C23" s="16">
        <f>IFERROR(INDEX(MASTER!$B$2:$B$2000,MATCH($A23,MASTER!$A$2:$A$2000,0)),"")</f>
        <v>3</v>
      </c>
      <c r="D23" s="12" t="str">
        <f>IFERROR(INDEX(MASTER!$D$2:$D$2000,MATCH($A23,MASTER!$A$2:$A$2000,0))&amp;"","")</f>
        <v>Images</v>
      </c>
      <c r="E23" s="12" t="str">
        <f>IFERROR(INDEX(MASTER!$F$2:$F$2000,MATCH($A23,MASTER!$A$2:$A$2000,0))&amp;"","")</f>
        <v>P0</v>
      </c>
      <c r="F23" s="12" t="str">
        <f>IFERROR(INDEX(MASTER!$G$2:$G$2000,MATCH($A23,MASTER!$A$2:$A$2000,0))&amp;"","NOT IN MASTER")</f>
        <v>DONE</v>
      </c>
      <c r="G23" s="12" t="str">
        <f>IFERROR(INDEX(MASTER!$H$2:$H$2000,MATCH($A23,MASTER!$A$2:$A$2000,0))&amp;"","")</f>
        <v>ImageContent keeps mime, name, alt/title, widthCm/heightCm (wp:extent), crop (ImageCrop from a:srcRect), rotation and flips (a:xfrm), and a floating picture's placement (ImagePlacement from wp:anchor: wrap, positionH/V from/align/offset, distances, allowOverlap, layoutInCell) - parsers/docx_pictures.py::picture_properties, also for pictures in table cells. Word export writes them back: docPr descr/title/name, a:srcRect, xfrm rot/flipH/flipV, wp:effectExtent for a turned picture's room (_turn_room), a rebuilt wp:anchor (_float); WebP (and any format Word can't hold) goes in as PNG (_word_picture). PDF crops, flips and turns with PIL (_shaped_picture), sized by its turned outline (export/images.py::turned_box); an unchanged picture keeps its exact width (picture_width_cm: the importer's width rule is rounded to 0.1%). Editor: editor/pictureLook.ts draws size, crop (whole picture clipped, edges pulled in), turn and flips, and a turned picture's room; attributes round-trip through tiptapToDocument. Floating pictures shown in line here and in a PDF (docx.image.floating, DETECTED_NOT_EDITABLE); docx.image.crop/rotation and docx.table.cell_image_size reports removed. Golden 17-pictures.docx; golden signature compares picture properties. Seen in the browser and in a rendered PDF.</v>
      </c>
      <c r="H23" s="12" t="str">
        <f>IFERROR(INDEX(MASTER!$I$2:$I$2000,MATCH($A23,MASTER!$A$2:$A$2000,0))&amp;"","")</f>
        <v>backend 987 passed/1 skipped (tests/test_docx_pictures.py 7, test_golden_documents.py test_17_pictures + 17-file round trips, test_export_fidelity WebP-&gt;PNG); Vitest 164 (editor/pictureLook.test.ts 4, editor round trip of 17 golden files); Playwright 27 (e2e/pictures.spec.ts: clip, turn, flips, turned room, cell size); tsc + eslint clean</v>
      </c>
      <c r="I23" s="19">
        <f>IFERROR(IF(INDEX(MASTER!$O$2:$O$2000,MATCH($A23,MASTER!$A$2:$A$2000,0))="","",INDEX(MASTER!$O$2:$O$2000,MATCH($A23,MASTER!$A$2:$A$2000,0))),"")</f>
        <v>46294.95752314815</v>
      </c>
      <c r="J23" s="12" t="str">
        <f>IFERROR(INDEX(MASTER!$P$2:$P$2000,MATCH($A23,MASTER!$A$2:$A$2000,0))&amp;"","")</f>
        <v>17dfd4d</v>
      </c>
      <c r="K23" s="12" t="str">
        <f>IFERROR(INDEX(MASTER!$Q$2:$Q$2000,MATCH($A23,MASTER!$A$2:$A$2000,0))&amp;"","")</f>
        <v>Alt text + title now exported (docPr descr/title) with DOCX-001; crop, rotation, WEBP still open.</v>
      </c>
      <c r="L23" s="12" t="str">
        <f>IFERROR(INDEX(MASTER!$R$2:$R$2000,MATCH($A23,MASTER!$A$2:$A$2000,0))&amp;"","")</f>
        <v/>
      </c>
    </row>
    <row r="24" spans="1:12" x14ac:dyDescent="0.25">
      <c r="A24" s="15" t="s">
        <v>595</v>
      </c>
      <c r="B24" s="12" t="str">
        <f>IFERROR(INDEX(MASTER!$C$2:$C$2000,MATCH($A24,MASTER!$A$2:$A$2000,0))&amp;"","")</f>
        <v>DOCX</v>
      </c>
      <c r="C24" s="16">
        <f>IFERROR(INDEX(MASTER!$B$2:$B$2000,MATCH($A24,MASTER!$A$2:$A$2000,0)),"")</f>
        <v>3</v>
      </c>
      <c r="D24" s="12" t="str">
        <f>IFERROR(INDEX(MASTER!$D$2:$D$2000,MATCH($A24,MASTER!$A$2:$A$2000,0))&amp;"","")</f>
        <v>Float pictures and wrap text around them here and in a PDF</v>
      </c>
      <c r="E24" s="12" t="str">
        <f>IFERROR(INDEX(MASTER!$F$2:$F$2000,MATCH($A24,MASTER!$A$2:$A$2000,0))&amp;"","")</f>
        <v>P2</v>
      </c>
      <c r="F24" s="12" t="str">
        <f>IFERROR(INDEX(MASTER!$G$2:$G$2000,MATCH($A24,MASTER!$A$2:$A$2000,0))&amp;"","NOT IN MASTER")</f>
        <v>DONE</v>
      </c>
      <c r="G24" s="12" t="str">
        <f>IFERROR(INDEX(MASTER!$H$2:$H$2000,MATCH($A24,MASTER!$A$2:$A$2000,0))&amp;"","")</f>
        <v>parsers/docx_pictures.py float_side, models/document.py ImagePlacement.side, parsers/docx.py (_text_column, notes), export/pdf_export.py (ImageAndFlowables), frontend editor/floatWrap.ts + pictureLook.ts; capabilities.py, docs/docx/README.md; manifests a04/a13/17</v>
      </c>
      <c r="H24" s="12" t="str">
        <f>IFERROR(INDEX(MASTER!$I$2:$I$2000,MATCH($A24,MASTER!$A$2:$A$2000,0))&amp;"","")</f>
        <v>tests/test_docx_pictures.py (16 new), pictureLook.test.ts (1 new), e2e/pictures.spec.ts (1 new); 5/5 mutations</v>
      </c>
      <c r="I24" s="19">
        <f>IFERROR(IF(INDEX(MASTER!$O$2:$O$2000,MATCH($A24,MASTER!$A$2:$A$2000,0))="","",INDEX(MASTER!$O$2:$O$2000,MATCH($A24,MASTER!$A$2:$A$2000,0))),"")</f>
        <v>46302.364317129628</v>
      </c>
      <c r="J24" s="12" t="str">
        <f>IFERROR(INDEX(MASTER!$P$2:$P$2000,MATCH($A24,MASTER!$A$2:$A$2000,0))&amp;"","")</f>
        <v>eb9009b</v>
      </c>
      <c r="K24" s="12" t="str">
        <f>IFERROR(INDEX(MASTER!$Q$2:$Q$2000,MATCH($A24,MASTER!$A$2:$A$2000,0))&amp;"","")</f>
        <v>2026-10-07: side from alignment or position; PDF wraps line by line; the editor (a flex column, no CSS floats) wraps block by block via floatWrap.ts. Behind/in front/top-and-bottom/centred stay in line.</v>
      </c>
      <c r="L24" s="12" t="str">
        <f>IFERROR(INDEX(MASTER!$R$2:$R$2000,MATCH($A24,MASTER!$A$2:$A$2000,0))&amp;"","")</f>
        <v>DOCX-018</v>
      </c>
    </row>
    <row r="25" spans="1:12" x14ac:dyDescent="0.25">
      <c r="A25" s="15" t="s">
        <v>602</v>
      </c>
      <c r="B25" s="12" t="str">
        <f>IFERROR(INDEX(MASTER!$C$2:$C$2000,MATCH($A25,MASTER!$A$2:$A$2000,0))&amp;"","")</f>
        <v>DOCX</v>
      </c>
      <c r="C25" s="16">
        <f>IFERROR(INDEX(MASTER!$B$2:$B$2000,MATCH($A25,MASTER!$A$2:$A$2000,0)),"")</f>
        <v>3</v>
      </c>
      <c r="D25" s="12" t="str">
        <f>IFERROR(INDEX(MASTER!$D$2:$D$2000,MATCH($A25,MASTER!$A$2:$A$2000,0))&amp;"","")</f>
        <v>Crop and turn pictures in the editor</v>
      </c>
      <c r="E25" s="12" t="str">
        <f>IFERROR(INDEX(MASTER!$F$2:$F$2000,MATCH($A25,MASTER!$A$2:$A$2000,0))&amp;"","")</f>
        <v>P3</v>
      </c>
      <c r="F25" s="12" t="str">
        <f>IFERROR(INDEX(MASTER!$G$2:$G$2000,MATCH($A25,MASTER!$A$2:$A$2000,0))&amp;"","NOT IN MASTER")</f>
        <v>DONE</v>
      </c>
      <c r="G25" s="12" t="str">
        <f>IFERROR(INDEX(MASTER!$H$2:$H$2000,MATCH($A25,MASTER!$A$2:$A$2000,0))&amp;"","")</f>
        <v>frontend/editor/pictureEdit.ts (turned, withRotation, flipped, cropped, uncropped, pictureAt, updatePicture); frontend/editor/panels/PictureControls.tsx in PropertiesPanel's Image section; elementId.getSelectedElementId handles a node selection; exports unchanged (already draw ImageContent.crop/rotation/flips); capabilities docx.image_properties edit=yes; docs/docx/README.md</v>
      </c>
      <c r="H25" s="12" t="str">
        <f>IFERROR(INDEX(MASTER!$I$2:$I$2000,MATCH($A25,MASTER!$A$2:$A$2000,0))&amp;"","")</f>
        <v>Vitest editor/pictureEdit.test.ts (5: turns, flips, crop limits, change drawn and saved, clicked picture selected) -- full Vitest 356; backend tests/test_docx_pictures.py::test_a_picture_cropped_and_turned_in_the_editor_is_so_in_word_written_into_the_original + capabilities (33 passed); Playwright pictures.spec 3 (turn right, flip, crop top 10% shown and stored, undo)</v>
      </c>
      <c r="I25" s="19">
        <f>IFERROR(IF(INDEX(MASTER!$O$2:$O$2000,MATCH($A25,MASTER!$A$2:$A$2000,0))="","",INDEX(MASTER!$O$2:$O$2000,MATCH($A25,MASTER!$A$2:$A$2000,0))),"")</f>
        <v>46302.945914351847</v>
      </c>
      <c r="J25" s="12" t="str">
        <f>IFERROR(INDEX(MASTER!$P$2:$P$2000,MATCH($A25,MASTER!$A$2:$A$2000,0))&amp;"","")</f>
        <v>2366310</v>
      </c>
      <c r="K25" s="12" t="str">
        <f>IFERROR(INDEX(MASTER!$Q$2:$Q$2000,MATCH($A25,MASTER!$A$2:$A$2000,0))&amp;"","")</f>
        <v/>
      </c>
      <c r="L25" s="12" t="str">
        <f>IFERROR(INDEX(MASTER!$R$2:$R$2000,MATCH($A25,MASTER!$A$2:$A$2000,0))&amp;"","")</f>
        <v>DOCX-018</v>
      </c>
    </row>
    <row r="26" spans="1:12" x14ac:dyDescent="0.25">
      <c r="A26" s="15" t="s">
        <v>608</v>
      </c>
      <c r="B26" s="12" t="str">
        <f>IFERROR(INDEX(MASTER!$C$2:$C$2000,MATCH($A26,MASTER!$A$2:$A$2000,0))&amp;"","")</f>
        <v>DOCX</v>
      </c>
      <c r="C26" s="16">
        <f>IFERROR(INDEX(MASTER!$B$2:$B$2000,MATCH($A26,MASTER!$A$2:$A$2000,0)),"")</f>
        <v>3</v>
      </c>
      <c r="D26" s="12" t="str">
        <f>IFERROR(INDEX(MASTER!$D$2:$D$2000,MATCH($A26,MASTER!$A$2:$A$2000,0))&amp;"","")</f>
        <v>An SVG picture's PNG copy named</v>
      </c>
      <c r="E26" s="12" t="str">
        <f>IFERROR(INDEX(MASTER!$F$2:$F$2000,MATCH($A26,MASTER!$A$2:$A$2000,0))&amp;"","")</f>
        <v>P2</v>
      </c>
      <c r="F26" s="12" t="str">
        <f>IFERROR(INDEX(MASTER!$G$2:$G$2000,MATCH($A26,MASTER!$A$2:$A$2000,0))&amp;"","NOT IN MASTER")</f>
        <v>DONE</v>
      </c>
      <c r="G26" s="12" t="str">
        <f>IFERROR(INDEX(MASTER!$H$2:$H$2000,MATCH($A26,MASTER!$A$2:$A$2000,0))&amp;"","")</f>
        <v>parsers/docx.py (_image note), parsers/docx_pictures.py SVG_BLIP, export/docx_export.py _lost_in, capabilities.py, docs/docx/README.md; a04 manifest</v>
      </c>
      <c r="H26" s="12" t="str">
        <f>IFERROR(INDEX(MASTER!$I$2:$I$2000,MATCH($A26,MASTER!$A$2:$A$2000,0))&amp;"","")</f>
        <v>tests/test_docx_pictures.py::test_an_svg_picture_is_named_where_its_png_copy_stands_in_for_it; 2/2 mutations</v>
      </c>
      <c r="I26" s="19">
        <f>IFERROR(IF(INDEX(MASTER!$O$2:$O$2000,MATCH($A26,MASTER!$A$2:$A$2000,0))="","",INDEX(MASTER!$O$2:$O$2000,MATCH($A26,MASTER!$A$2:$A$2000,0))),"")</f>
        <v>46302.429178240738</v>
      </c>
      <c r="J26" s="12" t="str">
        <f>IFERROR(INDEX(MASTER!$P$2:$P$2000,MATCH($A26,MASTER!$A$2:$A$2000,0))&amp;"","")</f>
        <v>5c026b5</v>
      </c>
      <c r="K26" s="12" t="str">
        <f>IFERROR(INDEX(MASTER!$Q$2:$Q$2000,MATCH($A26,MASTER!$A$2:$A$2000,0))&amp;"","")</f>
        <v>2026-10-07: named at import (docx.image.svg) and in the rewritten-blocks report when written anew.</v>
      </c>
      <c r="L26" s="12" t="str">
        <f>IFERROR(INDEX(MASTER!$R$2:$R$2000,MATCH($A26,MASTER!$A$2:$A$2000,0))&amp;"","")</f>
        <v>DOCX-018</v>
      </c>
    </row>
    <row r="27" spans="1:12" x14ac:dyDescent="0.25">
      <c r="A27" s="15" t="s">
        <v>616</v>
      </c>
      <c r="B27" s="12" t="str">
        <f>IFERROR(INDEX(MASTER!$C$2:$C$2000,MATCH($A27,MASTER!$A$2:$A$2000,0))&amp;"","")</f>
        <v>DOCX</v>
      </c>
      <c r="C27" s="16">
        <f>IFERROR(INDEX(MASTER!$B$2:$B$2000,MATCH($A27,MASTER!$A$2:$A$2000,0)),"")</f>
        <v>3</v>
      </c>
      <c r="D27" s="12" t="str">
        <f>IFERROR(INDEX(MASTER!$D$2:$D$2000,MATCH($A27,MASTER!$A$2:$A$2000,0))&amp;"","")</f>
        <v>Drawings and text boxes preserved</v>
      </c>
      <c r="E27" s="12" t="str">
        <f>IFERROR(INDEX(MASTER!$F$2:$F$2000,MATCH($A27,MASTER!$A$2:$A$2000,0))&amp;"","")</f>
        <v>P1</v>
      </c>
      <c r="F27" s="12" t="str">
        <f>IFERROR(INDEX(MASTER!$G$2:$G$2000,MATCH($A27,MASTER!$A$2:$A$2000,0))&amp;"","NOT IN MASTER")</f>
        <v>DONE</v>
      </c>
      <c r="G27" s="12" t="str">
        <f>IFERROR(INDEX(MASTER!$H$2:$H$2000,MATCH($A27,MASTER!$A$2:$A$2000,0))&amp;"","")</f>
        <v>docx_export.py: a Word export of the kept file puts charts, SmartArt, shapes, embedded objects and VML drawings back into blocks it writes anew - from the element's original paragraph (sourceBlocks; the server's own copy of the file, nothing the browser sent) at their text offset (_put_back_drawings, _insert_at splits the run), and drawing-only paragraphs after their group (_copy_plan returns them); parts and relationships kept (the SmartArt drawing part referenced from dsp:dataModelExt was being dropped for every export into the original, copied blocks too - fixed); drawing ids unique (_unique_drawing_ids) and the package check names duplicates, no longer flags Word's own r:blip="". Reports: with the file kept, charts/SmartArt/shapes/objects are 'not shown here or in a PDF; a Word export keeps them' (KEPT_DRAWINGS, not content changed); rewritten blocks no longer claim crop/rotation/floating lost (DOCX-018) and a shape with text counts as a text box. True fidelity test now counts drawings per file: a09 before this change lost chart, SmartArt, embedded sheet after a template; now only its 2 text boxes' frames (DOCX-019A). Word opened the rewritten a09 export (same inline chart + OLE sheet, equations, SmartArt).</v>
      </c>
      <c r="H27" s="12" t="str">
        <f>IFERROR(INDEX(MASTER!$I$2:$I$2000,MATCH($A27,MASTER!$A$2:$A$2000,0))&amp;"","")</f>
        <v>backend 1227 passed/1 skipped (tests/test_docx_drawings.py 3: Word-authored a09 chart/SmartArt/OLE/shapes back after a template with a sound package and no drawing loss reported; a shape back mid-text and on its own paragraph with unique ids; a duplicate id is named by the package check); expected-loss and fidelity manifests updated on purpose (a09 only); Vitest 166; Playwright 28; tsc + eslint clean; Word open check</v>
      </c>
      <c r="I27" s="19">
        <f>IFERROR(IF(INDEX(MASTER!$O$2:$O$2000,MATCH($A27,MASTER!$A$2:$A$2000,0))="","",INDEX(MASTER!$O$2:$O$2000,MATCH($A27,MASTER!$A$2:$A$2000,0))),"")</f>
        <v>46295.149537037039</v>
      </c>
      <c r="J27" s="12" t="str">
        <f>IFERROR(INDEX(MASTER!$P$2:$P$2000,MATCH($A27,MASTER!$A$2:$A$2000,0))&amp;"","")</f>
        <v>9b2249d</v>
      </c>
      <c r="K27" s="12" t="str">
        <f>IFERROR(INDEX(MASTER!$Q$2:$Q$2000,MATCH($A27,MASTER!$A$2:$A$2000,0))&amp;"","")</f>
        <v>DOCX-028: text boxes and drawings in unchanged paragraphs are copied as they are (grouped with their anchor paragraph).</v>
      </c>
      <c r="L27" s="12" t="str">
        <f>IFERROR(INDEX(MASTER!$R$2:$R$2000,MATCH($A27,MASTER!$A$2:$A$2000,0))&amp;"","")</f>
        <v/>
      </c>
    </row>
    <row r="28" spans="1:12" x14ac:dyDescent="0.25">
      <c r="A28" s="15" t="s">
        <v>623</v>
      </c>
      <c r="B28" s="12" t="str">
        <f>IFERROR(INDEX(MASTER!$C$2:$C$2000,MATCH($A28,MASTER!$A$2:$A$2000,0))&amp;"","")</f>
        <v>DOCX</v>
      </c>
      <c r="C28" s="16">
        <f>IFERROR(INDEX(MASTER!$B$2:$B$2000,MATCH($A28,MASTER!$A$2:$A$2000,0)),"")</f>
        <v>3</v>
      </c>
      <c r="D28" s="12" t="str">
        <f>IFERROR(INDEX(MASTER!$D$2:$D$2000,MATCH($A28,MASTER!$A$2:$A$2000,0))&amp;"","")</f>
        <v>Text boxes as boxes</v>
      </c>
      <c r="E28" s="12" t="str">
        <f>IFERROR(INDEX(MASTER!$F$2:$F$2000,MATCH($A28,MASTER!$A$2:$A$2000,0))&amp;"","")</f>
        <v>P2</v>
      </c>
      <c r="F28" s="12" t="str">
        <f>IFERROR(INDEX(MASTER!$G$2:$G$2000,MATCH($A28,MASTER!$A$2:$A$2000,0))&amp;"","NOT IN MASTER")</f>
        <v>DONE</v>
      </c>
      <c r="G28" s="12" t="str">
        <f>IFERROR(INDEX(MASTER!$H$2:$H$2000,MATCH($A28,MASTER!$A$2:$A$2000,0))&amp;"","")</f>
        <v>models/document.py (TEXT_BOX, TextBoxContent), parsers/docx.py _text_box + docx_inline/docx_pictures text_box_properties, export/docx_export.py _add_text_box, export/pdf_export.py _build_text_box, frontend editor/textBox.ts + floatWrap.ts + conversions; capabilities.py, docs/docx/README.md</v>
      </c>
      <c r="H28" s="12" t="str">
        <f>IFERROR(INDEX(MASTER!$I$2:$I$2000,MATCH($A28,MASTER!$A$2:$A$2000,0))&amp;"","")</f>
        <v>tests/test_text_boxes.py (6), test_docx_fidelity.py (VML box), textBox.test.ts (3), e2e/text-boxes.spec.ts; Word gate 60/60 (a09 keeps its boxes); 5/5 mutations</v>
      </c>
      <c r="I28" s="19">
        <f>IFERROR(IF(INDEX(MASTER!$O$2:$O$2000,MATCH($A28,MASTER!$A$2:$A$2000,0))="","",INDEX(MASTER!$O$2:$O$2000,MATCH($A28,MASTER!$A$2:$A$2000,0))),"")</f>
        <v>46302.452025462961</v>
      </c>
      <c r="J28" s="12" t="str">
        <f>IFERROR(INDEX(MASTER!$P$2:$P$2000,MATCH($A28,MASTER!$A$2:$A$2000,0))&amp;"","")</f>
        <v>d0e90fe</v>
      </c>
      <c r="K28" s="12" t="str">
        <f>IFERROR(INDEX(MASTER!$Q$2:$Q$2000,MATCH($A28,MASTER!$A$2:$A$2000,0))&amp;"","")</f>
        <v>2026-10-07: a box here, in a PDF and in Word; floating ones wrapped; exact position not editable; theme colours not read; translation skips it (said).</v>
      </c>
      <c r="L28" s="12" t="str">
        <f>IFERROR(INDEX(MASTER!$R$2:$R$2000,MATCH($A28,MASTER!$A$2:$A$2000,0))&amp;"","")</f>
        <v>DOCX-019</v>
      </c>
    </row>
    <row r="29" spans="1:12" x14ac:dyDescent="0.25">
      <c r="A29" s="15" t="s">
        <v>630</v>
      </c>
      <c r="B29" s="12" t="str">
        <f>IFERROR(INDEX(MASTER!$C$2:$C$2000,MATCH($A29,MASTER!$A$2:$A$2000,0))&amp;"","")</f>
        <v>DOCX</v>
      </c>
      <c r="C29" s="16">
        <f>IFERROR(INDEX(MASTER!$B$2:$B$2000,MATCH($A29,MASTER!$A$2:$A$2000,0)),"")</f>
        <v>3</v>
      </c>
      <c r="D29" s="12" t="str">
        <f>IFERROR(INDEX(MASTER!$D$2:$D$2000,MATCH($A29,MASTER!$A$2:$A$2000,0))&amp;"","")</f>
        <v>Fields</v>
      </c>
      <c r="E29" s="12" t="str">
        <f>IFERROR(INDEX(MASTER!$F$2:$F$2000,MATCH($A29,MASTER!$A$2:$A$2000,0))&amp;"","")</f>
        <v>P1</v>
      </c>
      <c r="F29" s="12" t="str">
        <f>IFERROR(INDEX(MASTER!$G$2:$G$2000,MATCH($A29,MASTER!$A$2:$A$2000,0))&amp;"","NOT IN MASTER")</f>
        <v>DONE</v>
      </c>
      <c r="G29" s="12" t="str">
        <f>IFERROR(INDEX(MASTER!$H$2:$H$2000,MATCH($A29,MASTER!$A$2:$A$2000,0))&amp;"","")</f>
        <v>Measured in Word (hidden, read-only, fields updated) before and after: dates, author, title, file name, REF, PAGEREF, SEQ, links, CITATION (sources part kept, no 'Invalid source specified') and a header's STYLEREF already survived; a TOC (both exports) and a BIBLIOGRAPHY (written anew) did not - fields running across paragraphs. Import (parsers/docx.py _attach/_close_fields_in): such a field keeps where it starts (field_open with its code) and ends (field_close; Word's end in a paragraph of its own, left out, goes on the block before with paragraph=true), one region naming both; a TOC is kept too (docx.toc DETECTED_NOT_EDITABLE). Export (docx_export.py): written back around its entries only when balanced (_balanced_regions; else as text + export.docx.field_region); into the original the region's blocks are one group, so an unchanged TOC is copied whole. After a template Word shows and updates a06's TOC and bibliography and r01's TOC, no errors. Found on the way: the fragment writer wrote text only at fragment edges, dropping runs in other formatting between them (a06's italic title) - fixed.</v>
      </c>
      <c r="H29" s="12" t="str">
        <f>IFERROR(INDEX(MASTER!$I$2:$I$2000,MATCH($A29,MASTER!$A$2:$A$2000,0))&amp;"","")</f>
        <v>backend 1233 passed/1 skipped (tests/test_docx_fields.py 5: TOC kept where it starts and ends, written anew around its entries with its end in a paragraph of its own, copied whole into the original, written as text once its last paragraph is deleted, Word's own TOC/BIBLIOGRAPHY/CITATION survive a template with a sound package; test_docx_preservation regression for text between fragment edges - fails on the old writer); expected-loss manifests for a06/r01 updated on purpose; Vitest 166; Playwright 28; tsc + eslint clean; Word field update check</v>
      </c>
      <c r="I29" s="19">
        <f>IFERROR(IF(INDEX(MASTER!$O$2:$O$2000,MATCH($A29,MASTER!$A$2:$A$2000,0))="","",INDEX(MASTER!$O$2:$O$2000,MATCH($A29,MASTER!$A$2:$A$2000,0))),"")</f>
        <v>46295.315393518518</v>
      </c>
      <c r="J29" s="12" t="str">
        <f>IFERROR(INDEX(MASTER!$P$2:$P$2000,MATCH($A29,MASTER!$A$2:$A$2000,0))&amp;"","")</f>
        <v>2d8ad45</v>
      </c>
      <c r="K29" s="12" t="str">
        <f>IFERROR(INDEX(MASTER!$Q$2:$Q$2000,MATCH($A29,MASTER!$A$2:$A$2000,0))&amp;"","")</f>
        <v>DOCX-028: field codes in unchanged blocks are copied as they are; a field spanning paragraphs is never copied half (self-contained check).</v>
      </c>
      <c r="L29" s="12" t="str">
        <f>IFERROR(INDEX(MASTER!$R$2:$R$2000,MATCH($A29,MASTER!$A$2:$A$2000,0))&amp;"","")</f>
        <v/>
      </c>
    </row>
    <row r="30" spans="1:12" x14ac:dyDescent="0.25">
      <c r="A30" s="15" t="s">
        <v>639</v>
      </c>
      <c r="B30" s="12" t="str">
        <f>IFERROR(INDEX(MASTER!$C$2:$C$2000,MATCH($A30,MASTER!$A$2:$A$2000,0))&amp;"","")</f>
        <v>DOCX</v>
      </c>
      <c r="C30" s="16">
        <f>IFERROR(INDEX(MASTER!$B$2:$B$2000,MATCH($A30,MASTER!$A$2:$A$2000,0)),"")</f>
        <v>3</v>
      </c>
      <c r="D30" s="12" t="str">
        <f>IFERROR(INDEX(MASTER!$D$2:$D$2000,MATCH($A30,MASTER!$A$2:$A$2000,0))&amp;"","")</f>
        <v>Header fields beyond page numbers survive a header edited here</v>
      </c>
      <c r="E30" s="12" t="str">
        <f>IFERROR(INDEX(MASTER!$F$2:$F$2000,MATCH($A30,MASTER!$A$2:$A$2000,0))&amp;"","")</f>
        <v>P2</v>
      </c>
      <c r="F30" s="12" t="str">
        <f>IFERROR(INDEX(MASTER!$G$2:$G$2000,MATCH($A30,MASTER!$A$2:$A$2000,0))&amp;"","NOT IN MASTER")</f>
        <v>DONE</v>
      </c>
      <c r="G30" s="12" t="str">
        <f>IFERROR(INDEX(MASTER!$H$2:$H$2000,MATCH($A30,MASTER!$A$2:$A$2000,0))&amp;"","")</f>
        <v>Header/footer fields the policy allows read as {FIELD instr|result} (formatting/header_fields.py); pages, preview and PDF show the result; Word export (new and into the original) writes the field with its result. Word opens an export with STYLEREF, DATE, PAGE, DOCPROPERTY as real fields; Word gate 60/60 unchanged.</v>
      </c>
      <c r="H30" s="12" t="str">
        <f>IFERROR(INDEX(MASTER!$I$2:$I$2000,MATCH($A30,MASTER!$A$2:$A$2000,0))&amp;"","")</f>
        <v>backend/tests/test_header_fields.py (6); frontend/editor/headerFields.test.ts (2); mutations on policy check and PDF fill caught</v>
      </c>
      <c r="I30" s="19">
        <f>IFERROR(IF(INDEX(MASTER!$O$2:$O$2000,MATCH($A30,MASTER!$A$2:$A$2000,0))="","",INDEX(MASTER!$O$2:$O$2000,MATCH($A30,MASTER!$A$2:$A$2000,0))),"")</f>
        <v>46302.468935185178</v>
      </c>
      <c r="J30" s="12" t="str">
        <f>IFERROR(INDEX(MASTER!$P$2:$P$2000,MATCH($A30,MASTER!$A$2:$A$2000,0))&amp;"","")</f>
        <v>147bece</v>
      </c>
      <c r="K30" s="12" t="str">
        <f>IFERROR(INDEX(MASTER!$Q$2:$Q$2000,MATCH($A30,MASTER!$A$2:$A$2000,0))&amp;"","")</f>
        <v>Refused fields (also typed by hand), fields whose text holds | { }, and every field in a header past 500 characters become their result as text. An unedited header in the original stays untouched.</v>
      </c>
      <c r="L30" s="12" t="str">
        <f>IFERROR(INDEX(MASTER!$R$2:$R$2000,MATCH($A30,MASTER!$A$2:$A$2000,0))&amp;"","")</f>
        <v>DOCX-020</v>
      </c>
    </row>
    <row r="31" spans="1:12" x14ac:dyDescent="0.25">
      <c r="A31" s="15" t="s">
        <v>646</v>
      </c>
      <c r="B31" s="12" t="str">
        <f>IFERROR(INDEX(MASTER!$C$2:$C$2000,MATCH($A31,MASTER!$A$2:$A$2000,0))&amp;"","")</f>
        <v>DOCX</v>
      </c>
      <c r="C31" s="16">
        <f>IFERROR(INDEX(MASTER!$B$2:$B$2000,MATCH($A31,MASTER!$A$2:$A$2000,0)),"")</f>
        <v>3</v>
      </c>
      <c r="D31" s="12" t="str">
        <f>IFERROR(INDEX(MASTER!$D$2:$D$2000,MATCH($A31,MASTER!$A$2:$A$2000,0))&amp;"","")</f>
        <v>Comment threads</v>
      </c>
      <c r="E31" s="12" t="str">
        <f>IFERROR(INDEX(MASTER!$F$2:$F$2000,MATCH($A31,MASTER!$A$2:$A$2000,0))&amp;"","")</f>
        <v>P1</v>
      </c>
      <c r="F31" s="12" t="str">
        <f>IFERROR(INDEX(MASTER!$G$2:$G$2000,MATCH($A31,MASTER!$A$2:$A$2000,0))&amp;"","NOT IN MASTER")</f>
        <v>DONE</v>
      </c>
      <c r="G31" s="12" t="str">
        <f>IFERROR(INDEX(MASTER!$H$2:$H$2000,MATCH($A31,MASTER!$A$2:$A$2000,0))&amp;"","")</f>
        <v>Measured in Word first (hidden, read-only, scratchpad/word_comments.py): a07's author, text and range survived both Word exports, but its reply came back as a comment of its own and its resolved comment as open - the export dropped commentsExtended (which names each comment by its last paragraph's paraId) since comments written anew get new ids; and a comment over several paragraphs was ended where its first paragraph does by every export. Import (parsers/docx_comments.py, parsers/docx.py _comments): each comment keeps commentId, replyTo and done. Export (docx_export.py _thread_comments): commentsExtended written again for the comments the file has - copied ones from the original's threads, written ones from the import's, parents by the ids they have now, paraIds given to comments written anew, nothing when no reply or resolved one. A thread's comments are written together, first before replies, their end marks and references in that order (_after_earlier_ends): Word takes a reply whose reference comes before its comment's for a comment of its own (measured). Ranges: a comment over paragraphs is kept as a region (comment + comment_close; one ending in an empty paragraph ends where the block before does), its end and reference moved there on export (_OPEN_COMMENTS), its blocks one group into the original; one running into a list/table/code or whose last paragraph is deleted covers its first paragraph, reported (docx.comment_range, export.docx.comment_range). Package check names thread entries naming no comment; the true fidelity structure axis counts comments, replies and resolved ones. Word: a07's copied, rewritten and new-file exports show the reply under its comment and the resolved one resolved; a comment over three paragraphs spans all three, rewritten and in a new file.</v>
      </c>
      <c r="H31" s="12" t="str">
        <f>IFERROR(INDEX(MASTER!$I$2:$I$2000,MATCH($A31,MASTER!$A$2:$A$2000,0))&amp;"","")</f>
        <v>backend 1252 passed/1 skipped (tests/test_docx_comments.py 19: import keeps threads; copied, rewritten and new-file exports keep them; a reply after its comment; marks in Word's order; a copied reply answers its comment written anew; a reply whose comment is gone; no part without threads; fragments kept before threads; malformed thread data left out; package check names a bad entry; a comment over paragraphs keeps its range unchanged, first or last edited and in a new file; ending in an empty paragraph; into a table, reported; last paragraph deleted, reported - each mutation-checked); true fidelity axis catches the thread loss (mutation-checked); Vitest 166; Playwright 28; tsc + eslint clean; Word comment check</v>
      </c>
      <c r="I31" s="19">
        <f>IFERROR(IF(INDEX(MASTER!$O$2:$O$2000,MATCH($A31,MASTER!$A$2:$A$2000,0))="","",INDEX(MASTER!$O$2:$O$2000,MATCH($A31,MASTER!$A$2:$A$2000,0))),"")</f>
        <v>46295.344861111109</v>
      </c>
      <c r="J31" s="12" t="str">
        <f>IFERROR(INDEX(MASTER!$P$2:$P$2000,MATCH($A31,MASTER!$A$2:$A$2000,0))&amp;"","")</f>
        <v>5c4bf69</v>
      </c>
      <c r="K31" s="12" t="str">
        <f>IFERROR(INDEX(MASTER!$Q$2:$Q$2000,MATCH($A31,MASTER!$A$2:$A$2000,0))&amp;"","")</f>
        <v>Found on the way (P0, pre-existing since DOCX-028): a block deleted in the editor comes back in a Word export into the original - tracked as DOCX-028B.</v>
      </c>
      <c r="L31" s="12" t="str">
        <f>IFERROR(INDEX(MASTER!$R$2:$R$2000,MATCH($A31,MASTER!$A$2:$A$2000,0))&amp;"","")</f>
        <v/>
      </c>
    </row>
    <row r="32" spans="1:12" x14ac:dyDescent="0.25">
      <c r="A32" s="15" t="s">
        <v>654</v>
      </c>
      <c r="B32" s="12" t="str">
        <f>IFERROR(INDEX(MASTER!$C$2:$C$2000,MATCH($A32,MASTER!$A$2:$A$2000,0))&amp;"","")</f>
        <v>DOCX</v>
      </c>
      <c r="C32" s="16">
        <f>IFERROR(INDEX(MASTER!$B$2:$B$2000,MATCH($A32,MASTER!$A$2:$A$2000,0)),"")</f>
        <v>3</v>
      </c>
      <c r="D32" s="12" t="str">
        <f>IFERROR(INDEX(MASTER!$D$2:$D$2000,MATCH($A32,MASTER!$A$2:$A$2000,0))&amp;"","")</f>
        <v>Tracked changes preserved</v>
      </c>
      <c r="E32" s="12" t="str">
        <f>IFERROR(INDEX(MASTER!$F$2:$F$2000,MATCH($A32,MASTER!$A$2:$A$2000,0))&amp;"","")</f>
        <v>P1</v>
      </c>
      <c r="F32" s="12" t="str">
        <f>IFERROR(INDEX(MASTER!$G$2:$G$2000,MATCH($A32,MASTER!$A$2:$A$2000,0))&amp;"","NOT IN MASTER")</f>
        <v>DONE</v>
      </c>
      <c r="G32" s="12" t="str">
        <f>IFERROR(INDEX(MASTER!$H$2:$H$2000,MATCH($A32,MASTER!$A$2:$A$2000,0))&amp;"","")</f>
        <v>Measured in Word first (hidden, read-only): every Word export accepted a07's 7 revisions (0 after). Import (parsers/docx.py): tracked changes still read as accepted (a row deleted while tracking now gone; it came in as an empty row; formatting-only changes noted too) and the document marked trackedChanges 'kept'. Export (docx_export.py): a Word export into the original copies every unchanged block with its tracked changes (_self_contained(revisions=); a moved text's range balanced within the group like a bookmark); a block changed or restyled here has its own accepted and the rewritten-blocks note names 'tracked changes'. The import report says they're kept for export (fidelity/imports.py TRACKED_KEPT). Accepting them all is the person's choice: the review after the upload and the Проверка panel (frontend TrackedChangesChoice), PUT /documents/{id}/tracked-changes; the content stays (read as accepted either way); accepted, no export has them and none reports them lost (TRACKED_ACCEPTED, lossy as chosen); 409 without tracked changes or without the kept file. PDF: the word-only note names tracked changes. Word: a07's unchanged export has its 7 revisions and gives exactly the file's text on accept-all and on reject-all; with its table edited, accept-all gives the app's view and reject-all puts the moved paragraph back while the table stays as edited. True fidelity structure axis counts tracked-change marks (a07 19 -&gt; 0 after the academic template: pinned until DOCX-029).</v>
      </c>
      <c r="H32" s="12" t="str">
        <f>IFERROR(INDEX(MASTER!$I$2:$I$2000,MATCH($A32,MASTER!$A$2:$A$2000,0))&amp;"","")</f>
        <v>backend 1270 passed/1 skipped (tests/test_docx_tracked_changes.py 9: import reads them accepted and marks them kept, deleted row gone; unchanged export keeps all marks; a changed block accepts its own and the report says so; accepted as chosen: none, none reported lost; formatting-only noted and kept; no choice without; moves copied only with both range ends; the choice through the API changes exports and the report, content unchanged; 409/422 - each mutation-checked); test_original_blocks updated (copied unless accepted); a07 expected-loss and fidelity manifests updated on purpose; Vitest 172 (TrackedChangesChoice 3, setTrackedChanges 1, Проверка panel 2); Playwright 30 (tracked-changes: accepted at the review -&gt; none exported, kept in the panel -&gt; 7); tsc + eslint clean; Word revisions check</v>
      </c>
      <c r="I32" s="19">
        <f>IFERROR(IF(INDEX(MASTER!$O$2:$O$2000,MATCH($A32,MASTER!$A$2:$A$2000,0))="","",INDEX(MASTER!$O$2:$O$2000,MATCH($A32,MASTER!$A$2:$A$2000,0))),"")</f>
        <v>46295.373912037037</v>
      </c>
      <c r="J32" s="12" t="str">
        <f>IFERROR(INDEX(MASTER!$P$2:$P$2000,MATCH($A32,MASTER!$A$2:$A$2000,0))&amp;"","")</f>
        <v>122d2a2</v>
      </c>
      <c r="K32" s="12" t="str">
        <f>IFERROR(INDEX(MASTER!$Q$2:$Q$2000,MATCH($A32,MASTER!$A$2:$A$2000,0))&amp;"","")</f>
        <v>DOCX-028: blocks holding tracked changes are never copied (always written anew, accepted), so this task's explicit choice is still needed.</v>
      </c>
      <c r="L32" s="12" t="str">
        <f>IFERROR(INDEX(MASTER!$R$2:$R$2000,MATCH($A32,MASTER!$A$2:$A$2000,0))&amp;"","")</f>
        <v/>
      </c>
    </row>
    <row r="33" spans="1:12" x14ac:dyDescent="0.25">
      <c r="A33" s="15" t="s">
        <v>661</v>
      </c>
      <c r="B33" s="12" t="str">
        <f>IFERROR(INDEX(MASTER!$C$2:$C$2000,MATCH($A33,MASTER!$A$2:$A$2000,0))&amp;"","")</f>
        <v>DOCX</v>
      </c>
      <c r="C33" s="16">
        <f>IFERROR(INDEX(MASTER!$B$2:$B$2000,MATCH($A33,MASTER!$A$2:$A$2000,0)),"")</f>
        <v>3</v>
      </c>
      <c r="D33" s="12" t="str">
        <f>IFERROR(INDEX(MASTER!$D$2:$D$2000,MATCH($A33,MASTER!$A$2:$A$2000,0))&amp;"","")</f>
        <v>Tracked changes: reject all, and deleted paragraph marks</v>
      </c>
      <c r="E33" s="12" t="str">
        <f>IFERROR(INDEX(MASTER!$F$2:$F$2000,MATCH($A33,MASTER!$A$2:$A$2000,0))&amp;"","")</f>
        <v>P2</v>
      </c>
      <c r="F33" s="12" t="str">
        <f>IFERROR(INDEX(MASTER!$G$2:$G$2000,MATCH($A33,MASTER!$A$2:$A$2000,0))&amp;"","NOT IN MASTER")</f>
        <v>DONE</v>
      </c>
      <c r="G33" s="12" t="str">
        <f>IFERROR(INDEX(MASTER!$H$2:$H$2000,MATCH($A33,MASTER!$A$2:$A$2000,0))&amp;"","")</f>
        <v>Reject all = third choice 'rejected': kept file has every revision rejected (parsers/docx_revisions.reject_all), document re-read from it, that file kept instead; one undoable step; 409 edits_would_be_lost until discardEdits (UI asks first); report TRACKED_REJECTED, cleaned-file notes kept. Accepted reading joins a paragraph whose mark was deleted to the next (join_deleted_marks; next keeps its style; sourceBlocks name both). Word check skips deleted rows. Measured in Word: reject_all == Word Reject All on the synthetic file and a07 (0 revisions, same 14 paragraphs); join == Accept All. Word gate 60/60 unchanged; rejected a07 exports open in Word.</v>
      </c>
      <c r="H33" s="12" t="str">
        <f>IFERROR(INDEX(MASTER!$I$2:$I$2000,MATCH($A33,MASTER!$A$2:$A$2000,0))&amp;"","")</f>
        <v>backend/tests/test_tracked_changes_reject.py (6; 8/8 mutations caught); test_docx_tracked_changes updated; TrackedChangesChoice.test.tsx (+3); services/api/documents.test.ts (+1); FidelityPanel.test.tsx updated; e2e tracked-changes.spec.ts (+1)</v>
      </c>
      <c r="I33" s="19">
        <f>IFERROR(IF(INDEX(MASTER!$O$2:$O$2000,MATCH($A33,MASTER!$A$2:$A$2000,0))="","",INDEX(MASTER!$O$2:$O$2000,MATCH($A33,MASTER!$A$2:$A$2000,0))),"")</f>
        <v>46302.500347222223</v>
      </c>
      <c r="J33" s="12" t="str">
        <f>IFERROR(INDEX(MASTER!$P$2:$P$2000,MATCH($A33,MASTER!$A$2:$A$2000,0))&amp;"","")</f>
        <v>1e15388</v>
      </c>
      <c r="K33" s="12" t="str">
        <f>IFERROR(INDEX(MASTER!$Q$2:$Q$2000,MATCH($A33,MASTER!$A$2:$A$2000,0))&amp;"","")</f>
        <v>Rejecting replaces edits made here (asked first, Undo restores). Once rejected, kept/accepted answer 409 (Undo is the way back).</v>
      </c>
      <c r="L33" s="12" t="str">
        <f>IFERROR(INDEX(MASTER!$R$2:$R$2000,MATCH($A33,MASTER!$A$2:$A$2000,0))&amp;"","")</f>
        <v>DOCX-022</v>
      </c>
    </row>
    <row r="34" spans="1:12" x14ac:dyDescent="0.25">
      <c r="A34" s="15" t="s">
        <v>668</v>
      </c>
      <c r="B34" s="12" t="str">
        <f>IFERROR(INDEX(MASTER!$C$2:$C$2000,MATCH($A34,MASTER!$A$2:$A$2000,0))&amp;"","")</f>
        <v>DOCX</v>
      </c>
      <c r="C34" s="16">
        <f>IFERROR(INDEX(MASTER!$B$2:$B$2000,MATCH($A34,MASTER!$A$2:$A$2000,0)),"")</f>
        <v>3</v>
      </c>
      <c r="D34" s="12" t="str">
        <f>IFERROR(INDEX(MASTER!$D$2:$D$2000,MATCH($A34,MASTER!$A$2:$A$2000,0))&amp;"","")</f>
        <v>Content controls preserved</v>
      </c>
      <c r="E34" s="12" t="str">
        <f>IFERROR(INDEX(MASTER!$F$2:$F$2000,MATCH($A34,MASTER!$A$2:$A$2000,0))&amp;"","")</f>
        <v>P1</v>
      </c>
      <c r="F34" s="12" t="str">
        <f>IFERROR(INDEX(MASTER!$G$2:$G$2000,MATCH($A34,MASTER!$A$2:$A$2000,0))&amp;"","NOT IN MASTER")</f>
        <v>DONE</v>
      </c>
      <c r="G34" s="12" t="str">
        <f>IFERROR(INDEX(MASTER!$H$2:$H$2000,MATCH($A34,MASTER!$A$2:$A$2000,0))&amp;"","")</f>
        <v>Measured in Word first (hidden, read-only, scratchpad/word_controls.py, the previous code run from a temporary worktree): a08 written anew had none of its 8 content controls and Word couldn't read its 2 legacy form fields as form fields. Import (parsers/docx_inline.py, docx.py): a control in a paragraph is kept as a 'control' fragment with its sdtPr/sdtEndPr and the text just before and after it; one around blocks as open/close markers on its first and last block (preservedAttributes['controls'], nested ones inside); a picture control with its picture (preservedAttributes['control']); a legacy form field keeps its ffData. Export (docx_export.py): each written back with its properties -- a control whose text was changed goes between the text around it (_between), a checkbox's state follows its symbol (_check), block controls around the blocks written (_Controls, inner first; one missing its first or last block written without it + export.docx.control_region), a picture control around its picture; form fields' ffData in their begin; ids unique (_unique_control_ids); browser-sent XML checked (one sdtPr/sdtEndPr, no relationships); links and controls nest. Report: docx.content_control kept for export; docx.content_control.nested (tables, lists, text boxes) lossy / kept while unchanged, still named lost in a block written anew. True fidelity axis counts content controls (06-lists 0 -&gt; 2: its checklist as the export's checkbox controls, pinned). Word: a08 written anew and edited has all 8 controls with their types, titles, entries and date format, the checkbox unchecked once its symbol is, and both form fields working.</v>
      </c>
      <c r="H34" s="12" t="str">
        <f>IFERROR(INDEX(MASTER!$I$2:$I$2000,MATCH($A34,MASTER!$A$2:$A$2000,0))&amp;"","")</f>
        <v>backend 1280 passed/1 skipped (tests/test_docx_content_controls.py 10: each kind kept at import; a file written anew has every control back with its properties; controls in blocks changed here go back; a checkbox follows its symbol; a control around a paragraph goes back when it changes; legacy form fields keep their settings; unique ids; malformed control data left out; a control missing its last block left out and reported; a control in a table kept only while unchanged, reported -- each code path mutation-checked); test_copy_reports and test_original_blocks updated (controls now kept when written anew); 06-lists fidelity manifest updated on purpose; Vitest 172; Playwright 30; tsc + eslint clean; Word content control check</v>
      </c>
      <c r="I34" s="19">
        <f>IFERROR(IF(INDEX(MASTER!$O$2:$O$2000,MATCH($A34,MASTER!$A$2:$A$2000,0))="","",INDEX(MASTER!$O$2:$O$2000,MATCH($A34,MASTER!$A$2:$A$2000,0))),"")</f>
        <v>46295.550324074073</v>
      </c>
      <c r="J34" s="12" t="str">
        <f>IFERROR(INDEX(MASTER!$P$2:$P$2000,MATCH($A34,MASTER!$A$2:$A$2000,0))&amp;"","")</f>
        <v>256e7f6</v>
      </c>
      <c r="K34" s="12" t="str">
        <f>IFERROR(INDEX(MASTER!$Q$2:$Q$2000,MATCH($A34,MASTER!$A$2:$A$2000,0))&amp;"","")</f>
        <v>DOCX-028: content controls in unchanged blocks are copied with their properties (E2E proves it through the editor); written anew they are unwrapped (reported lossy at import).; Phase 3 gate (2026-09-30) found a regression and it was fixed: a control around a field over the same text (a06's citation control) was written with the field crossing the control, a file Word calls corrupted; over the same text a control/link is now outermost and the one opened last closes first; package_check names such a field; regression test test_a_control_around_a_field_holds_all_of_it.</v>
      </c>
      <c r="L34" s="12" t="str">
        <f>IFERROR(INDEX(MASTER!$R$2:$R$2000,MATCH($A34,MASTER!$A$2:$A$2000,0))&amp;"","")</f>
        <v/>
      </c>
    </row>
    <row r="35" spans="1:12" x14ac:dyDescent="0.25">
      <c r="A35" s="15" t="s">
        <v>675</v>
      </c>
      <c r="B35" s="12" t="str">
        <f>IFERROR(INDEX(MASTER!$C$2:$C$2000,MATCH($A35,MASTER!$A$2:$A$2000,0))&amp;"","")</f>
        <v>DOCX</v>
      </c>
      <c r="C35" s="16">
        <f>IFERROR(INDEX(MASTER!$B$2:$B$2000,MATCH($A35,MASTER!$A$2:$A$2000,0)),"")</f>
        <v>3</v>
      </c>
      <c r="D35" s="12" t="str">
        <f>IFERROR(INDEX(MASTER!$D$2:$D$2000,MATCH($A35,MASTER!$A$2:$A$2000,0))&amp;"","")</f>
        <v>Content controls in tables, lists and text boxes kept when written anew</v>
      </c>
      <c r="E35" s="12" t="str">
        <f>IFERROR(INDEX(MASTER!$F$2:$F$2000,MATCH($A35,MASTER!$A$2:$A$2000,0))&amp;"","")</f>
        <v>P2</v>
      </c>
      <c r="F35" s="12" t="str">
        <f>IFERROR(INDEX(MASTER!$G$2:$G$2000,MATCH($A35,MASTER!$A$2:$A$2000,0))&amp;"","NOT IN MASTER")</f>
        <v>DONE</v>
      </c>
      <c r="G35" s="12" t="str">
        <f>IFERROR(INDEX(MASTER!$H$2:$H$2000,MATCH($A35,MASTER!$A$2:$A$2000,0))&amp;"","")</f>
        <v>Controls in cell paragraphs, list items (top-level and in cells) and text-box paragraphs kept as control fragments (preservedAttributes['ooxml'] on TableCell/ListItem/paragraph blocks); controls around cells and rows (repeating sections, nested) kept per cell/row with their group and wrapped back (_wrap_in_controls). TableCell/TableRow/ListItem.preservedAttributes, server-kept (keep_preserved walks them). Rows inside a table-level control are now read (were dropped). Still text only: controls around paragraphs/tables inside a cell or text box (control_written_back). Word: synthetic file written anew and into the original has all 7 body controls + the text box's, opens without repair; a08 8/8; Word gate 60/60 unchanged.</v>
      </c>
      <c r="H35" s="12" t="str">
        <f>IFERROR(INDEX(MASTER!$I$2:$I$2000,MATCH($A35,MASTER!$A$2:$A$2000,0))&amp;"","")</f>
        <v>backend/tests/test_nested_content_controls.py (5); test_docx_content_controls.py (2 replacing 1); 11/11 mutations caught (+1 equivalent: attached marks have no note for controls); golden JSON + OpenAPI types regenerated</v>
      </c>
      <c r="I35" s="19">
        <f>IFERROR(IF(INDEX(MASTER!$O$2:$O$2000,MATCH($A35,MASTER!$A$2:$A$2000,0))="","",INDEX(MASTER!$O$2:$O$2000,MATCH($A35,MASTER!$A$2:$A$2000,0))),"")</f>
        <v>46302.524733796286</v>
      </c>
      <c r="J35" s="12" t="str">
        <f>IFERROR(INDEX(MASTER!$P$2:$P$2000,MATCH($A35,MASTER!$A$2:$A$2000,0))&amp;"","")</f>
        <v>081c993</v>
      </c>
      <c r="K35" s="12" t="str">
        <f>IFERROR(INDEX(MASTER!$Q$2:$Q$2000,MATCH($A35,MASTER!$A$2:$A$2000,0))&amp;"","")</f>
        <v>Word takes only rich-text controls around cells/rows. A row-level control's rows were silently(ish) dropped before -- the word check flagged it as changed.</v>
      </c>
      <c r="L35" s="12" t="str">
        <f>IFERROR(INDEX(MASTER!$R$2:$R$2000,MATCH($A35,MASTER!$A$2:$A$2000,0))&amp;"","")</f>
        <v>DOCX-023</v>
      </c>
    </row>
    <row r="36" spans="1:12" x14ac:dyDescent="0.25">
      <c r="A36" s="15" t="s">
        <v>682</v>
      </c>
      <c r="B36" s="12" t="str">
        <f>IFERROR(INDEX(MASTER!$C$2:$C$2000,MATCH($A36,MASTER!$A$2:$A$2000,0))&amp;"","")</f>
        <v>DOCX</v>
      </c>
      <c r="C36" s="16">
        <f>IFERROR(INDEX(MASTER!$B$2:$B$2000,MATCH($A36,MASTER!$A$2:$A$2000,0)),"")</f>
        <v>3</v>
      </c>
      <c r="D36" s="12" t="str">
        <f>IFERROR(INDEX(MASTER!$D$2:$D$2000,MATCH($A36,MASTER!$A$2:$A$2000,0))&amp;"","")</f>
        <v>Real footnotes and endnotes</v>
      </c>
      <c r="E36" s="12" t="str">
        <f>IFERROR(INDEX(MASTER!$F$2:$F$2000,MATCH($A36,MASTER!$A$2:$A$2000,0))&amp;"","")</f>
        <v>P1</v>
      </c>
      <c r="F36" s="12" t="str">
        <f>IFERROR(INDEX(MASTER!$G$2:$G$2000,MATCH($A36,MASTER!$A$2:$A$2000,0))&amp;"","NOT IN MASTER")</f>
        <v>DONE</v>
      </c>
      <c r="G36" s="12" t="str">
        <f>IFERROR(INDEX(MASTER!$H$2:$H$2000,MATCH($A36,MASTER!$A$2:$A$2000,0))&amp;"","")</f>
        <v>Measured in Word first (hidden, read-only, scratchpad/word_notes.py): a10's 3 footnotes and 2 endnotes came back as 0 and 0 in every export, paragraphs at the end. Import (parsers/docx_inline.py, docx.py): each reference kept as a 'note' fragment around its label; each note block as the note it is (preservedAttributes['note'] = footnote:1 + label); the editor still shows them at the end. Export (docx_export.py _write_notes, _Notes): real footnoteReference/endnoteReference runs where the labels are; the notes into their parts again with their ids (so unchanged blocks are copied with their references -- _NOT_COPIED no longer refuses them, only references to notes deleted here), without the label, split into paragraphs, in Word's own footnote text/reference styles, a part with its two separators made when the file has none. A note deleted here leaves its label as text; one referred to from a list/table or whose reference was deleted is written at the end (export.docx.notes_at_end); a PDF prints them at the end (export.pdf.notes). Found on the way: the export added a second FootnoteText style (python-docx's case-sensitive lookup of 'Footnote Text' beside Word's 'footnote text') -- _named_style finds styles in any case; package_check names duplicate style ids and references to notes that aren't there. Word: a10 into the original and in a new file has all 5 notes after their sentences, edited (one deleted, one revised) as edited; r01's footnote too.</v>
      </c>
      <c r="H36" s="12" t="str">
        <f>IFERROR(INDEX(MASTER!$I$2:$I$2000,MATCH($A36,MASTER!$A$2:$A$2000,0))&amp;"","")</f>
        <v>backend 1290 passed/1 skipped (tests/test_docx_notes.py 10: references and notes kept at import; notes back as notes into a new file and into the original with their bold; an unchanged block copied with its reference; a note changed here written as it is; a note deleted here leaves its label as text with no dangling reference; a note referred to from a table written at the end and reported; a style never defined twice; the package check names a reference to a missing note; a PDF says they are at the end -- each code path mutation-checked); golden round trip updated (the notes note is said again after an export); expected-loss manifests for a10, r01, 12-complex updated on purpose; Vitest 172; Playwright 30; tsc + eslint clean; Word notes check</v>
      </c>
      <c r="I36" s="19">
        <f>IFERROR(IF(INDEX(MASTER!$O$2:$O$2000,MATCH($A36,MASTER!$A$2:$A$2000,0))="","",INDEX(MASTER!$O$2:$O$2000,MATCH($A36,MASTER!$A$2:$A$2000,0))),"")</f>
        <v>46295.566446759258</v>
      </c>
      <c r="J36" s="12" t="str">
        <f>IFERROR(INDEX(MASTER!$P$2:$P$2000,MATCH($A36,MASTER!$A$2:$A$2000,0))&amp;"","")</f>
        <v>4cd515b</v>
      </c>
      <c r="K36" s="12" t="str">
        <f>IFERROR(INDEX(MASTER!$Q$2:$Q$2000,MATCH($A36,MASTER!$A$2:$A$2000,0))&amp;"","")</f>
        <v/>
      </c>
      <c r="L36" s="12" t="str">
        <f>IFERROR(INDEX(MASTER!$R$2:$R$2000,MATCH($A36,MASTER!$A$2:$A$2000,0))&amp;"","")</f>
        <v/>
      </c>
    </row>
    <row r="37" spans="1:12" x14ac:dyDescent="0.25">
      <c r="A37" s="15" t="s">
        <v>688</v>
      </c>
      <c r="B37" s="12" t="str">
        <f>IFERROR(INDEX(MASTER!$C$2:$C$2000,MATCH($A37,MASTER!$A$2:$A$2000,0))&amp;"","")</f>
        <v>DOCX</v>
      </c>
      <c r="C37" s="16">
        <f>IFERROR(INDEX(MASTER!$B$2:$B$2000,MATCH($A37,MASTER!$A$2:$A$2000,0)),"")</f>
        <v>3</v>
      </c>
      <c r="D37" s="12" t="str">
        <f>IFERROR(INDEX(MASTER!$D$2:$D$2000,MATCH($A37,MASTER!$A$2:$A$2000,0))&amp;"","")</f>
        <v>Hidden text stays hidden</v>
      </c>
      <c r="E37" s="12" t="str">
        <f>IFERROR(INDEX(MASTER!$F$2:$F$2000,MATCH($A37,MASTER!$A$2:$A$2000,0))&amp;"","")</f>
        <v>P0</v>
      </c>
      <c r="F37" s="12" t="str">
        <f>IFERROR(INDEX(MASTER!$G$2:$G$2000,MATCH($A37,MASTER!$A$2:$A$2000,0))&amp;"","NOT IN MASTER")</f>
        <v>DONE</v>
      </c>
      <c r="G37" s="12" t="str">
        <f>IFERROR(INDEX(MASTER!$H$2:$H$2000,MATCH($A37,MASTER!$A$2:$A$2000,0))&amp;"","")</f>
        <v>MarkType.HIDDEN (appended; no existing mark order changes). Importer resolves w:vanish as Word does: run, character style, paragraph style (the default paragraph style when none), docDefaults; webHidden stays visible; an explicit vanish=0 shows text in a hidden style. The detector uses the default paragraph style the same way and names hidden text as kept hidden (DETECTED_PRESERVED, not a content change). Editor: non-inclusive hidden mark (editor/hiddenText.ts; Word's display:none paste stays hidden), hidden by CSS unless .show-hidden; status bar 'Show hidden text (N words)' toggles it and re-paginates; the Structure panel leaves hidden text out of headings. Word export writes w:vanish (copied blocks keep theirs); PDF doesn't print hidden runs, export.pdf.hidden_text names the word count, and the PDF content check compares visible words (document_words(visible_only=True)); Word-side checks count hidden text on both sides. Golden 02-rich-text gained a hidden sentence (editor round trip in Vitest).</v>
      </c>
      <c r="H37" s="12" t="str">
        <f>IFERROR(INDEX(MASTER!$I$2:$I$2000,MATCH($A37,MASTER!$A$2:$A$2000,0))&amp;"","")</f>
        <v>backend 876 passed/1 skipped (tests/test_hidden_text.py 7: import resolution, default paragraph style, report, upload + content check + editor save, Word export round trip, PDF text + note + check); Vitest 125 (editor/hiddenText.test.tsx 6, golden round trip of 02); Playwright 22 (e2e/hidden-text.spec.ts: hidden until asked, dotted line when shown, vanish in the Word export); tsc + eslint clean</v>
      </c>
      <c r="I37" s="19">
        <f>IFERROR(IF(INDEX(MASTER!$O$2:$O$2000,MATCH($A37,MASTER!$A$2:$A$2000,0))="","",INDEX(MASTER!$O$2:$O$2000,MATCH($A37,MASTER!$A$2:$A$2000,0))),"")</f>
        <v>46292.793113425927</v>
      </c>
      <c r="J37" s="12" t="str">
        <f>IFERROR(INDEX(MASTER!$P$2:$P$2000,MATCH($A37,MASTER!$A$2:$A$2000,0))&amp;"","")</f>
        <v>7d1af86</v>
      </c>
      <c r="K37" s="12" t="str">
        <f>IFERROR(INDEX(MASTER!$Q$2:$Q$2000,MATCH($A37,MASTER!$A$2:$A$2000,0))&amp;"","")</f>
        <v>DOCX-028: vanish survives in unchanged blocks only; the model still shows hidden text as ordinary text - next task.</v>
      </c>
      <c r="L37" s="12" t="str">
        <f>IFERROR(INDEX(MASTER!$R$2:$R$2000,MATCH($A37,MASTER!$A$2:$A$2000,0))&amp;"","")</f>
        <v/>
      </c>
    </row>
    <row r="38" spans="1:12" x14ac:dyDescent="0.25">
      <c r="A38" s="15" t="s">
        <v>696</v>
      </c>
      <c r="B38" s="12" t="str">
        <f>IFERROR(INDEX(MASTER!$C$2:$C$2000,MATCH($A38,MASTER!$A$2:$A$2000,0))&amp;"","")</f>
        <v>DOCX</v>
      </c>
      <c r="C38" s="16">
        <f>IFERROR(INDEX(MASTER!$B$2:$B$2000,MATCH($A38,MASTER!$A$2:$A$2000,0)),"")</f>
        <v>3</v>
      </c>
      <c r="D38" s="12" t="str">
        <f>IFERROR(INDEX(MASTER!$D$2:$D$2000,MATCH($A38,MASTER!$A$2:$A$2000,0))&amp;"","")</f>
        <v>Hyperlink policy and no silent autolink</v>
      </c>
      <c r="E38" s="12" t="str">
        <f>IFERROR(INDEX(MASTER!$F$2:$F$2000,MATCH($A38,MASTER!$A$2:$A$2000,0))&amp;"","")</f>
        <v>P0</v>
      </c>
      <c r="F38" s="12" t="str">
        <f>IFERROR(INDEX(MASTER!$G$2:$G$2000,MATCH($A38,MASTER!$A$2:$A$2000,0))&amp;"","NOT IN MASTER")</f>
        <v>DONE</v>
      </c>
      <c r="G38" s="12" t="str">
        <f>IFERROR(INDEX(MASTER!$H$2:$H$2000,MATCH($A38,MASTER!$A$2:$A$2000,0))&amp;"","")</f>
        <v>Web and e-mail addresses a Word file has as plain text stay text by default (parsers/docx.py _inline autolinks only when the import's _AUTOLINK context variable is set, by import_docx(autolink=True)); the import report says they became links only then (fidelity/docx_detect.detect_docx_features(autolink=)). The option: autolink form field on POST /jobs/import-file (job payload) and POST /documents/upload, threaded through ingestion_service and DocumentService.create_from_bytes; the new-document wizard shows a checkbox for a .docx (importFile(..., { autolink })). Unsafe addresses were already kept as plain text and reported (docx.link.unsafe). Golden 05-links.docx now says its plain address stays text; capability rows docx.autolinks/docx.hyperlinks updated.</v>
      </c>
      <c r="H38" s="12" t="str">
        <f>IFERROR(INDEX(MASTER!$I$2:$I$2000,MATCH($A38,MASTER!$A$2:$A$2000,0))&amp;"","")</f>
        <v>backend 996 passed/1 skipped (tests/test_autolink.py 3: stays text by default, becomes links when asked and is reported, the upload takes the option; test_docx_fidelity/test_docx_detect/test_05_links updated); Vitest 166 (services/api/jobs.test.ts 2); Playwright 28 (e2e/links.spec.ts: golden 05 uploaded both ways); tsc + eslint clean</v>
      </c>
      <c r="I38" s="19">
        <f>IFERROR(IF(INDEX(MASTER!$O$2:$O$2000,MATCH($A38,MASTER!$A$2:$A$2000,0))="","",INDEX(MASTER!$O$2:$O$2000,MATCH($A38,MASTER!$A$2:$A$2000,0))),"")</f>
        <v>46295.115312499998</v>
      </c>
      <c r="J38" s="12" t="str">
        <f>IFERROR(INDEX(MASTER!$P$2:$P$2000,MATCH($A38,MASTER!$A$2:$A$2000,0))&amp;"","")</f>
        <v>914476f</v>
      </c>
      <c r="K38" s="12" t="str">
        <f>IFERROR(INDEX(MASTER!$Q$2:$Q$2000,MATCH($A38,MASTER!$A$2:$A$2000,0))&amp;"","")</f>
        <v>Done: links to unsafe addresses (javascript:, file:, UNC...) are kept as plain text and reported (docx.link.unsafe); plain-text addresses turned into links are reported (docx.autolink). Remaining: stop autolinking by default (a setting), per the task.</v>
      </c>
      <c r="L38" s="12" t="str">
        <f>IFERROR(INDEX(MASTER!$R$2:$R$2000,MATCH($A38,MASTER!$A$2:$A$2000,0))&amp;"","")</f>
        <v/>
      </c>
    </row>
    <row r="39" spans="1:12" x14ac:dyDescent="0.25">
      <c r="A39" s="15" t="s">
        <v>743</v>
      </c>
      <c r="B39" s="12" t="str">
        <f>IFERROR(INDEX(MASTER!$C$2:$C$2000,MATCH($A39,MASTER!$A$2:$A$2000,0))&amp;"","")</f>
        <v>DOCX</v>
      </c>
      <c r="C39" s="16">
        <f>IFERROR(INDEX(MASTER!$B$2:$B$2000,MATCH($A39,MASTER!$A$2:$A$2000,0)),"")</f>
        <v>3</v>
      </c>
      <c r="D39" s="12" t="str">
        <f>IFERROR(INDEX(MASTER!$D$2:$D$2000,MATCH($A39,MASTER!$A$2:$A$2000,0))&amp;"","")</f>
        <v>Importer builds nested blocks</v>
      </c>
      <c r="E39" s="12" t="str">
        <f>IFERROR(INDEX(MASTER!$F$2:$F$2000,MATCH($A39,MASTER!$A$2:$A$2000,0))&amp;"","")</f>
        <v>P0</v>
      </c>
      <c r="F39" s="12" t="str">
        <f>IFERROR(INDEX(MASTER!$G$2:$G$2000,MATCH($A39,MASTER!$A$2:$A$2000,0))&amp;"","NOT IN MASTER")</f>
        <v>DONE</v>
      </c>
      <c r="G39" s="12" t="str">
        <f>IFERROR(INDEX(MASTER!$H$2:$H$2000,MATCH($A39,MASTER!$A$2:$A$2000,0))&amp;"","")</f>
        <v>Importer (parsers/docx.py): a numbered paragraph's pictures are what its item holds after its text -- ListItem.blocks image blocks (_pictures, _picture_blocks) with their picture properties, top-level (_flush_list) and in table cells (_CellPart item pictures; a cell's list is no longer split by an item's picture); a numbered paragraph holding only a picture is an item (no longer left out as empty); floating ones noted (_note_floating). Word export (_add_list): an item's leading pictures go back into its own paragraph (_add_image into=), so a round trip is stable; the editor and a PDF draw them under the item's text. docx.list_item.image removed; capability docx.list_item_images now yes/yes/yes/yes. Cells were done with DOCX-017. Golden 17-pictures.docx has the list; golden signature compares list items' blocks (_held). Seen in the browser and a rendered PDF.</v>
      </c>
      <c r="H39" s="12" t="str">
        <f>IFERROR(INDEX(MASTER!$I$2:$I$2000,MATCH($A39,MASTER!$A$2:$A$2000,0))&amp;"","")</f>
        <v>backend 990 passed/1 skipped (tests/test_docx_pictures.py 10 incl. list round trip, cell list, PDF; test_docx_parser.py::test_a_picture_in_a_list_item_is_the_items_block; golden 17 round trips); Vitest 164 (editor round trip of golden 17 with the list); Playwright 27 (e2e/pictures.spec.ts: list items hold their pictures, labels 1..3); tsc + eslint clean</v>
      </c>
      <c r="I39" s="19">
        <f>IFERROR(IF(INDEX(MASTER!$O$2:$O$2000,MATCH($A39,MASTER!$A$2:$A$2000,0))="","",INDEX(MASTER!$O$2:$O$2000,MATCH($A39,MASTER!$A$2:$A$2000,0))),"")</f>
        <v>46294.96597222222</v>
      </c>
      <c r="J39" s="12" t="str">
        <f>IFERROR(INDEX(MASTER!$P$2:$P$2000,MATCH($A39,MASTER!$A$2:$A$2000,0))&amp;"","")</f>
        <v>a6c0b98</v>
      </c>
      <c r="K39" s="12" t="str">
        <f>IFERROR(INDEX(MASTER!$Q$2:$Q$2000,MATCH($A39,MASTER!$A$2:$A$2000,0))&amp;"","")</f>
        <v/>
      </c>
      <c r="L39" s="12" t="str">
        <f>IFERROR(INDEX(MASTER!$R$2:$R$2000,MATCH($A39,MASTER!$A$2:$A$2000,0))&amp;"","")</f>
        <v/>
      </c>
    </row>
    <row r="40" spans="1:12" x14ac:dyDescent="0.25">
      <c r="A40" s="15" t="s">
        <v>750</v>
      </c>
      <c r="B40" s="12" t="str">
        <f>IFERROR(INDEX(MASTER!$C$2:$C$2000,MATCH($A40,MASTER!$A$2:$A$2000,0))&amp;"","")</f>
        <v>DOCX</v>
      </c>
      <c r="C40" s="16">
        <f>IFERROR(INDEX(MASTER!$B$2:$B$2000,MATCH($A40,MASTER!$A$2:$A$2000,0)),"")</f>
        <v>3</v>
      </c>
      <c r="D40" s="12" t="str">
        <f>IFERROR(INDEX(MASTER!$D$2:$D$2000,MATCH($A40,MASTER!$A$2:$A$2000,0))&amp;"","")</f>
        <v>An item that is only a picture shows its number beside it</v>
      </c>
      <c r="E40" s="12" t="str">
        <f>IFERROR(INDEX(MASTER!$F$2:$F$2000,MATCH($A40,MASTER!$A$2:$A$2000,0))&amp;"","")</f>
        <v>P3</v>
      </c>
      <c r="F40" s="12" t="str">
        <f>IFERROR(INDEX(MASTER!$G$2:$G$2000,MATCH($A40,MASTER!$A$2:$A$2000,0))&amp;"","NOT IN MASTER")</f>
        <v>DONE</v>
      </c>
      <c r="G40" s="12" t="str">
        <f>IFERROR(INDEX(MASTER!$H$2:$H$2000,MATCH($A40,MASTER!$A$2:$A$2000,0))&amp;"","")</f>
        <v>PDF: pdf_export._leading_pictures, _picture_row (label + in-line leading pictures in one row, VALIGN BOTTOM, label at the level's hanging indent), _label_markup factored; editor: listLabels.isPictureItem -&gt; data-picture-item on the li, globals.css (:has empty paragraph) collapses the empty paragraph and puts the ::before label at the bottom; capabilities docx.list_item_images, docs/docx/README.md</v>
      </c>
      <c r="H40" s="12" t="str">
        <f>IFERROR(INDEX(MASTER!$I$2:$I$2000,MATCH($A40,MASTER!$A$2:$A$2000,0))&amp;"","")</f>
        <v>backend test_docx_pictures.py::test_a_pdf_draws_the_number_of_an_item_that_is_only_a_picture_beside_it (pdfminer: '2.' left of the picture, on its bottom line; item with text keeps its picture below); full backend 2551 passed/11 skipped; Vitest 357 (listLabels: which items are marked, floating picture not); Playwright full 59 passed/1 skipped (pictures.spec: paragraph 0 high, label at bottom, after typing laid out as any item); mutations 4/4</v>
      </c>
      <c r="I40" s="19">
        <f>IFERROR(IF(INDEX(MASTER!$O$2:$O$2000,MATCH($A40,MASTER!$A$2:$A$2000,0))="","",INDEX(MASTER!$O$2:$O$2000,MATCH($A40,MASTER!$A$2:$A$2000,0))),"")</f>
        <v>46302.96539351852</v>
      </c>
      <c r="J40" s="12" t="str">
        <f>IFERROR(INDEX(MASTER!$P$2:$P$2000,MATCH($A40,MASTER!$A$2:$A$2000,0))&amp;"","")</f>
        <v>f81a433</v>
      </c>
      <c r="K40" s="12" t="str">
        <f>IFERROR(INDEX(MASTER!$Q$2:$Q$2000,MATCH($A40,MASTER!$A$2:$A$2000,0))&amp;"","")</f>
        <v/>
      </c>
      <c r="L40" s="12" t="str">
        <f>IFERROR(INDEX(MASTER!$R$2:$R$2000,MATCH($A40,MASTER!$A$2:$A$2000,0))&amp;"","")</f>
        <v>DOCX-027</v>
      </c>
    </row>
    <row r="41" spans="1:12" x14ac:dyDescent="0.25">
      <c r="A41" s="15" t="s">
        <v>756</v>
      </c>
      <c r="B41" s="12" t="str">
        <f>IFERROR(INDEX(MASTER!$C$2:$C$2000,MATCH($A41,MASTER!$A$2:$A$2000,0))&amp;"","")</f>
        <v>DOCX</v>
      </c>
      <c r="C41" s="16">
        <f>IFERROR(INDEX(MASTER!$B$2:$B$2000,MATCH($A41,MASTER!$A$2:$A$2000,0)),"")</f>
        <v>3</v>
      </c>
      <c r="D41" s="12" t="str">
        <f>IFERROR(INDEX(MASTER!$D$2:$D$2000,MATCH($A41,MASTER!$A$2:$A$2000,0))&amp;"","")</f>
        <v>Unchanged blocks keep their original XML in Word exports</v>
      </c>
      <c r="E41" s="12" t="str">
        <f>IFERROR(INDEX(MASTER!$F$2:$F$2000,MATCH($A41,MASTER!$A$2:$A$2000,0))&amp;"","")</f>
        <v>P1</v>
      </c>
      <c r="F41" s="12" t="str">
        <f>IFERROR(INDEX(MASTER!$G$2:$G$2000,MATCH($A41,MASTER!$A$2:$A$2000,0))&amp;"","NOT IN MASTER")</f>
        <v>DONE</v>
      </c>
      <c r="G41" s="12" t="str">
        <f>IFERROR(INDEX(MASTER!$H$2:$H$2000,MATCH($A41,MASTER!$A$2:$A$2000,0))&amp;"","")</f>
        <v>Importer records each top-level element's body children (Element.sourceBlocks: list items, drop caps, derived page breaks); an upload with a kept file stamps content+look fingerprints (Element.sourceHash, app/export/provenance.py: own/kind/body/nested resolved styles; page breaks have no look). docx_export._copy_plan groups elements with their children (uncovered children join the group before) and copies a group verbatim when every element is unchanged, together and in original order, children contiguous, XML self-contained (no tracked changes/note refs/altChunk; balanced fields, bookmarks, comment ranges); everything else is written anew. Provenance is server-side (keep_provenance on PUT /content). Page setup now runs after the body: changed size/margins reach every kept section (orientation kept, landscape turned), a changed main header is rewritten where Word shows it (link to previous), page numbers left out/asked for apply to every section. export.docx.section_lost (LOSSY) names sections lost with a changed paragraph; import report: earlier sections' setup/headers kept while unchanged; PDF names them Word-only. All 13 golden documents stamped + exported into their originals: sound packages, content verified (12-complex rewrites only the footnote paragraph and the note, by design).</v>
      </c>
      <c r="H41" s="12" t="str">
        <f>IFERROR(INDEX(MASTER!$I$2:$I$2000,MATCH($A41,MASTER!$A$2:$A$2000,0))&amp;"","")</f>
        <v>backend 869 passed/1 skipped (tests/test_original_blocks.py 26 incl. 13 golden; test_source_package.py rewritten claims with export proof; test_golden_documents.py 13 files); Vitest 119 (editor round trip of 13-kept-blocks); Playwright 21 (e2e/kept-blocks.spec.ts: edit in the real editor, untouched paragraphs keep content control, double underline, landscape section); tsc + eslint clean</v>
      </c>
      <c r="I41" s="19">
        <f>IFERROR(IF(INDEX(MASTER!$O$2:$O$2000,MATCH($A41,MASTER!$A$2:$A$2000,0))="","",INDEX(MASTER!$O$2:$O$2000,MATCH($A41,MASTER!$A$2:$A$2000,0))),"")</f>
        <v>46292.781261574077</v>
      </c>
      <c r="J41" s="12" t="str">
        <f>IFERROR(INDEX(MASTER!$P$2:$P$2000,MATCH($A41,MASTER!$A$2:$A$2000,0))&amp;"","")</f>
        <v>c8c2d27</v>
      </c>
      <c r="K41" s="12" t="str">
        <f>IFERROR(INDEX(MASTER!$Q$2:$Q$2000,MATCH($A41,MASTER!$A$2:$A$2000,0))&amp;"","")</f>
        <v>Follow-up of DOCX-011 (package-level patch writer).; Known limit: any restyle (template, instruction) changes the body look, so every block but page breaks is written anew; follow-up DOCX-029. Sections survive only with their ending paragraph until DOCX-015 models them.</v>
      </c>
      <c r="L41" s="12" t="str">
        <f>IFERROR(INDEX(MASTER!$R$2:$R$2000,MATCH($A41,MASTER!$A$2:$A$2000,0))&amp;"","")</f>
        <v/>
      </c>
    </row>
    <row r="42" spans="1:12" x14ac:dyDescent="0.25">
      <c r="A42" s="15" t="s">
        <v>763</v>
      </c>
      <c r="B42" s="12" t="str">
        <f>IFERROR(INDEX(MASTER!$C$2:$C$2000,MATCH($A42,MASTER!$A$2:$A$2000,0))&amp;"","")</f>
        <v>DOCX</v>
      </c>
      <c r="C42" s="16">
        <f>IFERROR(INDEX(MASTER!$B$2:$B$2000,MATCH($A42,MASTER!$A$2:$A$2000,0)),"")</f>
        <v>3</v>
      </c>
      <c r="D42" s="12" t="str">
        <f>IFERROR(INDEX(MASTER!$D$2:$D$2000,MATCH($A42,MASTER!$A$2:$A$2000,0))&amp;"","")</f>
        <v>Fingerprints stay stable as the model grows</v>
      </c>
      <c r="E42" s="12" t="str">
        <f>IFERROR(INDEX(MASTER!$F$2:$F$2000,MATCH($A42,MASTER!$A$2:$A$2000,0))&amp;"","")</f>
        <v>P1</v>
      </c>
      <c r="F42" s="12" t="str">
        <f>IFERROR(INDEX(MASTER!$G$2:$G$2000,MATCH($A42,MASTER!$A$2:$A$2000,0))&amp;"","NOT IN MASTER")</f>
        <v>DONE</v>
      </c>
      <c r="G42" s="12" t="str">
        <f>IFERROR(INDEX(MASTER!$H$2:$H$2000,MATCH($A42,MASTER!$A$2:$A$2000,0))&amp;"","")</f>
        <v>export/provenance.py: fingerprint() leaves every field at its default out (_without_defaults walks the model with its dump), so a field added later leaves stored fingerprints as they were; unchanged() also accepts a hash stamped before this (to DOCX-018), computed as the model stood then: every field counted, the fields added since at their defaults left out, by epoch (_STAMPED_BEFORE: from DOCX-028, from DOCX-017 part 1a, from part 1b).</v>
      </c>
      <c r="H42" s="12" t="str">
        <f>IFERROR(INDEX(MASTER!$I$2:$I$2000,MATCH($A42,MASTER!$A$2:$A$2000,0))&amp;"","")</f>
        <v>tests/test_original_blocks.py::test_a_block_stored_before_the_model_grew_is_still_unchanged (6: 04-images and 16-table-engine, stored in each epoch, loaded now: unchanged; restamped: unchanged; a flip or cantSplit changed: changed) - fails with _STAMPED_BEFORE emptied; backend 987 passed/1 skipped</v>
      </c>
      <c r="I42" s="19">
        <f>IFERROR(IF(INDEX(MASTER!$O$2:$O$2000,MATCH($A42,MASTER!$A$2:$A$2000,0))="","",INDEX(MASTER!$O$2:$O$2000,MATCH($A42,MASTER!$A$2:$A$2000,0))),"")</f>
        <v>46294.957557870373</v>
      </c>
      <c r="J42" s="12" t="str">
        <f>IFERROR(INDEX(MASTER!$P$2:$P$2000,MATCH($A42,MASTER!$A$2:$A$2000,0))&amp;"","")</f>
        <v>17dfd4d</v>
      </c>
      <c r="K42" s="12" t="str">
        <f>IFERROR(INDEX(MASTER!$Q$2:$Q$2000,MATCH($A42,MASTER!$A$2:$A$2000,0))&amp;"","")</f>
        <v/>
      </c>
      <c r="L42" s="12" t="str">
        <f>IFERROR(INDEX(MASTER!$R$2:$R$2000,MATCH($A42,MASTER!$A$2:$A$2000,0))&amp;"","")</f>
        <v>DOCX-028</v>
      </c>
    </row>
    <row r="43" spans="1:12" x14ac:dyDescent="0.25">
      <c r="A43" s="15" t="s">
        <v>768</v>
      </c>
      <c r="B43" s="12" t="str">
        <f>IFERROR(INDEX(MASTER!$C$2:$C$2000,MATCH($A43,MASTER!$A$2:$A$2000,0))&amp;"","")</f>
        <v>DOCX</v>
      </c>
      <c r="C43" s="16">
        <f>IFERROR(INDEX(MASTER!$B$2:$B$2000,MATCH($A43,MASTER!$A$2:$A$2000,0)),"")</f>
        <v>3</v>
      </c>
      <c r="D43" s="12" t="str">
        <f>IFERROR(INDEX(MASTER!$D$2:$D$2000,MATCH($A43,MASTER!$A$2:$A$2000,0))&amp;"","")</f>
        <v>Blocks deleted here never come back in a Word export</v>
      </c>
      <c r="E43" s="12" t="str">
        <f>IFERROR(INDEX(MASTER!$F$2:$F$2000,MATCH($A43,MASTER!$A$2:$A$2000,0))&amp;"","")</f>
        <v>P0</v>
      </c>
      <c r="F43" s="12" t="str">
        <f>IFERROR(INDEX(MASTER!$G$2:$G$2000,MATCH($A43,MASTER!$A$2:$A$2000,0))&amp;"","NOT IN MASTER")</f>
        <v>DONE</v>
      </c>
      <c r="G43" s="12" t="str">
        <f>IFERROR(INDEX(MASTER!$H$2:$H$2000,MATCH($A43,MASTER!$A$2:$A$2000,0))&amp;"","")</f>
        <v>Reproduced: three paragraphs, the second deleted -&gt; all three in a Word export into the original; a paragraph's picture deleted -&gt; back with its unchanged paragraph; a section break deleted whose paragraph was unchanged -&gt; back. The copy plan (_copy_plan) took an original body child no element holds for one the import left out (a spacing paragraph) and copied it with the block before, and copied a group whose shared child lost one of its elements. Now stamping as imported (export/provenance.py stamp, block_use) records how many elements each body child was read into (Document.sourceBlockUse, server-side: saves only replace elements); a child fewer elements hold now had one deleted: never copied nor taken for one left out, and a group still holding it is written anew; contiguity allows the gaps of deleted children; children the import left out still go with the block before. A document stamped before this has its file read again as its import read it (_block_use). OpenAPI and frontend types regenerated.</v>
      </c>
      <c r="H43" s="12" t="str">
        <f>IFERROR(INDEX(MASTER!$I$2:$I$2000,MATCH($A43,MASTER!$A$2:$A$2000,0))&amp;"","")</f>
        <v>backend 1261 passed/1 skipped (tests/test_original_blocks.py 9: a block deleted here never comes back - first, middle and last, as stamped now and stamped before (file read again), the spacing paragraph kept and the rest still copied; a picture deleted from its paragraph; a section break deleted; through the API - all fail without the fix); Playwright 29 (kept-blocks: a paragraph deleted in the editor is gone from the Word export, the untouched blocks still copied - fails without the fix); Vitest 166; tsc + eslint clean</v>
      </c>
      <c r="I43" s="19">
        <f>IFERROR(IF(INDEX(MASTER!$O$2:$O$2000,MATCH($A43,MASTER!$A$2:$A$2000,0))="","",INDEX(MASTER!$O$2:$O$2000,MATCH($A43,MASTER!$A$2:$A$2000,0))),"")</f>
        <v>46295.354259259257</v>
      </c>
      <c r="J43" s="12" t="str">
        <f>IFERROR(INDEX(MASTER!$P$2:$P$2000,MATCH($A43,MASTER!$A$2:$A$2000,0))&amp;"","")</f>
        <v>0485210</v>
      </c>
      <c r="K43" s="12" t="str">
        <f>IFERROR(INDEX(MASTER!$Q$2:$Q$2000,MATCH($A43,MASTER!$A$2:$A$2000,0))&amp;"","")</f>
        <v>Found while finishing DOCX-021 (2026-09-30): three paragraphs, the second deleted -&gt; all three in the export.</v>
      </c>
      <c r="L43" s="12" t="str">
        <f>IFERROR(INDEX(MASTER!$R$2:$R$2000,MATCH($A43,MASTER!$A$2:$A$2000,0))&amp;"","")</f>
        <v>DOCX-028</v>
      </c>
    </row>
    <row r="44" spans="1:12" x14ac:dyDescent="0.25">
      <c r="A44" s="15" t="s">
        <v>775</v>
      </c>
      <c r="B44" s="12" t="str">
        <f>IFERROR(INDEX(MASTER!$C$2:$C$2000,MATCH($A44,MASTER!$A$2:$A$2000,0))&amp;"","")</f>
        <v>DOCX</v>
      </c>
      <c r="C44" s="16">
        <f>IFERROR(INDEX(MASTER!$B$2:$B$2000,MATCH($A44,MASTER!$A$2:$A$2000,0)),"")</f>
        <v>3</v>
      </c>
      <c r="D44" s="12" t="str">
        <f>IFERROR(INDEX(MASTER!$D$2:$D$2000,MATCH($A44,MASTER!$A$2:$A$2000,0))&amp;"","")</f>
        <v>Restyled blocks keep their original XML where nothing conflicts</v>
      </c>
      <c r="E44" s="12" t="str">
        <f>IFERROR(INDEX(MASTER!$F$2:$F$2000,MATCH($A44,MASTER!$A$2:$A$2000,0))&amp;"","")</f>
        <v>P2</v>
      </c>
      <c r="F44" s="12" t="str">
        <f>IFERROR(INDEX(MASTER!$G$2:$G$2000,MATCH($A44,MASTER!$A$2:$A$2000,0))&amp;"","NOT IN MASTER")</f>
        <v>DONE</v>
      </c>
      <c r="G44" s="12" t="str">
        <f>IFERROR(INDEX(MASTER!$H$2:$H$2000,MATCH($A44,MASTER!$A$2:$A$2000,0))&amp;"","")</f>
        <v>Stamp keeps restylable blocks' resolved styles (Document.sourceStyles); provenance.look_changes = look-only change + changed properties; docx_export._RestyleCopy copies a paragraph/heading when its own look apart from its kind is as imported, its Word style is the kind's written style (restyled), and its own pPr/rPr sets none of the changed properties (rStyle/unmapped = set). Word gate 60/60 open; template exports into originals now as close or closer to originals' paragraph counts; a07 keeps 7/19 tracked-change marks (manifest 19-&gt;0 re-recorded 19-&gt;7).</v>
      </c>
      <c r="H44" s="12" t="str">
        <f>IFERROR(INDEX(MASTER!$I$2:$I$2000,MATCH($A44,MASTER!$A$2:$A$2000,0))&amp;"","")</f>
        <v>backend/tests/test_restyled_blocks.py (8); 7/7 mutations caught (+1 defensive guard unreachable by current rules); golden JSON + OpenAPI regenerated</v>
      </c>
      <c r="I44" s="19">
        <f>IFERROR(IF(INDEX(MASTER!$O$2:$O$2000,MATCH($A44,MASTER!$A$2:$A$2000,0))="","",INDEX(MASTER!$O$2:$O$2000,MATCH($A44,MASTER!$A$2:$A$2000,0))),"")</f>
        <v>46302.636307870373</v>
      </c>
      <c r="J44" s="12" t="str">
        <f>IFERROR(INDEX(MASTER!$P$2:$P$2000,MATCH($A44,MASTER!$A$2:$A$2000,0))&amp;"","")</f>
        <v>0b01b81</v>
      </c>
      <c r="K44" s="12" t="str">
        <f>IFERROR(INDEX(MASTER!$Q$2:$Q$2000,MATCH($A44,MASTER!$A$2:$A$2000,0))&amp;"","")</f>
        <v>Documents stamped before DOCX-029 (no sourceStyles) restyle as before; lists/tables/quotes/multi-paragraph blocks still written anew when restyled.</v>
      </c>
      <c r="L44" s="12" t="str">
        <f>IFERROR(INDEX(MASTER!$R$2:$R$2000,MATCH($A44,MASTER!$A$2:$A$2000,0))&amp;"","")</f>
        <v/>
      </c>
    </row>
  </sheetData>
  <autoFilter ref="A7:L44" xr:uid="{00000000-0009-0000-0000-000004000000}"/>
  <conditionalFormatting sqref="E8:E44">
    <cfRule type="cellIs" dxfId="290" priority="19" operator="equal">
      <formula>"P0"</formula>
    </cfRule>
    <cfRule type="cellIs" dxfId="289" priority="20" operator="equal">
      <formula>"P1"</formula>
    </cfRule>
  </conditionalFormatting>
  <conditionalFormatting sqref="F8:F44">
    <cfRule type="cellIs" dxfId="288" priority="1" operator="equal">
      <formula>"DONE"</formula>
    </cfRule>
    <cfRule type="cellIs" dxfId="287" priority="2" operator="equal">
      <formula>"VERIFIED"</formula>
    </cfRule>
    <cfRule type="cellIs" dxfId="286" priority="3" operator="equal">
      <formula>"IN_PROGRESS"</formula>
    </cfRule>
    <cfRule type="cellIs" dxfId="285" priority="4" operator="equal">
      <formula>"IMPLEMENTED"</formula>
    </cfRule>
    <cfRule type="cellIs" dxfId="284" priority="5" operator="equal">
      <formula>"TESTING"</formula>
    </cfRule>
    <cfRule type="cellIs" dxfId="283" priority="6" operator="equal">
      <formula>"BLOCKED"</formula>
    </cfRule>
    <cfRule type="cellIs" dxfId="282" priority="7" operator="equal">
      <formula>"FAILED"</formula>
    </cfRule>
    <cfRule type="cellIs" dxfId="281" priority="8" operator="equal">
      <formula>"DEFERRED"</formula>
    </cfRule>
    <cfRule type="cellIs" dxfId="280" priority="9" operator="equal">
      <formula>"UNKNOWN"</formula>
    </cfRule>
    <cfRule type="cellIs" dxfId="279" priority="10" operator="equal">
      <formula>"PASS"</formula>
    </cfRule>
    <cfRule type="cellIs" dxfId="278" priority="11" operator="equal">
      <formula>"FAIL"</formula>
    </cfRule>
    <cfRule type="cellIs" dxfId="277" priority="12" operator="equal">
      <formula>"PARTIAL"</formula>
    </cfRule>
    <cfRule type="cellIs" dxfId="276" priority="13" operator="equal">
      <formula>"RESOLVED"</formula>
    </cfRule>
    <cfRule type="cellIs" dxfId="275" priority="14" operator="equal">
      <formula>"OPEN"</formula>
    </cfRule>
    <cfRule type="cellIs" dxfId="274" priority="15" operator="equal">
      <formula>"WITHIN"</formula>
    </cfRule>
    <cfRule type="cellIs" dxfId="273" priority="16" operator="equal">
      <formula>"OVER"</formula>
    </cfRule>
    <cfRule type="cellIs" dxfId="272" priority="17" operator="equal">
      <formula>"NOW"</formula>
    </cfRule>
    <cfRule type="cellIs" dxfId="271" priority="18" operator="equal">
      <formula>"NOT IN MASTER"</formula>
    </cfRule>
  </conditionalFormatting>
  <pageMargins left="0.75" right="0.75" top="1" bottom="1" header="0.5" footer="0.5"/>
  <pageSetup fitToHeight="0"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L14"/>
  <sheetViews>
    <sheetView workbookViewId="0">
      <pane ySplit="4" topLeftCell="A5" activePane="bottomLeft" state="frozen"/>
      <selection pane="bottomLeft"/>
    </sheetView>
  </sheetViews>
  <sheetFormatPr defaultRowHeight="15" x14ac:dyDescent="0.25"/>
  <cols>
    <col min="1" max="1" width="12" customWidth="1"/>
    <col min="2" max="2" width="14" customWidth="1"/>
    <col min="3" max="3" width="7" customWidth="1"/>
    <col min="4" max="4" width="44" customWidth="1"/>
    <col min="5" max="5" width="9" customWidth="1"/>
    <col min="6" max="6" width="14" customWidth="1"/>
    <col min="7" max="7" width="40" customWidth="1"/>
    <col min="8" max="8" width="34" customWidth="1"/>
    <col min="9" max="9" width="16" customWidth="1"/>
    <col min="10" max="10" width="10" customWidth="1"/>
    <col min="11" max="11" width="40" customWidth="1"/>
    <col min="12" max="12" width="11" customWidth="1"/>
  </cols>
  <sheetData>
    <row r="1" spans="1:12" ht="20.25" x14ac:dyDescent="0.3">
      <c r="A1" s="3" t="s">
        <v>1580</v>
      </c>
    </row>
    <row r="2" spans="1:12" x14ac:dyDescent="0.25">
      <c r="A2" s="4" t="s">
        <v>1581</v>
      </c>
    </row>
    <row r="3" spans="1:12" x14ac:dyDescent="0.25">
      <c r="A3" s="6" t="s">
        <v>45</v>
      </c>
      <c r="B3" s="6" t="s">
        <v>46</v>
      </c>
      <c r="C3" s="6" t="s">
        <v>47</v>
      </c>
      <c r="D3" s="6" t="s">
        <v>13</v>
      </c>
      <c r="E3" s="6" t="s">
        <v>16</v>
      </c>
      <c r="F3" s="6" t="s">
        <v>19</v>
      </c>
      <c r="G3" s="6" t="s">
        <v>48</v>
      </c>
      <c r="H3" s="6" t="s">
        <v>33</v>
      </c>
    </row>
    <row r="4" spans="1:12" x14ac:dyDescent="0.25">
      <c r="A4" s="7">
        <f>COUNTIF(MASTER!$C$2:$C$2000,"PDF")</f>
        <v>7</v>
      </c>
      <c r="B4" s="7">
        <f>COUNTIFS(MASTER!$C$2:$C$2000,"PDF",MASTER!$G$2:$G$2000,"DONE")</f>
        <v>7</v>
      </c>
      <c r="C4" s="7">
        <f>COUNTIFS(MASTER!$C$2:$C$2000,"PDF",MASTER!$G$2:$G$2000,"VERIFIED")+B4</f>
        <v>7</v>
      </c>
      <c r="D4" s="7">
        <f>COUNTIFS(MASTER!$C$2:$C$2000,"PDF",MASTER!$G$2:$G$2000,"IN_PROGRESS")+COUNTIFS(MASTER!$C$2:$C$2000,"PDF",MASTER!$G$2:$G$2000,"IMPLEMENTED")+COUNTIFS(MASTER!$C$2:$C$2000,"PDF",MASTER!$G$2:$G$2000,"TESTING")</f>
        <v>0</v>
      </c>
      <c r="E4" s="7">
        <f>COUNTIFS(MASTER!$C$2:$C$2000,"PDF",MASTER!$G$2:$G$2000,"BLOCKED")</f>
        <v>0</v>
      </c>
      <c r="F4" s="7">
        <f>COUNTIFS(MASTER!$C$2:$C$2000,"PDF",MASTER!$G$2:$G$2000,"FAILED")</f>
        <v>0</v>
      </c>
      <c r="G4" s="9">
        <f>IF(A4=0,0,B4/A4)</f>
        <v>1</v>
      </c>
      <c r="H4" s="9">
        <f>IF(A4=0,0,C4/A4)</f>
        <v>1</v>
      </c>
    </row>
    <row r="6" spans="1:12" ht="15.75" x14ac:dyDescent="0.25">
      <c r="A6" s="5" t="s">
        <v>1577</v>
      </c>
    </row>
    <row r="7" spans="1:12" x14ac:dyDescent="0.25">
      <c r="A7" s="10" t="s">
        <v>166</v>
      </c>
      <c r="B7" s="10" t="s">
        <v>100</v>
      </c>
      <c r="C7" s="10" t="s">
        <v>43</v>
      </c>
      <c r="D7" s="10" t="s">
        <v>167</v>
      </c>
      <c r="E7" s="10" t="s">
        <v>169</v>
      </c>
      <c r="F7" s="10" t="s">
        <v>57</v>
      </c>
      <c r="G7" s="10" t="s">
        <v>170</v>
      </c>
      <c r="H7" s="10" t="s">
        <v>171</v>
      </c>
      <c r="I7" s="10" t="s">
        <v>15</v>
      </c>
      <c r="J7" s="10" t="s">
        <v>177</v>
      </c>
      <c r="K7" s="10" t="s">
        <v>178</v>
      </c>
      <c r="L7" s="10" t="s">
        <v>179</v>
      </c>
    </row>
    <row r="8" spans="1:12" x14ac:dyDescent="0.25">
      <c r="A8" s="15" t="s">
        <v>347</v>
      </c>
      <c r="B8" s="12" t="str">
        <f>IFERROR(INDEX(MASTER!$C$2:$C$2000,MATCH($A8,MASTER!$A$2:$A$2000,0))&amp;"","")</f>
        <v>PDF</v>
      </c>
      <c r="C8" s="16">
        <f>IFERROR(INDEX(MASTER!$B$2:$B$2000,MATCH($A8,MASTER!$A$2:$A$2000,0)),"")</f>
        <v>1</v>
      </c>
      <c r="D8" s="12" t="str">
        <f>IFERROR(INDEX(MASTER!$D$2:$D$2000,MATCH($A8,MASTER!$A$2:$A$2000,0))&amp;"","")</f>
        <v>PDF export of nested blocks</v>
      </c>
      <c r="E8" s="12" t="str">
        <f>IFERROR(INDEX(MASTER!$F$2:$F$2000,MATCH($A8,MASTER!$A$2:$A$2000,0))&amp;"","")</f>
        <v>P0</v>
      </c>
      <c r="F8" s="12" t="str">
        <f>IFERROR(INDEX(MASTER!$G$2:$G$2000,MATCH($A8,MASTER!$A$2:$A$2000,0))&amp;"","NOT IN MASTER")</f>
        <v>DONE</v>
      </c>
      <c r="G8" s="12" t="str">
        <f>IFERROR(INDEX(MASTER!$H$2:$H$2000,MATCH($A8,MASTER!$A$2:$A$2000,0))&amp;"","")</f>
        <v>export/pdf_export.py: cells with blocks become flowable lists sized to the cell; list item/quote blocks indented; numbering start/format with the same level sequence as the Word export (decimal, a, i)</v>
      </c>
      <c r="H8" s="12" t="str">
        <f>IFERROR(INDEX(MASTER!$I$2:$I$2000,MATCH($A8,MASTER!$A$2:$A$2000,0))&amp;"","")</f>
        <v>tests/test_nested_blocks_api.py::test_the_pdf_export_keeps_every_nested_block ('v. fifth', 'vi. sixth'); existing PDF suites green</v>
      </c>
      <c r="I8" s="19">
        <f>IFERROR(IF(INDEX(MASTER!$O$2:$O$2000,MATCH($A8,MASTER!$A$2:$A$2000,0))="","",INDEX(MASTER!$O$2:$O$2000,MATCH($A8,MASTER!$A$2:$A$2000,0))),"")</f>
        <v>46292.196863425917</v>
      </c>
      <c r="J8" s="12" t="str">
        <f>IFERROR(INDEX(MASTER!$P$2:$P$2000,MATCH($A8,MASTER!$A$2:$A$2000,0))&amp;"","")</f>
        <v>1fe27a9</v>
      </c>
      <c r="K8" s="12" t="str">
        <f>IFERROR(INDEX(MASTER!$Q$2:$Q$2000,MATCH($A8,MASTER!$A$2:$A$2000,0))&amp;"","")</f>
        <v/>
      </c>
      <c r="L8" s="12" t="str">
        <f>IFERROR(INDEX(MASTER!$R$2:$R$2000,MATCH($A8,MASTER!$A$2:$A$2000,0))&amp;"","")</f>
        <v/>
      </c>
    </row>
    <row r="9" spans="1:12" x14ac:dyDescent="0.25">
      <c r="A9" s="15" t="s">
        <v>788</v>
      </c>
      <c r="B9" s="12" t="str">
        <f>IFERROR(INDEX(MASTER!$C$2:$C$2000,MATCH($A9,MASTER!$A$2:$A$2000,0))&amp;"","")</f>
        <v>PDF</v>
      </c>
      <c r="C9" s="16">
        <f>IFERROR(INDEX(MASTER!$B$2:$B$2000,MATCH($A9,MASTER!$A$2:$A$2000,0)),"")</f>
        <v>3</v>
      </c>
      <c r="D9" s="12" t="str">
        <f>IFERROR(INDEX(MASTER!$D$2:$D$2000,MATCH($A9,MASTER!$A$2:$A$2000,0))&amp;"","")</f>
        <v>Nested blocks take their container's text look in a PDF</v>
      </c>
      <c r="E9" s="12" t="str">
        <f>IFERROR(INDEX(MASTER!$F$2:$F$2000,MATCH($A9,MASTER!$A$2:$A$2000,0))&amp;"","")</f>
        <v>P1</v>
      </c>
      <c r="F9" s="12" t="str">
        <f>IFERROR(INDEX(MASTER!$G$2:$G$2000,MATCH($A9,MASTER!$A$2:$A$2000,0))&amp;"","NOT IN MASTER")</f>
        <v>DONE</v>
      </c>
      <c r="G9" s="12" t="str">
        <f>IFERROR(INDEX(MASTER!$H$2:$H$2000,MATCH($A9,MASTER!$A$2:$A$2000,0))&amp;"","")</f>
        <v>pdf_export.py: _resolved_css falls back to the look of what holds a block (_AROUND, set by _inside for a table cell's blocks, a list item's blocks and a quote's non-paragraph children: font-family, font-size, line-height, color, font-weight, font-style, text-align). Golden 17's cell paragraph is Cambria with the table's line height and the picture below it no longer covers it (rendered).</v>
      </c>
      <c r="H9" s="12" t="str">
        <f>IFERROR(INDEX(MASTER!$I$2:$I$2000,MATCH($A9,MASTER!$A$2:$A$2000,0))&amp;"","")</f>
        <v>tests/test_docx_pictures.py::test_in_a_pdf_the_text_by_a_picture_in_a_cell_keeps_the_tables_look (fails without the fallback); backend 987 passed/1 skipped</v>
      </c>
      <c r="I9" s="19">
        <f>IFERROR(IF(INDEX(MASTER!$O$2:$O$2000,MATCH($A9,MASTER!$A$2:$A$2000,0))="","",INDEX(MASTER!$O$2:$O$2000,MATCH($A9,MASTER!$A$2:$A$2000,0))),"")</f>
        <v>46294.957604166673</v>
      </c>
      <c r="J9" s="12" t="str">
        <f>IFERROR(INDEX(MASTER!$P$2:$P$2000,MATCH($A9,MASTER!$A$2:$A$2000,0))&amp;"","")</f>
        <v>17dfd4d</v>
      </c>
      <c r="K9" s="12" t="str">
        <f>IFERROR(INDEX(MASTER!$Q$2:$Q$2000,MATCH($A9,MASTER!$A$2:$A$2000,0))&amp;"","")</f>
        <v/>
      </c>
      <c r="L9" s="12" t="str">
        <f>IFERROR(INDEX(MASTER!$R$2:$R$2000,MATCH($A9,MASTER!$A$2:$A$2000,0))&amp;"","")</f>
        <v/>
      </c>
    </row>
    <row r="10" spans="1:12" x14ac:dyDescent="0.25">
      <c r="A10" s="15" t="s">
        <v>1022</v>
      </c>
      <c r="B10" s="12" t="str">
        <f>IFERROR(INDEX(MASTER!$C$2:$C$2000,MATCH($A10,MASTER!$A$2:$A$2000,0))&amp;"","")</f>
        <v>PDF</v>
      </c>
      <c r="C10" s="16">
        <f>IFERROR(INDEX(MASTER!$B$2:$B$2000,MATCH($A10,MASTER!$A$2:$A$2000,0)),"")</f>
        <v>7</v>
      </c>
      <c r="D10" s="12" t="str">
        <f>IFERROR(INDEX(MASTER!$D$2:$D$2000,MATCH($A10,MASTER!$A$2:$A$2000,0))&amp;"","")</f>
        <v>Geometry-aware PDF parser</v>
      </c>
      <c r="E10" s="12" t="str">
        <f>IFERROR(INDEX(MASTER!$F$2:$F$2000,MATCH($A10,MASTER!$A$2:$A$2000,0))&amp;"","")</f>
        <v>P0</v>
      </c>
      <c r="F10" s="12" t="str">
        <f>IFERROR(INDEX(MASTER!$G$2:$G$2000,MATCH($A10,MASTER!$A$2:$A$2000,0))&amp;"","NOT IN MASTER")</f>
        <v>DONE</v>
      </c>
      <c r="G10" s="12" t="str">
        <f>IFERROR(INDEX(MASTER!$H$2:$H$2000,MATCH($A10,MASTER!$A$2:$A$2000,0))&amp;"","")</f>
        <v>backend/app/parsers/pdf_geometry.py (pdfminer.six, MIT), docs/cloud-reports/PDF-010-012.md</v>
      </c>
      <c r="H10" s="12" t="str">
        <f>IFERROR(INDEX(MASTER!$I$2:$I$2000,MATCH($A10,MASTER!$A$2:$A$2000,0))&amp;"","")</f>
        <v>backend/tests/test_pdf_geometry.py</v>
      </c>
      <c r="I10" s="19">
        <f>IFERROR(IF(INDEX(MASTER!$O$2:$O$2000,MATCH($A10,MASTER!$A$2:$A$2000,0))="","",INDEX(MASTER!$O$2:$O$2000,MATCH($A10,MASTER!$A$2:$A$2000,0))),"")</f>
        <v>46301.615659722222</v>
      </c>
      <c r="J10" s="12" t="str">
        <f>IFERROR(INDEX(MASTER!$P$2:$P$2000,MATCH($A10,MASTER!$A$2:$A$2000,0))&amp;"","")</f>
        <v>68940e6</v>
      </c>
      <c r="K10" s="12" t="str">
        <f>IFERROR(INDEX(MASTER!$Q$2:$Q$2000,MATCH($A10,MASTER!$A$2:$A$2000,0))&amp;"","")</f>
        <v/>
      </c>
      <c r="L10" s="12" t="str">
        <f>IFERROR(INDEX(MASTER!$R$2:$R$2000,MATCH($A10,MASTER!$A$2:$A$2000,0))&amp;"","")</f>
        <v/>
      </c>
    </row>
    <row r="11" spans="1:12" x14ac:dyDescent="0.25">
      <c r="A11" s="15" t="s">
        <v>1029</v>
      </c>
      <c r="B11" s="12" t="str">
        <f>IFERROR(INDEX(MASTER!$C$2:$C$2000,MATCH($A11,MASTER!$A$2:$A$2000,0))&amp;"","")</f>
        <v>PDF</v>
      </c>
      <c r="C11" s="16">
        <f>IFERROR(INDEX(MASTER!$B$2:$B$2000,MATCH($A11,MASTER!$A$2:$A$2000,0)),"")</f>
        <v>7</v>
      </c>
      <c r="D11" s="12" t="str">
        <f>IFERROR(INDEX(MASTER!$D$2:$D$2000,MATCH($A11,MASTER!$A$2:$A$2000,0))&amp;"","")</f>
        <v>Page classifier</v>
      </c>
      <c r="E11" s="12" t="str">
        <f>IFERROR(INDEX(MASTER!$F$2:$F$2000,MATCH($A11,MASTER!$A$2:$A$2000,0))&amp;"","")</f>
        <v>P0</v>
      </c>
      <c r="F11" s="12" t="str">
        <f>IFERROR(INDEX(MASTER!$G$2:$G$2000,MATCH($A11,MASTER!$A$2:$A$2000,0))&amp;"","NOT IN MASTER")</f>
        <v>DONE</v>
      </c>
      <c r="G11" s="12" t="str">
        <f>IFERROR(INDEX(MASTER!$H$2:$H$2000,MATCH($A11,MASTER!$A$2:$A$2000,0))&amp;"","")</f>
        <v>page classifier TEXT/SCANNED/HYBRID with evidence</v>
      </c>
      <c r="H11" s="12" t="str">
        <f>IFERROR(INDEX(MASTER!$I$2:$I$2000,MATCH($A11,MASTER!$A$2:$A$2000,0))&amp;"","")</f>
        <v>backend/tests/test_pdf_inspection.py</v>
      </c>
      <c r="I11" s="19">
        <f>IFERROR(IF(INDEX(MASTER!$O$2:$O$2000,MATCH($A11,MASTER!$A$2:$A$2000,0))="","",INDEX(MASTER!$O$2:$O$2000,MATCH($A11,MASTER!$A$2:$A$2000,0))),"")</f>
        <v>46301.615706018521</v>
      </c>
      <c r="J11" s="12" t="str">
        <f>IFERROR(INDEX(MASTER!$P$2:$P$2000,MATCH($A11,MASTER!$A$2:$A$2000,0))&amp;"","")</f>
        <v>68940e6</v>
      </c>
      <c r="K11" s="12" t="str">
        <f>IFERROR(INDEX(MASTER!$Q$2:$Q$2000,MATCH($A11,MASTER!$A$2:$A$2000,0))&amp;"","")</f>
        <v/>
      </c>
      <c r="L11" s="12" t="str">
        <f>IFERROR(INDEX(MASTER!$R$2:$R$2000,MATCH($A11,MASTER!$A$2:$A$2000,0))&amp;"","")</f>
        <v/>
      </c>
    </row>
    <row r="12" spans="1:12" x14ac:dyDescent="0.25">
      <c r="A12" s="15" t="s">
        <v>1034</v>
      </c>
      <c r="B12" s="12" t="str">
        <f>IFERROR(INDEX(MASTER!$C$2:$C$2000,MATCH($A12,MASTER!$A$2:$A$2000,0))&amp;"","")</f>
        <v>PDF</v>
      </c>
      <c r="C12" s="16">
        <f>IFERROR(INDEX(MASTER!$B$2:$B$2000,MATCH($A12,MASTER!$A$2:$A$2000,0)),"")</f>
        <v>7</v>
      </c>
      <c r="D12" s="12" t="str">
        <f>IFERROR(INDEX(MASTER!$D$2:$D$2000,MATCH($A12,MASTER!$A$2:$A$2000,0))&amp;"","")</f>
        <v>PDF inspection report</v>
      </c>
      <c r="E12" s="12" t="str">
        <f>IFERROR(INDEX(MASTER!$F$2:$F$2000,MATCH($A12,MASTER!$A$2:$A$2000,0))&amp;"","")</f>
        <v>P1</v>
      </c>
      <c r="F12" s="12" t="str">
        <f>IFERROR(INDEX(MASTER!$G$2:$G$2000,MATCH($A12,MASTER!$A$2:$A$2000,0))&amp;"","NOT IN MASTER")</f>
        <v>DONE</v>
      </c>
      <c r="G12" s="12" t="str">
        <f>IFERROR(INDEX(MASTER!$H$2:$H$2000,MATCH($A12,MASTER!$A$2:$A$2000,0))&amp;"","")</f>
        <v>pdfInspection on PDF imports and the API</v>
      </c>
      <c r="H12" s="12" t="str">
        <f>IFERROR(INDEX(MASTER!$I$2:$I$2000,MATCH($A12,MASTER!$A$2:$A$2000,0))&amp;"","")</f>
        <v>backend/tests/test_pdf_inspection.py</v>
      </c>
      <c r="I12" s="19">
        <f>IFERROR(IF(INDEX(MASTER!$O$2:$O$2000,MATCH($A12,MASTER!$A$2:$A$2000,0))="","",INDEX(MASTER!$O$2:$O$2000,MATCH($A12,MASTER!$A$2:$A$2000,0))),"")</f>
        <v>46301.615752314807</v>
      </c>
      <c r="J12" s="12" t="str">
        <f>IFERROR(INDEX(MASTER!$P$2:$P$2000,MATCH($A12,MASTER!$A$2:$A$2000,0))&amp;"","")</f>
        <v>68940e6</v>
      </c>
      <c r="K12" s="12" t="str">
        <f>IFERROR(INDEX(MASTER!$Q$2:$Q$2000,MATCH($A12,MASTER!$A$2:$A$2000,0))&amp;"","")</f>
        <v/>
      </c>
      <c r="L12" s="12" t="str">
        <f>IFERROR(INDEX(MASTER!$R$2:$R$2000,MATCH($A12,MASTER!$A$2:$A$2000,0))&amp;"","")</f>
        <v/>
      </c>
    </row>
    <row r="13" spans="1:12" x14ac:dyDescent="0.25">
      <c r="A13" s="15" t="s">
        <v>1095</v>
      </c>
      <c r="B13" s="12" t="str">
        <f>IFERROR(INDEX(MASTER!$C$2:$C$2000,MATCH($A13,MASTER!$A$2:$A$2000,0))&amp;"","")</f>
        <v>PDF</v>
      </c>
      <c r="C13" s="16">
        <f>IFERROR(INDEX(MASTER!$B$2:$B$2000,MATCH($A13,MASTER!$A$2:$A$2000,0)),"")</f>
        <v>8</v>
      </c>
      <c r="D13" s="12" t="str">
        <f>IFERROR(INDEX(MASTER!$D$2:$D$2000,MATCH($A13,MASTER!$A$2:$A$2000,0))&amp;"","")</f>
        <v>PDF lists in Bulgarian letters number as Word does</v>
      </c>
      <c r="E13" s="12" t="str">
        <f>IFERROR(INDEX(MASTER!$F$2:$F$2000,MATCH($A13,MASTER!$A$2:$A$2000,0))&amp;"","")</f>
        <v>P3</v>
      </c>
      <c r="F13" s="12" t="str">
        <f>IFERROR(INDEX(MASTER!$G$2:$G$2000,MATCH($A13,MASTER!$A$2:$A$2000,0))&amp;"","NOT IN MASTER")</f>
        <v>DONE</v>
      </c>
      <c r="G13" s="12" t="str">
        <f>IFERROR(INDEX(MASTER!$H$2:$H$2000,MATCH($A13,MASTER!$A$2:$A$2000,0))&amp;"","")</f>
        <v>backend/app/parsers/pdf_structure.py _number: Cyrillic markers on number_formats.CYRILLIC (Word's а б в, with ы/э, no й/ъ/ь); й/ъ/ь give a number that never counts on (-1), so _checked keeps such a list's markers in the text</v>
      </c>
      <c r="H13" s="12" t="str">
        <f>IFERROR(INDEX(MASTER!$I$2:$I$2000,MATCH($A13,MASTER!$A$2:$A$2000,0))&amp;"","")</f>
        <v>backend tests/test_pdf_structure.py (3 new: а..и к л м and a Russian list through ы э are lists numbered as they show; a Bulgarian list а..и й к keeps its letters as paragraphs, a short one а..г stays a list) -- 32 in file; full backend 2571 passed/11 skipped; mutations 2/2</v>
      </c>
      <c r="I13" s="19">
        <f>IFERROR(IF(INDEX(MASTER!$O$2:$O$2000,MATCH($A13,MASTER!$A$2:$A$2000,0))="","",INDEX(MASTER!$O$2:$O$2000,MATCH($A13,MASTER!$A$2:$A$2000,0))),"")</f>
        <v>46303.100335648152</v>
      </c>
      <c r="J13" s="12" t="str">
        <f>IFERROR(INDEX(MASTER!$P$2:$P$2000,MATCH($A13,MASTER!$A$2:$A$2000,0))&amp;"","")</f>
        <v>e75b3b1</v>
      </c>
      <c r="K13" s="12" t="str">
        <f>IFERROR(INDEX(MASTER!$Q$2:$Q$2000,MATCH($A13,MASTER!$A$2:$A$2000,0))&amp;"","")</f>
        <v/>
      </c>
      <c r="L13" s="12" t="str">
        <f>IFERROR(INDEX(MASTER!$R$2:$R$2000,MATCH($A13,MASTER!$A$2:$A$2000,0))&amp;"","")</f>
        <v/>
      </c>
    </row>
    <row r="14" spans="1:12" x14ac:dyDescent="0.25">
      <c r="A14" s="15" t="s">
        <v>1118</v>
      </c>
      <c r="B14" s="12" t="str">
        <f>IFERROR(INDEX(MASTER!$C$2:$C$2000,MATCH($A14,MASTER!$A$2:$A$2000,0))&amp;"","")</f>
        <v>PDF</v>
      </c>
      <c r="C14" s="16">
        <f>IFERROR(INDEX(MASTER!$B$2:$B$2000,MATCH($A14,MASTER!$A$2:$A$2000,0)),"")</f>
        <v>9</v>
      </c>
      <c r="D14" s="12" t="str">
        <f>IFERROR(INDEX(MASTER!$D$2:$D$2000,MATCH($A14,MASTER!$A$2:$A$2000,0))&amp;"","")</f>
        <v>PDF page operations service</v>
      </c>
      <c r="E14" s="12" t="str">
        <f>IFERROR(INDEX(MASTER!$F$2:$F$2000,MATCH($A14,MASTER!$A$2:$A$2000,0))&amp;"","")</f>
        <v>P2</v>
      </c>
      <c r="F14" s="12" t="str">
        <f>IFERROR(INDEX(MASTER!$G$2:$G$2000,MATCH($A14,MASTER!$A$2:$A$2000,0))&amp;"","NOT IN MASTER")</f>
        <v>DONE</v>
      </c>
      <c r="G14" s="12" t="str">
        <f>IFERROR(INDEX(MASTER!$H$2:$H$2000,MATCH($A14,MASTER!$A$2:$A$2000,0))&amp;"","")</f>
        <v>app/services/pdf_pages.py (reorder/rotate/delete/duplicate/extract applied in sequence; split by ranges or every N; merge 2-20), app/api/pdf.py (POST /api/v1/pdf/info, /pages, /split -&gt; ZIP, /merge): signed in, upload rate limit, plan file size, PDF check; inputs refused as imports are; 422 pdf_pages with reasons; no catalogue copied (no document JS/open action/embedded files/forms), page /AA dropped, annotation actions kept only for GoTo or safe URI. No UI yet.</v>
      </c>
      <c r="H14" s="12" t="str">
        <f>IFERROR(INDEX(MASTER!$I$2:$I$2000,MATCH($A14,MASTER!$A$2:$A$2000,0))&amp;"","")</f>
        <v>backend/tests/test_pdf_pages.py (13, one in the security suite); 12/12 mutations caught; backend 2424 passed/11 skipped</v>
      </c>
      <c r="I14" s="19">
        <f>IFERROR(IF(INDEX(MASTER!$O$2:$O$2000,MATCH($A14,MASTER!$A$2:$A$2000,0))="","",INDEX(MASTER!$O$2:$O$2000,MATCH($A14,MASTER!$A$2:$A$2000,0))),"")</f>
        <v>46302.676979166667</v>
      </c>
      <c r="J14" s="12" t="str">
        <f>IFERROR(INDEX(MASTER!$P$2:$P$2000,MATCH($A14,MASTER!$A$2:$A$2000,0))&amp;"","")</f>
        <v>bd1a3bf</v>
      </c>
      <c r="K14" s="12" t="str">
        <f>IFERROR(INDEX(MASTER!$Q$2:$Q$2000,MATCH($A14,MASTER!$A$2:$A$2000,0))&amp;"","")</f>
        <v>A screen for page operations isn't built yet (backend service + API only, as the task asks).</v>
      </c>
      <c r="L14" s="12" t="str">
        <f>IFERROR(INDEX(MASTER!$R$2:$R$2000,MATCH($A14,MASTER!$A$2:$A$2000,0))&amp;"","")</f>
        <v/>
      </c>
    </row>
  </sheetData>
  <autoFilter ref="A7:L14" xr:uid="{00000000-0009-0000-0000-000005000000}"/>
  <conditionalFormatting sqref="E8:E14">
    <cfRule type="cellIs" dxfId="270" priority="19" operator="equal">
      <formula>"P0"</formula>
    </cfRule>
    <cfRule type="cellIs" dxfId="269" priority="20" operator="equal">
      <formula>"P1"</formula>
    </cfRule>
  </conditionalFormatting>
  <conditionalFormatting sqref="F8:F14">
    <cfRule type="cellIs" dxfId="268" priority="1" operator="equal">
      <formula>"DONE"</formula>
    </cfRule>
    <cfRule type="cellIs" dxfId="267" priority="2" operator="equal">
      <formula>"VERIFIED"</formula>
    </cfRule>
    <cfRule type="cellIs" dxfId="266" priority="3" operator="equal">
      <formula>"IN_PROGRESS"</formula>
    </cfRule>
    <cfRule type="cellIs" dxfId="265" priority="4" operator="equal">
      <formula>"IMPLEMENTED"</formula>
    </cfRule>
    <cfRule type="cellIs" dxfId="264" priority="5" operator="equal">
      <formula>"TESTING"</formula>
    </cfRule>
    <cfRule type="cellIs" dxfId="263" priority="6" operator="equal">
      <formula>"BLOCKED"</formula>
    </cfRule>
    <cfRule type="cellIs" dxfId="262" priority="7" operator="equal">
      <formula>"FAILED"</formula>
    </cfRule>
    <cfRule type="cellIs" dxfId="261" priority="8" operator="equal">
      <formula>"DEFERRED"</formula>
    </cfRule>
    <cfRule type="cellIs" dxfId="260" priority="9" operator="equal">
      <formula>"UNKNOWN"</formula>
    </cfRule>
    <cfRule type="cellIs" dxfId="259" priority="10" operator="equal">
      <formula>"PASS"</formula>
    </cfRule>
    <cfRule type="cellIs" dxfId="258" priority="11" operator="equal">
      <formula>"FAIL"</formula>
    </cfRule>
    <cfRule type="cellIs" dxfId="257" priority="12" operator="equal">
      <formula>"PARTIAL"</formula>
    </cfRule>
    <cfRule type="cellIs" dxfId="256" priority="13" operator="equal">
      <formula>"RESOLVED"</formula>
    </cfRule>
    <cfRule type="cellIs" dxfId="255" priority="14" operator="equal">
      <formula>"OPEN"</formula>
    </cfRule>
    <cfRule type="cellIs" dxfId="254" priority="15" operator="equal">
      <formula>"WITHIN"</formula>
    </cfRule>
    <cfRule type="cellIs" dxfId="253" priority="16" operator="equal">
      <formula>"OVER"</formula>
    </cfRule>
    <cfRule type="cellIs" dxfId="252" priority="17" operator="equal">
      <formula>"NOW"</formula>
    </cfRule>
    <cfRule type="cellIs" dxfId="251" priority="18" operator="equal">
      <formula>"NOT IN MASTER"</formula>
    </cfRule>
  </conditionalFormatting>
  <pageMargins left="0.75" right="0.75" top="1" bottom="1" header="0.5" footer="0.5"/>
  <pageSetup fitToHeight="0"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L21"/>
  <sheetViews>
    <sheetView workbookViewId="0">
      <pane ySplit="4" topLeftCell="A5" activePane="bottomLeft" state="frozen"/>
      <selection pane="bottomLeft"/>
    </sheetView>
  </sheetViews>
  <sheetFormatPr defaultRowHeight="15" x14ac:dyDescent="0.25"/>
  <cols>
    <col min="1" max="1" width="12" customWidth="1"/>
    <col min="2" max="2" width="14" customWidth="1"/>
    <col min="3" max="3" width="7" customWidth="1"/>
    <col min="4" max="4" width="44" customWidth="1"/>
    <col min="5" max="5" width="9" customWidth="1"/>
    <col min="6" max="6" width="14" customWidth="1"/>
    <col min="7" max="7" width="40" customWidth="1"/>
    <col min="8" max="8" width="34" customWidth="1"/>
    <col min="9" max="9" width="16" customWidth="1"/>
    <col min="10" max="10" width="10" customWidth="1"/>
    <col min="11" max="11" width="40" customWidth="1"/>
    <col min="12" max="12" width="11" customWidth="1"/>
  </cols>
  <sheetData>
    <row r="1" spans="1:12" ht="20.25" x14ac:dyDescent="0.3">
      <c r="A1" s="3" t="s">
        <v>1582</v>
      </c>
    </row>
    <row r="2" spans="1:12" x14ac:dyDescent="0.25">
      <c r="A2" s="4" t="s">
        <v>1583</v>
      </c>
    </row>
    <row r="3" spans="1:12" x14ac:dyDescent="0.25">
      <c r="A3" s="6" t="s">
        <v>45</v>
      </c>
      <c r="B3" s="6" t="s">
        <v>46</v>
      </c>
      <c r="C3" s="6" t="s">
        <v>47</v>
      </c>
      <c r="D3" s="6" t="s">
        <v>13</v>
      </c>
      <c r="E3" s="6" t="s">
        <v>16</v>
      </c>
      <c r="F3" s="6" t="s">
        <v>19</v>
      </c>
      <c r="G3" s="6" t="s">
        <v>48</v>
      </c>
      <c r="H3" s="6" t="s">
        <v>33</v>
      </c>
    </row>
    <row r="4" spans="1:12" x14ac:dyDescent="0.25">
      <c r="A4" s="7">
        <f>COUNTIF(MASTER!$C$2:$C$2000,"EDITOR")</f>
        <v>14</v>
      </c>
      <c r="B4" s="7">
        <f>COUNTIFS(MASTER!$C$2:$C$2000,"EDITOR",MASTER!$G$2:$G$2000,"DONE")</f>
        <v>13</v>
      </c>
      <c r="C4" s="7">
        <f>COUNTIFS(MASTER!$C$2:$C$2000,"EDITOR",MASTER!$G$2:$G$2000,"VERIFIED")+B4</f>
        <v>13</v>
      </c>
      <c r="D4" s="7">
        <f>COUNTIFS(MASTER!$C$2:$C$2000,"EDITOR",MASTER!$G$2:$G$2000,"IN_PROGRESS")+COUNTIFS(MASTER!$C$2:$C$2000,"EDITOR",MASTER!$G$2:$G$2000,"IMPLEMENTED")+COUNTIFS(MASTER!$C$2:$C$2000,"EDITOR",MASTER!$G$2:$G$2000,"TESTING")</f>
        <v>0</v>
      </c>
      <c r="E4" s="7">
        <f>COUNTIFS(MASTER!$C$2:$C$2000,"EDITOR",MASTER!$G$2:$G$2000,"BLOCKED")</f>
        <v>0</v>
      </c>
      <c r="F4" s="7">
        <f>COUNTIFS(MASTER!$C$2:$C$2000,"EDITOR",MASTER!$G$2:$G$2000,"FAILED")</f>
        <v>0</v>
      </c>
      <c r="G4" s="9">
        <f>IF(A4=0,0,B4/A4)</f>
        <v>0.9285714285714286</v>
      </c>
      <c r="H4" s="9">
        <f>IF(A4=0,0,C4/A4)</f>
        <v>0.9285714285714286</v>
      </c>
    </row>
    <row r="6" spans="1:12" ht="15.75" x14ac:dyDescent="0.25">
      <c r="A6" s="5" t="s">
        <v>1577</v>
      </c>
    </row>
    <row r="7" spans="1:12" x14ac:dyDescent="0.25">
      <c r="A7" s="10" t="s">
        <v>166</v>
      </c>
      <c r="B7" s="10" t="s">
        <v>100</v>
      </c>
      <c r="C7" s="10" t="s">
        <v>43</v>
      </c>
      <c r="D7" s="10" t="s">
        <v>167</v>
      </c>
      <c r="E7" s="10" t="s">
        <v>169</v>
      </c>
      <c r="F7" s="10" t="s">
        <v>57</v>
      </c>
      <c r="G7" s="10" t="s">
        <v>170</v>
      </c>
      <c r="H7" s="10" t="s">
        <v>171</v>
      </c>
      <c r="I7" s="10" t="s">
        <v>15</v>
      </c>
      <c r="J7" s="10" t="s">
        <v>177</v>
      </c>
      <c r="K7" s="10" t="s">
        <v>178</v>
      </c>
      <c r="L7" s="10" t="s">
        <v>179</v>
      </c>
    </row>
    <row r="8" spans="1:12" x14ac:dyDescent="0.25">
      <c r="A8" s="15" t="s">
        <v>276</v>
      </c>
      <c r="B8" s="12" t="str">
        <f>IFERROR(INDEX(MASTER!$C$2:$C$2000,MATCH($A8,MASTER!$A$2:$A$2000,0))&amp;"","")</f>
        <v>EDITOR</v>
      </c>
      <c r="C8" s="16">
        <f>IFERROR(INDEX(MASTER!$B$2:$B$2000,MATCH($A8,MASTER!$A$2:$A$2000,0)),"")</f>
        <v>1</v>
      </c>
      <c r="D8" s="12" t="str">
        <f>IFERROR(INDEX(MASTER!$D$2:$D$2000,MATCH($A8,MASTER!$A$2:$A$2000,0))&amp;"","")</f>
        <v>Map nested blocks inside table cells</v>
      </c>
      <c r="E8" s="12" t="str">
        <f>IFERROR(INDEX(MASTER!$F$2:$F$2000,MATCH($A8,MASTER!$A$2:$A$2000,0))&amp;"","")</f>
        <v>P0</v>
      </c>
      <c r="F8" s="12" t="str">
        <f>IFERROR(INDEX(MASTER!$G$2:$G$2000,MATCH($A8,MASTER!$A$2:$A$2000,0))&amp;"","NOT IN MASTER")</f>
        <v>DONE</v>
      </c>
      <c r="G8" s="12" t="str">
        <f>IFERROR(INDEX(MASTER!$H$2:$H$2000,MATCH($A8,MASTER!$A$2:$A$2000,0))&amp;"","")</f>
        <v>frontend/editor/tiptapToDocument.ts, documentToTiptap.ts</v>
      </c>
      <c r="H8" s="12" t="str">
        <f>IFERROR(INDEX(MASTER!$I$2:$I$2000,MATCH($A8,MASTER!$A$2:$A$2000,0))&amp;"","")</f>
        <v>frontend/editor/nestedBlocks.test.ts (28; 26 fail against the pre-fix mapping); e2e/nested.spec.ts (Edge: paste, autosave, reload)</v>
      </c>
      <c r="I8" s="19">
        <f>IFERROR(IF(INDEX(MASTER!$O$2:$O$2000,MATCH($A8,MASTER!$A$2:$A$2000,0))="","",INDEX(MASTER!$O$2:$O$2000,MATCH($A8,MASTER!$A$2:$A$2000,0))),"")</f>
        <v>46292.196597222217</v>
      </c>
      <c r="J8" s="12" t="str">
        <f>IFERROR(INDEX(MASTER!$P$2:$P$2000,MATCH($A8,MASTER!$A$2:$A$2000,0))&amp;"","")</f>
        <v>1fe27a9</v>
      </c>
      <c r="K8" s="12" t="str">
        <f>IFERROR(INDEX(MASTER!$Q$2:$Q$2000,MATCH($A8,MASTER!$A$2:$A$2000,0))&amp;"","")</f>
        <v/>
      </c>
      <c r="L8" s="12" t="str">
        <f>IFERROR(INDEX(MASTER!$R$2:$R$2000,MATCH($A8,MASTER!$A$2:$A$2000,0))&amp;"","")</f>
        <v/>
      </c>
    </row>
    <row r="9" spans="1:12" x14ac:dyDescent="0.25">
      <c r="A9" s="15" t="s">
        <v>282</v>
      </c>
      <c r="B9" s="12" t="str">
        <f>IFERROR(INDEX(MASTER!$C$2:$C$2000,MATCH($A9,MASTER!$A$2:$A$2000,0))&amp;"","")</f>
        <v>EDITOR</v>
      </c>
      <c r="C9" s="16">
        <f>IFERROR(INDEX(MASTER!$B$2:$B$2000,MATCH($A9,MASTER!$A$2:$A$2000,0)),"")</f>
        <v>1</v>
      </c>
      <c r="D9" s="12" t="str">
        <f>IFERROR(INDEX(MASTER!$D$2:$D$2000,MATCH($A9,MASTER!$A$2:$A$2000,0))&amp;"","")</f>
        <v>Map blocks inside list items</v>
      </c>
      <c r="E9" s="12" t="str">
        <f>IFERROR(INDEX(MASTER!$F$2:$F$2000,MATCH($A9,MASTER!$A$2:$A$2000,0))&amp;"","")</f>
        <v>P0</v>
      </c>
      <c r="F9" s="12" t="str">
        <f>IFERROR(INDEX(MASTER!$G$2:$G$2000,MATCH($A9,MASTER!$A$2:$A$2000,0))&amp;"","NOT IN MASTER")</f>
        <v>DONE</v>
      </c>
      <c r="G9" s="12" t="str">
        <f>IFERROR(INDEX(MASTER!$H$2:$H$2000,MATCH($A9,MASTER!$A$2:$A$2000,0))&amp;"","")</f>
        <v>frontend/editor/tiptapToDocument.ts, documentToTiptap.ts</v>
      </c>
      <c r="H9" s="12" t="str">
        <f>IFERROR(INDEX(MASTER!$I$2:$I$2000,MATCH($A9,MASTER!$A$2:$A$2000,0))&amp;"","")</f>
        <v>frontend/editor/nestedBlocks.test.ts (28; 26 fail against the pre-fix mapping); e2e/nested.spec.ts (Edge: paste, autosave, reload)</v>
      </c>
      <c r="I9" s="19">
        <f>IFERROR(IF(INDEX(MASTER!$O$2:$O$2000,MATCH($A9,MASTER!$A$2:$A$2000,0))="","",INDEX(MASTER!$O$2:$O$2000,MATCH($A9,MASTER!$A$2:$A$2000,0))),"")</f>
        <v>46292.196643518517</v>
      </c>
      <c r="J9" s="12" t="str">
        <f>IFERROR(INDEX(MASTER!$P$2:$P$2000,MATCH($A9,MASTER!$A$2:$A$2000,0))&amp;"","")</f>
        <v>1fe27a9</v>
      </c>
      <c r="K9" s="12" t="str">
        <f>IFERROR(INDEX(MASTER!$Q$2:$Q$2000,MATCH($A9,MASTER!$A$2:$A$2000,0))&amp;"","")</f>
        <v/>
      </c>
      <c r="L9" s="12" t="str">
        <f>IFERROR(INDEX(MASTER!$R$2:$R$2000,MATCH($A9,MASTER!$A$2:$A$2000,0))&amp;"","")</f>
        <v/>
      </c>
    </row>
    <row r="10" spans="1:12" x14ac:dyDescent="0.25">
      <c r="A10" s="15" t="s">
        <v>285</v>
      </c>
      <c r="B10" s="12" t="str">
        <f>IFERROR(INDEX(MASTER!$C$2:$C$2000,MATCH($A10,MASTER!$A$2:$A$2000,0))&amp;"","")</f>
        <v>EDITOR</v>
      </c>
      <c r="C10" s="16">
        <f>IFERROR(INDEX(MASTER!$B$2:$B$2000,MATCH($A10,MASTER!$A$2:$A$2000,0)),"")</f>
        <v>1</v>
      </c>
      <c r="D10" s="12" t="str">
        <f>IFERROR(INDEX(MASTER!$D$2:$D$2000,MATCH($A10,MASTER!$A$2:$A$2000,0))&amp;"","")</f>
        <v>Map blocks inside quotes</v>
      </c>
      <c r="E10" s="12" t="str">
        <f>IFERROR(INDEX(MASTER!$F$2:$F$2000,MATCH($A10,MASTER!$A$2:$A$2000,0))&amp;"","")</f>
        <v>P0</v>
      </c>
      <c r="F10" s="12" t="str">
        <f>IFERROR(INDEX(MASTER!$G$2:$G$2000,MATCH($A10,MASTER!$A$2:$A$2000,0))&amp;"","NOT IN MASTER")</f>
        <v>DONE</v>
      </c>
      <c r="G10" s="12" t="str">
        <f>IFERROR(INDEX(MASTER!$H$2:$H$2000,MATCH($A10,MASTER!$A$2:$A$2000,0))&amp;"","")</f>
        <v>frontend/editor/tiptapToDocument.ts, documentToTiptap.ts</v>
      </c>
      <c r="H10" s="12" t="str">
        <f>IFERROR(INDEX(MASTER!$I$2:$I$2000,MATCH($A10,MASTER!$A$2:$A$2000,0))&amp;"","")</f>
        <v>frontend/editor/nestedBlocks.test.ts (28; 26 fail against the pre-fix mapping); e2e/nested.spec.ts (Edge: paste, autosave, reload)</v>
      </c>
      <c r="I10" s="19">
        <f>IFERROR(IF(INDEX(MASTER!$O$2:$O$2000,MATCH($A10,MASTER!$A$2:$A$2000,0))="","",INDEX(MASTER!$O$2:$O$2000,MATCH($A10,MASTER!$A$2:$A$2000,0))),"")</f>
        <v>46292.19667824074</v>
      </c>
      <c r="J10" s="12" t="str">
        <f>IFERROR(INDEX(MASTER!$P$2:$P$2000,MATCH($A10,MASTER!$A$2:$A$2000,0))&amp;"","")</f>
        <v>1fe27a9</v>
      </c>
      <c r="K10" s="12" t="str">
        <f>IFERROR(INDEX(MASTER!$Q$2:$Q$2000,MATCH($A10,MASTER!$A$2:$A$2000,0))&amp;"","")</f>
        <v/>
      </c>
      <c r="L10" s="12" t="str">
        <f>IFERROR(INDEX(MASTER!$R$2:$R$2000,MATCH($A10,MASTER!$A$2:$A$2000,0))&amp;"","")</f>
        <v/>
      </c>
    </row>
    <row r="11" spans="1:12" x14ac:dyDescent="0.25">
      <c r="A11" s="15" t="s">
        <v>288</v>
      </c>
      <c r="B11" s="12" t="str">
        <f>IFERROR(INDEX(MASTER!$C$2:$C$2000,MATCH($A11,MASTER!$A$2:$A$2000,0))&amp;"","")</f>
        <v>EDITOR</v>
      </c>
      <c r="C11" s="16">
        <f>IFERROR(INDEX(MASTER!$B$2:$B$2000,MATCH($A11,MASTER!$A$2:$A$2000,0)),"")</f>
        <v>1</v>
      </c>
      <c r="D11" s="12" t="str">
        <f>IFERROR(INDEX(MASTER!$D$2:$D$2000,MATCH($A11,MASTER!$A$2:$A$2000,0))&amp;"","")</f>
        <v>Render nested blocks back into the editor</v>
      </c>
      <c r="E11" s="12" t="str">
        <f>IFERROR(INDEX(MASTER!$F$2:$F$2000,MATCH($A11,MASTER!$A$2:$A$2000,0))&amp;"","")</f>
        <v>P0</v>
      </c>
      <c r="F11" s="12" t="str">
        <f>IFERROR(INDEX(MASTER!$G$2:$G$2000,MATCH($A11,MASTER!$A$2:$A$2000,0))&amp;"","NOT IN MASTER")</f>
        <v>DONE</v>
      </c>
      <c r="G11" s="12" t="str">
        <f>IFERROR(INDEX(MASTER!$H$2:$H$2000,MATCH($A11,MASTER!$A$2:$A$2000,0))&amp;"","")</f>
        <v>frontend/editor/tiptapToDocument.ts, documentToTiptap.ts</v>
      </c>
      <c r="H11" s="12" t="str">
        <f>IFERROR(INDEX(MASTER!$I$2:$I$2000,MATCH($A11,MASTER!$A$2:$A$2000,0))&amp;"","")</f>
        <v>frontend/editor/nestedBlocks.test.ts (28; 26 fail against the pre-fix mapping); e2e/nested.spec.ts (Edge: paste, autosave, reload)</v>
      </c>
      <c r="I11" s="19">
        <f>IFERROR(IF(INDEX(MASTER!$O$2:$O$2000,MATCH($A11,MASTER!$A$2:$A$2000,0))="","",INDEX(MASTER!$O$2:$O$2000,MATCH($A11,MASTER!$A$2:$A$2000,0))),"")</f>
        <v>46292.196712962963</v>
      </c>
      <c r="J11" s="12" t="str">
        <f>IFERROR(INDEX(MASTER!$P$2:$P$2000,MATCH($A11,MASTER!$A$2:$A$2000,0))&amp;"","")</f>
        <v>1fe27a9</v>
      </c>
      <c r="K11" s="12" t="str">
        <f>IFERROR(INDEX(MASTER!$Q$2:$Q$2000,MATCH($A11,MASTER!$A$2:$A$2000,0))&amp;"","")</f>
        <v/>
      </c>
      <c r="L11" s="12" t="str">
        <f>IFERROR(INDEX(MASTER!$R$2:$R$2000,MATCH($A11,MASTER!$A$2:$A$2000,0))&amp;"","")</f>
        <v/>
      </c>
    </row>
    <row r="12" spans="1:12" x14ac:dyDescent="0.25">
      <c r="A12" s="15" t="s">
        <v>292</v>
      </c>
      <c r="B12" s="12" t="str">
        <f>IFERROR(INDEX(MASTER!$C$2:$C$2000,MATCH($A12,MASTER!$A$2:$A$2000,0))&amp;"","")</f>
        <v>EDITOR</v>
      </c>
      <c r="C12" s="16">
        <f>IFERROR(INDEX(MASTER!$B$2:$B$2000,MATCH($A12,MASTER!$A$2:$A$2000,0)),"")</f>
        <v>1</v>
      </c>
      <c r="D12" s="12" t="str">
        <f>IFERROR(INDEX(MASTER!$D$2:$D$2000,MATCH($A12,MASTER!$A$2:$A$2000,0))&amp;"","")</f>
        <v>Save guard: never drop a node silently</v>
      </c>
      <c r="E12" s="12" t="str">
        <f>IFERROR(INDEX(MASTER!$F$2:$F$2000,MATCH($A12,MASTER!$A$2:$A$2000,0))&amp;"","")</f>
        <v>P0</v>
      </c>
      <c r="F12" s="12" t="str">
        <f>IFERROR(INDEX(MASTER!$G$2:$G$2000,MATCH($A12,MASTER!$A$2:$A$2000,0))&amp;"","NOT IN MASTER")</f>
        <v>DONE</v>
      </c>
      <c r="G12" s="12" t="str">
        <f>IFERROR(INDEX(MASTER!$H$2:$H$2000,MATCH($A12,MASTER!$A$2:$A$2000,0))&amp;"","")</f>
        <v>tiptapToDocument.ts UnsupportedContentError (unknown node/inline node/mark anywhere); useAutoSave 'unsupported' status (no request, message, beforeunload warning); EditorStatusBar message</v>
      </c>
      <c r="H12" s="12" t="str">
        <f>IFERROR(INDEX(MASTER!$I$2:$I$2000,MATCH($A12,MASTER!$A$2:$A$2000,0))&amp;"","")</f>
        <v>nestedBlocks.test.ts refusal cases + schema coverage; useAutoSave.test.tsx (no request, 'unsupported' status, message, saves again once fixed)</v>
      </c>
      <c r="I12" s="19">
        <f>IFERROR(IF(INDEX(MASTER!$O$2:$O$2000,MATCH($A12,MASTER!$A$2:$A$2000,0))="","",INDEX(MASTER!$O$2:$O$2000,MATCH($A12,MASTER!$A$2:$A$2000,0))),"")</f>
        <v>46292.196747685193</v>
      </c>
      <c r="J12" s="12" t="str">
        <f>IFERROR(INDEX(MASTER!$P$2:$P$2000,MATCH($A12,MASTER!$A$2:$A$2000,0))&amp;"","")</f>
        <v>1fe27a9</v>
      </c>
      <c r="K12" s="12" t="str">
        <f>IFERROR(INDEX(MASTER!$Q$2:$Q$2000,MATCH($A12,MASTER!$A$2:$A$2000,0))&amp;"","")</f>
        <v/>
      </c>
      <c r="L12" s="12" t="str">
        <f>IFERROR(INDEX(MASTER!$R$2:$R$2000,MATCH($A12,MASTER!$A$2:$A$2000,0))&amp;"","")</f>
        <v/>
      </c>
    </row>
    <row r="13" spans="1:12" x14ac:dyDescent="0.25">
      <c r="A13" s="15" t="s">
        <v>297</v>
      </c>
      <c r="B13" s="12" t="str">
        <f>IFERROR(INDEX(MASTER!$C$2:$C$2000,MATCH($A13,MASTER!$A$2:$A$2000,0))&amp;"","")</f>
        <v>EDITOR</v>
      </c>
      <c r="C13" s="16">
        <f>IFERROR(INDEX(MASTER!$B$2:$B$2000,MATCH($A13,MASTER!$A$2:$A$2000,0)),"")</f>
        <v>1</v>
      </c>
      <c r="D13" s="12" t="str">
        <f>IFERROR(INDEX(MASTER!$D$2:$D$2000,MATCH($A13,MASTER!$A$2:$A$2000,0))&amp;"","")</f>
        <v>Pasted paragraph/heading alignment kept</v>
      </c>
      <c r="E13" s="12" t="str">
        <f>IFERROR(INDEX(MASTER!$F$2:$F$2000,MATCH($A13,MASTER!$A$2:$A$2000,0))&amp;"","")</f>
        <v>P1</v>
      </c>
      <c r="F13" s="12" t="str">
        <f>IFERROR(INDEX(MASTER!$G$2:$G$2000,MATCH($A13,MASTER!$A$2:$A$2000,0))&amp;"","NOT IN MASTER")</f>
        <v>DONE</v>
      </c>
      <c r="G13" s="12" t="str">
        <f>IFERROR(INDEX(MASTER!$H$2:$H$2000,MATCH($A13,MASTER!$A$2:$A$2000,0))&amp;"","")</f>
        <v>textAlign on top-level paragraphs/headings (paste, Mod-Shift-L/E/R/J, copied on split) is saved as the element's own alignment: reconcileWithIds returns DirectStyle entries only when it differs from the element's resolved alignment; PUT /content carries them (UpdateContentRequest.styles, validated, element override without a revision). documentToTiptap puts an element's own alignment on the block as textAlign so a split keeps it (as Word). Editor bug fixed: pasting into an empty paragraph poured the first pasted paragraph into it and dropped its alignment (pasteIntoEmptyBlock.ts). After each save the editor shows each block the look it was saved with (syncAppliedStyles). Nested alignment is named as not kept.</v>
      </c>
      <c r="H13" s="12" t="str">
        <f>IFERROR(INDEX(MASTER!$I$2:$I$2000,MATCH($A13,MASTER!$A$2:$A$2000,0))&amp;"","")</f>
        <v>frontend/editor/directFormatting.test.ts (9), frontend/editor/useAutoSave.test.tsx (+3), frontend/editor/editorRoundTrip.test.ts (+12: golden documents open with no direct styles/notes), frontend/e2e/direct-formatting.spec.ts, tests/test_editor_direct_styles.py (2); Vitest 109, Playwright 19, backend 749</v>
      </c>
      <c r="I13" s="19">
        <f>IFERROR(IF(INDEX(MASTER!$O$2:$O$2000,MATCH($A13,MASTER!$A$2:$A$2000,0))="","",INDEX(MASTER!$O$2:$O$2000,MATCH($A13,MASTER!$A$2:$A$2000,0))),"")</f>
        <v>46292.398900462962</v>
      </c>
      <c r="J13" s="12" t="str">
        <f>IFERROR(INDEX(MASTER!$P$2:$P$2000,MATCH($A13,MASTER!$A$2:$A$2000,0))&amp;"","")</f>
        <v>53c84e4</v>
      </c>
      <c r="K13" s="12" t="str">
        <f>IFERROR(INDEX(MASTER!$Q$2:$Q$2000,MATCH($A13,MASTER!$A$2:$A$2000,0))&amp;"","")</f>
        <v/>
      </c>
      <c r="L13" s="12" t="str">
        <f>IFERROR(INDEX(MASTER!$R$2:$R$2000,MATCH($A13,MASTER!$A$2:$A$2000,0))&amp;"","")</f>
        <v>EDIT-005</v>
      </c>
    </row>
    <row r="14" spans="1:12" x14ac:dyDescent="0.25">
      <c r="A14" s="15" t="s">
        <v>304</v>
      </c>
      <c r="B14" s="12" t="str">
        <f>IFERROR(INDEX(MASTER!$C$2:$C$2000,MATCH($A14,MASTER!$A$2:$A$2000,0))&amp;"","")</f>
        <v>EDITOR</v>
      </c>
      <c r="C14" s="16">
        <f>IFERROR(INDEX(MASTER!$B$2:$B$2000,MATCH($A14,MASTER!$A$2:$A$2000,0)),"")</f>
        <v>1</v>
      </c>
      <c r="D14" s="12" t="str">
        <f>IFERROR(INDEX(MASTER!$D$2:$D$2000,MATCH($A14,MASTER!$A$2:$A$2000,0))&amp;"","")</f>
        <v>Pasted picture size kept</v>
      </c>
      <c r="E14" s="12" t="str">
        <f>IFERROR(INDEX(MASTER!$F$2:$F$2000,MATCH($A14,MASTER!$A$2:$A$2000,0))&amp;"","")</f>
        <v>P1</v>
      </c>
      <c r="F14" s="12" t="str">
        <f>IFERROR(INDEX(MASTER!$G$2:$G$2000,MATCH($A14,MASTER!$A$2:$A$2000,0))&amp;"","NOT IN MASTER")</f>
        <v>DONE</v>
      </c>
      <c r="G14" s="12" t="str">
        <f>IFERROR(INDEX(MASTER!$H$2:$H$2000,MATCH($A14,MASTER!$A$2:$A$2000,0))&amp;"","")</f>
        <v>A top-level picture's width attribute (pasted '321', '321px', '40%') becomes an IMAGE_WIDTH element override as a share of the text width (page width minus margins at 96 dpi, capped at 100%, one decimal); a width that can't be one is named; nested pictures' sizes are named as not kept. E2E: 321 px on A4 with 2 cm margins -&gt; 50% after reload.</v>
      </c>
      <c r="H14" s="12" t="str">
        <f>IFERROR(INDEX(MASTER!$I$2:$I$2000,MATCH($A14,MASTER!$A$2:$A$2000,0))&amp;"","")</f>
        <v>frontend/editor/directFormatting.test.ts (picture size), frontend/e2e/direct-formatting.spec.ts, tests/test_editor_direct_styles.py</v>
      </c>
      <c r="I14" s="19">
        <f>IFERROR(IF(INDEX(MASTER!$O$2:$O$2000,MATCH($A14,MASTER!$A$2:$A$2000,0))="","",INDEX(MASTER!$O$2:$O$2000,MATCH($A14,MASTER!$A$2:$A$2000,0))),"")</f>
        <v>46292.398935185192</v>
      </c>
      <c r="J14" s="12" t="str">
        <f>IFERROR(INDEX(MASTER!$P$2:$P$2000,MATCH($A14,MASTER!$A$2:$A$2000,0))&amp;"","")</f>
        <v>53c84e4</v>
      </c>
      <c r="K14" s="12" t="str">
        <f>IFERROR(INDEX(MASTER!$Q$2:$Q$2000,MATCH($A14,MASTER!$A$2:$A$2000,0))&amp;"","")</f>
        <v/>
      </c>
      <c r="L14" s="12" t="str">
        <f>IFERROR(INDEX(MASTER!$R$2:$R$2000,MATCH($A14,MASTER!$A$2:$A$2000,0))&amp;"","")</f>
        <v>EDIT-005</v>
      </c>
    </row>
    <row r="15" spans="1:12" x14ac:dyDescent="0.25">
      <c r="A15" s="15" t="s">
        <v>310</v>
      </c>
      <c r="B15" s="12" t="str">
        <f>IFERROR(INDEX(MASTER!$C$2:$C$2000,MATCH($A15,MASTER!$A$2:$A$2000,0))&amp;"","")</f>
        <v>EDITOR</v>
      </c>
      <c r="C15" s="16">
        <f>IFERROR(INDEX(MASTER!$B$2:$B$2000,MATCH($A15,MASTER!$A$2:$A$2000,0)),"")</f>
        <v>1</v>
      </c>
      <c r="D15" s="12" t="str">
        <f>IFERROR(INDEX(MASTER!$D$2:$D$2000,MATCH($A15,MASTER!$A$2:$A$2000,0))&amp;"","")</f>
        <v>Link title kept</v>
      </c>
      <c r="E15" s="12" t="str">
        <f>IFERROR(INDEX(MASTER!$F$2:$F$2000,MATCH($A15,MASTER!$A$2:$A$2000,0))&amp;"","")</f>
        <v>P2</v>
      </c>
      <c r="F15" s="12" t="str">
        <f>IFERROR(INDEX(MASTER!$G$2:$G$2000,MATCH($A15,MASTER!$A$2:$A$2000,0))&amp;"","NOT IN MASTER")</f>
        <v>DONE</v>
      </c>
      <c r="G15" s="12" t="str">
        <f>IFERROR(INDEX(MASTER!$H$2:$H$2000,MATCH($A15,MASTER!$A$2:$A$2000,0))&amp;"","")</f>
        <v>Mark.title (&lt;=500) in the model and generated types; editor link title &lt;-&gt; Mark.title (one line, capped at 500 with a note); Word import from w:hyperlink/@w:tooltip and a HYPERLINK field's \o switch (simple and complex fields); Word export writes w:tooltip; Markdown [text](url "title") keeps it. PDF has no tooltips (matrix note).</v>
      </c>
      <c r="H15" s="12" t="str">
        <f>IFERROR(INDEX(MASTER!$I$2:$I$2000,MATCH($A15,MASTER!$A$2:$A$2000,0))&amp;"","")</f>
        <v>tests/test_link_titles.py (Word import/export round trip incl. field ScreenTip; Markdown), frontend/editor/directFormatting.test.ts (a link's title: 2)</v>
      </c>
      <c r="I15" s="19">
        <f>IFERROR(IF(INDEX(MASTER!$O$2:$O$2000,MATCH($A15,MASTER!$A$2:$A$2000,0))="","",INDEX(MASTER!$O$2:$O$2000,MATCH($A15,MASTER!$A$2:$A$2000,0))),"")</f>
        <v>46292.41609953704</v>
      </c>
      <c r="J15" s="12" t="str">
        <f>IFERROR(INDEX(MASTER!$P$2:$P$2000,MATCH($A15,MASTER!$A$2:$A$2000,0))&amp;"","")</f>
        <v>66bbdf1</v>
      </c>
      <c r="K15" s="12" t="str">
        <f>IFERROR(INDEX(MASTER!$Q$2:$Q$2000,MATCH($A15,MASTER!$A$2:$A$2000,0))&amp;"","")</f>
        <v/>
      </c>
      <c r="L15" s="12" t="str">
        <f>IFERROR(INDEX(MASTER!$R$2:$R$2000,MATCH($A15,MASTER!$A$2:$A$2000,0))&amp;"","")</f>
        <v>EDIT-005</v>
      </c>
    </row>
    <row r="16" spans="1:12" x14ac:dyDescent="0.25">
      <c r="A16" s="15" t="s">
        <v>317</v>
      </c>
      <c r="B16" s="12" t="str">
        <f>IFERROR(INDEX(MASTER!$C$2:$C$2000,MATCH($A16,MASTER!$A$2:$A$2000,0))&amp;"","")</f>
        <v>EDITOR</v>
      </c>
      <c r="C16" s="16">
        <f>IFERROR(INDEX(MASTER!$B$2:$B$2000,MATCH($A16,MASTER!$A$2:$A$2000,0)),"")</f>
        <v>1</v>
      </c>
      <c r="D16" s="12" t="str">
        <f>IFERROR(INDEX(MASTER!$D$2:$D$2000,MATCH($A16,MASTER!$A$2:$A$2000,0))&amp;"","")</f>
        <v>Cell alignment and column widths kept</v>
      </c>
      <c r="E16" s="12" t="str">
        <f>IFERROR(INDEX(MASTER!$F$2:$F$2000,MATCH($A16,MASTER!$A$2:$A$2000,0))&amp;"","")</f>
        <v>P2</v>
      </c>
      <c r="F16" s="12" t="str">
        <f>IFERROR(INDEX(MASTER!$G$2:$G$2000,MATCH($A16,MASTER!$A$2:$A$2000,0))&amp;"","NOT IN MASTER")</f>
        <v>DONE</v>
      </c>
      <c r="G16" s="12" t="str">
        <f>IFERROR(INDEX(MASTER!$H$2:$H$2000,MATCH($A16,MASTER!$A$2:$A$2000,0))&amp;"","")</f>
        <v>Nothing about cells is lost silently any more: a pasted cell's own alignment (td align / style) counts for its column (kept when the column agrees); a cell aligned differently from its column and pasted column widths (&lt;colgroup&gt;/colwidth) are named by the editor as not kept (status bar + Проверка 'While editing'). Keeping per-cell alignment and column widths needs model fields (TableCell alignment, TableContent column widths) with Word/PDF export and Word import - moved to DOCX-017 (table engine), recorded there.</v>
      </c>
      <c r="H16" s="12" t="str">
        <f>IFERROR(INDEX(MASTER!$I$2:$I$2000,MATCH($A16,MASTER!$A$2:$A$2000,0))&amp;"","")</f>
        <v>frontend/editor/directFormatting.test.ts::tables</v>
      </c>
      <c r="I16" s="19">
        <f>IFERROR(IF(INDEX(MASTER!$O$2:$O$2000,MATCH($A16,MASTER!$A$2:$A$2000,0))="","",INDEX(MASTER!$O$2:$O$2000,MATCH($A16,MASTER!$A$2:$A$2000,0))),"")</f>
        <v>46292.416145833333</v>
      </c>
      <c r="J16" s="12" t="str">
        <f>IFERROR(INDEX(MASTER!$P$2:$P$2000,MATCH($A16,MASTER!$A$2:$A$2000,0))&amp;"","")</f>
        <v>66bbdf1</v>
      </c>
      <c r="K16" s="12" t="str">
        <f>IFERROR(INDEX(MASTER!$Q$2:$Q$2000,MATCH($A16,MASTER!$A$2:$A$2000,0))&amp;"","")</f>
        <v>Done: a pasted cell's own alignment (td align / style) counts for its column; cells aligned differently from their column and column widths (pasted &lt;colgroup&gt;) are named as not kept. Remaining: keeping per-cell alignment and column widths needs model fields (TableCell.alignment, TableContent.columnWidths) + DOCX/PDF export + DOCX import (tblGrid) - overlaps DOCX-017.</v>
      </c>
      <c r="L16" s="12" t="str">
        <f>IFERROR(INDEX(MASTER!$R$2:$R$2000,MATCH($A16,MASTER!$A$2:$A$2000,0))&amp;"","")</f>
        <v>EDIT-005</v>
      </c>
    </row>
    <row r="17" spans="1:12" x14ac:dyDescent="0.25">
      <c r="A17" s="15" t="s">
        <v>324</v>
      </c>
      <c r="B17" s="12" t="str">
        <f>IFERROR(INDEX(MASTER!$C$2:$C$2000,MATCH($A17,MASTER!$A$2:$A$2000,0))&amp;"","")</f>
        <v>EDITOR</v>
      </c>
      <c r="C17" s="16">
        <f>IFERROR(INDEX(MASTER!$B$2:$B$2000,MATCH($A17,MASTER!$A$2:$A$2000,0)),"")</f>
        <v>1</v>
      </c>
      <c r="D17" s="12" t="str">
        <f>IFERROR(INDEX(MASTER!$D$2:$D$2000,MATCH($A17,MASTER!$A$2:$A$2000,0))&amp;"","")</f>
        <v>Colour and font values outside the model reported</v>
      </c>
      <c r="E17" s="12" t="str">
        <f>IFERROR(INDEX(MASTER!$F$2:$F$2000,MATCH($A17,MASTER!$A$2:$A$2000,0))&amp;"","")</f>
        <v>P3</v>
      </c>
      <c r="F17" s="12" t="str">
        <f>IFERROR(INDEX(MASTER!$G$2:$G$2000,MATCH($A17,MASTER!$A$2:$A$2000,0))&amp;"","NOT IN MASTER")</f>
        <v>DONE</v>
      </c>
      <c r="G17" s="12" t="str">
        <f>IFERROR(INDEX(MASTER!$H$2:$H$2000,MATCH($A17,MASTER!$A$2:$A$2000,0))&amp;"","")</f>
        <v>Formatting the editor holds that the model can't keep is named, never dropped silently: colours (hsl(), theme names; transparent is no loss), fonts, sizes (em/%), nested alignment/picture sizes, differing cell alignment, column widths. reconcileWithIds returns notes; the status bar shows 'N formatting changes not kept' (title lists them) and the Проверка panel a 'While editing' section; saving goes on.</v>
      </c>
      <c r="H17" s="12" t="str">
        <f>IFERROR(INDEX(MASTER!$I$2:$I$2000,MATCH($A17,MASTER!$A$2:$A$2000,0))&amp;"","")</f>
        <v>frontend/editor/directFormatting.test.ts, frontend/editor/useAutoSave.test.tsx::names formatting it can't keep, frontend/editor/panels/FidelityPanel.test.tsx::lists what the editor holds, frontend/e2e/direct-formatting.spec.ts</v>
      </c>
      <c r="I17" s="19">
        <f>IFERROR(IF(INDEX(MASTER!$O$2:$O$2000,MATCH($A17,MASTER!$A$2:$A$2000,0))="","",INDEX(MASTER!$O$2:$O$2000,MATCH($A17,MASTER!$A$2:$A$2000,0))),"")</f>
        <v>46292.398969907408</v>
      </c>
      <c r="J17" s="12" t="str">
        <f>IFERROR(INDEX(MASTER!$P$2:$P$2000,MATCH($A17,MASTER!$A$2:$A$2000,0))&amp;"","")</f>
        <v>53c84e4</v>
      </c>
      <c r="K17" s="12" t="str">
        <f>IFERROR(INDEX(MASTER!$Q$2:$Q$2000,MATCH($A17,MASTER!$A$2:$A$2000,0))&amp;"","")</f>
        <v/>
      </c>
      <c r="L17" s="12" t="str">
        <f>IFERROR(INDEX(MASTER!$R$2:$R$2000,MATCH($A17,MASTER!$A$2:$A$2000,0))&amp;"","")</f>
        <v>EDIT-005</v>
      </c>
    </row>
    <row r="18" spans="1:12" x14ac:dyDescent="0.25">
      <c r="A18" s="15" t="s">
        <v>330</v>
      </c>
      <c r="B18" s="12" t="str">
        <f>IFERROR(INDEX(MASTER!$C$2:$C$2000,MATCH($A18,MASTER!$A$2:$A$2000,0))&amp;"","")</f>
        <v>EDITOR</v>
      </c>
      <c r="C18" s="16">
        <f>IFERROR(INDEX(MASTER!$B$2:$B$2000,MATCH($A18,MASTER!$A$2:$A$2000,0)),"")</f>
        <v>1</v>
      </c>
      <c r="D18" s="12" t="str">
        <f>IFERROR(INDEX(MASTER!$D$2:$D$2000,MATCH($A18,MASTER!$A$2:$A$2000,0))&amp;"","")</f>
        <v>Pasted rich HTML survives save</v>
      </c>
      <c r="E18" s="12" t="str">
        <f>IFERROR(INDEX(MASTER!$F$2:$F$2000,MATCH($A18,MASTER!$A$2:$A$2000,0))&amp;"","")</f>
        <v>P0</v>
      </c>
      <c r="F18" s="12" t="str">
        <f>IFERROR(INDEX(MASTER!$G$2:$G$2000,MATCH($A18,MASTER!$A$2:$A$2000,0))&amp;"","NOT IN MASTER")</f>
        <v>DONE</v>
      </c>
      <c r="G18" s="12" t="str">
        <f>IFERROR(INDEX(MASTER!$H$2:$H$2000,MATCH($A18,MASTER!$A$2:$A$2000,0))&amp;"","")</f>
        <v>frontend/e2e/nested.spec.ts: real paste event with text/html in Edge</v>
      </c>
      <c r="H18" s="12" t="str">
        <f>IFERROR(INDEX(MASTER!$I$2:$I$2000,MATCH($A18,MASTER!$A$2:$A$2000,0))&amp;"","")</f>
        <v>npx playwright test e2e/nested.spec.ts -&gt; 1 passed</v>
      </c>
      <c r="I18" s="19">
        <f>IFERROR(IF(INDEX(MASTER!$O$2:$O$2000,MATCH($A18,MASTER!$A$2:$A$2000,0))="","",INDEX(MASTER!$O$2:$O$2000,MATCH($A18,MASTER!$A$2:$A$2000,0))),"")</f>
        <v>46292.196782407409</v>
      </c>
      <c r="J18" s="12" t="str">
        <f>IFERROR(INDEX(MASTER!$P$2:$P$2000,MATCH($A18,MASTER!$A$2:$A$2000,0))&amp;"","")</f>
        <v>1fe27a9</v>
      </c>
      <c r="K18" s="12" t="str">
        <f>IFERROR(INDEX(MASTER!$Q$2:$Q$2000,MATCH($A18,MASTER!$A$2:$A$2000,0))&amp;"","")</f>
        <v/>
      </c>
      <c r="L18" s="12" t="str">
        <f>IFERROR(INDEX(MASTER!$R$2:$R$2000,MATCH($A18,MASTER!$A$2:$A$2000,0))&amp;"","")</f>
        <v/>
      </c>
    </row>
    <row r="19" spans="1:12" x14ac:dyDescent="0.25">
      <c r="A19" s="15" t="s">
        <v>335</v>
      </c>
      <c r="B19" s="12" t="str">
        <f>IFERROR(INDEX(MASTER!$C$2:$C$2000,MATCH($A19,MASTER!$A$2:$A$2000,0))&amp;"","")</f>
        <v>EDITOR</v>
      </c>
      <c r="C19" s="16">
        <f>IFERROR(INDEX(MASTER!$B$2:$B$2000,MATCH($A19,MASTER!$A$2:$A$2000,0)),"")</f>
        <v>1</v>
      </c>
      <c r="D19" s="12" t="str">
        <f>IFERROR(INDEX(MASTER!$D$2:$D$2000,MATCH($A19,MASTER!$A$2:$A$2000,0))&amp;"","")</f>
        <v>Canonical mark order</v>
      </c>
      <c r="E19" s="12" t="str">
        <f>IFERROR(INDEX(MASTER!$F$2:$F$2000,MATCH($A19,MASTER!$A$2:$A$2000,0))&amp;"","")</f>
        <v>P2</v>
      </c>
      <c r="F19" s="12" t="str">
        <f>IFERROR(INDEX(MASTER!$G$2:$G$2000,MATCH($A19,MASTER!$A$2:$A$2000,0))&amp;"","NOT IN MASTER")</f>
        <v>DONE</v>
      </c>
      <c r="G19" s="12" t="str">
        <f>IFERROR(INDEX(MASTER!$H$2:$H$2000,MATCH($A19,MASTER!$A$2:$A$2000,0))&amp;"","")</f>
        <v>Probe confirmed: a run with [bold, italic, link, textStyle] came back from the editor in its schema order (link, textStyle, bold, italic) -&gt; sameContent false -&gt; a save just for opening. Now one order everywhere: the model sorts a run's marks into MarkType order on validation (InlineRun._canonical_order), the editor sorts what it reads (MARK_ORDER), a test pins MARK_ORDER to the generated OpenAPI enum. Golden fixtures unchanged (the importer already wrote this order).</v>
      </c>
      <c r="H19" s="12" t="str">
        <f>IFERROR(INDEX(MASTER!$I$2:$I$2000,MATCH($A19,MASTER!$A$2:$A$2000,0))&amp;"","")</f>
        <v>frontend/editor/directFormatting.test.ts (the order of a run's marks: 2; fails without the fix), tests/test_document_nesting.py::test_a_runs_marks_are_kept_in_one_order_whoever_wrote_them</v>
      </c>
      <c r="I19" s="19">
        <f>IFERROR(IF(INDEX(MASTER!$O$2:$O$2000,MATCH($A19,MASTER!$A$2:$A$2000,0))="","",INDEX(MASTER!$O$2:$O$2000,MATCH($A19,MASTER!$A$2:$A$2000,0))),"")</f>
        <v>46292.416064814817</v>
      </c>
      <c r="J19" s="12" t="str">
        <f>IFERROR(INDEX(MASTER!$P$2:$P$2000,MATCH($A19,MASTER!$A$2:$A$2000,0))&amp;"","")</f>
        <v>66bbdf1</v>
      </c>
      <c r="K19" s="12" t="str">
        <f>IFERROR(INDEX(MASTER!$Q$2:$Q$2000,MATCH($A19,MASTER!$A$2:$A$2000,0))&amp;"","")</f>
        <v/>
      </c>
      <c r="L19" s="12" t="str">
        <f>IFERROR(INDEX(MASTER!$R$2:$R$2000,MATCH($A19,MASTER!$A$2:$A$2000,0))&amp;"","")</f>
        <v/>
      </c>
    </row>
    <row r="20" spans="1:12" x14ac:dyDescent="0.25">
      <c r="A20" s="15" t="s">
        <v>529</v>
      </c>
      <c r="B20" s="12" t="str">
        <f>IFERROR(INDEX(MASTER!$C$2:$C$2000,MATCH($A20,MASTER!$A$2:$A$2000,0))&amp;"","")</f>
        <v>EDITOR</v>
      </c>
      <c r="C20" s="16">
        <f>IFERROR(INDEX(MASTER!$B$2:$B$2000,MATCH($A20,MASTER!$A$2:$A$2000,0)),"")</f>
        <v>3</v>
      </c>
      <c r="D20" s="12" t="str">
        <f>IFERROR(INDEX(MASTER!$D$2:$D$2000,MATCH($A20,MASTER!$A$2:$A$2000,0))&amp;"","")</f>
        <v>Show a section's columns in the editor</v>
      </c>
      <c r="E20" s="12" t="str">
        <f>IFERROR(INDEX(MASTER!$F$2:$F$2000,MATCH($A20,MASTER!$A$2:$A$2000,0))&amp;"","")</f>
        <v>P2</v>
      </c>
      <c r="F20" s="12" t="str">
        <f>IFERROR(INDEX(MASTER!$G$2:$G$2000,MATCH($A20,MASTER!$A$2:$A$2000,0))&amp;"","NOT IN MASTER")</f>
        <v>DEFERRED</v>
      </c>
      <c r="G20" s="12" t="str">
        <f>IFERROR(INDEX(MASTER!$H$2:$H$2000,MATCH($A20,MASTER!$A$2:$A$2000,0))&amp;"","")</f>
        <v/>
      </c>
      <c r="H20" s="12" t="str">
        <f>IFERROR(INDEX(MASTER!$I$2:$I$2000,MATCH($A20,MASTER!$A$2:$A$2000,0))&amp;"","")</f>
        <v/>
      </c>
      <c r="I20" s="19" t="str">
        <f>IFERROR(IF(INDEX(MASTER!$O$2:$O$2000,MATCH($A20,MASTER!$A$2:$A$2000,0))="","",INDEX(MASTER!$O$2:$O$2000,MATCH($A20,MASTER!$A$2:$A$2000,0))),"")</f>
        <v/>
      </c>
      <c r="J20" s="12" t="str">
        <f>IFERROR(INDEX(MASTER!$P$2:$P$2000,MATCH($A20,MASTER!$A$2:$A$2000,0))&amp;"","")</f>
        <v/>
      </c>
      <c r="K20" s="12" t="str">
        <f>IFERROR(INDEX(MASTER!$Q$2:$Q$2000,MATCH($A20,MASTER!$A$2:$A$2000,0))&amp;"","")</f>
        <v>2026-10-07: columns need the pagination itself to lay blocks out into columns and pages together (a block that fills a column moves to the next column, the last column to the next page), not a separate pass. The technique exists since DOCX-018A (editor/floatWrap.ts: the paged editor is a flex column, block margins add up, decorations move blocks over and pull them up); doing it inside editor/pagination.ts is a larger change to the layout every document goes through, left for later. Columns stay kept in both exports and reported.</v>
      </c>
      <c r="L20" s="12" t="str">
        <f>IFERROR(INDEX(MASTER!$R$2:$R$2000,MATCH($A20,MASTER!$A$2:$A$2000,0))&amp;"","")</f>
        <v>DOCX-015</v>
      </c>
    </row>
    <row r="21" spans="1:12" x14ac:dyDescent="0.25">
      <c r="A21" s="15" t="s">
        <v>533</v>
      </c>
      <c r="B21" s="12" t="str">
        <f>IFERROR(INDEX(MASTER!$C$2:$C$2000,MATCH($A21,MASTER!$A$2:$A$2000,0))&amp;"","")</f>
        <v>EDITOR</v>
      </c>
      <c r="C21" s="16">
        <f>IFERROR(INDEX(MASTER!$B$2:$B$2000,MATCH($A21,MASTER!$A$2:$A$2000,0)),"")</f>
        <v>3</v>
      </c>
      <c r="D21" s="12" t="str">
        <f>IFERROR(INDEX(MASTER!$D$2:$D$2000,MATCH($A21,MASTER!$A$2:$A$2000,0))&amp;"","")</f>
        <v>Edit a section's own headers and footers</v>
      </c>
      <c r="E21" s="12" t="str">
        <f>IFERROR(INDEX(MASTER!$F$2:$F$2000,MATCH($A21,MASTER!$A$2:$A$2000,0))&amp;"","")</f>
        <v>P2</v>
      </c>
      <c r="F21" s="12" t="str">
        <f>IFERROR(INDEX(MASTER!$G$2:$G$2000,MATCH($A21,MASTER!$A$2:$A$2000,0))&amp;"","NOT IN MASTER")</f>
        <v>DONE</v>
      </c>
      <c r="G21" s="12" t="str">
        <f>IFERROR(INDEX(MASTER!$H$2:$H$2000,MATCH($A21,MASTER!$A$2:$A$2000,0))&amp;"","")</f>
        <v>api/documents.py PUT .../section-text, services/document_service.py set_section_text, models/document.py lastSectionEdited, export/docx_export.py _edited_last_headers; frontend editor/EditorCanvas.tsx (header/footer overlay), sectionHeaders.ts chromeTarget, DocumentEditorShell.tsx chromeEdit; capabilities.py, docs/docx/README.md</v>
      </c>
      <c r="H21" s="12" t="str">
        <f>IFERROR(INDEX(MASTER!$I$2:$I$2000,MATCH($A21,MASTER!$A$2:$A$2000,0))&amp;"","")</f>
        <v>tests/test_sections.py (2 new), sectionHeaders.test.ts (2 new), e2e/section-headers.spec.ts (1 new); 4/4 mutations</v>
      </c>
      <c r="I21" s="19">
        <f>IFERROR(IF(INDEX(MASTER!$O$2:$O$2000,MATCH($A21,MASTER!$A$2:$A$2000,0))="","",INDEX(MASTER!$O$2:$O$2000,MATCH($A21,MASTER!$A$2:$A$2000,0))),"")</f>
        <v>46302.368807870371</v>
      </c>
      <c r="J21" s="12" t="str">
        <f>IFERROR(INDEX(MASTER!$P$2:$P$2000,MATCH($A21,MASTER!$A$2:$A$2000,0))&amp;"","")</f>
        <v>6282fd3</v>
      </c>
      <c r="K21" s="12" t="str">
        <f>IFERROR(INDEX(MASTER!$Q$2:$Q$2000,MATCH($A21,MASTER!$A$2:$A$2000,0))&amp;"","")</f>
        <v>2026-10-07: double-click a page's header/footer to edit it as its section's own (the kind the page shows); Same as previous relinks; last section's main ones stay Page settings'.</v>
      </c>
      <c r="L21" s="12" t="str">
        <f>IFERROR(INDEX(MASTER!$R$2:$R$2000,MATCH($A21,MASTER!$A$2:$A$2000,0))&amp;"","")</f>
        <v>DOCX-015</v>
      </c>
    </row>
  </sheetData>
  <autoFilter ref="A7:L21" xr:uid="{00000000-0009-0000-0000-000006000000}"/>
  <conditionalFormatting sqref="E8:E21">
    <cfRule type="cellIs" dxfId="250" priority="19" operator="equal">
      <formula>"P0"</formula>
    </cfRule>
    <cfRule type="cellIs" dxfId="249" priority="20" operator="equal">
      <formula>"P1"</formula>
    </cfRule>
  </conditionalFormatting>
  <conditionalFormatting sqref="F8:F21">
    <cfRule type="cellIs" dxfId="248" priority="1" operator="equal">
      <formula>"DONE"</formula>
    </cfRule>
    <cfRule type="cellIs" dxfId="247" priority="2" operator="equal">
      <formula>"VERIFIED"</formula>
    </cfRule>
    <cfRule type="cellIs" dxfId="246" priority="3" operator="equal">
      <formula>"IN_PROGRESS"</formula>
    </cfRule>
    <cfRule type="cellIs" dxfId="245" priority="4" operator="equal">
      <formula>"IMPLEMENTED"</formula>
    </cfRule>
    <cfRule type="cellIs" dxfId="244" priority="5" operator="equal">
      <formula>"TESTING"</formula>
    </cfRule>
    <cfRule type="cellIs" dxfId="243" priority="6" operator="equal">
      <formula>"BLOCKED"</formula>
    </cfRule>
    <cfRule type="cellIs" dxfId="242" priority="7" operator="equal">
      <formula>"FAILED"</formula>
    </cfRule>
    <cfRule type="cellIs" dxfId="241" priority="8" operator="equal">
      <formula>"DEFERRED"</formula>
    </cfRule>
    <cfRule type="cellIs" dxfId="240" priority="9" operator="equal">
      <formula>"UNKNOWN"</formula>
    </cfRule>
    <cfRule type="cellIs" dxfId="239" priority="10" operator="equal">
      <formula>"PASS"</formula>
    </cfRule>
    <cfRule type="cellIs" dxfId="238" priority="11" operator="equal">
      <formula>"FAIL"</formula>
    </cfRule>
    <cfRule type="cellIs" dxfId="237" priority="12" operator="equal">
      <formula>"PARTIAL"</formula>
    </cfRule>
    <cfRule type="cellIs" dxfId="236" priority="13" operator="equal">
      <formula>"RESOLVED"</formula>
    </cfRule>
    <cfRule type="cellIs" dxfId="235" priority="14" operator="equal">
      <formula>"OPEN"</formula>
    </cfRule>
    <cfRule type="cellIs" dxfId="234" priority="15" operator="equal">
      <formula>"WITHIN"</formula>
    </cfRule>
    <cfRule type="cellIs" dxfId="233" priority="16" operator="equal">
      <formula>"OVER"</formula>
    </cfRule>
    <cfRule type="cellIs" dxfId="232" priority="17" operator="equal">
      <formula>"NOW"</formula>
    </cfRule>
    <cfRule type="cellIs" dxfId="231" priority="18" operator="equal">
      <formula>"NOT IN MASTER"</formula>
    </cfRule>
  </conditionalFormatting>
  <pageMargins left="0.75" right="0.75" top="1" bottom="1" header="0.5" footer="0.5"/>
  <pageSetup fitToHeight="0"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L15"/>
  <sheetViews>
    <sheetView workbookViewId="0">
      <pane ySplit="4" topLeftCell="A5" activePane="bottomLeft" state="frozen"/>
      <selection pane="bottomLeft"/>
    </sheetView>
  </sheetViews>
  <sheetFormatPr defaultRowHeight="15" x14ac:dyDescent="0.25"/>
  <cols>
    <col min="1" max="1" width="12" customWidth="1"/>
    <col min="2" max="2" width="14" customWidth="1"/>
    <col min="3" max="3" width="7" customWidth="1"/>
    <col min="4" max="4" width="44" customWidth="1"/>
    <col min="5" max="5" width="9" customWidth="1"/>
    <col min="6" max="6" width="14" customWidth="1"/>
    <col min="7" max="7" width="40" customWidth="1"/>
    <col min="8" max="8" width="34" customWidth="1"/>
    <col min="9" max="9" width="16" customWidth="1"/>
    <col min="10" max="10" width="10" customWidth="1"/>
    <col min="11" max="11" width="40" customWidth="1"/>
    <col min="12" max="12" width="11" customWidth="1"/>
  </cols>
  <sheetData>
    <row r="1" spans="1:12" ht="20.25" x14ac:dyDescent="0.3">
      <c r="A1" s="3" t="s">
        <v>1584</v>
      </c>
    </row>
    <row r="2" spans="1:12" x14ac:dyDescent="0.25">
      <c r="A2" s="4" t="s">
        <v>1585</v>
      </c>
    </row>
    <row r="3" spans="1:12" x14ac:dyDescent="0.25">
      <c r="A3" s="6" t="s">
        <v>45</v>
      </c>
      <c r="B3" s="6" t="s">
        <v>46</v>
      </c>
      <c r="C3" s="6" t="s">
        <v>47</v>
      </c>
      <c r="D3" s="6" t="s">
        <v>13</v>
      </c>
      <c r="E3" s="6" t="s">
        <v>16</v>
      </c>
      <c r="F3" s="6" t="s">
        <v>19</v>
      </c>
      <c r="G3" s="6" t="s">
        <v>48</v>
      </c>
      <c r="H3" s="6" t="s">
        <v>33</v>
      </c>
    </row>
    <row r="4" spans="1:12" x14ac:dyDescent="0.25">
      <c r="A4" s="7">
        <f>COUNTIF(MASTER!$C$2:$C$2000,"FORMATTING")+COUNTIF(MASTER!$C$2:$C$2000,"HEALTH")</f>
        <v>8</v>
      </c>
      <c r="B4" s="7">
        <f>COUNTIFS(MASTER!$C$2:$C$2000,"FORMATTING",MASTER!$G$2:$G$2000,"DONE")+COUNTIFS(MASTER!$C$2:$C$2000,"HEALTH",MASTER!$G$2:$G$2000,"DONE")</f>
        <v>8</v>
      </c>
      <c r="C4" s="7">
        <f>COUNTIFS(MASTER!$C$2:$C$2000,"FORMATTING",MASTER!$G$2:$G$2000,"VERIFIED")+COUNTIFS(MASTER!$C$2:$C$2000,"HEALTH",MASTER!$G$2:$G$2000,"VERIFIED")+B4</f>
        <v>8</v>
      </c>
      <c r="D4" s="7">
        <f>COUNTIFS(MASTER!$C$2:$C$2000,"FORMATTING",MASTER!$G$2:$G$2000,"IN_PROGRESS")+COUNTIFS(MASTER!$C$2:$C$2000,"FORMATTING",MASTER!$G$2:$G$2000,"IMPLEMENTED")+COUNTIFS(MASTER!$C$2:$C$2000,"FORMATTING",MASTER!$G$2:$G$2000,"TESTING")+COUNTIFS(MASTER!$C$2:$C$2000,"HEALTH",MASTER!$G$2:$G$2000,"IN_PROGRESS")+COUNTIFS(MASTER!$C$2:$C$2000,"HEALTH",MASTER!$G$2:$G$2000,"IMPLEMENTED")+COUNTIFS(MASTER!$C$2:$C$2000,"HEALTH",MASTER!$G$2:$G$2000,"TESTING")</f>
        <v>0</v>
      </c>
      <c r="E4" s="7">
        <f>COUNTIFS(MASTER!$C$2:$C$2000,"FORMATTING",MASTER!$G$2:$G$2000,"BLOCKED")+COUNTIFS(MASTER!$C$2:$C$2000,"HEALTH",MASTER!$G$2:$G$2000,"BLOCKED")</f>
        <v>0</v>
      </c>
      <c r="F4" s="7">
        <f>COUNTIFS(MASTER!$C$2:$C$2000,"FORMATTING",MASTER!$G$2:$G$2000,"FAILED")+COUNTIFS(MASTER!$C$2:$C$2000,"HEALTH",MASTER!$G$2:$G$2000,"FAILED")</f>
        <v>0</v>
      </c>
      <c r="G4" s="9">
        <f>IF(A4=0,0,B4/A4)</f>
        <v>1</v>
      </c>
      <c r="H4" s="9">
        <f>IF(A4=0,0,C4/A4)</f>
        <v>1</v>
      </c>
    </row>
    <row r="6" spans="1:12" ht="15.75" x14ac:dyDescent="0.25">
      <c r="A6" s="5" t="s">
        <v>1577</v>
      </c>
    </row>
    <row r="7" spans="1:12" x14ac:dyDescent="0.25">
      <c r="A7" s="10" t="s">
        <v>166</v>
      </c>
      <c r="B7" s="10" t="s">
        <v>100</v>
      </c>
      <c r="C7" s="10" t="s">
        <v>43</v>
      </c>
      <c r="D7" s="10" t="s">
        <v>167</v>
      </c>
      <c r="E7" s="10" t="s">
        <v>169</v>
      </c>
      <c r="F7" s="10" t="s">
        <v>57</v>
      </c>
      <c r="G7" s="10" t="s">
        <v>170</v>
      </c>
      <c r="H7" s="10" t="s">
        <v>171</v>
      </c>
      <c r="I7" s="10" t="s">
        <v>15</v>
      </c>
      <c r="J7" s="10" t="s">
        <v>177</v>
      </c>
      <c r="K7" s="10" t="s">
        <v>178</v>
      </c>
      <c r="L7" s="10" t="s">
        <v>179</v>
      </c>
    </row>
    <row r="8" spans="1:12" x14ac:dyDescent="0.25">
      <c r="A8" s="15" t="s">
        <v>704</v>
      </c>
      <c r="B8" s="12" t="str">
        <f>IFERROR(INDEX(MASTER!$C$2:$C$2000,MATCH($A8,MASTER!$A$2:$A$2000,0))&amp;"","")</f>
        <v>FORMATTING</v>
      </c>
      <c r="C8" s="16">
        <f>IFERROR(INDEX(MASTER!$B$2:$B$2000,MATCH($A8,MASTER!$A$2:$A$2000,0)),"")</f>
        <v>3</v>
      </c>
      <c r="D8" s="12" t="str">
        <f>IFERROR(INDEX(MASTER!$D$2:$D$2000,MATCH($A8,MASTER!$A$2:$A$2000,0))&amp;"","")</f>
        <v>Render-spec defaults respect the source</v>
      </c>
      <c r="E8" s="12" t="str">
        <f>IFERROR(INDEX(MASTER!$F$2:$F$2000,MATCH($A8,MASTER!$A$2:$A$2000,0))&amp;"","")</f>
        <v>P0</v>
      </c>
      <c r="F8" s="12" t="str">
        <f>IFERROR(INDEX(MASTER!$G$2:$G$2000,MATCH($A8,MASTER!$A$2:$A$2000,0))&amp;"","NOT IN MASTER")</f>
        <v>DONE</v>
      </c>
      <c r="G8" s="12" t="str">
        <f>IFERROR(INDEX(MASTER!$H$2:$H$2000,MATCH($A8,MASTER!$A$2:$A$2000,0))&amp;"","")</f>
        <v>parsers/docx_styles.py: as_word_draws completes what a Word style and the document defaults leave unset with what Word draws there (no bold/italics, no spacing, single lines, left aligned, no indent, 10 pt Times New Roman) - the last level of every style extract_style_system takes and of each paragraph compared with its kind in parsers/docx.py _element_rules (tables and notes fall back on their kind: their look is only what their text shares). Word tables leave no gap after them (tables spaceAfterPt 0; pdf_export no longer turns a 0 margin-bottom into 6 pt). So render_spec defaults (bold headings, 18/6 pt around them, 8 pt after paragraphs and tables, 1 cm quote indent, small italic captions) no longer override an import; templates (priority 4-5) still restyle it (source 6, defaults 8). Visual baseline updated after review (12-complex + Академичен: quote not indented, captions not italic, no gap after the table - as the file says). Documents imported earlier keep their rules.</v>
      </c>
      <c r="H8" s="12" t="str">
        <f>IFERROR(INDEX(MASTER!$I$2:$I$2000,MATCH($A8,MASTER!$A$2:$A$2000,0))&amp;"","")</f>
        <v>backend 993 passed/1 skipped (tests/test_source_styles.py 3: a heading style that isn't bold stays regular and unspaced, in Word too; what the file leaves unset is what Word draws; a template still restyles); Vitest 164; Playwright 27 (visual baseline regenerated and reviewed); tsc + eslint clean</v>
      </c>
      <c r="I8" s="19">
        <f>IFERROR(IF(INDEX(MASTER!$O$2:$O$2000,MATCH($A8,MASTER!$A$2:$A$2000,0))="","",INDEX(MASTER!$O$2:$O$2000,MATCH($A8,MASTER!$A$2:$A$2000,0))),"")</f>
        <v>46295.10664351852</v>
      </c>
      <c r="J8" s="12" t="str">
        <f>IFERROR(INDEX(MASTER!$P$2:$P$2000,MATCH($A8,MASTER!$A$2:$A$2000,0))&amp;"","")</f>
        <v>54a36e4</v>
      </c>
      <c r="K8" s="12" t="str">
        <f>IFERROR(INDEX(MASTER!$Q$2:$Q$2000,MATCH($A8,MASTER!$A$2:$A$2000,0))&amp;"","")</f>
        <v/>
      </c>
      <c r="L8" s="12" t="str">
        <f>IFERROR(INDEX(MASTER!$R$2:$R$2000,MATCH($A8,MASTER!$A$2:$A$2000,0))&amp;"","")</f>
        <v/>
      </c>
    </row>
    <row r="9" spans="1:12" x14ac:dyDescent="0.25">
      <c r="A9" s="15" t="s">
        <v>1197</v>
      </c>
      <c r="B9" s="12" t="str">
        <f>IFERROR(INDEX(MASTER!$C$2:$C$2000,MATCH($A9,MASTER!$A$2:$A$2000,0))&amp;"","")</f>
        <v>FORMATTING</v>
      </c>
      <c r="C9" s="16">
        <f>IFERROR(INDEX(MASTER!$B$2:$B$2000,MATCH($A9,MASTER!$A$2:$A$2000,0)),"")</f>
        <v>12</v>
      </c>
      <c r="D9" s="12" t="str">
        <f>IFERROR(INDEX(MASTER!$D$2:$D$2000,MATCH($A9,MASTER!$A$2:$A$2000,0))&amp;"","")</f>
        <v>Style extraction completeness</v>
      </c>
      <c r="E9" s="12" t="str">
        <f>IFERROR(INDEX(MASTER!$F$2:$F$2000,MATCH($A9,MASTER!$A$2:$A$2000,0))&amp;"","")</f>
        <v>P1</v>
      </c>
      <c r="F9" s="12" t="str">
        <f>IFERROR(INDEX(MASTER!$G$2:$G$2000,MATCH($A9,MASTER!$A$2:$A$2000,0))&amp;"","NOT IN MASTER")</f>
        <v>DONE</v>
      </c>
      <c r="G9" s="12" t="str">
        <f>IFERROR(INDEX(MASTER!$H$2:$H$2000,MATCH($A9,MASTER!$A$2:$A$2000,0))&amp;"","")</f>
        <v>backend/app/formatting/{structure,style_preview,reference_style,style_system}.py, ai/semantic_labeling.py, services/{document,template}_service.py, api/documents.py; frontend TemplatesPanel.tsx, ReferenceStyleSummary.tsx; docs/formatting/README.md</v>
      </c>
      <c r="H9" s="12" t="str">
        <f>IFERROR(INDEX(MASTER!$I$2:$I$2000,MATCH($A9,MASTER!$A$2:$A$2000,0))&amp;"","")</f>
        <v>tests/test_format_by_example.py (6), TemplatesPanel.test.tsx (2); 9/9 mutations</v>
      </c>
      <c r="I9" s="19">
        <f>IFERROR(IF(INDEX(MASTER!$O$2:$O$2000,MATCH($A9,MASTER!$A$2:$A$2000,0))="","",INDEX(MASTER!$O$2:$O$2000,MATCH($A9,MASTER!$A$2:$A$2000,0))),"")</f>
        <v>46302.365358796298</v>
      </c>
      <c r="J9" s="12" t="str">
        <f>IFERROR(INDEX(MASTER!$P$2:$P$2000,MATCH($A9,MASTER!$A$2:$A$2000,0))&amp;"","")</f>
        <v>fb0e4de</v>
      </c>
      <c r="K9" s="12" t="str">
        <f>IFERROR(INDEX(MASTER!$Q$2:$Q$2000,MATCH($A9,MASTER!$A$2:$A$2000,0))&amp;"","")</f>
        <v>2026-10-07: StyleSystem.structure -- table border, header shading and bold (what most tables share), list levels (most list items), heading numbering; set on the document when the template is applied. Header/footer text belongs to the reference and isn't copied (noted).</v>
      </c>
      <c r="L9" s="12" t="str">
        <f>IFERROR(INDEX(MASTER!$R$2:$R$2000,MATCH($A9,MASTER!$A$2:$A$2000,0))&amp;"","")</f>
        <v/>
      </c>
    </row>
    <row r="10" spans="1:12" x14ac:dyDescent="0.25">
      <c r="A10" s="15" t="s">
        <v>1204</v>
      </c>
      <c r="B10" s="12" t="str">
        <f>IFERROR(INDEX(MASTER!$C$2:$C$2000,MATCH($A10,MASTER!$A$2:$A$2000,0))&amp;"","")</f>
        <v>FORMATTING</v>
      </c>
      <c r="C10" s="16">
        <f>IFERROR(INDEX(MASTER!$B$2:$B$2000,MATCH($A10,MASTER!$A$2:$A$2000,0)),"")</f>
        <v>12</v>
      </c>
      <c r="D10" s="12" t="str">
        <f>IFERROR(INDEX(MASTER!$D$2:$D$2000,MATCH($A10,MASTER!$A$2:$A$2000,0))&amp;"","")</f>
        <v>Semantic mapping validated</v>
      </c>
      <c r="E10" s="12" t="str">
        <f>IFERROR(INDEX(MASTER!$F$2:$F$2000,MATCH($A10,MASTER!$A$2:$A$2000,0))&amp;"","")</f>
        <v>P1</v>
      </c>
      <c r="F10" s="12" t="str">
        <f>IFERROR(INDEX(MASTER!$G$2:$G$2000,MATCH($A10,MASTER!$A$2:$A$2000,0))&amp;"","NOT IN MASTER")</f>
        <v>DONE</v>
      </c>
      <c r="G10" s="12" t="str">
        <f>IFERROR(INDEX(MASTER!$H$2:$H$2000,MATCH($A10,MASTER!$A$2:$A$2000,0))&amp;"","")</f>
        <v>backend/app/formatting/{structure,style_preview,reference_style,style_system}.py, ai/semantic_labeling.py, services/{document,template}_service.py, api/documents.py; frontend TemplatesPanel.tsx, ReferenceStyleSummary.tsx; docs/formatting/README.md</v>
      </c>
      <c r="H10" s="12" t="str">
        <f>IFERROR(INDEX(MASTER!$I$2:$I$2000,MATCH($A10,MASTER!$A$2:$A$2000,0))&amp;"","")</f>
        <v>tests/test_format_by_example.py (6), TemplatesPanel.test.tsx (2); 9/9 mutations</v>
      </c>
      <c r="I10" s="19">
        <f>IFERROR(IF(INDEX(MASTER!$O$2:$O$2000,MATCH($A10,MASTER!$A$2:$A$2000,0))="","",INDEX(MASTER!$O$2:$O$2000,MATCH($A10,MASTER!$A$2:$A$2000,0))),"")</f>
        <v>46302.365405092591</v>
      </c>
      <c r="J10" s="12" t="str">
        <f>IFERROR(INDEX(MASTER!$P$2:$P$2000,MATCH($A10,MASTER!$A$2:$A$2000,0))&amp;"","")</f>
        <v>fb0e4de</v>
      </c>
      <c r="K10" s="12" t="str">
        <f>IFERROR(INDEX(MASTER!$Q$2:$Q$2000,MATCH($A10,MASTER!$A$2:$A$2000,0))&amp;"","")</f>
        <v>2026-10-07: the AI only maps headings; its answer is used only for known ids, levels 1-6, not most paragraphs, and levels that fit the headings' sizes; otherwise headings by look. The engine computes every style.</v>
      </c>
      <c r="L10" s="12" t="str">
        <f>IFERROR(INDEX(MASTER!$R$2:$R$2000,MATCH($A10,MASTER!$A$2:$A$2000,0))&amp;"","")</f>
        <v/>
      </c>
    </row>
    <row r="11" spans="1:12" x14ac:dyDescent="0.25">
      <c r="A11" s="15" t="s">
        <v>1208</v>
      </c>
      <c r="B11" s="12" t="str">
        <f>IFERROR(INDEX(MASTER!$C$2:$C$2000,MATCH($A11,MASTER!$A$2:$A$2000,0))&amp;"","")</f>
        <v>FORMATTING</v>
      </c>
      <c r="C11" s="16">
        <f>IFERROR(INDEX(MASTER!$B$2:$B$2000,MATCH($A11,MASTER!$A$2:$A$2000,0)),"")</f>
        <v>12</v>
      </c>
      <c r="D11" s="12" t="str">
        <f>IFERROR(INDEX(MASTER!$D$2:$D$2000,MATCH($A11,MASTER!$A$2:$A$2000,0))&amp;"","")</f>
        <v>Before/after for Format by Example</v>
      </c>
      <c r="E11" s="12" t="str">
        <f>IFERROR(INDEX(MASTER!$F$2:$F$2000,MATCH($A11,MASTER!$A$2:$A$2000,0))&amp;"","")</f>
        <v>P1</v>
      </c>
      <c r="F11" s="12" t="str">
        <f>IFERROR(INDEX(MASTER!$G$2:$G$2000,MATCH($A11,MASTER!$A$2:$A$2000,0))&amp;"","NOT IN MASTER")</f>
        <v>DONE</v>
      </c>
      <c r="G11" s="12" t="str">
        <f>IFERROR(INDEX(MASTER!$H$2:$H$2000,MATCH($A11,MASTER!$A$2:$A$2000,0))&amp;"","")</f>
        <v>backend/app/formatting/{structure,style_preview,reference_style,style_system}.py, ai/semantic_labeling.py, services/{document,template}_service.py, api/documents.py; frontend TemplatesPanel.tsx, ReferenceStyleSummary.tsx; docs/formatting/README.md</v>
      </c>
      <c r="H11" s="12" t="str">
        <f>IFERROR(INDEX(MASTER!$I$2:$I$2000,MATCH($A11,MASTER!$A$2:$A$2000,0))&amp;"","")</f>
        <v>tests/test_format_by_example.py (6), TemplatesPanel.test.tsx (2); 9/9 mutations</v>
      </c>
      <c r="I11" s="19">
        <f>IFERROR(IF(INDEX(MASTER!$O$2:$O$2000,MATCH($A11,MASTER!$A$2:$A$2000,0))="","",INDEX(MASTER!$O$2:$O$2000,MATCH($A11,MASTER!$A$2:$A$2000,0))),"")</f>
        <v>46302.365451388891</v>
      </c>
      <c r="J11" s="12" t="str">
        <f>IFERROR(INDEX(MASTER!$P$2:$P$2000,MATCH($A11,MASTER!$A$2:$A$2000,0))&amp;"","")</f>
        <v>fb0e4de</v>
      </c>
      <c r="K11" s="12" t="str">
        <f>IFERROR(INDEX(MASTER!$Q$2:$Q$2000,MATCH($A11,MASTER!$A$2:$A$2000,0))&amp;"","")</f>
        <v>2026-10-07: POST /documents/{id}/style-preview runs the engine on a copy (nothing saved): styles and page now/with the look, changes in words; Templates panel shows Now / With this look before applying or saving.</v>
      </c>
      <c r="L11" s="12" t="str">
        <f>IFERROR(INDEX(MASTER!$R$2:$R$2000,MATCH($A11,MASTER!$A$2:$A$2000,0))&amp;"","")</f>
        <v/>
      </c>
    </row>
    <row r="12" spans="1:12" x14ac:dyDescent="0.25">
      <c r="A12" s="15" t="s">
        <v>1212</v>
      </c>
      <c r="B12" s="12" t="str">
        <f>IFERROR(INDEX(MASTER!$C$2:$C$2000,MATCH($A12,MASTER!$A$2:$A$2000,0))&amp;"","")</f>
        <v>FORMATTING</v>
      </c>
      <c r="C12" s="16">
        <f>IFERROR(INDEX(MASTER!$B$2:$B$2000,MATCH($A12,MASTER!$A$2:$A$2000,0)),"")</f>
        <v>12</v>
      </c>
      <c r="D12" s="12" t="str">
        <f>IFERROR(INDEX(MASTER!$D$2:$D$2000,MATCH($A12,MASTER!$A$2:$A$2000,0))&amp;"","")</f>
        <v>Rule value validation</v>
      </c>
      <c r="E12" s="12" t="str">
        <f>IFERROR(INDEX(MASTER!$F$2:$F$2000,MATCH($A12,MASTER!$A$2:$A$2000,0))&amp;"","")</f>
        <v>P1</v>
      </c>
      <c r="F12" s="12" t="str">
        <f>IFERROR(INDEX(MASTER!$G$2:$G$2000,MATCH($A12,MASTER!$A$2:$A$2000,0))&amp;"","NOT IN MASTER")</f>
        <v>DONE</v>
      </c>
      <c r="G12" s="12" t="str">
        <f>IFERROR(INDEX(MASTER!$H$2:$H$2000,MATCH($A12,MASTER!$A$2:$A$2000,0))&amp;"","")</f>
        <v>Instruction rules and set_style operations go through values.clean_rule_value: invalid ones dropped, normalised values stored (see SEC-022).</v>
      </c>
      <c r="H12" s="12" t="str">
        <f>IFERROR(INDEX(MASTER!$I$2:$I$2000,MATCH($A12,MASTER!$A$2:$A$2000,0))&amp;"","")</f>
        <v>tests/test_rule_values.py::test_instructions_cannot_carry_such_values</v>
      </c>
      <c r="I12" s="19">
        <f>IFERROR(IF(INDEX(MASTER!$O$2:$O$2000,MATCH($A12,MASTER!$A$2:$A$2000,0))="","",INDEX(MASTER!$O$2:$O$2000,MATCH($A12,MASTER!$A$2:$A$2000,0))),"")</f>
        <v>46292.399050925917</v>
      </c>
      <c r="J12" s="12" t="str">
        <f>IFERROR(INDEX(MASTER!$P$2:$P$2000,MATCH($A12,MASTER!$A$2:$A$2000,0))&amp;"","")</f>
        <v>53c84e4</v>
      </c>
      <c r="K12" s="12" t="str">
        <f>IFERROR(INDEX(MASTER!$Q$2:$Q$2000,MATCH($A12,MASTER!$A$2:$A$2000,0))&amp;"","")</f>
        <v/>
      </c>
      <c r="L12" s="12" t="str">
        <f>IFERROR(INDEX(MASTER!$R$2:$R$2000,MATCH($A12,MASTER!$A$2:$A$2000,0))&amp;"","")</f>
        <v/>
      </c>
    </row>
    <row r="13" spans="1:12" x14ac:dyDescent="0.25">
      <c r="A13" s="15" t="s">
        <v>1217</v>
      </c>
      <c r="B13" s="12" t="str">
        <f>IFERROR(INDEX(MASTER!$C$2:$C$2000,MATCH($A13,MASTER!$A$2:$A$2000,0))&amp;"","")</f>
        <v>HEALTH</v>
      </c>
      <c r="C13" s="16">
        <f>IFERROR(INDEX(MASTER!$B$2:$B$2000,MATCH($A13,MASTER!$A$2:$A$2000,0)),"")</f>
        <v>13</v>
      </c>
      <c r="D13" s="12" t="str">
        <f>IFERROR(INDEX(MASTER!$D$2:$D$2000,MATCH($A13,MASTER!$A$2:$A$2000,0))&amp;"","")</f>
        <v>Health 2.0 checks</v>
      </c>
      <c r="E13" s="12" t="str">
        <f>IFERROR(INDEX(MASTER!$F$2:$F$2000,MATCH($A13,MASTER!$A$2:$A$2000,0))&amp;"","")</f>
        <v>P1</v>
      </c>
      <c r="F13" s="12" t="str">
        <f>IFERROR(INDEX(MASTER!$G$2:$G$2000,MATCH($A13,MASTER!$A$2:$A$2000,0))&amp;"","NOT IN MASTER")</f>
        <v>DONE</v>
      </c>
      <c r="G13" s="12" t="str">
        <f>IFERROR(INDEX(MASTER!$H$2:$H$2000,MATCH($A13,MASTER!$A$2:$A$2000,0))&amp;"","")</f>
        <v>backend/app/formatting/{health,health_fixes,proposals}.py, models/document.py (ProposedChange health), api/documents.py health/fixes; frontend HealthPanel.tsx, ProposalsList.tsx, EditorStatusBar.tsx; README.md</v>
      </c>
      <c r="H13" s="12" t="str">
        <f>IFERROR(INDEX(MASTER!$I$2:$I$2000,MATCH($A13,MASTER!$A$2:$A$2000,0))&amp;"","")</f>
        <v>tests/test_health_2.py (15), test_health.py, HealthPanel.test.tsx (2), documents.test.ts, e2e/health.spec.ts; 12/12 mutations</v>
      </c>
      <c r="I13" s="19">
        <f>IFERROR(IF(INDEX(MASTER!$O$2:$O$2000,MATCH($A13,MASTER!$A$2:$A$2000,0))="","",INDEX(MASTER!$O$2:$O$2000,MATCH($A13,MASTER!$A$2:$A$2000,0))),"")</f>
        <v>46302.365798611107</v>
      </c>
      <c r="J13" s="12" t="str">
        <f>IFERROR(INDEX(MASTER!$P$2:$P$2000,MATCH($A13,MASTER!$A$2:$A$2000,0))&amp;"","")</f>
        <v>d673602</v>
      </c>
      <c r="K13" s="12" t="str">
        <f>IFERROR(INDEX(MASTER!$Q$2:$Q$2000,MATCH($A13,MASTER!$A$2:$A$2000,0))&amp;"","")</f>
        <v>2026-10-07: +9 checks: alt text, hidden text, another language not marked, not kept from the import, sections almost alike / other paper, broken lists, empty paragraphs, too wide for the text, formatting repeated from the style (broken links existed).</v>
      </c>
      <c r="L13" s="12" t="str">
        <f>IFERROR(INDEX(MASTER!$R$2:$R$2000,MATCH($A13,MASTER!$A$2:$A$2000,0))&amp;"","")</f>
        <v/>
      </c>
    </row>
    <row r="14" spans="1:12" x14ac:dyDescent="0.25">
      <c r="A14" s="15" t="s">
        <v>1224</v>
      </c>
      <c r="B14" s="12" t="str">
        <f>IFERROR(INDEX(MASTER!$C$2:$C$2000,MATCH($A14,MASTER!$A$2:$A$2000,0))&amp;"","")</f>
        <v>HEALTH</v>
      </c>
      <c r="C14" s="16">
        <f>IFERROR(INDEX(MASTER!$B$2:$B$2000,MATCH($A14,MASTER!$A$2:$A$2000,0)),"")</f>
        <v>13</v>
      </c>
      <c r="D14" s="12" t="str">
        <f>IFERROR(INDEX(MASTER!$D$2:$D$2000,MATCH($A14,MASTER!$A$2:$A$2000,0))&amp;"","")</f>
        <v>Deterministic fixes with preview</v>
      </c>
      <c r="E14" s="12" t="str">
        <f>IFERROR(INDEX(MASTER!$F$2:$F$2000,MATCH($A14,MASTER!$A$2:$A$2000,0))&amp;"","")</f>
        <v>P1</v>
      </c>
      <c r="F14" s="12" t="str">
        <f>IFERROR(INDEX(MASTER!$G$2:$G$2000,MATCH($A14,MASTER!$A$2:$A$2000,0))&amp;"","NOT IN MASTER")</f>
        <v>DONE</v>
      </c>
      <c r="G14" s="12" t="str">
        <f>IFERROR(INDEX(MASTER!$H$2:$H$2000,MATCH($A14,MASTER!$A$2:$A$2000,0))&amp;"","")</f>
        <v>backend/app/formatting/{health,health_fixes,proposals}.py, models/document.py (ProposedChange health), api/documents.py health/fixes; frontend HealthPanel.tsx, ProposalsList.tsx, EditorStatusBar.tsx; README.md</v>
      </c>
      <c r="H14" s="12" t="str">
        <f>IFERROR(INDEX(MASTER!$I$2:$I$2000,MATCH($A14,MASTER!$A$2:$A$2000,0))&amp;"","")</f>
        <v>tests/test_health_2.py (15), test_health.py, HealthPanel.test.tsx (2), documents.test.ts, e2e/health.spec.ts; 12/12 mutations</v>
      </c>
      <c r="I14" s="19">
        <f>IFERROR(IF(INDEX(MASTER!$O$2:$O$2000,MATCH($A14,MASTER!$A$2:$A$2000,0))="","",INDEX(MASTER!$O$2:$O$2000,MATCH($A14,MASTER!$A$2:$A$2000,0))),"")</f>
        <v>46302.365844907406</v>
      </c>
      <c r="J14" s="12" t="str">
        <f>IFERROR(INDEX(MASTER!$P$2:$P$2000,MATCH($A14,MASTER!$A$2:$A$2000,0))&amp;"","")</f>
        <v>d673602</v>
      </c>
      <c r="K14" s="12" t="str">
        <f>IFERROR(INDEX(MASTER!$Q$2:$Q$2000,MATCH($A14,MASTER!$A$2:$A$2000,0))&amp;"","")</f>
        <v>2026-10-07: POST .../health/fixes -&gt; ProposedChange source=health with before/after; accepted only for the block as checked (fingerprint), one undoable step; stale fixes dropped on save; no fix for alt text or hidden text. E2E found and fixed a missed revision record (documentWrite).</v>
      </c>
      <c r="L14" s="12" t="str">
        <f>IFERROR(INDEX(MASTER!$R$2:$R$2000,MATCH($A14,MASTER!$A$2:$A$2000,0))&amp;"","")</f>
        <v/>
      </c>
    </row>
    <row r="15" spans="1:12" x14ac:dyDescent="0.25">
      <c r="A15" s="15" t="s">
        <v>1228</v>
      </c>
      <c r="B15" s="12" t="str">
        <f>IFERROR(INDEX(MASTER!$C$2:$C$2000,MATCH($A15,MASTER!$A$2:$A$2000,0))&amp;"","")</f>
        <v>HEALTH</v>
      </c>
      <c r="C15" s="16">
        <f>IFERROR(INDEX(MASTER!$B$2:$B$2000,MATCH($A15,MASTER!$A$2:$A$2000,0)),"")</f>
        <v>13</v>
      </c>
      <c r="D15" s="12" t="str">
        <f>IFERROR(INDEX(MASTER!$D$2:$D$2000,MATCH($A15,MASTER!$A$2:$A$2000,0))&amp;"","")</f>
        <v>AI explanations only</v>
      </c>
      <c r="E15" s="12" t="str">
        <f>IFERROR(INDEX(MASTER!$F$2:$F$2000,MATCH($A15,MASTER!$A$2:$A$2000,0))&amp;"","")</f>
        <v>P2</v>
      </c>
      <c r="F15" s="12" t="str">
        <f>IFERROR(INDEX(MASTER!$G$2:$G$2000,MATCH($A15,MASTER!$A$2:$A$2000,0))&amp;"","NOT IN MASTER")</f>
        <v>DONE</v>
      </c>
      <c r="G15" s="12" t="str">
        <f>IFERROR(INDEX(MASTER!$H$2:$H$2000,MATCH($A15,MASTER!$A$2:$A$2000,0))&amp;"","")</f>
        <v>AI explains failing checks only (no score sent, untrusted tag, rating answers dropped, unknown check voids answer); POST /documents/{id}/health/explain (metered, rate_limited ai, available flag); Health panel Explain per warn/fail check; docs/ai/README.md.</v>
      </c>
      <c r="H15" s="12" t="str">
        <f>IFERROR(INDEX(MASTER!$I$2:$I$2000,MATCH($A15,MASTER!$A$2:$A$2000,0))&amp;"","")</f>
        <v>backend/tests/test_health_explanations.py (4; 8/8 mutations); HealthPanel.test.tsx (+2); test_security_suite covers the route; backend 2438+155 security passed; Vitest 301; e2e health/accessibility 3</v>
      </c>
      <c r="I15" s="19">
        <f>IFERROR(IF(INDEX(MASTER!$O$2:$O$2000,MATCH($A15,MASTER!$A$2:$A$2000,0))="","",INDEX(MASTER!$O$2:$O$2000,MATCH($A15,MASTER!$A$2:$A$2000,0))),"")</f>
        <v>46302.707743055558</v>
      </c>
      <c r="J15" s="12" t="str">
        <f>IFERROR(INDEX(MASTER!$P$2:$P$2000,MATCH($A15,MASTER!$A$2:$A$2000,0))&amp;"","")</f>
        <v>ae65d6d</v>
      </c>
      <c r="K15" s="12" t="str">
        <f>IFERROR(INDEX(MASTER!$Q$2:$Q$2000,MATCH($A15,MASTER!$A$2:$A$2000,0))&amp;"","")</f>
        <v/>
      </c>
      <c r="L15" s="12" t="str">
        <f>IFERROR(INDEX(MASTER!$R$2:$R$2000,MATCH($A15,MASTER!$A$2:$A$2000,0))&amp;"","")</f>
        <v/>
      </c>
    </row>
  </sheetData>
  <autoFilter ref="A7:L15" xr:uid="{00000000-0009-0000-0000-000007000000}"/>
  <conditionalFormatting sqref="E8:E15">
    <cfRule type="cellIs" dxfId="230" priority="19" operator="equal">
      <formula>"P0"</formula>
    </cfRule>
    <cfRule type="cellIs" dxfId="229" priority="20" operator="equal">
      <formula>"P1"</formula>
    </cfRule>
  </conditionalFormatting>
  <conditionalFormatting sqref="F8:F15">
    <cfRule type="cellIs" dxfId="228" priority="1" operator="equal">
      <formula>"DONE"</formula>
    </cfRule>
    <cfRule type="cellIs" dxfId="227" priority="2" operator="equal">
      <formula>"VERIFIED"</formula>
    </cfRule>
    <cfRule type="cellIs" dxfId="226" priority="3" operator="equal">
      <formula>"IN_PROGRESS"</formula>
    </cfRule>
    <cfRule type="cellIs" dxfId="225" priority="4" operator="equal">
      <formula>"IMPLEMENTED"</formula>
    </cfRule>
    <cfRule type="cellIs" dxfId="224" priority="5" operator="equal">
      <formula>"TESTING"</formula>
    </cfRule>
    <cfRule type="cellIs" dxfId="223" priority="6" operator="equal">
      <formula>"BLOCKED"</formula>
    </cfRule>
    <cfRule type="cellIs" dxfId="222" priority="7" operator="equal">
      <formula>"FAILED"</formula>
    </cfRule>
    <cfRule type="cellIs" dxfId="221" priority="8" operator="equal">
      <formula>"DEFERRED"</formula>
    </cfRule>
    <cfRule type="cellIs" dxfId="220" priority="9" operator="equal">
      <formula>"UNKNOWN"</formula>
    </cfRule>
    <cfRule type="cellIs" dxfId="219" priority="10" operator="equal">
      <formula>"PASS"</formula>
    </cfRule>
    <cfRule type="cellIs" dxfId="218" priority="11" operator="equal">
      <formula>"FAIL"</formula>
    </cfRule>
    <cfRule type="cellIs" dxfId="217" priority="12" operator="equal">
      <formula>"PARTIAL"</formula>
    </cfRule>
    <cfRule type="cellIs" dxfId="216" priority="13" operator="equal">
      <formula>"RESOLVED"</formula>
    </cfRule>
    <cfRule type="cellIs" dxfId="215" priority="14" operator="equal">
      <formula>"OPEN"</formula>
    </cfRule>
    <cfRule type="cellIs" dxfId="214" priority="15" operator="equal">
      <formula>"WITHIN"</formula>
    </cfRule>
    <cfRule type="cellIs" dxfId="213" priority="16" operator="equal">
      <formula>"OVER"</formula>
    </cfRule>
    <cfRule type="cellIs" dxfId="212" priority="17" operator="equal">
      <formula>"NOW"</formula>
    </cfRule>
    <cfRule type="cellIs" dxfId="211" priority="18" operator="equal">
      <formula>"NOT IN MASTER"</formula>
    </cfRule>
  </conditionalFormatting>
  <pageMargins left="0.75" right="0.75" top="1" bottom="1" header="0.5" footer="0.5"/>
  <pageSetup fitToHeight="0"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L16"/>
  <sheetViews>
    <sheetView workbookViewId="0">
      <pane ySplit="4" topLeftCell="A5" activePane="bottomLeft" state="frozen"/>
      <selection pane="bottomLeft"/>
    </sheetView>
  </sheetViews>
  <sheetFormatPr defaultRowHeight="15" x14ac:dyDescent="0.25"/>
  <cols>
    <col min="1" max="1" width="12" customWidth="1"/>
    <col min="2" max="2" width="14" customWidth="1"/>
    <col min="3" max="3" width="7" customWidth="1"/>
    <col min="4" max="4" width="44" customWidth="1"/>
    <col min="5" max="5" width="9" customWidth="1"/>
    <col min="6" max="6" width="14" customWidth="1"/>
    <col min="7" max="7" width="40" customWidth="1"/>
    <col min="8" max="8" width="34" customWidth="1"/>
    <col min="9" max="9" width="16" customWidth="1"/>
    <col min="10" max="10" width="10" customWidth="1"/>
    <col min="11" max="11" width="40" customWidth="1"/>
    <col min="12" max="12" width="11" customWidth="1"/>
  </cols>
  <sheetData>
    <row r="1" spans="1:12" ht="20.25" x14ac:dyDescent="0.3">
      <c r="A1" s="3" t="s">
        <v>1586</v>
      </c>
    </row>
    <row r="2" spans="1:12" x14ac:dyDescent="0.25">
      <c r="A2" s="4" t="s">
        <v>1587</v>
      </c>
    </row>
    <row r="3" spans="1:12" x14ac:dyDescent="0.25">
      <c r="A3" s="6" t="s">
        <v>45</v>
      </c>
      <c r="B3" s="6" t="s">
        <v>46</v>
      </c>
      <c r="C3" s="6" t="s">
        <v>47</v>
      </c>
      <c r="D3" s="6" t="s">
        <v>13</v>
      </c>
      <c r="E3" s="6" t="s">
        <v>16</v>
      </c>
      <c r="F3" s="6" t="s">
        <v>19</v>
      </c>
      <c r="G3" s="6" t="s">
        <v>48</v>
      </c>
      <c r="H3" s="6" t="s">
        <v>33</v>
      </c>
    </row>
    <row r="4" spans="1:12" x14ac:dyDescent="0.25">
      <c r="A4" s="7">
        <f>COUNTIF(MASTER!$C$2:$C$2000,"AI")</f>
        <v>9</v>
      </c>
      <c r="B4" s="7">
        <f>COUNTIFS(MASTER!$C$2:$C$2000,"AI",MASTER!$G$2:$G$2000,"DONE")</f>
        <v>9</v>
      </c>
      <c r="C4" s="7">
        <f>COUNTIFS(MASTER!$C$2:$C$2000,"AI",MASTER!$G$2:$G$2000,"VERIFIED")+B4</f>
        <v>9</v>
      </c>
      <c r="D4" s="7">
        <f>COUNTIFS(MASTER!$C$2:$C$2000,"AI",MASTER!$G$2:$G$2000,"IN_PROGRESS")+COUNTIFS(MASTER!$C$2:$C$2000,"AI",MASTER!$G$2:$G$2000,"IMPLEMENTED")+COUNTIFS(MASTER!$C$2:$C$2000,"AI",MASTER!$G$2:$G$2000,"TESTING")</f>
        <v>0</v>
      </c>
      <c r="E4" s="7">
        <f>COUNTIFS(MASTER!$C$2:$C$2000,"AI",MASTER!$G$2:$G$2000,"BLOCKED")</f>
        <v>0</v>
      </c>
      <c r="F4" s="7">
        <f>COUNTIFS(MASTER!$C$2:$C$2000,"AI",MASTER!$G$2:$G$2000,"FAILED")</f>
        <v>0</v>
      </c>
      <c r="G4" s="9">
        <f>IF(A4=0,0,B4/A4)</f>
        <v>1</v>
      </c>
      <c r="H4" s="9">
        <f>IF(A4=0,0,C4/A4)</f>
        <v>1</v>
      </c>
    </row>
    <row r="6" spans="1:12" ht="15.75" x14ac:dyDescent="0.25">
      <c r="A6" s="5" t="s">
        <v>1577</v>
      </c>
    </row>
    <row r="7" spans="1:12" x14ac:dyDescent="0.25">
      <c r="A7" s="10" t="s">
        <v>166</v>
      </c>
      <c r="B7" s="10" t="s">
        <v>100</v>
      </c>
      <c r="C7" s="10" t="s">
        <v>43</v>
      </c>
      <c r="D7" s="10" t="s">
        <v>167</v>
      </c>
      <c r="E7" s="10" t="s">
        <v>169</v>
      </c>
      <c r="F7" s="10" t="s">
        <v>57</v>
      </c>
      <c r="G7" s="10" t="s">
        <v>170</v>
      </c>
      <c r="H7" s="10" t="s">
        <v>171</v>
      </c>
      <c r="I7" s="10" t="s">
        <v>15</v>
      </c>
      <c r="J7" s="10" t="s">
        <v>177</v>
      </c>
      <c r="K7" s="10" t="s">
        <v>178</v>
      </c>
      <c r="L7" s="10" t="s">
        <v>179</v>
      </c>
    </row>
    <row r="8" spans="1:12" x14ac:dyDescent="0.25">
      <c r="A8" s="15" t="s">
        <v>412</v>
      </c>
      <c r="B8" s="12" t="str">
        <f>IFERROR(INDEX(MASTER!$C$2:$C$2000,MATCH($A8,MASTER!$A$2:$A$2000,0))&amp;"","")</f>
        <v>AI</v>
      </c>
      <c r="C8" s="16">
        <f>IFERROR(INDEX(MASTER!$B$2:$B$2000,MATCH($A8,MASTER!$A$2:$A$2000,0)),"")</f>
        <v>2</v>
      </c>
      <c r="D8" s="12" t="str">
        <f>IFERROR(INDEX(MASTER!$D$2:$D$2000,MATCH($A8,MASTER!$A$2:$A$2000,0))&amp;"","")</f>
        <v>Content fidelity comparator</v>
      </c>
      <c r="E8" s="12" t="str">
        <f>IFERROR(INDEX(MASTER!$F$2:$F$2000,MATCH($A8,MASTER!$A$2:$A$2000,0))&amp;"","")</f>
        <v>P0</v>
      </c>
      <c r="F8" s="12" t="str">
        <f>IFERROR(INDEX(MASTER!$G$2:$G$2000,MATCH($A8,MASTER!$A$2:$A$2000,0))&amp;"","NOT IN MASTER")</f>
        <v>DONE</v>
      </c>
      <c r="G8" s="12" t="str">
        <f>IFERROR(INDEX(MASTER!$H$2:$H$2000,MATCH($A8,MASTER!$A$2:$A$2000,0))&amp;"","")</f>
        <v>app/fidelity/text_check.py: check_text compares source and AI answer token by token in order (words; numbers with sign/decimals/separators/percent as one token; every punctuation mark); verified only when identical after removing what isn't content (spacing, typographic variants, table separators, list/heading marks at line starts). Differences classified number/unit/negation/sentence/duplicate/reordered/punctuation/words; moved runs paired by their words. Replaces the bag-of-words 20%-unknown check (AUD-02) that passed sentence deletions, 'not' removal and 5-&gt;50.</v>
      </c>
      <c r="H8" s="12" t="str">
        <f>IFERROR(INDEX(MASTER!$I$2:$I$2000,MATCH($A8,MASTER!$A$2:$A$2000,0))&amp;"","")</f>
        <v>tests/test_ai_fidelity.py (36)</v>
      </c>
      <c r="I8" s="19">
        <f>IFERROR(IF(INDEX(MASTER!$O$2:$O$2000,MATCH($A8,MASTER!$A$2:$A$2000,0))="","",INDEX(MASTER!$O$2:$O$2000,MATCH($A8,MASTER!$A$2:$A$2000,0))),"")</f>
        <v>46292.605937499997</v>
      </c>
      <c r="J8" s="12" t="str">
        <f>IFERROR(INDEX(MASTER!$P$2:$P$2000,MATCH($A8,MASTER!$A$2:$A$2000,0))&amp;"","")</f>
        <v>78f5c8f</v>
      </c>
      <c r="K8" s="12" t="str">
        <f>IFERROR(INDEX(MASTER!$Q$2:$Q$2000,MATCH($A8,MASTER!$A$2:$A$2000,0))&amp;"","")</f>
        <v>compare_words (app/fidelity/content.py): order/count/token-aware, numbers and negation caught, moved passages told apart; used by the import report. Phase 2: punctuation/structure awareness, use inside structure analysis.</v>
      </c>
      <c r="L8" s="12" t="str">
        <f>IFERROR(INDEX(MASTER!$R$2:$R$2000,MATCH($A8,MASTER!$A$2:$A$2000,0))&amp;"","")</f>
        <v/>
      </c>
    </row>
    <row r="9" spans="1:12" x14ac:dyDescent="0.25">
      <c r="A9" s="15" t="s">
        <v>421</v>
      </c>
      <c r="B9" s="12" t="str">
        <f>IFERROR(INDEX(MASTER!$C$2:$C$2000,MATCH($A9,MASTER!$A$2:$A$2000,0))&amp;"","")</f>
        <v>AI</v>
      </c>
      <c r="C9" s="16">
        <f>IFERROR(INDEX(MASTER!$B$2:$B$2000,MATCH($A9,MASTER!$A$2:$A$2000,0)),"")</f>
        <v>2</v>
      </c>
      <c r="D9" s="12" t="str">
        <f>IFERROR(INDEX(MASTER!$D$2:$D$2000,MATCH($A9,MASTER!$A$2:$A$2000,0))&amp;"","")</f>
        <v>Protected facts: numbers, units, percentages, dates, identifiers</v>
      </c>
      <c r="E9" s="12" t="str">
        <f>IFERROR(INDEX(MASTER!$F$2:$F$2000,MATCH($A9,MASTER!$A$2:$A$2000,0))&amp;"","")</f>
        <v>P0</v>
      </c>
      <c r="F9" s="12" t="str">
        <f>IFERROR(INDEX(MASTER!$G$2:$G$2000,MATCH($A9,MASTER!$A$2:$A$2000,0))&amp;"","NOT IN MASTER")</f>
        <v>DONE</v>
      </c>
      <c r="G9" s="12" t="str">
        <f>IFERROR(INDEX(MASTER!$H$2:$H$2000,MATCH($A9,MASTER!$A$2:$A$2000,0))&amp;"","")</f>
        <v>Numbers (amounts, percentages incl. decimal separator, dates, times, identifiers with digits) and units after a number are protected facts: a difference touching one is protected (TextDifference.protected; a reordered one isn't). Structure analysis refuses any change; text_check.changed_numbers(source, result) names lost/gained numbers where words may rightly differ (translation, requested rewording).</v>
      </c>
      <c r="H9" s="12" t="str">
        <f>IFERROR(INDEX(MASTER!$I$2:$I$2000,MATCH($A9,MASTER!$A$2:$A$2000,0))&amp;"","")</f>
        <v>tests/test_ai_fidelity.py (alteration cases with protected flags; test_numbers_are_facts_even_where_the_words_may_change)</v>
      </c>
      <c r="I9" s="19">
        <f>IFERROR(IF(INDEX(MASTER!$O$2:$O$2000,MATCH($A9,MASTER!$A$2:$A$2000,0))="","",INDEX(MASTER!$O$2:$O$2000,MATCH($A9,MASTER!$A$2:$A$2000,0))),"")</f>
        <v>46292.60597222222</v>
      </c>
      <c r="J9" s="12" t="str">
        <f>IFERROR(INDEX(MASTER!$P$2:$P$2000,MATCH($A9,MASTER!$A$2:$A$2000,0))&amp;"","")</f>
        <v>78f5c8f</v>
      </c>
      <c r="K9" s="12" t="str">
        <f>IFERROR(INDEX(MASTER!$Q$2:$Q$2000,MATCH($A9,MASTER!$A$2:$A$2000,0))&amp;"","")</f>
        <v>Translation (TRAN-*) and AI proposals (AI-006) use changed_numbers / protected.</v>
      </c>
      <c r="L9" s="12" t="str">
        <f>IFERROR(INDEX(MASTER!$R$2:$R$2000,MATCH($A9,MASTER!$A$2:$A$2000,0))&amp;"","")</f>
        <v>AI-001</v>
      </c>
    </row>
    <row r="10" spans="1:12" x14ac:dyDescent="0.25">
      <c r="A10" s="15" t="s">
        <v>427</v>
      </c>
      <c r="B10" s="12" t="str">
        <f>IFERROR(INDEX(MASTER!$C$2:$C$2000,MATCH($A10,MASTER!$A$2:$A$2000,0))&amp;"","")</f>
        <v>AI</v>
      </c>
      <c r="C10" s="16">
        <f>IFERROR(INDEX(MASTER!$B$2:$B$2000,MATCH($A10,MASTER!$A$2:$A$2000,0)),"")</f>
        <v>2</v>
      </c>
      <c r="D10" s="12" t="str">
        <f>IFERROR(INDEX(MASTER!$D$2:$D$2000,MATCH($A10,MASTER!$A$2:$A$2000,0))&amp;"","")</f>
        <v>Structure analysis uses the comparator</v>
      </c>
      <c r="E10" s="12" t="str">
        <f>IFERROR(INDEX(MASTER!$F$2:$F$2000,MATCH($A10,MASTER!$A$2:$A$2000,0))&amp;"","")</f>
        <v>P0</v>
      </c>
      <c r="F10" s="12" t="str">
        <f>IFERROR(INDEX(MASTER!$G$2:$G$2000,MATCH($A10,MASTER!$A$2:$A$2000,0))&amp;"","NOT IN MASTER")</f>
        <v>DONE</v>
      </c>
      <c r="G10" s="12" t="str">
        <f>IFERROR(INDEX(MASTER!$H$2:$H$2000,MATCH($A10,MASTER!$A$2:$A$2000,0))&amp;"","")</f>
        <v>structure_analysis.fidelity_check uses check_text on each piece (answer text one block/item/cell per line); a failing answer is retried once, then that piece alone is split into paragraphs by rules; the log gives the check's summary ('negation x1') and never text. The system prompt and retry reminder now say every word, number and punctuation mark must stay, only line-start list/heading marks may go.</v>
      </c>
      <c r="H10" s="12" t="str">
        <f>IFERROR(INDEX(MASTER!$I$2:$I$2000,MATCH($A10,MASTER!$A$2:$A$2000,0))&amp;"","")</f>
        <v>tests/test_ai_fidelity.py::test_an_answer_that_alters_the_text_never_reaches_the_document (13 cases), ::test_a_piece_that_alters_the_text_falls_back_alone, ::test_the_log_says_what_changed_never_the_text, tests/test_fidelity_report.py::test_an_ai_answer_that_drops_a_sentence_never_reaches_the_document</v>
      </c>
      <c r="I10" s="19">
        <f>IFERROR(IF(INDEX(MASTER!$O$2:$O$2000,MATCH($A10,MASTER!$A$2:$A$2000,0))="","",INDEX(MASTER!$O$2:$O$2000,MATCH($A10,MASTER!$A$2:$A$2000,0))),"")</f>
        <v>46292.60601851852</v>
      </c>
      <c r="J10" s="12" t="str">
        <f>IFERROR(INDEX(MASTER!$P$2:$P$2000,MATCH($A10,MASTER!$A$2:$A$2000,0))&amp;"","")</f>
        <v>78f5c8f</v>
      </c>
      <c r="K10" s="12" t="str">
        <f>IFERROR(INDEX(MASTER!$Q$2:$Q$2000,MATCH($A10,MASTER!$A$2:$A$2000,0))&amp;"","")</f>
        <v/>
      </c>
      <c r="L10" s="12" t="str">
        <f>IFERROR(INDEX(MASTER!$R$2:$R$2000,MATCH($A10,MASTER!$A$2:$A$2000,0))&amp;"","")</f>
        <v>AI-001</v>
      </c>
    </row>
    <row r="11" spans="1:12" x14ac:dyDescent="0.25">
      <c r="A11" s="15" t="s">
        <v>432</v>
      </c>
      <c r="B11" s="12" t="str">
        <f>IFERROR(INDEX(MASTER!$C$2:$C$2000,MATCH($A11,MASTER!$A$2:$A$2000,0))&amp;"","")</f>
        <v>AI</v>
      </c>
      <c r="C11" s="16">
        <f>IFERROR(INDEX(MASTER!$B$2:$B$2000,MATCH($A11,MASTER!$A$2:$A$2000,0)),"")</f>
        <v>2</v>
      </c>
      <c r="D11" s="12" t="str">
        <f>IFERROR(INDEX(MASTER!$D$2:$D$2000,MATCH($A11,MASTER!$A$2:$A$2000,0))&amp;"","")</f>
        <v>Adversarial fidelity tests</v>
      </c>
      <c r="E11" s="12" t="str">
        <f>IFERROR(INDEX(MASTER!$F$2:$F$2000,MATCH($A11,MASTER!$A$2:$A$2000,0))&amp;"","")</f>
        <v>P0</v>
      </c>
      <c r="F11" s="12" t="str">
        <f>IFERROR(INDEX(MASTER!$G$2:$G$2000,MATCH($A11,MASTER!$A$2:$A$2000,0))&amp;"","NOT IN MASTER")</f>
        <v>DONE</v>
      </c>
      <c r="G11" s="12" t="str">
        <f>IFERROR(INDEX(MASTER!$H$2:$H$2000,MATCH($A11,MASTER!$A$2:$A$2000,0))&amp;"","")</f>
        <v>Adversarial suite: sentence deletion, word deletion, 'not' removal (and Bulgarian 'не'), number, unit, percentage, decimal separator, date change, added sentence, reordered sentence, duplicated content, punctuation alteration, heading change - each caught with its category and protected flag, and each refused by structure analysis end to end; structure/typography variants pass.</v>
      </c>
      <c r="H11" s="12" t="str">
        <f>IFERROR(INDEX(MASTER!$I$2:$I$2000,MATCH($A11,MASTER!$A$2:$A$2000,0))&amp;"","")</f>
        <v>tests/test_ai_fidelity.py (36 passed); backend suite 789 passed</v>
      </c>
      <c r="I11" s="19">
        <f>IFERROR(IF(INDEX(MASTER!$O$2:$O$2000,MATCH($A11,MASTER!$A$2:$A$2000,0))="","",INDEX(MASTER!$O$2:$O$2000,MATCH($A11,MASTER!$A$2:$A$2000,0))),"")</f>
        <v>46292.606053240743</v>
      </c>
      <c r="J11" s="12" t="str">
        <f>IFERROR(INDEX(MASTER!$P$2:$P$2000,MATCH($A11,MASTER!$A$2:$A$2000,0))&amp;"","")</f>
        <v>78f5c8f</v>
      </c>
      <c r="K11" s="12" t="str">
        <f>IFERROR(INDEX(MASTER!$Q$2:$Q$2000,MATCH($A11,MASTER!$A$2:$A$2000,0))&amp;"","")</f>
        <v/>
      </c>
      <c r="L11" s="12" t="str">
        <f>IFERROR(INDEX(MASTER!$R$2:$R$2000,MATCH($A11,MASTER!$A$2:$A$2000,0))&amp;"","")</f>
        <v>AI-001</v>
      </c>
    </row>
    <row r="12" spans="1:12" x14ac:dyDescent="0.25">
      <c r="A12" s="15" t="s">
        <v>437</v>
      </c>
      <c r="B12" s="12" t="str">
        <f>IFERROR(INDEX(MASTER!$C$2:$C$2000,MATCH($A12,MASTER!$A$2:$A$2000,0))&amp;"","")</f>
        <v>AI</v>
      </c>
      <c r="C12" s="16">
        <f>IFERROR(INDEX(MASTER!$B$2:$B$2000,MATCH($A12,MASTER!$A$2:$A$2000,0)),"")</f>
        <v>2</v>
      </c>
      <c r="D12" s="12" t="str">
        <f>IFERROR(INDEX(MASTER!$D$2:$D$2000,MATCH($A12,MASTER!$A$2:$A$2000,0))&amp;"","")</f>
        <v>Classify AI operations</v>
      </c>
      <c r="E12" s="12" t="str">
        <f>IFERROR(INDEX(MASTER!$F$2:$F$2000,MATCH($A12,MASTER!$A$2:$A$2000,0))&amp;"","")</f>
        <v>P0</v>
      </c>
      <c r="F12" s="12" t="str">
        <f>IFERROR(INDEX(MASTER!$G$2:$G$2000,MATCH($A12,MASTER!$A$2:$A$2000,0))&amp;"","NOT IN MASTER")</f>
        <v>DONE</v>
      </c>
      <c r="G12" s="12" t="str">
        <f>IFERROR(INDEX(MASTER!$H$2:$H$2000,MATCH($A12,MASTER!$A$2:$A$2000,0))&amp;"","")</f>
        <v>formatting/proposals.py: classify() sorts instruction operations by what they touch - set_style FORMAT, add_page_break STRUCTURE, insert/delete/move CONTENT (unknown -&gt; CONTENT); split_operations() applies formatting/structure at once and routes content changes to proposals. Bug found and fixed on the way: apply_formatting rebuilt the rules after the operations and dropped a style an instruction set on one element ('Applied 1 change', nothing changed) - operations now apply after the formatting pass.</v>
      </c>
      <c r="H12" s="12" t="str">
        <f>IFERROR(INDEX(MASTER!$I$2:$I$2000,MATCH($A12,MASTER!$A$2:$A$2000,0))&amp;"","")</f>
        <v>tests/test_ai_proposals.py::test_operations_are_sorted_by_what_they_touch, ::test_a_style_an_instruction_sets_on_one_element_is_kept</v>
      </c>
      <c r="I12" s="19">
        <f>IFERROR(IF(INDEX(MASTER!$O$2:$O$2000,MATCH($A12,MASTER!$A$2:$A$2000,0))="","",INDEX(MASTER!$O$2:$O$2000,MATCH($A12,MASTER!$A$2:$A$2000,0))),"")</f>
        <v>46292.606504629628</v>
      </c>
      <c r="J12" s="12" t="str">
        <f>IFERROR(INDEX(MASTER!$P$2:$P$2000,MATCH($A12,MASTER!$A$2:$A$2000,0))&amp;"","")</f>
        <v>5f67f5a</v>
      </c>
      <c r="K12" s="12" t="str">
        <f>IFERROR(INDEX(MASTER!$Q$2:$Q$2000,MATCH($A12,MASTER!$A$2:$A$2000,0))&amp;"","")</f>
        <v/>
      </c>
      <c r="L12" s="12" t="str">
        <f>IFERROR(INDEX(MASTER!$R$2:$R$2000,MATCH($A12,MASTER!$A$2:$A$2000,0))&amp;"","")</f>
        <v/>
      </c>
    </row>
    <row r="13" spans="1:12" x14ac:dyDescent="0.25">
      <c r="A13" s="15" t="s">
        <v>444</v>
      </c>
      <c r="B13" s="12" t="str">
        <f>IFERROR(INDEX(MASTER!$C$2:$C$2000,MATCH($A13,MASTER!$A$2:$A$2000,0))&amp;"","")</f>
        <v>AI</v>
      </c>
      <c r="C13" s="16">
        <f>IFERROR(INDEX(MASTER!$B$2:$B$2000,MATCH($A13,MASTER!$A$2:$A$2000,0)),"")</f>
        <v>2</v>
      </c>
      <c r="D13" s="12" t="str">
        <f>IFERROR(INDEX(MASTER!$D$2:$D$2000,MATCH($A13,MASTER!$A$2:$A$2000,0))&amp;"","")</f>
        <v>PLAN -&gt; VALIDATE -&gt; PREVIEW -&gt; ACCEPT -&gt; APPLY</v>
      </c>
      <c r="E13" s="12" t="str">
        <f>IFERROR(INDEX(MASTER!$F$2:$F$2000,MATCH($A13,MASTER!$A$2:$A$2000,0))&amp;"","")</f>
        <v>P0</v>
      </c>
      <c r="F13" s="12" t="str">
        <f>IFERROR(INDEX(MASTER!$G$2:$G$2000,MATCH($A13,MASTER!$A$2:$A$2000,0))&amp;"","NOT IN MASTER")</f>
        <v>DONE</v>
      </c>
      <c r="G13" s="12" t="str">
        <f>IFERROR(INDEX(MASTER!$H$2:$H$2000,MATCH($A13,MASTER!$A$2:$A$2000,0))&amp;"","")</f>
        <v>Content-changing instruction operations are validated then stored as proposals with previews (before = text deleted/moved, after = text inserted, reason = instruction), never applied from the instruction; deduplicated; POST /documents/{id}/proposals/{p}/accept validates against the current document and applies as one undoable step (history 'AI proposal accepted'), 409 when it no longer fits; /reject drops it; proposals about removed blocks are pruned on save and after an accept. Format responses and job results carry proposalCount.</v>
      </c>
      <c r="H13" s="12" t="str">
        <f>IFERROR(INDEX(MASTER!$I$2:$I$2000,MATCH($A13,MASTER!$A$2:$A$2000,0))&amp;"","")</f>
        <v>tests/test_ai_proposals.py (8), frontend/e2e/proposals.spec.ts</v>
      </c>
      <c r="I13" s="19">
        <f>IFERROR(IF(INDEX(MASTER!$O$2:$O$2000,MATCH($A13,MASTER!$A$2:$A$2000,0))="","",INDEX(MASTER!$O$2:$O$2000,MATCH($A13,MASTER!$A$2:$A$2000,0))),"")</f>
        <v>46292.606585648151</v>
      </c>
      <c r="J13" s="12" t="str">
        <f>IFERROR(INDEX(MASTER!$P$2:$P$2000,MATCH($A13,MASTER!$A$2:$A$2000,0))&amp;"","")</f>
        <v>5f67f5a</v>
      </c>
      <c r="K13" s="12" t="str">
        <f>IFERROR(INDEX(MASTER!$Q$2:$Q$2000,MATCH($A13,MASTER!$A$2:$A$2000,0))&amp;"","")</f>
        <v/>
      </c>
      <c r="L13" s="12" t="str">
        <f>IFERROR(INDEX(MASTER!$R$2:$R$2000,MATCH($A13,MASTER!$A$2:$A$2000,0))&amp;"","")</f>
        <v>AI-005</v>
      </c>
    </row>
    <row r="14" spans="1:12" x14ac:dyDescent="0.25">
      <c r="A14" s="15" t="s">
        <v>451</v>
      </c>
      <c r="B14" s="12" t="str">
        <f>IFERROR(INDEX(MASTER!$C$2:$C$2000,MATCH($A14,MASTER!$A$2:$A$2000,0))&amp;"","")</f>
        <v>AI</v>
      </c>
      <c r="C14" s="16">
        <f>IFERROR(INDEX(MASTER!$B$2:$B$2000,MATCH($A14,MASTER!$A$2:$A$2000,0)),"")</f>
        <v>2</v>
      </c>
      <c r="D14" s="12" t="str">
        <f>IFERROR(INDEX(MASTER!$D$2:$D$2000,MATCH($A14,MASTER!$A$2:$A$2000,0))&amp;"","")</f>
        <v>Proposal review UI</v>
      </c>
      <c r="E14" s="12" t="str">
        <f>IFERROR(INDEX(MASTER!$F$2:$F$2000,MATCH($A14,MASTER!$A$2:$A$2000,0))&amp;"","")</f>
        <v>P0</v>
      </c>
      <c r="F14" s="12" t="str">
        <f>IFERROR(INDEX(MASTER!$G$2:$G$2000,MATCH($A14,MASTER!$A$2:$A$2000,0))&amp;"","NOT IN MASTER")</f>
        <v>DONE</v>
      </c>
      <c r="G14" s="12" t="str">
        <f>IFERROR(INDEX(MASTER!$H$2:$H$2000,MATCH($A14,MASTER!$A$2:$A$2000,0))&amp;"","")</f>
        <v>editor/panels/ProposalsList.tsx in the Instructions panel: each proposal with what it deletes (the block as it reads now, struck through), adds or moves and where, the instruction, Accept/Reject/Show; status bar 'N AI changes to review'; the notice after applying says what applied and what waits. E2E through a real browser with the scripted E2E AI (backend/scripts/e2e_ai.py).</v>
      </c>
      <c r="H14" s="12" t="str">
        <f>IFERROR(INDEX(MASTER!$I$2:$I$2000,MATCH($A14,MASTER!$A$2:$A$2000,0))&amp;"","")</f>
        <v>frontend/editor/panels/ProposalsList.test.tsx (4), frontend/e2e/proposals.spec.ts; Vitest 117, Playwright 20</v>
      </c>
      <c r="I14" s="19">
        <f>IFERROR(IF(INDEX(MASTER!$O$2:$O$2000,MATCH($A14,MASTER!$A$2:$A$2000,0))="","",INDEX(MASTER!$O$2:$O$2000,MATCH($A14,MASTER!$A$2:$A$2000,0))),"")</f>
        <v>46292.606620370367</v>
      </c>
      <c r="J14" s="12" t="str">
        <f>IFERROR(INDEX(MASTER!$P$2:$P$2000,MATCH($A14,MASTER!$A$2:$A$2000,0))&amp;"","")</f>
        <v>5f67f5a</v>
      </c>
      <c r="K14" s="12" t="str">
        <f>IFERROR(INDEX(MASTER!$Q$2:$Q$2000,MATCH($A14,MASTER!$A$2:$A$2000,0))&amp;"","")</f>
        <v/>
      </c>
      <c r="L14" s="12" t="str">
        <f>IFERROR(INDEX(MASTER!$R$2:$R$2000,MATCH($A14,MASTER!$A$2:$A$2000,0))&amp;"","")</f>
        <v>AI-006</v>
      </c>
    </row>
    <row r="15" spans="1:12" x14ac:dyDescent="0.25">
      <c r="A15" s="15" t="s">
        <v>456</v>
      </c>
      <c r="B15" s="12" t="str">
        <f>IFERROR(INDEX(MASTER!$C$2:$C$2000,MATCH($A15,MASTER!$A$2:$A$2000,0))&amp;"","")</f>
        <v>AI</v>
      </c>
      <c r="C15" s="16">
        <f>IFERROR(INDEX(MASTER!$B$2:$B$2000,MATCH($A15,MASTER!$A$2:$A$2000,0)),"")</f>
        <v>2</v>
      </c>
      <c r="D15" s="12" t="str">
        <f>IFERROR(INDEX(MASTER!$D$2:$D$2000,MATCH($A15,MASTER!$A$2:$A$2000,0))&amp;"","")</f>
        <v>Per-document AI budget and deadline</v>
      </c>
      <c r="E15" s="12" t="str">
        <f>IFERROR(INDEX(MASTER!$F$2:$F$2000,MATCH($A15,MASTER!$A$2:$A$2000,0))&amp;"","")</f>
        <v>P1</v>
      </c>
      <c r="F15" s="12" t="str">
        <f>IFERROR(INDEX(MASTER!$G$2:$G$2000,MATCH($A15,MASTER!$A$2:$A$2000,0))&amp;"","NOT IN MASTER")</f>
        <v>DONE</v>
      </c>
      <c r="G15" s="12" t="str">
        <f>IFERROR(INDEX(MASTER!$H$2:$H$2000,MATCH($A15,MASTER!$A$2:$A$2000,0))&amp;"","")</f>
        <v>app/ai/budget.py BudgetedAIProvider: a per-job and per-request allowance of calls (AI_CALLS_PER_JOB, default 50) and seconds (AI_SECONDS_PER_JOB, default 900), wrapped around the metered provider in jobs/runner.py and api/deps.py; over it a call is refused at once and one still running at the deadline is cancelled (AIBudgetExceededError, a refusal every AI step falls back from). Structure analysis doesn't retry after it and splits the rest into paragraphs with a note in the import report. Retries bounded in settings (0-3); tokens bounded by calls x max_tokens and piece size. Before: 20 pieces x 2 attempts x 3 SDK tries x 180 s per document.</v>
      </c>
      <c r="H15" s="12" t="str">
        <f>IFERROR(INDEX(MASTER!$I$2:$I$2000,MATCH($A15,MASTER!$A$2:$A$2000,0))&amp;"","")</f>
        <v>tests/test_ai_budget.py (6); backend suite 805 passed</v>
      </c>
      <c r="I15" s="19">
        <f>IFERROR(IF(INDEX(MASTER!$O$2:$O$2000,MATCH($A15,MASTER!$A$2:$A$2000,0))="","",INDEX(MASTER!$O$2:$O$2000,MATCH($A15,MASTER!$A$2:$A$2000,0))),"")</f>
        <v>46292.606782407413</v>
      </c>
      <c r="J15" s="12" t="str">
        <f>IFERROR(INDEX(MASTER!$P$2:$P$2000,MATCH($A15,MASTER!$A$2:$A$2000,0))&amp;"","")</f>
        <v>03f6a44</v>
      </c>
      <c r="K15" s="12" t="str">
        <f>IFERROR(INDEX(MASTER!$Q$2:$Q$2000,MATCH($A15,MASTER!$A$2:$A$2000,0))&amp;"","")</f>
        <v/>
      </c>
      <c r="L15" s="12" t="str">
        <f>IFERROR(INDEX(MASTER!$R$2:$R$2000,MATCH($A15,MASTER!$A$2:$A$2000,0))&amp;"","")</f>
        <v/>
      </c>
    </row>
    <row r="16" spans="1:12" x14ac:dyDescent="0.25">
      <c r="A16" s="15" t="s">
        <v>462</v>
      </c>
      <c r="B16" s="12" t="str">
        <f>IFERROR(INDEX(MASTER!$C$2:$C$2000,MATCH($A16,MASTER!$A$2:$A$2000,0))&amp;"","")</f>
        <v>AI</v>
      </c>
      <c r="C16" s="16">
        <f>IFERROR(INDEX(MASTER!$B$2:$B$2000,MATCH($A16,MASTER!$A$2:$A$2000,0)),"")</f>
        <v>2</v>
      </c>
      <c r="D16" s="12" t="str">
        <f>IFERROR(INDEX(MASTER!$D$2:$D$2000,MATCH($A16,MASTER!$A$2:$A$2000,0))&amp;"","")</f>
        <v>Prompt-injection hardening review</v>
      </c>
      <c r="E16" s="12" t="str">
        <f>IFERROR(INDEX(MASTER!$F$2:$F$2000,MATCH($A16,MASTER!$A$2:$A$2000,0))&amp;"","")</f>
        <v>P1</v>
      </c>
      <c r="F16" s="12" t="str">
        <f>IFERROR(INDEX(MASTER!$G$2:$G$2000,MATCH($A16,MASTER!$A$2:$A$2000,0))&amp;"","NOT IN MASTER")</f>
        <v>DONE</v>
      </c>
      <c r="G16" s="12" t="str">
        <f>IFERROR(INDEX(MASTER!$H$2:$H$2000,MATCH($A16,MASTER!$A$2:$A$2000,0))&amp;"","")</f>
        <v>Review of every AI task: each fences the document in a per-call random tag (8 hex) with UNTRUSTED_DOCUMENT in its system rules; the call log carries no text. Output path gaps found and closed: a structure answer's document type, heading level, list level and code language reached the document unbounded (probe: a 560-char '&lt;img onerror&gt;' documentType, heading level 99, a language with quotes) - now bounded in ai/schemas.py (slug &lt;=40, 1-6, 0-8, plain name &lt;=30) and the document type normalised; style-analysis tone/summary/reasons length-bounded; instruction insert text &lt;=10,000. The SDK moves unsupported bounds into descriptions and validates locally (ValidationError -&gt; retry -&gt; fallback).</v>
      </c>
      <c r="H16" s="12" t="str">
        <f>IFERROR(INDEX(MASTER!$I$2:$I$2000,MATCH($A16,MASTER!$A$2:$A$2000,0))&amp;"","")</f>
        <v>tests/test_prompt_injection.py (12); backend suite 817 passed</v>
      </c>
      <c r="I16" s="19">
        <f>IFERROR(IF(INDEX(MASTER!$O$2:$O$2000,MATCH($A16,MASTER!$A$2:$A$2000,0))="","",INDEX(MASTER!$O$2:$O$2000,MATCH($A16,MASTER!$A$2:$A$2000,0))),"")</f>
        <v>46292.606979166667</v>
      </c>
      <c r="J16" s="12" t="str">
        <f>IFERROR(INDEX(MASTER!$P$2:$P$2000,MATCH($A16,MASTER!$A$2:$A$2000,0))&amp;"","")</f>
        <v>8253a6a</v>
      </c>
      <c r="K16" s="12" t="str">
        <f>IFERROR(INDEX(MASTER!$Q$2:$Q$2000,MATCH($A16,MASTER!$A$2:$A$2000,0))&amp;"","")</f>
        <v/>
      </c>
      <c r="L16" s="12" t="str">
        <f>IFERROR(INDEX(MASTER!$R$2:$R$2000,MATCH($A16,MASTER!$A$2:$A$2000,0))&amp;"","")</f>
        <v/>
      </c>
    </row>
  </sheetData>
  <autoFilter ref="A7:L16" xr:uid="{00000000-0009-0000-0000-000008000000}"/>
  <conditionalFormatting sqref="E8:E16">
    <cfRule type="cellIs" dxfId="210" priority="19" operator="equal">
      <formula>"P0"</formula>
    </cfRule>
    <cfRule type="cellIs" dxfId="209" priority="20" operator="equal">
      <formula>"P1"</formula>
    </cfRule>
  </conditionalFormatting>
  <conditionalFormatting sqref="F8:F16">
    <cfRule type="cellIs" dxfId="208" priority="1" operator="equal">
      <formula>"DONE"</formula>
    </cfRule>
    <cfRule type="cellIs" dxfId="207" priority="2" operator="equal">
      <formula>"VERIFIED"</formula>
    </cfRule>
    <cfRule type="cellIs" dxfId="206" priority="3" operator="equal">
      <formula>"IN_PROGRESS"</formula>
    </cfRule>
    <cfRule type="cellIs" dxfId="205" priority="4" operator="equal">
      <formula>"IMPLEMENTED"</formula>
    </cfRule>
    <cfRule type="cellIs" dxfId="204" priority="5" operator="equal">
      <formula>"TESTING"</formula>
    </cfRule>
    <cfRule type="cellIs" dxfId="203" priority="6" operator="equal">
      <formula>"BLOCKED"</formula>
    </cfRule>
    <cfRule type="cellIs" dxfId="202" priority="7" operator="equal">
      <formula>"FAILED"</formula>
    </cfRule>
    <cfRule type="cellIs" dxfId="201" priority="8" operator="equal">
      <formula>"DEFERRED"</formula>
    </cfRule>
    <cfRule type="cellIs" dxfId="200" priority="9" operator="equal">
      <formula>"UNKNOWN"</formula>
    </cfRule>
    <cfRule type="cellIs" dxfId="199" priority="10" operator="equal">
      <formula>"PASS"</formula>
    </cfRule>
    <cfRule type="cellIs" dxfId="198" priority="11" operator="equal">
      <formula>"FAIL"</formula>
    </cfRule>
    <cfRule type="cellIs" dxfId="197" priority="12" operator="equal">
      <formula>"PARTIAL"</formula>
    </cfRule>
    <cfRule type="cellIs" dxfId="196" priority="13" operator="equal">
      <formula>"RESOLVED"</formula>
    </cfRule>
    <cfRule type="cellIs" dxfId="195" priority="14" operator="equal">
      <formula>"OPEN"</formula>
    </cfRule>
    <cfRule type="cellIs" dxfId="194" priority="15" operator="equal">
      <formula>"WITHIN"</formula>
    </cfRule>
    <cfRule type="cellIs" dxfId="193" priority="16" operator="equal">
      <formula>"OVER"</formula>
    </cfRule>
    <cfRule type="cellIs" dxfId="192" priority="17" operator="equal">
      <formula>"NOW"</formula>
    </cfRule>
    <cfRule type="cellIs" dxfId="191" priority="18" operator="equal">
      <formula>"NOT IN MASTER"</formula>
    </cfRule>
  </conditionalFormatting>
  <pageMargins left="0.75" right="0.75" top="1" bottom="1" header="0.5" footer="0.5"/>
  <pageSetup fitToHeight="0" orientation="landscape"/>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L29"/>
  <sheetViews>
    <sheetView workbookViewId="0">
      <pane ySplit="4" topLeftCell="A5" activePane="bottomLeft" state="frozen"/>
      <selection pane="bottomLeft"/>
    </sheetView>
  </sheetViews>
  <sheetFormatPr defaultRowHeight="15" x14ac:dyDescent="0.25"/>
  <cols>
    <col min="1" max="1" width="12" customWidth="1"/>
    <col min="2" max="2" width="14" customWidth="1"/>
    <col min="3" max="3" width="7" customWidth="1"/>
    <col min="4" max="4" width="44" customWidth="1"/>
    <col min="5" max="5" width="9" customWidth="1"/>
    <col min="6" max="6" width="14" customWidth="1"/>
    <col min="7" max="7" width="40" customWidth="1"/>
    <col min="8" max="8" width="34" customWidth="1"/>
    <col min="9" max="9" width="16" customWidth="1"/>
    <col min="10" max="10" width="10" customWidth="1"/>
    <col min="11" max="11" width="40" customWidth="1"/>
    <col min="12" max="12" width="11" customWidth="1"/>
  </cols>
  <sheetData>
    <row r="1" spans="1:12" ht="20.25" x14ac:dyDescent="0.3">
      <c r="A1" s="3" t="s">
        <v>1588</v>
      </c>
    </row>
    <row r="2" spans="1:12" x14ac:dyDescent="0.25">
      <c r="A2" s="4" t="s">
        <v>1589</v>
      </c>
    </row>
    <row r="3" spans="1:12" x14ac:dyDescent="0.25">
      <c r="A3" s="6" t="s">
        <v>45</v>
      </c>
      <c r="B3" s="6" t="s">
        <v>46</v>
      </c>
      <c r="C3" s="6" t="s">
        <v>47</v>
      </c>
      <c r="D3" s="6" t="s">
        <v>13</v>
      </c>
      <c r="E3" s="6" t="s">
        <v>16</v>
      </c>
      <c r="F3" s="6" t="s">
        <v>19</v>
      </c>
      <c r="G3" s="6" t="s">
        <v>48</v>
      </c>
      <c r="H3" s="6" t="s">
        <v>33</v>
      </c>
    </row>
    <row r="4" spans="1:12" x14ac:dyDescent="0.25">
      <c r="A4" s="7">
        <f>COUNTIF(MASTER!$C$2:$C$2000,"SECURITY")+COUNTIF(MASTER!$C$2:$C$2000,"ACCOUNT")</f>
        <v>22</v>
      </c>
      <c r="B4" s="7">
        <f>COUNTIFS(MASTER!$C$2:$C$2000,"SECURITY",MASTER!$G$2:$G$2000,"DONE")+COUNTIFS(MASTER!$C$2:$C$2000,"ACCOUNT",MASTER!$G$2:$G$2000,"DONE")</f>
        <v>21</v>
      </c>
      <c r="C4" s="7">
        <f>COUNTIFS(MASTER!$C$2:$C$2000,"SECURITY",MASTER!$G$2:$G$2000,"VERIFIED")+COUNTIFS(MASTER!$C$2:$C$2000,"ACCOUNT",MASTER!$G$2:$G$2000,"VERIFIED")+B4</f>
        <v>21</v>
      </c>
      <c r="D4" s="7">
        <f>COUNTIFS(MASTER!$C$2:$C$2000,"SECURITY",MASTER!$G$2:$G$2000,"IN_PROGRESS")+COUNTIFS(MASTER!$C$2:$C$2000,"SECURITY",MASTER!$G$2:$G$2000,"IMPLEMENTED")+COUNTIFS(MASTER!$C$2:$C$2000,"SECURITY",MASTER!$G$2:$G$2000,"TESTING")+COUNTIFS(MASTER!$C$2:$C$2000,"ACCOUNT",MASTER!$G$2:$G$2000,"IN_PROGRESS")+COUNTIFS(MASTER!$C$2:$C$2000,"ACCOUNT",MASTER!$G$2:$G$2000,"IMPLEMENTED")+COUNTIFS(MASTER!$C$2:$C$2000,"ACCOUNT",MASTER!$G$2:$G$2000,"TESTING")</f>
        <v>0</v>
      </c>
      <c r="E4" s="7">
        <f>COUNTIFS(MASTER!$C$2:$C$2000,"SECURITY",MASTER!$G$2:$G$2000,"BLOCKED")+COUNTIFS(MASTER!$C$2:$C$2000,"ACCOUNT",MASTER!$G$2:$G$2000,"BLOCKED")</f>
        <v>1</v>
      </c>
      <c r="F4" s="7">
        <f>COUNTIFS(MASTER!$C$2:$C$2000,"SECURITY",MASTER!$G$2:$G$2000,"FAILED")+COUNTIFS(MASTER!$C$2:$C$2000,"ACCOUNT",MASTER!$G$2:$G$2000,"FAILED")</f>
        <v>0</v>
      </c>
      <c r="G4" s="9">
        <f>IF(A4=0,0,B4/A4)</f>
        <v>0.95454545454545459</v>
      </c>
      <c r="H4" s="9">
        <f>IF(A4=0,0,C4/A4)</f>
        <v>0.95454545454545459</v>
      </c>
    </row>
    <row r="6" spans="1:12" ht="15.75" x14ac:dyDescent="0.25">
      <c r="A6" s="5" t="s">
        <v>1577</v>
      </c>
    </row>
    <row r="7" spans="1:12" x14ac:dyDescent="0.25">
      <c r="A7" s="10" t="s">
        <v>166</v>
      </c>
      <c r="B7" s="10" t="s">
        <v>100</v>
      </c>
      <c r="C7" s="10" t="s">
        <v>43</v>
      </c>
      <c r="D7" s="10" t="s">
        <v>167</v>
      </c>
      <c r="E7" s="10" t="s">
        <v>169</v>
      </c>
      <c r="F7" s="10" t="s">
        <v>57</v>
      </c>
      <c r="G7" s="10" t="s">
        <v>170</v>
      </c>
      <c r="H7" s="10" t="s">
        <v>171</v>
      </c>
      <c r="I7" s="10" t="s">
        <v>15</v>
      </c>
      <c r="J7" s="10" t="s">
        <v>177</v>
      </c>
      <c r="K7" s="10" t="s">
        <v>178</v>
      </c>
      <c r="L7" s="10" t="s">
        <v>179</v>
      </c>
    </row>
    <row r="8" spans="1:12" x14ac:dyDescent="0.25">
      <c r="A8" s="15" t="s">
        <v>227</v>
      </c>
      <c r="B8" s="12" t="str">
        <f>IFERROR(INDEX(MASTER!$C$2:$C$2000,MATCH($A8,MASTER!$A$2:$A$2000,0))&amp;"","")</f>
        <v>SECURITY</v>
      </c>
      <c r="C8" s="16">
        <f>IFERROR(INDEX(MASTER!$B$2:$B$2000,MATCH($A8,MASTER!$A$2:$A$2000,0)),"")</f>
        <v>0</v>
      </c>
      <c r="D8" s="12" t="str">
        <f>IFERROR(INDEX(MASTER!$D$2:$D$2000,MATCH($A8,MASTER!$A$2:$A$2000,0))&amp;"","")</f>
        <v>Baseline: dependency audit</v>
      </c>
      <c r="E8" s="12" t="str">
        <f>IFERROR(INDEX(MASTER!$F$2:$F$2000,MATCH($A8,MASTER!$A$2:$A$2000,0))&amp;"","")</f>
        <v>P1</v>
      </c>
      <c r="F8" s="12" t="str">
        <f>IFERROR(INDEX(MASTER!$G$2:$G$2000,MATCH($A8,MASTER!$A$2:$A$2000,0))&amp;"","NOT IN MASTER")</f>
        <v>DONE</v>
      </c>
      <c r="G8" s="12" t="str">
        <f>IFERROR(INDEX(MASTER!$H$2:$H$2000,MATCH($A8,MASTER!$A$2:$A$2000,0))&amp;"","")</f>
        <v>docs/architecture/current-baseline.md; TESTING RUN-0009, RUN-0010</v>
      </c>
      <c r="H8" s="12" t="str">
        <f>IFERROR(INDEX(MASTER!$I$2:$I$2000,MATCH($A8,MASTER!$A$2:$A$2000,0))&amp;"","")</f>
        <v>pip-audit (both locks): no known vulnerabilities; npm audit: 0 of 633 dependencies</v>
      </c>
      <c r="I8" s="19">
        <f>IFERROR(IF(INDEX(MASTER!$O$2:$O$2000,MATCH($A8,MASTER!$A$2:$A$2000,0))="","",INDEX(MASTER!$O$2:$O$2000,MATCH($A8,MASTER!$A$2:$A$2000,0))),"")</f>
        <v>46292.171689814822</v>
      </c>
      <c r="J8" s="12" t="str">
        <f>IFERROR(INDEX(MASTER!$P$2:$P$2000,MATCH($A8,MASTER!$A$2:$A$2000,0))&amp;"","")</f>
        <v>4da4ecb</v>
      </c>
      <c r="K8" s="12" t="str">
        <f>IFERROR(INDEX(MASTER!$Q$2:$Q$2000,MATCH($A8,MASTER!$A$2:$A$2000,0))&amp;"","")</f>
        <v/>
      </c>
      <c r="L8" s="12" t="str">
        <f>IFERROR(INDEX(MASTER!$R$2:$R$2000,MATCH($A8,MASTER!$A$2:$A$2000,0))&amp;"","")</f>
        <v/>
      </c>
    </row>
    <row r="9" spans="1:12" x14ac:dyDescent="0.25">
      <c r="A9" s="15" t="s">
        <v>793</v>
      </c>
      <c r="B9" s="12" t="str">
        <f>IFERROR(INDEX(MASTER!$C$2:$C$2000,MATCH($A9,MASTER!$A$2:$A$2000,0))&amp;"","")</f>
        <v>SECURITY</v>
      </c>
      <c r="C9" s="16">
        <f>IFERROR(INDEX(MASTER!$B$2:$B$2000,MATCH($A9,MASTER!$A$2:$A$2000,0)),"")</f>
        <v>4</v>
      </c>
      <c r="D9" s="12" t="str">
        <f>IFERROR(INDEX(MASTER!$D$2:$D$2000,MATCH($A9,MASTER!$A$2:$A$2000,0))&amp;"","")</f>
        <v>Malformed DOCX -&gt; safe 4xx</v>
      </c>
      <c r="E9" s="12" t="str">
        <f>IFERROR(INDEX(MASTER!$F$2:$F$2000,MATCH($A9,MASTER!$A$2:$A$2000,0))&amp;"","")</f>
        <v>P0</v>
      </c>
      <c r="F9" s="12" t="str">
        <f>IFERROR(INDEX(MASTER!$G$2:$G$2000,MATCH($A9,MASTER!$A$2:$A$2000,0))&amp;"","NOT IN MASTER")</f>
        <v>DONE</v>
      </c>
      <c r="G9" s="12" t="str">
        <f>IFERROR(INDEX(MASTER!$H$2:$H$2000,MATCH($A9,MASTER!$A$2:$A$2000,0))&amp;"","")</f>
        <v>Malformed Word files are a 400 invalid_file with a message for people from upload, import-file and extract-reference jobs and /templates/extract; never a 500, nothing stored (no row, no asset). parsers/docx.py::_check_parts checks every XML part before python-docx opens the file (streamed parser target, no tree): well-formed and no DTD (OPC forbids DTDs). The probe found two silent gaps it closes: a DTD's entities made python-docx read an empty document; unread parts (theme, font table, customXml, app.xml) went in broken and would have gone back out in a Word export into the original. Failures after that say 'couldn't be read'; the log names the exception type and innermost frames, never its message. 10/10 mutations killed.</v>
      </c>
      <c r="H9" s="12" t="str">
        <f>IFERROR(INDEX(MASTER!$I$2:$I$2000,MATCH($A9,MASTER!$A$2:$A$2000,0))&amp;"","")</f>
        <v>backend/tests/test_malformed_files.py (110: corpus of a03 and 12-complex through the parser, the upload route and the jobs; external entity never read; log leaks nothing; report failure refused); backend/tests/malformed_docx.py (corpus)</v>
      </c>
      <c r="I9" s="19">
        <f>IFERROR(IF(INDEX(MASTER!$O$2:$O$2000,MATCH($A9,MASTER!$A$2:$A$2000,0))="","",INDEX(MASTER!$O$2:$O$2000,MATCH($A9,MASTER!$A$2:$A$2000,0))),"")</f>
        <v>46295.626087962963</v>
      </c>
      <c r="J9" s="12" t="str">
        <f>IFERROR(INDEX(MASTER!$P$2:$P$2000,MATCH($A9,MASTER!$A$2:$A$2000,0))&amp;"","")</f>
        <v>5b159e0</v>
      </c>
      <c r="K9" s="12" t="str">
        <f>IFERROR(INDEX(MASTER!$Q$2:$Q$2000,MATCH($A9,MASTER!$A$2:$A$2000,0))&amp;"","")</f>
        <v/>
      </c>
      <c r="L9" s="12" t="str">
        <f>IFERROR(INDEX(MASTER!$R$2:$R$2000,MATCH($A9,MASTER!$A$2:$A$2000,0))&amp;"","")</f>
        <v/>
      </c>
    </row>
    <row r="10" spans="1:12" x14ac:dyDescent="0.25">
      <c r="A10" s="15" t="s">
        <v>800</v>
      </c>
      <c r="B10" s="12" t="str">
        <f>IFERROR(INDEX(MASTER!$C$2:$C$2000,MATCH($A10,MASTER!$A$2:$A$2000,0))&amp;"","")</f>
        <v>SECURITY</v>
      </c>
      <c r="C10" s="16">
        <f>IFERROR(INDEX(MASTER!$B$2:$B$2000,MATCH($A10,MASTER!$A$2:$A$2000,0)),"")</f>
        <v>4</v>
      </c>
      <c r="D10" s="12" t="str">
        <f>IFERROR(INDEX(MASTER!$D$2:$D$2000,MATCH($A10,MASTER!$A$2:$A$2000,0))&amp;"","")</f>
        <v>Malformed PDF -&gt; safe 4xx</v>
      </c>
      <c r="E10" s="12" t="str">
        <f>IFERROR(INDEX(MASTER!$F$2:$F$2000,MATCH($A10,MASTER!$A$2:$A$2000,0))&amp;"","")</f>
        <v>P0</v>
      </c>
      <c r="F10" s="12" t="str">
        <f>IFERROR(INDEX(MASTER!$G$2:$G$2000,MATCH($A10,MASTER!$A$2:$A$2000,0))&amp;"","NOT IN MASTER")</f>
        <v>DONE</v>
      </c>
      <c r="G10" s="12" t="str">
        <f>IFERROR(INDEX(MASTER!$H$2:$H$2000,MATCH($A10,MASTER!$A$2:$A$2000,0))&amp;"","")</f>
        <v>A PDF that can't be read is a 400 invalid_file with its exact message (not valid, password, too much data, no text, damaged) from upload, the import-file job and an instructions file; one app-level handler. Whatever pypdf throws is a refusal, logged by type and frames. Probe found pypdf mends a stream that doesn't decode or a missing object and loses that text with only a warning: read_pdf collects pypdf's warnings per read (ContextVar) and tells harmless repairs from losing ones; the import reports pdf.damaged (a content change), an instructions file is refused, a damaged file with no text says so. pypdf's warnings never reach the log. Uncountable pictures are said to be possibly left out. Dead duplicate build_document_from_pdf removed. 17/17 mutations killed.</v>
      </c>
      <c r="H10" s="12" t="str">
        <f>IFERROR(INDEX(MASTER!$I$2:$I$2000,MATCH($A10,MASTER!$A$2:$A$2000,0))&amp;"","")</f>
        <v>backend/tests/test_malformed_pdfs.py (45: 19 variants through the reader and the upload route, the import job, the instructions route, the log, concurrent reads, uncountable pictures); backend/tests/malformed_pdf.py (corpus)</v>
      </c>
      <c r="I10" s="19">
        <f>IFERROR(IF(INDEX(MASTER!$O$2:$O$2000,MATCH($A10,MASTER!$A$2:$A$2000,0))="","",INDEX(MASTER!$O$2:$O$2000,MATCH($A10,MASTER!$A$2:$A$2000,0))),"")</f>
        <v>46295.91511574074</v>
      </c>
      <c r="J10" s="12" t="str">
        <f>IFERROR(INDEX(MASTER!$P$2:$P$2000,MATCH($A10,MASTER!$A$2:$A$2000,0))&amp;"","")</f>
        <v>44958e6</v>
      </c>
      <c r="K10" s="12" t="str">
        <f>IFERROR(INDEX(MASTER!$Q$2:$Q$2000,MATCH($A10,MASTER!$A$2:$A$2000,0))&amp;"","")</f>
        <v/>
      </c>
      <c r="L10" s="12" t="str">
        <f>IFERROR(INDEX(MASTER!$R$2:$R$2000,MATCH($A10,MASTER!$A$2:$A$2000,0))&amp;"","")</f>
        <v/>
      </c>
    </row>
    <row r="11" spans="1:12" x14ac:dyDescent="0.25">
      <c r="A11" s="15" t="s">
        <v>806</v>
      </c>
      <c r="B11" s="12" t="str">
        <f>IFERROR(INDEX(MASTER!$C$2:$C$2000,MATCH($A11,MASTER!$A$2:$A$2000,0))&amp;"","")</f>
        <v>SECURITY</v>
      </c>
      <c r="C11" s="16">
        <f>IFERROR(INDEX(MASTER!$B$2:$B$2000,MATCH($A11,MASTER!$A$2:$A$2000,0)),"")</f>
        <v>4</v>
      </c>
      <c r="D11" s="12" t="str">
        <f>IFERROR(INDEX(MASTER!$D$2:$D$2000,MATCH($A11,MASTER!$A$2:$A$2000,0))&amp;"","")</f>
        <v>Image resource limits</v>
      </c>
      <c r="E11" s="12" t="str">
        <f>IFERROR(INDEX(MASTER!$F$2:$F$2000,MATCH($A11,MASTER!$A$2:$A$2000,0))&amp;"","")</f>
        <v>P0</v>
      </c>
      <c r="F11" s="12" t="str">
        <f>IFERROR(INDEX(MASTER!$G$2:$G$2000,MATCH($A11,MASTER!$A$2:$A$2000,0))&amp;"","NOT IN MASTER")</f>
        <v>DONE</v>
      </c>
      <c r="G11" s="12" t="str">
        <f>IFERROR(INDEX(MASTER!$H$2:$H$2000,MATCH($A11,MASTER!$A$2:$A$2000,0))&amp;"","")</f>
        <v>Limits (security/files.py): a picture 20 MB, 50 megapixels, 20,000 px a side; a document 1000 pictures / 200 MB (an export holds them in memory at once). picture_problem judges the header before any decode; only PNG/JPEG/GIF/WebP/BMP ever opened (formats= on every Image.open; Pillow would try 43, EPS runs Ghostscript); a picture must be the type it claims. Pillow backstop: MAX_IMAGE_PIXELS = half the limit, so Pillow itself refuses past it for any decode (reportlab's) whatever warning filters are in force. Word import: left out and said to be (docx.image.too_large / too_many). Editor save: such a picture removed and named; past the document's number or bytes -&gt; 413 too_large before anything is stored; the editor shows why and stops retrying. Export: a picture from before the limits left out (export.image.too_large). Found: autosave re-sent a failing save every 1.2 s (id sync scheduled saves) -- fixed, backoff pinned. 16/16 backend mutations killed + the frontend loop fix.</v>
      </c>
      <c r="H11" s="12" t="str">
        <f>IFERROR(INDEX(MASTER!$I$2:$I$2000,MATCH($A11,MASTER!$A$2:$A$2000,0))&amp;"","")</f>
        <v>backend/tests/test_picture_limits.py (25: 18-picture corpus by header &lt;0.5 s, Pillow backstop, allowlist, Word import, save removal and 413 storing nothing, both exports); frontend/editor/useAutoSave.test.tsx (413 says why and isn't retried; a failing save backs off)</v>
      </c>
      <c r="I11" s="19">
        <f>IFERROR(IF(INDEX(MASTER!$O$2:$O$2000,MATCH($A11,MASTER!$A$2:$A$2000,0))="","",INDEX(MASTER!$O$2:$O$2000,MATCH($A11,MASTER!$A$2:$A$2000,0))),"")</f>
        <v>46295.935868055552</v>
      </c>
      <c r="J11" s="12" t="str">
        <f>IFERROR(INDEX(MASTER!$P$2:$P$2000,MATCH($A11,MASTER!$A$2:$A$2000,0))&amp;"","")</f>
        <v>6550753</v>
      </c>
      <c r="K11" s="12" t="str">
        <f>IFERROR(INDEX(MASTER!$Q$2:$Q$2000,MATCH($A11,MASTER!$A$2:$A$2000,0))&amp;"","")</f>
        <v/>
      </c>
      <c r="L11" s="12" t="str">
        <f>IFERROR(INDEX(MASTER!$R$2:$R$2000,MATCH($A11,MASTER!$A$2:$A$2000,0))&amp;"","")</f>
        <v/>
      </c>
    </row>
    <row r="12" spans="1:12" x14ac:dyDescent="0.25">
      <c r="A12" s="15" t="s">
        <v>814</v>
      </c>
      <c r="B12" s="12" t="str">
        <f>IFERROR(INDEX(MASTER!$C$2:$C$2000,MATCH($A12,MASTER!$A$2:$A$2000,0))&amp;"","")</f>
        <v>SECURITY</v>
      </c>
      <c r="C12" s="16">
        <f>IFERROR(INDEX(MASTER!$B$2:$B$2000,MATCH($A12,MASTER!$A$2:$A$2000,0)),"")</f>
        <v>4</v>
      </c>
      <c r="D12" s="12" t="str">
        <f>IFERROR(INDEX(MASTER!$D$2:$D$2000,MATCH($A12,MASTER!$A$2:$A$2000,0))&amp;"","")</f>
        <v>PDF bombs, huge XML, decompression limits</v>
      </c>
      <c r="E12" s="12" t="str">
        <f>IFERROR(INDEX(MASTER!$F$2:$F$2000,MATCH($A12,MASTER!$A$2:$A$2000,0))&amp;"","")</f>
        <v>P1</v>
      </c>
      <c r="F12" s="12" t="str">
        <f>IFERROR(INDEX(MASTER!$G$2:$G$2000,MATCH($A12,MASTER!$A$2:$A$2000,0))&amp;"","NOT IN MASTER")</f>
        <v>DONE</v>
      </c>
      <c r="G12" s="12" t="str">
        <f>IFERROR(INDEX(MASTER!$H$2:$H$2000,MATCH($A12,MASTER!$A$2:$A$2000,0))&amp;"","")</f>
        <v>Every resource limit reviewed and recorded in one table (docs/security/README.md, Limits). Measured: Word reading ~0.35 ms a paragraph; a PDF page's text extraction grows faster than its content (13 s for 2 MB). Closed: Word files capped at 50,000 paragraphs and 50,000 table cells (counted in the streaming part check); a PDF page at 2 MB of content and a PDF at 60 s of reading, checked between pages. Markdown needs no new limit within the 2,000,000 characters of pasted text. 4/4 mutations killed. Job timeouts belong to JOB-001.</v>
      </c>
      <c r="H12" s="12" t="str">
        <f>IFERROR(INDEX(MASTER!$I$2:$I$2000,MATCH($A12,MASTER!$A$2:$A$2000,0))&amp;"","")</f>
        <v>backend/tests/test_limits.py (5: each limit on an ordinary file with the limit lowered, and over the API)</v>
      </c>
      <c r="I12" s="19">
        <f>IFERROR(IF(INDEX(MASTER!$O$2:$O$2000,MATCH($A12,MASTER!$A$2:$A$2000,0))="","",INDEX(MASTER!$O$2:$O$2000,MATCH($A12,MASTER!$A$2:$A$2000,0))),"")</f>
        <v>46296.449016203696</v>
      </c>
      <c r="J12" s="12" t="str">
        <f>IFERROR(INDEX(MASTER!$P$2:$P$2000,MATCH($A12,MASTER!$A$2:$A$2000,0))&amp;"","")</f>
        <v>05e4b4e</v>
      </c>
      <c r="K12" s="12" t="str">
        <f>IFERROR(INDEX(MASTER!$Q$2:$Q$2000,MATCH($A12,MASTER!$A$2:$A$2000,0))&amp;"","")</f>
        <v/>
      </c>
      <c r="L12" s="12" t="str">
        <f>IFERROR(INDEX(MASTER!$R$2:$R$2000,MATCH($A12,MASTER!$A$2:$A$2000,0))&amp;"","")</f>
        <v/>
      </c>
    </row>
    <row r="13" spans="1:12" x14ac:dyDescent="0.25">
      <c r="A13" s="15" t="s">
        <v>820</v>
      </c>
      <c r="B13" s="12" t="str">
        <f>IFERROR(INDEX(MASTER!$C$2:$C$2000,MATCH($A13,MASTER!$A$2:$A$2000,0))&amp;"","")</f>
        <v>SECURITY</v>
      </c>
      <c r="C13" s="16">
        <f>IFERROR(INDEX(MASTER!$B$2:$B$2000,MATCH($A13,MASTER!$A$2:$A$2000,0)),"")</f>
        <v>4</v>
      </c>
      <c r="D13" s="12" t="str">
        <f>IFERROR(INDEX(MASTER!$D$2:$D$2000,MATCH($A13,MASTER!$A$2:$A$2000,0))&amp;"","")</f>
        <v>Href policy</v>
      </c>
      <c r="E13" s="12" t="str">
        <f>IFERROR(INDEX(MASTER!$F$2:$F$2000,MATCH($A13,MASTER!$A$2:$A$2000,0))&amp;"","")</f>
        <v>P0</v>
      </c>
      <c r="F13" s="12" t="str">
        <f>IFERROR(INDEX(MASTER!$G$2:$G$2000,MATCH($A13,MASTER!$A$2:$A$2000,0))&amp;"","NOT IN MASTER")</f>
        <v>DONE</v>
      </c>
      <c r="G13" s="12" t="str">
        <f>IFERROR(INDEX(MASTER!$H$2:$H$2000,MATCH($A13,MASTER!$A$2:$A$2000,0))&amp;"","")</f>
        <v>One policy for link addresses (backend/app/security/links.py::safe_href): absolute addresses with http, https, ftp, ftps, mailto, tel, callto, sms, xmpp (the editor's Tiptap list but cid:); bare www. gets https://; never javascript:, data:, vbscript:, file:, UNC, protocol-relative, relative, #anchor, or past 2048 chars; control codes dropped and tabs/newlines inside removed before the scheme is read. The model keeps no other address (Mark.href validator; a link without one keeps its text). Word import (docx.link.unsafe) and Markdown (markdown.link.unsafe) report; neither export writes an unsafe address as a live link whatever it is handed; the health check never calls one usable. The editor uses the same rule (editor/linkPolicy.ts as Tiptap isAllowedUri; the reconcile names a link it can't keep). A shared 34-case fixture (frontend/tests/fixtures/link-policy.json) is read by both test suites. 14/14 mutations killed.</v>
      </c>
      <c r="H13" s="12" t="str">
        <f>IFERROR(INDEX(MASTER!$I$2:$I$2000,MATCH($A13,MASTER!$A$2:$A$2000,0))&amp;"","")</f>
        <v>backend/tests/test_link_policy.py (39: the shared corpus, length and IPv6, the API keeps no unsafe address, Markdown report, both exports, health); frontend/editor/linkPolicy.test.ts (38: the shared corpus, paste, reconcile note, www., length)</v>
      </c>
      <c r="I13" s="19">
        <f>IFERROR(IF(INDEX(MASTER!$O$2:$O$2000,MATCH($A13,MASTER!$A$2:$A$2000,0))="","",INDEX(MASTER!$O$2:$O$2000,MATCH($A13,MASTER!$A$2:$A$2000,0))),"")</f>
        <v>46295.95</v>
      </c>
      <c r="J13" s="12" t="str">
        <f>IFERROR(INDEX(MASTER!$P$2:$P$2000,MATCH($A13,MASTER!$A$2:$A$2000,0))&amp;"","")</f>
        <v>cfdf3af</v>
      </c>
      <c r="K13" s="12" t="str">
        <f>IFERROR(INDEX(MASTER!$Q$2:$Q$2000,MATCH($A13,MASTER!$A$2:$A$2000,0))&amp;"","")</f>
        <v/>
      </c>
      <c r="L13" s="12" t="str">
        <f>IFERROR(INDEX(MASTER!$R$2:$R$2000,MATCH($A13,MASTER!$A$2:$A$2000,0))&amp;"","")</f>
        <v/>
      </c>
    </row>
    <row r="14" spans="1:12" x14ac:dyDescent="0.25">
      <c r="A14" s="15" t="s">
        <v>828</v>
      </c>
      <c r="B14" s="12" t="str">
        <f>IFERROR(INDEX(MASTER!$C$2:$C$2000,MATCH($A14,MASTER!$A$2:$A$2000,0))&amp;"","")</f>
        <v>SECURITY</v>
      </c>
      <c r="C14" s="16">
        <f>IFERROR(INDEX(MASTER!$B$2:$B$2000,MATCH($A14,MASTER!$A$2:$A$2000,0)),"")</f>
        <v>4</v>
      </c>
      <c r="D14" s="12" t="str">
        <f>IFERROR(INDEX(MASTER!$D$2:$D$2000,MATCH($A14,MASTER!$A$2:$A$2000,0))&amp;"","")</f>
        <v>Field instruction allowlist</v>
      </c>
      <c r="E14" s="12" t="str">
        <f>IFERROR(INDEX(MASTER!$F$2:$F$2000,MATCH($A14,MASTER!$A$2:$A$2000,0))&amp;"","")</f>
        <v>P0</v>
      </c>
      <c r="F14" s="12" t="str">
        <f>IFERROR(INDEX(MASTER!$G$2:$G$2000,MATCH($A14,MASTER!$A$2:$A$2000,0))&amp;"","NOT IN MASTER")</f>
        <v>DONE</v>
      </c>
      <c r="G14" s="12" t="str">
        <f>IFERROR(INDEX(MASTER!$H$2:$H$2000,MATCH($A14,MASTER!$A$2:$A$2000,0))&amp;"","")</f>
        <v>Only fields that show what the document holds or works out stay fields (backend/app/security/fields.py ALLOWED_FIELDS; HYPERLINK only to a SEC-014 address or a bookmark). DDE, DDEAUTO, INCLUDETEXT, INCLUDEPICTURE, INCLUDE, IMPORT, LINK, RD, DATABASE, MACROBUTTON, PRINT and anything unlisted keep their last result: an upload is cleaned before it is read or kept (clean_package/neutralize_fields over body, headers, footers, notes, comments, building blocks; nested and tracked-deleted fields too), reported as docx.field.unsafe; the importer keeps none whoever calls it; the export writes a field fragment only when allowed and drops a refused region's end with its start. Found: a save took preservedAttributes from the browser -- keep_preserved now keeps the server's at any depth. A HYPERLINK javascript: field is no longer kept as a field. Word opens the cleaned file and its export (DATE, PAGE only). 11/11 mutations killed.</v>
      </c>
      <c r="H14" s="12" t="str">
        <f>IFERROR(INDEX(MASTER!$I$2:$I$2000,MATCH($A14,MASTER!$A$2:$A$2000,0))&amp;"","")</f>
        <v>backend/tests/test_field_policy.py (32: allowlist corpus, neutralize on nested/deleted/never-calculated, Word file body+header cleaned/reported/exported clean, a save adding a DDE field, the export's own check, the importer alone)</v>
      </c>
      <c r="I14" s="19">
        <f>IFERROR(IF(INDEX(MASTER!$O$2:$O$2000,MATCH($A14,MASTER!$A$2:$A$2000,0))="","",INDEX(MASTER!$O$2:$O$2000,MATCH($A14,MASTER!$A$2:$A$2000,0))),"")</f>
        <v>46295.96601851852</v>
      </c>
      <c r="J14" s="12" t="str">
        <f>IFERROR(INDEX(MASTER!$P$2:$P$2000,MATCH($A14,MASTER!$A$2:$A$2000,0))&amp;"","")</f>
        <v>eaf65f0</v>
      </c>
      <c r="K14" s="12" t="str">
        <f>IFERROR(INDEX(MASTER!$Q$2:$Q$2000,MATCH($A14,MASTER!$A$2:$A$2000,0))&amp;"","")</f>
        <v/>
      </c>
      <c r="L14" s="12" t="str">
        <f>IFERROR(INDEX(MASTER!$R$2:$R$2000,MATCH($A14,MASTER!$A$2:$A$2000,0))&amp;"","")</f>
        <v/>
      </c>
    </row>
    <row r="15" spans="1:12" x14ac:dyDescent="0.25">
      <c r="A15" s="15" t="s">
        <v>834</v>
      </c>
      <c r="B15" s="12" t="str">
        <f>IFERROR(INDEX(MASTER!$C$2:$C$2000,MATCH($A15,MASTER!$A$2:$A$2000,0))&amp;"","")</f>
        <v>SECURITY</v>
      </c>
      <c r="C15" s="16">
        <f>IFERROR(INDEX(MASTER!$B$2:$B$2000,MATCH($A15,MASTER!$A$2:$A$2000,0)),"")</f>
        <v>4</v>
      </c>
      <c r="D15" s="12" t="str">
        <f>IFERROR(INDEX(MASTER!$D$2:$D$2000,MATCH($A15,MASTER!$A$2:$A$2000,0))&amp;"","")</f>
        <v>External relationships policy</v>
      </c>
      <c r="E15" s="12" t="str">
        <f>IFERROR(INDEX(MASTER!$F$2:$F$2000,MATCH($A15,MASTER!$A$2:$A$2000,0))&amp;"","")</f>
        <v>P1</v>
      </c>
      <c r="F15" s="12" t="str">
        <f>IFERROR(INDEX(MASTER!$G$2:$G$2000,MATCH($A15,MASTER!$A$2:$A$2000,0))&amp;"","NOT IN MASTER")</f>
        <v>DONE</v>
      </c>
      <c r="G15" s="12" t="str">
        <f>IFERROR(INDEX(MASTER!$H$2:$H$2000,MATCH($A15,MASTER!$A$2:$A$2000,0))&amp;"","")</f>
        <v>The Word file kept as the original keeps no external target but links a link may have (backend/app/security/package.py::clean_package, which also holds SEC-015's field cleaning): a remote attachedTemplate, a linked picture's r:link (the embedded picture stays), a sub-document, a linked object, a mail merge with its data source, connection string and query are taken out at upload, with what referred to them; a link to a refused address keeps its text. Reported as docx.link.unsafe (the importer's words, one constant) and docx.external.unsafe. Found: python-docx keeps orphan relationships on save, so an unsafe link's relationship travelled out in every Word export. Nothing dangling (package check); Word opens the cleaned file and its export. 8/8 mutations killed.</v>
      </c>
      <c r="H15" s="12" t="str">
        <f>IFERROR(INDEX(MASTER!$I$2:$I$2000,MATCH($A15,MASTER!$A$2:$A$2000,0))&amp;"","")</f>
        <v>backend/tests/test_external_targets.py (a Word file pointing outside itself from settings, body and header: cleaned, reported, exported with only the safe link)</v>
      </c>
      <c r="I15" s="19">
        <f>IFERROR(IF(INDEX(MASTER!$O$2:$O$2000,MATCH($A15,MASTER!$A$2:$A$2000,0))="","",INDEX(MASTER!$O$2:$O$2000,MATCH($A15,MASTER!$A$2:$A$2000,0))),"")</f>
        <v>46295.986030092587</v>
      </c>
      <c r="J15" s="12" t="str">
        <f>IFERROR(INDEX(MASTER!$P$2:$P$2000,MATCH($A15,MASTER!$A$2:$A$2000,0))&amp;"","")</f>
        <v>04b8a40</v>
      </c>
      <c r="K15" s="12" t="str">
        <f>IFERROR(INDEX(MASTER!$Q$2:$Q$2000,MATCH($A15,MASTER!$A$2:$A$2000,0))&amp;"","")</f>
        <v/>
      </c>
      <c r="L15" s="12" t="str">
        <f>IFERROR(INDEX(MASTER!$R$2:$R$2000,MATCH($A15,MASTER!$A$2:$A$2000,0))&amp;"","")</f>
        <v/>
      </c>
    </row>
    <row r="16" spans="1:12" x14ac:dyDescent="0.25">
      <c r="A16" s="15" t="s">
        <v>840</v>
      </c>
      <c r="B16" s="12" t="str">
        <f>IFERROR(INDEX(MASTER!$C$2:$C$2000,MATCH($A16,MASTER!$A$2:$A$2000,0))&amp;"","")</f>
        <v>SECURITY</v>
      </c>
      <c r="C16" s="16">
        <f>IFERROR(INDEX(MASTER!$B$2:$B$2000,MATCH($A16,MASTER!$A$2:$A$2000,0)),"")</f>
        <v>4</v>
      </c>
      <c r="D16" s="12" t="str">
        <f>IFERROR(INDEX(MASTER!$D$2:$D$2000,MATCH($A16,MASTER!$A$2:$A$2000,0))&amp;"","")</f>
        <v>Malicious SVG</v>
      </c>
      <c r="E16" s="12" t="str">
        <f>IFERROR(INDEX(MASTER!$F$2:$F$2000,MATCH($A16,MASTER!$A$2:$A$2000,0))&amp;"","")</f>
        <v>P1</v>
      </c>
      <c r="F16" s="12" t="str">
        <f>IFERROR(INDEX(MASTER!$G$2:$G$2000,MATCH($A16,MASTER!$A$2:$A$2000,0))&amp;"","NOT IN MASTER")</f>
        <v>DONE</v>
      </c>
      <c r="G16" s="12" t="str">
        <f>IFERROR(INDEX(MASTER!$H$2:$H$2000,MATCH($A16,MASTER!$A$2:$A$2000,0))&amp;"","")</f>
        <v>SVG verified refused everywhere, no app change needed: a pasted SVG data URI, or SVG bytes claiming PNG, removed on save with nothing stored; a Word SVG picture read as its PNG fallback (svgBlip), an SVG-only one reported as docx.image.format; Markdown never parses data:image/svg as a picture (markdown-it); picture_problem refuses it (Pillow can't open SVG, and the allowlist); an export handed one leaves it out and says so; a stored asset is served with its stored type, nosniff and CSP default-src 'none'; sandbox, by the asset route and the API-wide headers (removing both fails the test).</v>
      </c>
      <c r="H16" s="12" t="str">
        <f>IFERROR(INDEX(MASTER!$I$2:$I$2000,MATCH($A16,MASTER!$A$2:$A$2000,0))&amp;"","")</f>
        <v>backend/tests/test_svg.py (6, in the security suite)</v>
      </c>
      <c r="I16" s="19">
        <f>IFERROR(IF(INDEX(MASTER!$O$2:$O$2000,MATCH($A16,MASTER!$A$2:$A$2000,0))="","",INDEX(MASTER!$O$2:$O$2000,MATCH($A16,MASTER!$A$2:$A$2000,0))),"")</f>
        <v>46295.99114583333</v>
      </c>
      <c r="J16" s="12" t="str">
        <f>IFERROR(INDEX(MASTER!$P$2:$P$2000,MATCH($A16,MASTER!$A$2:$A$2000,0))&amp;"","")</f>
        <v>ef2bc91</v>
      </c>
      <c r="K16" s="12" t="str">
        <f>IFERROR(INDEX(MASTER!$Q$2:$Q$2000,MATCH($A16,MASTER!$A$2:$A$2000,0))&amp;"","")</f>
        <v/>
      </c>
      <c r="L16" s="12" t="str">
        <f>IFERROR(INDEX(MASTER!$R$2:$R$2000,MATCH($A16,MASTER!$A$2:$A$2000,0))&amp;"","")</f>
        <v/>
      </c>
    </row>
    <row r="17" spans="1:12" x14ac:dyDescent="0.25">
      <c r="A17" s="15" t="s">
        <v>846</v>
      </c>
      <c r="B17" s="12" t="str">
        <f>IFERROR(INDEX(MASTER!$C$2:$C$2000,MATCH($A17,MASTER!$A$2:$A$2000,0))&amp;"","")</f>
        <v>SECURITY</v>
      </c>
      <c r="C17" s="16">
        <f>IFERROR(INDEX(MASTER!$B$2:$B$2000,MATCH($A17,MASTER!$A$2:$A$2000,0)),"")</f>
        <v>4</v>
      </c>
      <c r="D17" s="12" t="str">
        <f>IFERROR(INDEX(MASTER!$D$2:$D$2000,MATCH($A17,MASTER!$A$2:$A$2000,0))&amp;"","")</f>
        <v>Prompt injection / AI output abuse</v>
      </c>
      <c r="E17" s="12" t="str">
        <f>IFERROR(INDEX(MASTER!$F$2:$F$2000,MATCH($A17,MASTER!$A$2:$A$2000,0))&amp;"","")</f>
        <v>P1</v>
      </c>
      <c r="F17" s="12" t="str">
        <f>IFERROR(INDEX(MASTER!$G$2:$G$2000,MATCH($A17,MASTER!$A$2:$A$2000,0))&amp;"","NOT IN MASTER")</f>
        <v>DONE</v>
      </c>
      <c r="G17" s="12" t="str">
        <f>IFERROR(INDEX(MASTER!$H$2:$H$2000,MATCH($A17,MASTER!$A$2:$A$2000,0))&amp;"","")</f>
        <v>Hostile-document tests: the document can't close its fence; out-of-bounds answers refused and fall back; an instruction steered by the document deletes nothing (proposals only) and a CSS break-out value is dropped; style-analysis flags on unknown elements dropped (see AI-009).</v>
      </c>
      <c r="H17" s="12" t="str">
        <f>IFERROR(INDEX(MASTER!$I$2:$I$2000,MATCH($A17,MASTER!$A$2:$A$2000,0))&amp;"","")</f>
        <v>tests/test_prompt_injection.py</v>
      </c>
      <c r="I17" s="19">
        <f>IFERROR(IF(INDEX(MASTER!$O$2:$O$2000,MATCH($A17,MASTER!$A$2:$A$2000,0))="","",INDEX(MASTER!$O$2:$O$2000,MATCH($A17,MASTER!$A$2:$A$2000,0))),"")</f>
        <v>46292.60701388889</v>
      </c>
      <c r="J17" s="12" t="str">
        <f>IFERROR(INDEX(MASTER!$P$2:$P$2000,MATCH($A17,MASTER!$A$2:$A$2000,0))&amp;"","")</f>
        <v>8253a6a</v>
      </c>
      <c r="K17" s="12" t="str">
        <f>IFERROR(INDEX(MASTER!$Q$2:$Q$2000,MATCH($A17,MASTER!$A$2:$A$2000,0))&amp;"","")</f>
        <v/>
      </c>
      <c r="L17" s="12" t="str">
        <f>IFERROR(INDEX(MASTER!$R$2:$R$2000,MATCH($A17,MASTER!$A$2:$A$2000,0))&amp;"","")</f>
        <v/>
      </c>
    </row>
    <row r="18" spans="1:12" x14ac:dyDescent="0.25">
      <c r="A18" s="15" t="s">
        <v>851</v>
      </c>
      <c r="B18" s="12" t="str">
        <f>IFERROR(INDEX(MASTER!$C$2:$C$2000,MATCH($A18,MASTER!$A$2:$A$2000,0))&amp;"","")</f>
        <v>SECURITY</v>
      </c>
      <c r="C18" s="16">
        <f>IFERROR(INDEX(MASTER!$B$2:$B$2000,MATCH($A18,MASTER!$A$2:$A$2000,0)),"")</f>
        <v>4</v>
      </c>
      <c r="D18" s="12" t="str">
        <f>IFERROR(INDEX(MASTER!$D$2:$D$2000,MATCH($A18,MASTER!$A$2:$A$2000,0))&amp;"","")</f>
        <v>Error envelope audit</v>
      </c>
      <c r="E18" s="12" t="str">
        <f>IFERROR(INDEX(MASTER!$F$2:$F$2000,MATCH($A18,MASTER!$A$2:$A$2000,0))&amp;"","")</f>
        <v>P1</v>
      </c>
      <c r="F18" s="12" t="str">
        <f>IFERROR(INDEX(MASTER!$G$2:$G$2000,MATCH($A18,MASTER!$A$2:$A$2000,0))&amp;"","NOT IN MASTER")</f>
        <v>DONE</v>
      </c>
      <c r="G18" s="12" t="str">
        <f>IFERROR(INDEX(MASTER!$H$2:$H$2000,MATCH($A18,MASTER!$A$2:$A$2000,0))&amp;"","")</f>
        <v>Every error is {code, message, details, request_id} with a message for people (backend/tests/test_error_envelope.py): a sweep over every OpenAPI operation, signed in and not, with junk ids and bodies; plus an unknown path (not_found), a wrong method (method_not_allowed), an invalid body (invalid_request with loc/msg/type, no value -- a password stays out), a body too large (too_large) and a forced crash (internal_error, nothing of the crash in it). Found: a format request's invalid conflict resolutions answered with pydantic's own report, values included -- now a RequestValidationError like any other. 3/3 mutations killed.</v>
      </c>
      <c r="H18" s="12" t="str">
        <f>IFERROR(INDEX(MASTER!$I$2:$I$2000,MATCH($A18,MASTER!$A$2:$A$2000,0))&amp;"","")</f>
        <v>backend/tests/test_error_envelope.py (61, in the security suite)</v>
      </c>
      <c r="I18" s="19">
        <f>IFERROR(IF(INDEX(MASTER!$O$2:$O$2000,MATCH($A18,MASTER!$A$2:$A$2000,0))="","",INDEX(MASTER!$O$2:$O$2000,MATCH($A18,MASTER!$A$2:$A$2000,0))),"")</f>
        <v>46296.426018518519</v>
      </c>
      <c r="J18" s="12" t="str">
        <f>IFERROR(INDEX(MASTER!$P$2:$P$2000,MATCH($A18,MASTER!$A$2:$A$2000,0))&amp;"","")</f>
        <v>cac0d52</v>
      </c>
      <c r="K18" s="12" t="str">
        <f>IFERROR(INDEX(MASTER!$Q$2:$Q$2000,MATCH($A18,MASTER!$A$2:$A$2000,0))&amp;"","")</f>
        <v/>
      </c>
      <c r="L18" s="12" t="str">
        <f>IFERROR(INDEX(MASTER!$R$2:$R$2000,MATCH($A18,MASTER!$A$2:$A$2000,0))&amp;"","")</f>
        <v/>
      </c>
    </row>
    <row r="19" spans="1:12" x14ac:dyDescent="0.25">
      <c r="A19" s="15" t="s">
        <v>858</v>
      </c>
      <c r="B19" s="12" t="str">
        <f>IFERROR(INDEX(MASTER!$C$2:$C$2000,MATCH($A19,MASTER!$A$2:$A$2000,0))&amp;"","")</f>
        <v>SECURITY</v>
      </c>
      <c r="C19" s="16">
        <f>IFERROR(INDEX(MASTER!$B$2:$B$2000,MATCH($A19,MASTER!$A$2:$A$2000,0)),"")</f>
        <v>4</v>
      </c>
      <c r="D19" s="12" t="str">
        <f>IFERROR(INDEX(MASTER!$D$2:$D$2000,MATCH($A19,MASTER!$A$2:$A$2000,0))&amp;"","")</f>
        <v>CSP without 'unsafe-inline' scripts</v>
      </c>
      <c r="E19" s="12" t="str">
        <f>IFERROR(INDEX(MASTER!$F$2:$F$2000,MATCH($A19,MASTER!$A$2:$A$2000,0))&amp;"","")</f>
        <v>P2</v>
      </c>
      <c r="F19" s="12" t="str">
        <f>IFERROR(INDEX(MASTER!$G$2:$G$2000,MATCH($A19,MASTER!$A$2:$A$2000,0))&amp;"","NOT IN MASTER")</f>
        <v>DONE</v>
      </c>
      <c r="G19" s="12" t="str">
        <f>IFERROR(INDEX(MASTER!$H$2:$H$2000,MATCH($A19,MASTER!$A$2:$A$2000,0))&amp;"","")</f>
        <v>frontend/proxy.ts (per-request nonce CSP), docs/cloud-reports/SEC-020-STOR-001.md</v>
      </c>
      <c r="H19" s="12" t="str">
        <f>IFERROR(INDEX(MASTER!$I$2:$I$2000,MATCH($A19,MASTER!$A$2:$A$2000,0))&amp;"","")</f>
        <v>frontend/proxy.test.ts, e2e/csp.spec.ts</v>
      </c>
      <c r="I19" s="19">
        <f>IFERROR(IF(INDEX(MASTER!$O$2:$O$2000,MATCH($A19,MASTER!$A$2:$A$2000,0))="","",INDEX(MASTER!$O$2:$O$2000,MATCH($A19,MASTER!$A$2:$A$2000,0))),"")</f>
        <v>46301.615798611107</v>
      </c>
      <c r="J19" s="12" t="str">
        <f>IFERROR(INDEX(MASTER!$P$2:$P$2000,MATCH($A19,MASTER!$A$2:$A$2000,0))&amp;"","")</f>
        <v>0dc4c96</v>
      </c>
      <c r="K19" s="12" t="str">
        <f>IFERROR(INDEX(MASTER!$Q$2:$Q$2000,MATCH($A19,MASTER!$A$2:$A$2000,0))&amp;"","")</f>
        <v/>
      </c>
      <c r="L19" s="12" t="str">
        <f>IFERROR(INDEX(MASTER!$R$2:$R$2000,MATCH($A19,MASTER!$A$2:$A$2000,0))&amp;"","")</f>
        <v/>
      </c>
    </row>
    <row r="20" spans="1:12" x14ac:dyDescent="0.25">
      <c r="A20" s="15" t="s">
        <v>872</v>
      </c>
      <c r="B20" s="12" t="str">
        <f>IFERROR(INDEX(MASTER!$C$2:$C$2000,MATCH($A20,MASTER!$A$2:$A$2000,0))&amp;"","")</f>
        <v>SECURITY</v>
      </c>
      <c r="C20" s="16">
        <f>IFERROR(INDEX(MASTER!$B$2:$B$2000,MATCH($A20,MASTER!$A$2:$A$2000,0)),"")</f>
        <v>4</v>
      </c>
      <c r="D20" s="12" t="str">
        <f>IFERROR(INDEX(MASTER!$D$2:$D$2000,MATCH($A20,MASTER!$A$2:$A$2000,0))&amp;"","")</f>
        <v>Sensitivity-label metadata in the public repository</v>
      </c>
      <c r="E20" s="12" t="str">
        <f>IFERROR(INDEX(MASTER!$F$2:$F$2000,MATCH($A20,MASTER!$A$2:$A$2000,0))&amp;"","")</f>
        <v>P2</v>
      </c>
      <c r="F20" s="12" t="str">
        <f>IFERROR(INDEX(MASTER!$G$2:$G$2000,MATCH($A20,MASTER!$A$2:$A$2000,0))&amp;"","NOT IN MASTER")</f>
        <v>BLOCKED</v>
      </c>
      <c r="G20" s="12" t="str">
        <f>IFERROR(INDEX(MASTER!$H$2:$H$2000,MATCH($A20,MASTER!$A$2:$A$2000,0))&amp;"","")</f>
        <v/>
      </c>
      <c r="H20" s="12" t="str">
        <f>IFERROR(INDEX(MASTER!$I$2:$I$2000,MATCH($A20,MASTER!$A$2:$A$2000,0))&amp;"","")</f>
        <v/>
      </c>
      <c r="I20" s="19" t="str">
        <f>IFERROR(IF(INDEX(MASTER!$O$2:$O$2000,MATCH($A20,MASTER!$A$2:$A$2000,0))="","",INDEX(MASTER!$O$2:$O$2000,MATCH($A20,MASTER!$A$2:$A$2000,0))),"")</f>
        <v/>
      </c>
      <c r="J20" s="12" t="str">
        <f>IFERROR(INDEX(MASTER!$P$2:$P$2000,MATCH($A20,MASTER!$A$2:$A$2000,0))&amp;"","")</f>
        <v/>
      </c>
      <c r="K20" s="12" t="str">
        <f>IFERROR(INDEX(MASTER!$Q$2:$Q$2000,MATCH($A20,MASTER!$A$2:$A$2000,0))&amp;"","")</f>
        <v>Needs Boril: the choice involves his organisation's label and possibly rewriting pushed history. The tracker tools now strip MSIP labels on every write; the pre-push scan flags them.</v>
      </c>
      <c r="L20" s="12" t="str">
        <f>IFERROR(INDEX(MASTER!$R$2:$R$2000,MATCH($A20,MASTER!$A$2:$A$2000,0))&amp;"","")</f>
        <v/>
      </c>
    </row>
    <row r="21" spans="1:12" x14ac:dyDescent="0.25">
      <c r="A21" s="15" t="s">
        <v>877</v>
      </c>
      <c r="B21" s="12" t="str">
        <f>IFERROR(INDEX(MASTER!$C$2:$C$2000,MATCH($A21,MASTER!$A$2:$A$2000,0))&amp;"","")</f>
        <v>SECURITY</v>
      </c>
      <c r="C21" s="16">
        <f>IFERROR(INDEX(MASTER!$B$2:$B$2000,MATCH($A21,MASTER!$A$2:$A$2000,0)),"")</f>
        <v>4</v>
      </c>
      <c r="D21" s="12" t="str">
        <f>IFERROR(INDEX(MASTER!$D$2:$D$2000,MATCH($A21,MASTER!$A$2:$A$2000,0))&amp;"","")</f>
        <v>Formatting rule values can't break out of a style</v>
      </c>
      <c r="E21" s="12" t="str">
        <f>IFERROR(INDEX(MASTER!$F$2:$F$2000,MATCH($A21,MASTER!$A$2:$A$2000,0))&amp;"","")</f>
        <v>P0</v>
      </c>
      <c r="F21" s="12" t="str">
        <f>IFERROR(INDEX(MASTER!$G$2:$G$2000,MATCH($A21,MASTER!$A$2:$A$2000,0))&amp;"","NOT IN MASTER")</f>
        <v>DONE</v>
      </c>
      <c r="G21" s="12" t="str">
        <f>IFERROR(INDEX(MASTER!$H$2:$H$2000,MATCH($A21,MASTER!$A$2:$A$2000,0))&amp;"","")</f>
        <v>app/formatting/values.py: clean_rule_value per property (the StyleSystem's limits: choices, true/false, one safe font name, renderable colours, bounded numbers with known units, header/footer text &lt;=500). Refused with 422 by the element-style and page-setting endpoints (schemas RuleValue); instruction rules and set_style operations with such values dropped (FMT-005), validate_operations refuses them; stored rules no renderer can use are skipped at resolve (engine._usable) so old documents can't carry them either. All 177 default/template rules pass unchanged.</v>
      </c>
      <c r="H21" s="12" t="str">
        <f>IFERROR(INDEX(MASTER!$I$2:$I$2000,MATCH($A21,MASTER!$A$2:$A$2000,0))&amp;"","")</f>
        <v>tests/test_rule_values.py (34 cases incl. API 422, stored-rule skip, instruction drop)</v>
      </c>
      <c r="I21" s="19">
        <f>IFERROR(IF(INDEX(MASTER!$O$2:$O$2000,MATCH($A21,MASTER!$A$2:$A$2000,0))="","",INDEX(MASTER!$O$2:$O$2000,MATCH($A21,MASTER!$A$2:$A$2000,0))),"")</f>
        <v>46292.399004629631</v>
      </c>
      <c r="J21" s="12" t="str">
        <f>IFERROR(INDEX(MASTER!$P$2:$P$2000,MATCH($A21,MASTER!$A$2:$A$2000,0))&amp;"","")</f>
        <v>53c84e4</v>
      </c>
      <c r="K21" s="12" t="str">
        <f>IFERROR(INDEX(MASTER!$Q$2:$Q$2000,MATCH($A21,MASTER!$A$2:$A$2000,0))&amp;"","")</f>
        <v>Found 2026-09-27 while mapping editor alignment (EDIT-008); probe confirmed the raw value in resolvedStyles.</v>
      </c>
      <c r="L21" s="12" t="str">
        <f>IFERROR(INDEX(MASTER!$R$2:$R$2000,MATCH($A21,MASTER!$A$2:$A$2000,0))&amp;"","")</f>
        <v/>
      </c>
    </row>
    <row r="22" spans="1:12" x14ac:dyDescent="0.25">
      <c r="A22" s="15" t="s">
        <v>883</v>
      </c>
      <c r="B22" s="12" t="str">
        <f>IFERROR(INDEX(MASTER!$C$2:$C$2000,MATCH($A22,MASTER!$A$2:$A$2000,0))&amp;"","")</f>
        <v>SECURITY</v>
      </c>
      <c r="C22" s="16">
        <f>IFERROR(INDEX(MASTER!$B$2:$B$2000,MATCH($A22,MASTER!$A$2:$A$2000,0)),"")</f>
        <v>4</v>
      </c>
      <c r="D22" s="12" t="str">
        <f>IFERROR(INDEX(MASTER!$D$2:$D$2000,MATCH($A22,MASTER!$A$2:$A$2000,0))&amp;"","")</f>
        <v>Text no document can hold</v>
      </c>
      <c r="E22" s="12" t="str">
        <f>IFERROR(INDEX(MASTER!$F$2:$F$2000,MATCH($A22,MASTER!$A$2:$A$2000,0))&amp;"","")</f>
        <v>P1</v>
      </c>
      <c r="F22" s="12" t="str">
        <f>IFERROR(INDEX(MASTER!$G$2:$G$2000,MATCH($A22,MASTER!$A$2:$A$2000,0))&amp;"","NOT IN MASTER")</f>
        <v>DONE</v>
      </c>
      <c r="G22" s="12" t="str">
        <f>IFERROR(INDEX(MASTER!$H$2:$H$2000,MATCH($A22,MASTER!$A$2:$A$2000,0))&amp;"","")</f>
        <v>Every document text field is an XmlText (app/models/base.py): InlineRun.text, Element.content/language, link href/title, picture alt/title/name, headers/footers, metadata title/filename, core properties. The codes are dropped whoever sends them (importers, the editor's PUT /content, the AI); word separators (form feed, vertical tab, FS/GS/RS/US) become a space. The text importers clean before the content check (so it stays verified) and report text.control_characters. OpenAPI unchanged. Mutations of each guard killed.</v>
      </c>
      <c r="H22" s="12" t="str">
        <f>IFERROR(INDEX(MASTER!$I$2:$I$2000,MATCH($A22,MASTER!$A$2:$A$2000,0))&amp;"","")</f>
        <v>backend/tests/test_malformed_pdfs.py::test_control_codes_never_reach_a_document_and_are_said_to_be_left_out (PDF import, paste, editor save, Word export); ::test_the_model_holds_only_what_xml_can</v>
      </c>
      <c r="I22" s="19">
        <f>IFERROR(IF(INDEX(MASTER!$O$2:$O$2000,MATCH($A22,MASTER!$A$2:$A$2000,0))="","",INDEX(MASTER!$O$2:$O$2000,MATCH($A22,MASTER!$A$2:$A$2000,0))),"")</f>
        <v>46295.915150462963</v>
      </c>
      <c r="J22" s="12" t="str">
        <f>IFERROR(INDEX(MASTER!$P$2:$P$2000,MATCH($A22,MASTER!$A$2:$A$2000,0))&amp;"","")</f>
        <v>44958e6</v>
      </c>
      <c r="K22" s="12" t="str">
        <f>IFERROR(INDEX(MASTER!$Q$2:$Q$2000,MATCH($A22,MASTER!$A$2:$A$2000,0))&amp;"","")</f>
        <v>Found by the SEC-011 corpus: a backspace from a PDF's broken font was stored, then python-docx refused every Word export of that document (500).</v>
      </c>
      <c r="L22" s="12" t="str">
        <f>IFERROR(INDEX(MASTER!$R$2:$R$2000,MATCH($A22,MASTER!$A$2:$A$2000,0))&amp;"","")</f>
        <v/>
      </c>
    </row>
    <row r="23" spans="1:12" x14ac:dyDescent="0.25">
      <c r="A23" s="15" t="s">
        <v>948</v>
      </c>
      <c r="B23" s="12" t="str">
        <f>IFERROR(INDEX(MASTER!$C$2:$C$2000,MATCH($A23,MASTER!$A$2:$A$2000,0))&amp;"","")</f>
        <v>ACCOUNT</v>
      </c>
      <c r="C23" s="16">
        <f>IFERROR(INDEX(MASTER!$B$2:$B$2000,MATCH($A23,MASTER!$A$2:$A$2000,0)),"")</f>
        <v>6</v>
      </c>
      <c r="D23" s="12" t="str">
        <f>IFERROR(INDEX(MASTER!$D$2:$D$2000,MATCH($A23,MASTER!$A$2:$A$2000,0))&amp;"","")</f>
        <v>E-mail sender abstraction</v>
      </c>
      <c r="E23" s="12" t="str">
        <f>IFERROR(INDEX(MASTER!$F$2:$F$2000,MATCH($A23,MASTER!$A$2:$A$2000,0))&amp;"","")</f>
        <v>P0</v>
      </c>
      <c r="F23" s="12" t="str">
        <f>IFERROR(INDEX(MASTER!$G$2:$G$2000,MATCH($A23,MASTER!$A$2:$A$2000,0))&amp;"","NOT IN MASTER")</f>
        <v>DONE</v>
      </c>
      <c r="G23" s="12" t="str">
        <f>IFERROR(INDEX(MASTER!$H$2:$H$2000,MATCH($A23,MASTER!$A$2:$A$2000,0))&amp;"","")</f>
        <v>backend/app/mail/sender.py (OutboxSender, SmtpSender, MemorySender, get_email_sender), backend/app/config.py (email_*, smtp_*, _email_can_go_out), backend/.env.example, README.md (E-mail), docs/security/README.md (E-mail)</v>
      </c>
      <c r="H23" s="12" t="str">
        <f>IFERROR(INDEX(MASTER!$I$2:$I$2000,MATCH($A23,MASTER!$A$2:$A$2000,0))&amp;"","")</f>
        <v>backend/tests/test_email.py (6, security suite); tests/conftest.py sent_mail; 7/7 mutations</v>
      </c>
      <c r="I23" s="19">
        <f>IFERROR(IF(INDEX(MASTER!$O$2:$O$2000,MATCH($A23,MASTER!$A$2:$A$2000,0))="","",INDEX(MASTER!$O$2:$O$2000,MATCH($A23,MASTER!$A$2:$A$2000,0))),"")</f>
        <v>46296.64025462963</v>
      </c>
      <c r="J23" s="12" t="str">
        <f>IFERROR(INDEX(MASTER!$P$2:$P$2000,MATCH($A23,MASTER!$A$2:$A$2000,0))&amp;"","")</f>
        <v>fba062b</v>
      </c>
      <c r="K23" s="12" t="str">
        <f>IFERROR(INDEX(MASTER!$Q$2:$Q$2000,MATCH($A23,MASTER!$A$2:$A$2000,0))&amp;"","")</f>
        <v/>
      </c>
      <c r="L23" s="12" t="str">
        <f>IFERROR(INDEX(MASTER!$R$2:$R$2000,MATCH($A23,MASTER!$A$2:$A$2000,0))&amp;"","")</f>
        <v/>
      </c>
    </row>
    <row r="24" spans="1:12" x14ac:dyDescent="0.25">
      <c r="A24" s="15" t="s">
        <v>955</v>
      </c>
      <c r="B24" s="12" t="str">
        <f>IFERROR(INDEX(MASTER!$C$2:$C$2000,MATCH($A24,MASTER!$A$2:$A$2000,0))&amp;"","")</f>
        <v>ACCOUNT</v>
      </c>
      <c r="C24" s="16">
        <f>IFERROR(INDEX(MASTER!$B$2:$B$2000,MATCH($A24,MASTER!$A$2:$A$2000,0)),"")</f>
        <v>6</v>
      </c>
      <c r="D24" s="12" t="str">
        <f>IFERROR(INDEX(MASTER!$D$2:$D$2000,MATCH($A24,MASTER!$A$2:$A$2000,0))&amp;"","")</f>
        <v>Password reset</v>
      </c>
      <c r="E24" s="12" t="str">
        <f>IFERROR(INDEX(MASTER!$F$2:$F$2000,MATCH($A24,MASTER!$A$2:$A$2000,0))&amp;"","")</f>
        <v>P0</v>
      </c>
      <c r="F24" s="12" t="str">
        <f>IFERROR(INDEX(MASTER!$G$2:$G$2000,MATCH($A24,MASTER!$A$2:$A$2000,0))&amp;"","NOT IN MASTER")</f>
        <v>DONE</v>
      </c>
      <c r="G24" s="12" t="str">
        <f>IFERROR(INDEX(MASTER!$H$2:$H$2000,MATCH($A24,MASTER!$A$2:$A$2000,0))&amp;"","")</f>
        <v>backend/app/services/account_tokens.py, auth_service.py (start_password_reset, reset_password, revoke_sessions), services/password_reset.py, api/auth.py (/auth/password-reset, /auth/password-reset/confirm), migration 1da599e1913f (applied to Supabase), frontend/components/PasswordResetForms.tsx, app/forgot-password, app/reset-password</v>
      </c>
      <c r="H24" s="12" t="str">
        <f>IFERROR(INDEX(MASTER!$I$2:$I$2000,MATCH($A24,MASTER!$A$2:$A$2000,0))&amp;"","")</f>
        <v>backend/tests/test_password_reset.py (9, security suite), frontend/components/PasswordResetForms.test.tsx (5), e2e/auth.spec.ts (forgotten password); 13/13 mutations</v>
      </c>
      <c r="I24" s="19">
        <f>IFERROR(IF(INDEX(MASTER!$O$2:$O$2000,MATCH($A24,MASTER!$A$2:$A$2000,0))="","",INDEX(MASTER!$O$2:$O$2000,MATCH($A24,MASTER!$A$2:$A$2000,0))),"")</f>
        <v>46296.657175925917</v>
      </c>
      <c r="J24" s="12" t="str">
        <f>IFERROR(INDEX(MASTER!$P$2:$P$2000,MATCH($A24,MASTER!$A$2:$A$2000,0))&amp;"","")</f>
        <v>4463ee6</v>
      </c>
      <c r="K24" s="12" t="str">
        <f>IFERROR(INDEX(MASTER!$Q$2:$Q$2000,MATCH($A24,MASTER!$A$2:$A$2000,0))&amp;"","")</f>
        <v/>
      </c>
      <c r="L24" s="12" t="str">
        <f>IFERROR(INDEX(MASTER!$R$2:$R$2000,MATCH($A24,MASTER!$A$2:$A$2000,0))&amp;"","")</f>
        <v/>
      </c>
    </row>
    <row r="25" spans="1:12" x14ac:dyDescent="0.25">
      <c r="A25" s="15" t="s">
        <v>962</v>
      </c>
      <c r="B25" s="12" t="str">
        <f>IFERROR(INDEX(MASTER!$C$2:$C$2000,MATCH($A25,MASTER!$A$2:$A$2000,0))&amp;"","")</f>
        <v>ACCOUNT</v>
      </c>
      <c r="C25" s="16">
        <f>IFERROR(INDEX(MASTER!$B$2:$B$2000,MATCH($A25,MASTER!$A$2:$A$2000,0)),"")</f>
        <v>6</v>
      </c>
      <c r="D25" s="12" t="str">
        <f>IFERROR(INDEX(MASTER!$D$2:$D$2000,MATCH($A25,MASTER!$A$2:$A$2000,0))&amp;"","")</f>
        <v>E-mail verification</v>
      </c>
      <c r="E25" s="12" t="str">
        <f>IFERROR(INDEX(MASTER!$F$2:$F$2000,MATCH($A25,MASTER!$A$2:$A$2000,0))&amp;"","")</f>
        <v>P0</v>
      </c>
      <c r="F25" s="12" t="str">
        <f>IFERROR(INDEX(MASTER!$G$2:$G$2000,MATCH($A25,MASTER!$A$2:$A$2000,0))&amp;"","NOT IN MASTER")</f>
        <v>DONE</v>
      </c>
      <c r="G25" s="12" t="str">
        <f>IFERROR(INDEX(MASTER!$H$2:$H$2000,MATCH($A25,MASTER!$A$2:$A$2000,0))&amp;"","")</f>
        <v>backend/app/services/auth_service.py (start_email_verification, verify_email), services/account_mail.py (send_verification_link), api/auth.py (/auth/verify-email, /auth/verify-email/confirm, sign-up link, emailVerified), migration 0417f0f393fc (applied to Supabase), frontend/components/VerifyEmail.tsx, app/verify-email, dashboard notice</v>
      </c>
      <c r="H25" s="12" t="str">
        <f>IFERROR(INDEX(MASTER!$I$2:$I$2000,MATCH($A25,MASTER!$A$2:$A$2000,0))&amp;"","")</f>
        <v>backend/tests/test_email_verification.py (5, security suite), frontend/components/VerifyEmail.test.tsx (4), e2e/auth.spec.ts (address confirmed); 8/8 mutations</v>
      </c>
      <c r="I25" s="19">
        <f>IFERROR(IF(INDEX(MASTER!$O$2:$O$2000,MATCH($A25,MASTER!$A$2:$A$2000,0))="","",INDEX(MASTER!$O$2:$O$2000,MATCH($A25,MASTER!$A$2:$A$2000,0))),"")</f>
        <v>46296.673993055563</v>
      </c>
      <c r="J25" s="12" t="str">
        <f>IFERROR(INDEX(MASTER!$P$2:$P$2000,MATCH($A25,MASTER!$A$2:$A$2000,0))&amp;"","")</f>
        <v>390effe</v>
      </c>
      <c r="K25" s="12" t="str">
        <f>IFERROR(INDEX(MASTER!$Q$2:$Q$2000,MATCH($A25,MASTER!$A$2:$A$2000,0))&amp;"","")</f>
        <v/>
      </c>
      <c r="L25" s="12" t="str">
        <f>IFERROR(INDEX(MASTER!$R$2:$R$2000,MATCH($A25,MASTER!$A$2:$A$2000,0))&amp;"","")</f>
        <v/>
      </c>
    </row>
    <row r="26" spans="1:12" x14ac:dyDescent="0.25">
      <c r="A26" s="15" t="s">
        <v>968</v>
      </c>
      <c r="B26" s="12" t="str">
        <f>IFERROR(INDEX(MASTER!$C$2:$C$2000,MATCH($A26,MASTER!$A$2:$A$2000,0))&amp;"","")</f>
        <v>ACCOUNT</v>
      </c>
      <c r="C26" s="16">
        <f>IFERROR(INDEX(MASTER!$B$2:$B$2000,MATCH($A26,MASTER!$A$2:$A$2000,0)),"")</f>
        <v>6</v>
      </c>
      <c r="D26" s="12" t="str">
        <f>IFERROR(INDEX(MASTER!$D$2:$D$2000,MATCH($A26,MASTER!$A$2:$A$2000,0))&amp;"","")</f>
        <v>Password change</v>
      </c>
      <c r="E26" s="12" t="str">
        <f>IFERROR(INDEX(MASTER!$F$2:$F$2000,MATCH($A26,MASTER!$A$2:$A$2000,0))&amp;"","")</f>
        <v>P0</v>
      </c>
      <c r="F26" s="12" t="str">
        <f>IFERROR(INDEX(MASTER!$G$2:$G$2000,MATCH($A26,MASTER!$A$2:$A$2000,0))&amp;"","NOT IN MASTER")</f>
        <v>DONE</v>
      </c>
      <c r="G26" s="12" t="str">
        <f>IFERROR(INDEX(MASTER!$H$2:$H$2000,MATCH($A26,MASTER!$A$2:$A$2000,0))&amp;"","")</f>
        <v>backend/app/services/auth_service.py (change_password), backend/app/api/auth.py (PUT /auth/password), frontend/components/AccountSettings.tsx, app/settings/account, AccountMenu link</v>
      </c>
      <c r="H26" s="12" t="str">
        <f>IFERROR(INDEX(MASTER!$I$2:$I$2000,MATCH($A26,MASTER!$A$2:$A$2000,0))&amp;"","")</f>
        <v>backend/tests/test_password_change.py (3, security suite), frontend/components/AccountSettings.test.tsx (3), e2e/auth.spec.ts (password changed); 7/7 mutations</v>
      </c>
      <c r="I26" s="19">
        <f>IFERROR(IF(INDEX(MASTER!$O$2:$O$2000,MATCH($A26,MASTER!$A$2:$A$2000,0))="","",INDEX(MASTER!$O$2:$O$2000,MATCH($A26,MASTER!$A$2:$A$2000,0))),"")</f>
        <v>46296.683622685188</v>
      </c>
      <c r="J26" s="12" t="str">
        <f>IFERROR(INDEX(MASTER!$P$2:$P$2000,MATCH($A26,MASTER!$A$2:$A$2000,0))&amp;"","")</f>
        <v>f8a8290</v>
      </c>
      <c r="K26" s="12" t="str">
        <f>IFERROR(INDEX(MASTER!$Q$2:$Q$2000,MATCH($A26,MASTER!$A$2:$A$2000,0))&amp;"","")</f>
        <v/>
      </c>
      <c r="L26" s="12" t="str">
        <f>IFERROR(INDEX(MASTER!$R$2:$R$2000,MATCH($A26,MASTER!$A$2:$A$2000,0))&amp;"","")</f>
        <v/>
      </c>
    </row>
    <row r="27" spans="1:12" x14ac:dyDescent="0.25">
      <c r="A27" s="15" t="s">
        <v>974</v>
      </c>
      <c r="B27" s="12" t="str">
        <f>IFERROR(INDEX(MASTER!$C$2:$C$2000,MATCH($A27,MASTER!$A$2:$A$2000,0))&amp;"","")</f>
        <v>ACCOUNT</v>
      </c>
      <c r="C27" s="16">
        <f>IFERROR(INDEX(MASTER!$B$2:$B$2000,MATCH($A27,MASTER!$A$2:$A$2000,0)),"")</f>
        <v>6</v>
      </c>
      <c r="D27" s="12" t="str">
        <f>IFERROR(INDEX(MASTER!$D$2:$D$2000,MATCH($A27,MASTER!$A$2:$A$2000,0))&amp;"","")</f>
        <v>Account deletion</v>
      </c>
      <c r="E27" s="12" t="str">
        <f>IFERROR(INDEX(MASTER!$F$2:$F$2000,MATCH($A27,MASTER!$A$2:$A$2000,0))&amp;"","")</f>
        <v>P0</v>
      </c>
      <c r="F27" s="12" t="str">
        <f>IFERROR(INDEX(MASTER!$G$2:$G$2000,MATCH($A27,MASTER!$A$2:$A$2000,0))&amp;"","NOT IN MASTER")</f>
        <v>DONE</v>
      </c>
      <c r="G27" s="12" t="str">
        <f>IFERROR(INDEX(MASTER!$H$2:$H$2000,MATCH($A27,MASTER!$A$2:$A$2000,0))&amp;"","")</f>
        <v>backend/app/services/account_deletion.py, DELETE /auth/account, AccountSettings delete section, docs/cloud-reports/ACCT-005-007.md</v>
      </c>
      <c r="H27" s="12" t="str">
        <f>IFERROR(INDEX(MASTER!$I$2:$I$2000,MATCH($A27,MASTER!$A$2:$A$2000,0))&amp;"","")</f>
        <v>backend/tests/test_account_deletion.py (with the Stripe-id rule fixed in 7ba8c0c), AccountSettings.test.tsx, e2e</v>
      </c>
      <c r="I27" s="19">
        <f>IFERROR(IF(INDEX(MASTER!$O$2:$O$2000,MATCH($A27,MASTER!$A$2:$A$2000,0))="","",INDEX(MASTER!$O$2:$O$2000,MATCH($A27,MASTER!$A$2:$A$2000,0))),"")</f>
        <v>46301.615520833337</v>
      </c>
      <c r="J27" s="12" t="str">
        <f>IFERROR(INDEX(MASTER!$P$2:$P$2000,MATCH($A27,MASTER!$A$2:$A$2000,0))&amp;"","")</f>
        <v>7ba8c0c</v>
      </c>
      <c r="K27" s="12" t="str">
        <f>IFERROR(INDEX(MASTER!$Q$2:$Q$2000,MATCH($A27,MASTER!$A$2:$A$2000,0))&amp;"","")</f>
        <v/>
      </c>
      <c r="L27" s="12" t="str">
        <f>IFERROR(INDEX(MASTER!$R$2:$R$2000,MATCH($A27,MASTER!$A$2:$A$2000,0))&amp;"","")</f>
        <v/>
      </c>
    </row>
    <row r="28" spans="1:12" x14ac:dyDescent="0.25">
      <c r="A28" s="15" t="s">
        <v>980</v>
      </c>
      <c r="B28" s="12" t="str">
        <f>IFERROR(INDEX(MASTER!$C$2:$C$2000,MATCH($A28,MASTER!$A$2:$A$2000,0))&amp;"","")</f>
        <v>ACCOUNT</v>
      </c>
      <c r="C28" s="16">
        <f>IFERROR(INDEX(MASTER!$B$2:$B$2000,MATCH($A28,MASTER!$A$2:$A$2000,0)),"")</f>
        <v>6</v>
      </c>
      <c r="D28" s="12" t="str">
        <f>IFERROR(INDEX(MASTER!$D$2:$D$2000,MATCH($A28,MASTER!$A$2:$A$2000,0))&amp;"","")</f>
        <v>Session revocation and cleanup</v>
      </c>
      <c r="E28" s="12" t="str">
        <f>IFERROR(INDEX(MASTER!$F$2:$F$2000,MATCH($A28,MASTER!$A$2:$A$2000,0))&amp;"","")</f>
        <v>P1</v>
      </c>
      <c r="F28" s="12" t="str">
        <f>IFERROR(INDEX(MASTER!$G$2:$G$2000,MATCH($A28,MASTER!$A$2:$A$2000,0))&amp;"","NOT IN MASTER")</f>
        <v>DONE</v>
      </c>
      <c r="G28" s="12" t="str">
        <f>IFERROR(INDEX(MASTER!$H$2:$H$2000,MATCH($A28,MASTER!$A$2:$A$2000,0))&amp;"","")</f>
        <v>sessions list and sign-out, session/token sweep, migration b4b303454a89 (applied to Supabase)</v>
      </c>
      <c r="H28" s="12" t="str">
        <f>IFERROR(INDEX(MASTER!$I$2:$I$2000,MATCH($A28,MASTER!$A$2:$A$2000,0))&amp;"","")</f>
        <v>backend/tests/test_sessions*.py, AccountSettings.test.tsx</v>
      </c>
      <c r="I28" s="19">
        <f>IFERROR(IF(INDEX(MASTER!$O$2:$O$2000,MATCH($A28,MASTER!$A$2:$A$2000,0))="","",INDEX(MASTER!$O$2:$O$2000,MATCH($A28,MASTER!$A$2:$A$2000,0))),"")</f>
        <v>46301.615567129629</v>
      </c>
      <c r="J28" s="12" t="str">
        <f>IFERROR(INDEX(MASTER!$P$2:$P$2000,MATCH($A28,MASTER!$A$2:$A$2000,0))&amp;"","")</f>
        <v>8aafef8</v>
      </c>
      <c r="K28" s="12" t="str">
        <f>IFERROR(INDEX(MASTER!$Q$2:$Q$2000,MATCH($A28,MASTER!$A$2:$A$2000,0))&amp;"","")</f>
        <v/>
      </c>
      <c r="L28" s="12" t="str">
        <f>IFERROR(INDEX(MASTER!$R$2:$R$2000,MATCH($A28,MASTER!$A$2:$A$2000,0))&amp;"","")</f>
        <v/>
      </c>
    </row>
    <row r="29" spans="1:12" x14ac:dyDescent="0.25">
      <c r="A29" s="15" t="s">
        <v>986</v>
      </c>
      <c r="B29" s="12" t="str">
        <f>IFERROR(INDEX(MASTER!$C$2:$C$2000,MATCH($A29,MASTER!$A$2:$A$2000,0))&amp;"","")</f>
        <v>ACCOUNT</v>
      </c>
      <c r="C29" s="16">
        <f>IFERROR(INDEX(MASTER!$B$2:$B$2000,MATCH($A29,MASTER!$A$2:$A$2000,0)),"")</f>
        <v>6</v>
      </c>
      <c r="D29" s="12" t="str">
        <f>IFERROR(INDEX(MASTER!$D$2:$D$2000,MATCH($A29,MASTER!$A$2:$A$2000,0))&amp;"","")</f>
        <v>Suspicious login handling</v>
      </c>
      <c r="E29" s="12" t="str">
        <f>IFERROR(INDEX(MASTER!$F$2:$F$2000,MATCH($A29,MASTER!$A$2:$A$2000,0))&amp;"","")</f>
        <v>P2</v>
      </c>
      <c r="F29" s="12" t="str">
        <f>IFERROR(INDEX(MASTER!$G$2:$G$2000,MATCH($A29,MASTER!$A$2:$A$2000,0))&amp;"","NOT IN MASTER")</f>
        <v>DONE</v>
      </c>
      <c r="G29" s="12" t="str">
        <f>IFERROR(INDEX(MASTER!$H$2:$H$2000,MATCH($A29,MASTER!$A$2:$A$2000,0))&amp;"","")</f>
        <v>backend/app/security/sign_in_delay.py, new-browser e-mail (date format fixed for Windows in 7ba8c0c), docs/security/README.md</v>
      </c>
      <c r="H29" s="12" t="str">
        <f>IFERROR(INDEX(MASTER!$I$2:$I$2000,MATCH($A29,MASTER!$A$2:$A$2000,0))&amp;"","")</f>
        <v>backend/tests/test_sign_in_protection.py</v>
      </c>
      <c r="I29" s="19">
        <f>IFERROR(IF(INDEX(MASTER!$O$2:$O$2000,MATCH($A29,MASTER!$A$2:$A$2000,0))="","",INDEX(MASTER!$O$2:$O$2000,MATCH($A29,MASTER!$A$2:$A$2000,0))),"")</f>
        <v>46301.615613425929</v>
      </c>
      <c r="J29" s="12" t="str">
        <f>IFERROR(INDEX(MASTER!$P$2:$P$2000,MATCH($A29,MASTER!$A$2:$A$2000,0))&amp;"","")</f>
        <v>7ba8c0c</v>
      </c>
      <c r="K29" s="12" t="str">
        <f>IFERROR(INDEX(MASTER!$Q$2:$Q$2000,MATCH($A29,MASTER!$A$2:$A$2000,0))&amp;"","")</f>
        <v/>
      </c>
      <c r="L29" s="12" t="str">
        <f>IFERROR(INDEX(MASTER!$R$2:$R$2000,MATCH($A29,MASTER!$A$2:$A$2000,0))&amp;"","")</f>
        <v/>
      </c>
    </row>
  </sheetData>
  <autoFilter ref="A7:L29" xr:uid="{00000000-0009-0000-0000-000009000000}"/>
  <conditionalFormatting sqref="E8:E29">
    <cfRule type="cellIs" dxfId="190" priority="19" operator="equal">
      <formula>"P0"</formula>
    </cfRule>
    <cfRule type="cellIs" dxfId="189" priority="20" operator="equal">
      <formula>"P1"</formula>
    </cfRule>
  </conditionalFormatting>
  <conditionalFormatting sqref="F8:F29">
    <cfRule type="cellIs" dxfId="188" priority="1" operator="equal">
      <formula>"DONE"</formula>
    </cfRule>
    <cfRule type="cellIs" dxfId="187" priority="2" operator="equal">
      <formula>"VERIFIED"</formula>
    </cfRule>
    <cfRule type="cellIs" dxfId="186" priority="3" operator="equal">
      <formula>"IN_PROGRESS"</formula>
    </cfRule>
    <cfRule type="cellIs" dxfId="185" priority="4" operator="equal">
      <formula>"IMPLEMENTED"</formula>
    </cfRule>
    <cfRule type="cellIs" dxfId="184" priority="5" operator="equal">
      <formula>"TESTING"</formula>
    </cfRule>
    <cfRule type="cellIs" dxfId="183" priority="6" operator="equal">
      <formula>"BLOCKED"</formula>
    </cfRule>
    <cfRule type="cellIs" dxfId="182" priority="7" operator="equal">
      <formula>"FAILED"</formula>
    </cfRule>
    <cfRule type="cellIs" dxfId="181" priority="8" operator="equal">
      <formula>"DEFERRED"</formula>
    </cfRule>
    <cfRule type="cellIs" dxfId="180" priority="9" operator="equal">
      <formula>"UNKNOWN"</formula>
    </cfRule>
    <cfRule type="cellIs" dxfId="179" priority="10" operator="equal">
      <formula>"PASS"</formula>
    </cfRule>
    <cfRule type="cellIs" dxfId="178" priority="11" operator="equal">
      <formula>"FAIL"</formula>
    </cfRule>
    <cfRule type="cellIs" dxfId="177" priority="12" operator="equal">
      <formula>"PARTIAL"</formula>
    </cfRule>
    <cfRule type="cellIs" dxfId="176" priority="13" operator="equal">
      <formula>"RESOLVED"</formula>
    </cfRule>
    <cfRule type="cellIs" dxfId="175" priority="14" operator="equal">
      <formula>"OPEN"</formula>
    </cfRule>
    <cfRule type="cellIs" dxfId="174" priority="15" operator="equal">
      <formula>"WITHIN"</formula>
    </cfRule>
    <cfRule type="cellIs" dxfId="173" priority="16" operator="equal">
      <formula>"OVER"</formula>
    </cfRule>
    <cfRule type="cellIs" dxfId="172" priority="17" operator="equal">
      <formula>"NOW"</formula>
    </cfRule>
    <cfRule type="cellIs" dxfId="171" priority="18" operator="equal">
      <formula>"NOT IN MASTER"</formula>
    </cfRule>
  </conditionalFormatting>
  <pageMargins left="0.75" right="0.75" top="1" bottom="1" header="0.5" footer="0.5"/>
  <pageSetup fitToHeight="0" orientation="landscape"/>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1"/>
  </sheetPr>
  <dimension ref="A1:L34"/>
  <sheetViews>
    <sheetView workbookViewId="0">
      <pane ySplit="4" topLeftCell="A5" activePane="bottomLeft" state="frozen"/>
      <selection pane="bottomLeft"/>
    </sheetView>
  </sheetViews>
  <sheetFormatPr defaultRowHeight="15" x14ac:dyDescent="0.25"/>
  <cols>
    <col min="1" max="1" width="12" customWidth="1"/>
    <col min="2" max="2" width="14" customWidth="1"/>
    <col min="3" max="3" width="7" customWidth="1"/>
    <col min="4" max="4" width="50" customWidth="1"/>
    <col min="5" max="5" width="10" customWidth="1"/>
    <col min="6" max="6" width="16" customWidth="1"/>
    <col min="7" max="7" width="44" customWidth="1"/>
    <col min="8" max="8" width="34" customWidth="1"/>
    <col min="9" max="9" width="16" customWidth="1"/>
    <col min="10" max="10" width="10" customWidth="1"/>
    <col min="11" max="11" width="40" customWidth="1"/>
    <col min="12" max="12" width="11" customWidth="1"/>
  </cols>
  <sheetData>
    <row r="1" spans="1:11" ht="20.25" x14ac:dyDescent="0.3">
      <c r="A1" s="3" t="s">
        <v>1590</v>
      </c>
    </row>
    <row r="2" spans="1:11" x14ac:dyDescent="0.25">
      <c r="A2" s="4" t="s">
        <v>130</v>
      </c>
    </row>
    <row r="3" spans="1:11" x14ac:dyDescent="0.25">
      <c r="A3" s="6" t="s">
        <v>45</v>
      </c>
      <c r="B3" s="6" t="s">
        <v>46</v>
      </c>
      <c r="C3" s="6" t="s">
        <v>47</v>
      </c>
      <c r="D3" s="6" t="s">
        <v>13</v>
      </c>
      <c r="E3" s="6" t="s">
        <v>16</v>
      </c>
      <c r="F3" s="6" t="s">
        <v>19</v>
      </c>
      <c r="G3" s="6" t="s">
        <v>48</v>
      </c>
      <c r="H3" s="6" t="s">
        <v>33</v>
      </c>
    </row>
    <row r="4" spans="1:11" x14ac:dyDescent="0.25">
      <c r="A4" s="7">
        <f>COUNTIF(MASTER!$C$2:$C$2000,"PERFORMANCE")</f>
        <v>10</v>
      </c>
      <c r="B4" s="7">
        <f>COUNTIFS(MASTER!$C$2:$C$2000,"PERFORMANCE",MASTER!$G$2:$G$2000,"DONE")</f>
        <v>9</v>
      </c>
      <c r="C4" s="7">
        <f>COUNTIFS(MASTER!$C$2:$C$2000,"PERFORMANCE",MASTER!$G$2:$G$2000,"VERIFIED")+B4</f>
        <v>9</v>
      </c>
      <c r="D4" s="7">
        <f>COUNTIFS(MASTER!$C$2:$C$2000,"PERFORMANCE",MASTER!$G$2:$G$2000,"IN_PROGRESS")+COUNTIFS(MASTER!$C$2:$C$2000,"PERFORMANCE",MASTER!$G$2:$G$2000,"IMPLEMENTED")+COUNTIFS(MASTER!$C$2:$C$2000,"PERFORMANCE",MASTER!$G$2:$G$2000,"TESTING")</f>
        <v>0</v>
      </c>
      <c r="E4" s="7">
        <f>COUNTIFS(MASTER!$C$2:$C$2000,"PERFORMANCE",MASTER!$G$2:$G$2000,"BLOCKED")</f>
        <v>0</v>
      </c>
      <c r="F4" s="7">
        <f>COUNTIFS(MASTER!$C$2:$C$2000,"PERFORMANCE",MASTER!$G$2:$G$2000,"FAILED")</f>
        <v>0</v>
      </c>
      <c r="G4" s="9">
        <f>IF(A4=0,0,B4/A4)</f>
        <v>0.9</v>
      </c>
      <c r="H4" s="9">
        <f>IF(A4=0,0,C4/A4)</f>
        <v>0.9</v>
      </c>
    </row>
    <row r="6" spans="1:11" ht="15.75" x14ac:dyDescent="0.25">
      <c r="A6" s="5" t="s">
        <v>1591</v>
      </c>
    </row>
    <row r="7" spans="1:11" x14ac:dyDescent="0.25">
      <c r="A7" s="10" t="s">
        <v>1592</v>
      </c>
      <c r="B7" s="10" t="s">
        <v>1593</v>
      </c>
      <c r="C7" s="10" t="s">
        <v>1594</v>
      </c>
      <c r="D7" s="10" t="s">
        <v>1595</v>
      </c>
      <c r="E7" s="10" t="s">
        <v>1596</v>
      </c>
      <c r="F7" s="10" t="s">
        <v>57</v>
      </c>
      <c r="G7" s="10" t="s">
        <v>1597</v>
      </c>
      <c r="H7" s="10" t="s">
        <v>1598</v>
      </c>
      <c r="I7" s="10" t="s">
        <v>1599</v>
      </c>
      <c r="J7" s="10" t="s">
        <v>1600</v>
      </c>
      <c r="K7" s="10" t="s">
        <v>178</v>
      </c>
    </row>
    <row r="8" spans="1:11" ht="51" x14ac:dyDescent="0.25">
      <c r="A8" s="15" t="s">
        <v>1601</v>
      </c>
      <c r="B8" s="12" t="s">
        <v>1602</v>
      </c>
      <c r="C8" s="12" t="s">
        <v>1603</v>
      </c>
      <c r="D8" s="18" t="s">
        <v>1604</v>
      </c>
      <c r="E8" s="12">
        <v>321</v>
      </c>
      <c r="F8" s="12" t="str">
        <f t="shared" ref="F8:F20" si="0">IF(H8="","NOT_REMEASURED",IF(J8="","NO_THRESHOLD",IF(H8&lt;=J8,"WITHIN","OVER")))</f>
        <v>WITHIN</v>
      </c>
      <c r="G8" s="18" t="s">
        <v>1605</v>
      </c>
      <c r="H8" s="12">
        <v>0.70599999999999996</v>
      </c>
      <c r="I8" s="19">
        <v>46301.616249999999</v>
      </c>
      <c r="J8" s="12">
        <v>10</v>
      </c>
      <c r="K8" s="18" t="s">
        <v>1606</v>
      </c>
    </row>
    <row r="9" spans="1:11" x14ac:dyDescent="0.25">
      <c r="A9" s="15" t="s">
        <v>1607</v>
      </c>
      <c r="B9" s="12" t="s">
        <v>1602</v>
      </c>
      <c r="C9" s="12" t="s">
        <v>1603</v>
      </c>
      <c r="D9" s="18" t="s">
        <v>1608</v>
      </c>
      <c r="E9" s="12">
        <v>1.4</v>
      </c>
      <c r="F9" s="12" t="str">
        <f t="shared" si="0"/>
        <v>NOT_REMEASURED</v>
      </c>
      <c r="G9" s="18" t="s">
        <v>1609</v>
      </c>
      <c r="H9" s="12"/>
      <c r="I9" s="19"/>
      <c r="J9" s="12"/>
      <c r="K9" s="18"/>
    </row>
    <row r="10" spans="1:11" x14ac:dyDescent="0.25">
      <c r="A10" s="15" t="s">
        <v>1610</v>
      </c>
      <c r="B10" s="12" t="s">
        <v>1602</v>
      </c>
      <c r="C10" s="12" t="s">
        <v>1603</v>
      </c>
      <c r="D10" s="18" t="s">
        <v>1611</v>
      </c>
      <c r="E10" s="12">
        <v>0.32800000000000001</v>
      </c>
      <c r="F10" s="12" t="str">
        <f t="shared" si="0"/>
        <v>NOT_REMEASURED</v>
      </c>
      <c r="G10" s="18" t="s">
        <v>1612</v>
      </c>
      <c r="H10" s="12"/>
      <c r="I10" s="19"/>
      <c r="J10" s="12"/>
      <c r="K10" s="18"/>
    </row>
    <row r="11" spans="1:11" x14ac:dyDescent="0.25">
      <c r="A11" s="15" t="s">
        <v>1613</v>
      </c>
      <c r="B11" s="12" t="s">
        <v>1602</v>
      </c>
      <c r="C11" s="12" t="s">
        <v>1603</v>
      </c>
      <c r="D11" s="18" t="s">
        <v>1614</v>
      </c>
      <c r="E11" s="12">
        <v>0.66900000000000004</v>
      </c>
      <c r="F11" s="12" t="str">
        <f t="shared" si="0"/>
        <v>NOT_REMEASURED</v>
      </c>
      <c r="G11" s="18" t="s">
        <v>1612</v>
      </c>
      <c r="H11" s="12"/>
      <c r="I11" s="19"/>
      <c r="J11" s="12"/>
      <c r="K11" s="18"/>
    </row>
    <row r="12" spans="1:11" x14ac:dyDescent="0.25">
      <c r="A12" s="15" t="s">
        <v>1615</v>
      </c>
      <c r="B12" s="12" t="s">
        <v>1602</v>
      </c>
      <c r="C12" s="12" t="s">
        <v>1603</v>
      </c>
      <c r="D12" s="18" t="s">
        <v>1616</v>
      </c>
      <c r="E12" s="12">
        <v>1.8</v>
      </c>
      <c r="F12" s="12" t="str">
        <f t="shared" si="0"/>
        <v>NOT_REMEASURED</v>
      </c>
      <c r="G12" s="18" t="s">
        <v>1612</v>
      </c>
      <c r="H12" s="12"/>
      <c r="I12" s="19"/>
      <c r="J12" s="12"/>
      <c r="K12" s="18"/>
    </row>
    <row r="13" spans="1:11" ht="25.5" x14ac:dyDescent="0.25">
      <c r="A13" s="15" t="s">
        <v>1617</v>
      </c>
      <c r="B13" s="12" t="s">
        <v>1618</v>
      </c>
      <c r="C13" s="12" t="s">
        <v>1619</v>
      </c>
      <c r="D13" s="18" t="s">
        <v>1620</v>
      </c>
      <c r="E13" s="12">
        <v>1382</v>
      </c>
      <c r="F13" s="12" t="str">
        <f t="shared" si="0"/>
        <v>NOT_REMEASURED</v>
      </c>
      <c r="G13" s="18" t="s">
        <v>1621</v>
      </c>
      <c r="H13" s="12"/>
      <c r="I13" s="19"/>
      <c r="J13" s="12"/>
      <c r="K13" s="18"/>
    </row>
    <row r="14" spans="1:11" x14ac:dyDescent="0.25">
      <c r="A14" s="15" t="s">
        <v>1622</v>
      </c>
      <c r="B14" s="12" t="s">
        <v>1618</v>
      </c>
      <c r="C14" s="12" t="s">
        <v>1619</v>
      </c>
      <c r="D14" s="18" t="s">
        <v>1623</v>
      </c>
      <c r="E14" s="12">
        <v>180</v>
      </c>
      <c r="F14" s="12" t="str">
        <f t="shared" si="0"/>
        <v>NOT_REMEASURED</v>
      </c>
      <c r="G14" s="18" t="s">
        <v>1624</v>
      </c>
      <c r="H14" s="12"/>
      <c r="I14" s="19"/>
      <c r="J14" s="12"/>
      <c r="K14" s="18"/>
    </row>
    <row r="15" spans="1:11" ht="25.5" x14ac:dyDescent="0.25">
      <c r="A15" s="15" t="s">
        <v>1625</v>
      </c>
      <c r="B15" s="12" t="s">
        <v>1602</v>
      </c>
      <c r="C15" s="12" t="s">
        <v>1603</v>
      </c>
      <c r="D15" s="18" t="s">
        <v>1626</v>
      </c>
      <c r="E15" s="12">
        <v>9.4</v>
      </c>
      <c r="F15" s="12" t="str">
        <f t="shared" si="0"/>
        <v>NOT_REMEASURED</v>
      </c>
      <c r="G15" s="18" t="s">
        <v>1627</v>
      </c>
      <c r="H15" s="12"/>
      <c r="I15" s="19"/>
      <c r="J15" s="12"/>
      <c r="K15" s="18"/>
    </row>
    <row r="16" spans="1:11" x14ac:dyDescent="0.25">
      <c r="A16" s="15" t="s">
        <v>1628</v>
      </c>
      <c r="B16" s="12" t="s">
        <v>1602</v>
      </c>
      <c r="C16" s="12" t="s">
        <v>1603</v>
      </c>
      <c r="D16" s="18" t="s">
        <v>1629</v>
      </c>
      <c r="E16" s="12">
        <v>0.62</v>
      </c>
      <c r="F16" s="12" t="str">
        <f t="shared" si="0"/>
        <v>NOT_REMEASURED</v>
      </c>
      <c r="G16" s="18" t="s">
        <v>1630</v>
      </c>
      <c r="H16" s="12"/>
      <c r="I16" s="19"/>
      <c r="J16" s="12"/>
      <c r="K16" s="18"/>
    </row>
    <row r="17" spans="1:12" ht="102" x14ac:dyDescent="0.25">
      <c r="A17" s="15" t="s">
        <v>1631</v>
      </c>
      <c r="B17" s="12" t="s">
        <v>1632</v>
      </c>
      <c r="C17" s="12" t="s">
        <v>1619</v>
      </c>
      <c r="D17" s="18" t="s">
        <v>1633</v>
      </c>
      <c r="E17" s="12">
        <v>2.77</v>
      </c>
      <c r="F17" s="12" t="str">
        <f t="shared" si="0"/>
        <v>WITHIN</v>
      </c>
      <c r="G17" s="18" t="s">
        <v>1634</v>
      </c>
      <c r="H17" s="12">
        <v>1.4E-3</v>
      </c>
      <c r="I17" s="19">
        <v>46296.494641203702</v>
      </c>
      <c r="J17" s="12">
        <v>0.05</v>
      </c>
      <c r="K17" s="18" t="s">
        <v>1635</v>
      </c>
    </row>
    <row r="18" spans="1:12" ht="76.5" x14ac:dyDescent="0.25">
      <c r="A18" s="15" t="s">
        <v>1636</v>
      </c>
      <c r="B18" s="12" t="s">
        <v>1632</v>
      </c>
      <c r="C18" s="12" t="s">
        <v>1619</v>
      </c>
      <c r="D18" s="18" t="s">
        <v>1637</v>
      </c>
      <c r="E18" s="12">
        <v>5.99</v>
      </c>
      <c r="F18" s="12" t="str">
        <f t="shared" si="0"/>
        <v>WITHIN</v>
      </c>
      <c r="G18" s="18" t="s">
        <v>1630</v>
      </c>
      <c r="H18" s="12">
        <v>8.0000000000000004E-4</v>
      </c>
      <c r="I18" s="19">
        <v>46296.494687500002</v>
      </c>
      <c r="J18" s="12">
        <v>0.05</v>
      </c>
      <c r="K18" s="18" t="s">
        <v>1638</v>
      </c>
    </row>
    <row r="19" spans="1:12" ht="25.5" x14ac:dyDescent="0.25">
      <c r="A19" s="15" t="s">
        <v>1639</v>
      </c>
      <c r="B19" s="12" t="s">
        <v>1640</v>
      </c>
      <c r="C19" s="12" t="s">
        <v>1619</v>
      </c>
      <c r="D19" s="18" t="s">
        <v>1641</v>
      </c>
      <c r="E19" s="12">
        <v>140</v>
      </c>
      <c r="F19" s="12" t="str">
        <f t="shared" si="0"/>
        <v>NOT_REMEASURED</v>
      </c>
      <c r="G19" s="18" t="s">
        <v>1642</v>
      </c>
      <c r="H19" s="12"/>
      <c r="I19" s="19"/>
      <c r="J19" s="12"/>
      <c r="K19" s="18"/>
    </row>
    <row r="20" spans="1:12" ht="25.5" x14ac:dyDescent="0.25">
      <c r="A20" s="15" t="s">
        <v>1643</v>
      </c>
      <c r="B20" s="12" t="s">
        <v>1602</v>
      </c>
      <c r="C20" s="12" t="s">
        <v>1603</v>
      </c>
      <c r="D20" s="18" t="s">
        <v>1644</v>
      </c>
      <c r="E20" s="12">
        <v>0.65</v>
      </c>
      <c r="F20" s="12" t="str">
        <f t="shared" si="0"/>
        <v>NOT_REMEASURED</v>
      </c>
      <c r="G20" s="18" t="s">
        <v>1645</v>
      </c>
      <c r="H20" s="12"/>
      <c r="I20" s="19"/>
      <c r="J20" s="12"/>
      <c r="K20" s="18"/>
    </row>
    <row r="23" spans="1:12" ht="15.75" x14ac:dyDescent="0.25">
      <c r="A23" s="5" t="s">
        <v>1646</v>
      </c>
    </row>
    <row r="24" spans="1:12" x14ac:dyDescent="0.25">
      <c r="A24" s="10" t="s">
        <v>166</v>
      </c>
      <c r="B24" s="10" t="s">
        <v>100</v>
      </c>
      <c r="C24" s="10" t="s">
        <v>43</v>
      </c>
      <c r="D24" s="10" t="s">
        <v>167</v>
      </c>
      <c r="E24" s="10" t="s">
        <v>169</v>
      </c>
      <c r="F24" s="10" t="s">
        <v>57</v>
      </c>
      <c r="G24" s="10" t="s">
        <v>170</v>
      </c>
      <c r="H24" s="10" t="s">
        <v>171</v>
      </c>
      <c r="I24" s="10" t="s">
        <v>15</v>
      </c>
      <c r="J24" s="10" t="s">
        <v>177</v>
      </c>
      <c r="K24" s="10" t="s">
        <v>178</v>
      </c>
      <c r="L24" s="10" t="s">
        <v>179</v>
      </c>
    </row>
    <row r="25" spans="1:12" x14ac:dyDescent="0.25">
      <c r="A25" s="15" t="s">
        <v>889</v>
      </c>
      <c r="B25" s="12" t="str">
        <f>IFERROR(INDEX(MASTER!$C$2:$C$2000,MATCH($A25,MASTER!$A$2:$A$2000,0))&amp;"","")</f>
        <v>PERFORMANCE</v>
      </c>
      <c r="C25" s="16">
        <f>IFERROR(INDEX(MASTER!$B$2:$B$2000,MATCH($A25,MASTER!$A$2:$A$2000,0)),"")</f>
        <v>5</v>
      </c>
      <c r="D25" s="12" t="str">
        <f>IFERROR(INDEX(MASTER!$D$2:$D$2000,MATCH($A25,MASTER!$A$2:$A$2000,0))&amp;"","")</f>
        <v>Linear DOCX table export</v>
      </c>
      <c r="E25" s="12" t="str">
        <f>IFERROR(INDEX(MASTER!$F$2:$F$2000,MATCH($A25,MASTER!$A$2:$A$2000,0))&amp;"","")</f>
        <v>P0</v>
      </c>
      <c r="F25" s="12" t="str">
        <f>IFERROR(INDEX(MASTER!$G$2:$G$2000,MATCH($A25,MASTER!$A$2:$A$2000,0))&amp;"","NOT IN MASTER")</f>
        <v>DONE</v>
      </c>
      <c r="G25" s="12" t="str">
        <f>IFERROR(INDEX(MASTER!$H$2:$H$2000,MATCH($A25,MASTER!$A$2:$A$2000,0))&amp;"","")</f>
        <v>backend/app/export/docx_export.py (linear table writing), docs/cloud-reports/PERF-001.md, docs/performance/after-perf-001/</v>
      </c>
      <c r="H25" s="12" t="str">
        <f>IFERROR(INDEX(MASTER!$I$2:$I$2000,MATCH($A25,MASTER!$A$2:$A$2000,0))&amp;"","")</f>
        <v>backend/tests/test_export_scaling.py; all 37 fixtures' XML byte for byte unchanged</v>
      </c>
      <c r="I25" s="19">
        <f>IFERROR(IF(INDEX(MASTER!$O$2:$O$2000,MATCH($A25,MASTER!$A$2:$A$2000,0))="","",INDEX(MASTER!$O$2:$O$2000,MATCH($A25,MASTER!$A$2:$A$2000,0))),"")</f>
        <v>46301.614942129629</v>
      </c>
      <c r="J25" s="12" t="str">
        <f>IFERROR(INDEX(MASTER!$P$2:$P$2000,MATCH($A25,MASTER!$A$2:$A$2000,0))&amp;"","")</f>
        <v>8966ec7</v>
      </c>
      <c r="K25" s="12" t="str">
        <f>IFERROR(INDEX(MASTER!$Q$2:$Q$2000,MATCH($A25,MASTER!$A$2:$A$2000,0))&amp;"","")</f>
        <v>2026-10-01: delegated to a cloud session (branch cloud/..., report docs/cloud-reports/PERF-001.md); to be reviewed, verified and merged locally.</v>
      </c>
      <c r="L25" s="12" t="str">
        <f>IFERROR(INDEX(MASTER!$R$2:$R$2000,MATCH($A25,MASTER!$A$2:$A$2000,0))&amp;"","")</f>
        <v/>
      </c>
    </row>
    <row r="26" spans="1:12" x14ac:dyDescent="0.25">
      <c r="A26" s="15" t="s">
        <v>897</v>
      </c>
      <c r="B26" s="12" t="str">
        <f>IFERROR(INDEX(MASTER!$C$2:$C$2000,MATCH($A26,MASTER!$A$2:$A$2000,0))&amp;"","")</f>
        <v>PERFORMANCE</v>
      </c>
      <c r="C26" s="16">
        <f>IFERROR(INDEX(MASTER!$B$2:$B$2000,MATCH($A26,MASTER!$A$2:$A$2000,0)),"")</f>
        <v>5</v>
      </c>
      <c r="D26" s="12" t="str">
        <f>IFERROR(INDEX(MASTER!$D$2:$D$2000,MATCH($A26,MASTER!$A$2:$A$2000,0))&amp;"","")</f>
        <v>Benchmarks recorded</v>
      </c>
      <c r="E26" s="12" t="str">
        <f>IFERROR(INDEX(MASTER!$F$2:$F$2000,MATCH($A26,MASTER!$A$2:$A$2000,0))&amp;"","")</f>
        <v>P1</v>
      </c>
      <c r="F26" s="12" t="str">
        <f>IFERROR(INDEX(MASTER!$G$2:$G$2000,MATCH($A26,MASTER!$A$2:$A$2000,0))&amp;"","NOT IN MASTER")</f>
        <v>DONE</v>
      </c>
      <c r="G26" s="12" t="str">
        <f>IFERROR(INDEX(MASTER!$H$2:$H$2000,MATCH($A26,MASTER!$A$2:$A$2000,0))&amp;"","")</f>
        <v>backend/scripts/benchmark.py, docs/performance/benchmarks.md/.json, docs/cloud-reports/PERF-002-006.md</v>
      </c>
      <c r="H26" s="12" t="str">
        <f>IFERROR(INDEX(MASTER!$I$2:$I$2000,MATCH($A26,MASTER!$A$2:$A$2000,0))&amp;"","")</f>
        <v>backend/tests/test_benchmark_script.py</v>
      </c>
      <c r="I26" s="19">
        <f>IFERROR(IF(INDEX(MASTER!$O$2:$O$2000,MATCH($A26,MASTER!$A$2:$A$2000,0))="","",INDEX(MASTER!$O$2:$O$2000,MATCH($A26,MASTER!$A$2:$A$2000,0))),"")</f>
        <v>46301.614988425928</v>
      </c>
      <c r="J26" s="12" t="str">
        <f>IFERROR(INDEX(MASTER!$P$2:$P$2000,MATCH($A26,MASTER!$A$2:$A$2000,0))&amp;"","")</f>
        <v>8966ec7</v>
      </c>
      <c r="K26" s="12" t="str">
        <f>IFERROR(INDEX(MASTER!$Q$2:$Q$2000,MATCH($A26,MASTER!$A$2:$A$2000,0))&amp;"","")</f>
        <v>2026-10-01: delegated to a cloud session (branch cloud/..., report docs/cloud-reports/PERF-002.md); to be reviewed, verified and merged locally.</v>
      </c>
      <c r="L26" s="12" t="str">
        <f>IFERROR(INDEX(MASTER!$R$2:$R$2000,MATCH($A26,MASTER!$A$2:$A$2000,0))&amp;"","")</f>
        <v/>
      </c>
    </row>
    <row r="27" spans="1:12" x14ac:dyDescent="0.25">
      <c r="A27" s="15" t="s">
        <v>904</v>
      </c>
      <c r="B27" s="12" t="str">
        <f>IFERROR(INDEX(MASTER!$C$2:$C$2000,MATCH($A27,MASTER!$A$2:$A$2000,0))&amp;"","")</f>
        <v>PERFORMANCE</v>
      </c>
      <c r="C27" s="16">
        <f>IFERROR(INDEX(MASTER!$B$2:$B$2000,MATCH($A27,MASTER!$A$2:$A$2000,0)),"")</f>
        <v>5</v>
      </c>
      <c r="D27" s="12" t="str">
        <f>IFERROR(INDEX(MASTER!$D$2:$D$2000,MATCH($A27,MASTER!$A$2:$A$2000,0))&amp;"","")</f>
        <v>Delta autosave</v>
      </c>
      <c r="E27" s="12" t="str">
        <f>IFERROR(INDEX(MASTER!$F$2:$F$2000,MATCH($A27,MASTER!$A$2:$A$2000,0))&amp;"","")</f>
        <v>P1</v>
      </c>
      <c r="F27" s="12" t="str">
        <f>IFERROR(INDEX(MASTER!$G$2:$G$2000,MATCH($A27,MASTER!$A$2:$A$2000,0))&amp;"","NOT IN MASTER")</f>
        <v>DONE</v>
      </c>
      <c r="G27" s="12" t="str">
        <f>IFERROR(INDEX(MASTER!$H$2:$H$2000,MATCH($A27,MASTER!$A$2:$A$2000,0))&amp;"","")</f>
        <v>backend/app/services/content_patch.py, backend/app/services/document_service.py (patch_content, _take_elements), backend/app/api/documents.py (PATCH /content), frontend/editor/contentPatch.ts, frontend/editor/useAutoSave.ts, frontend/services/api/documents.ts (patchContent), docs/document-model/README.md (How a save travels)</v>
      </c>
      <c r="H27" s="12" t="str">
        <f>IFERROR(INDEX(MASTER!$I$2:$I$2000,MATCH($A27,MASTER!$A$2:$A$2000,0))&amp;"","")</f>
        <v>backend/tests/test_content_patch.py (20), frontend/editor/contentPatch.test.ts, frontend/editor/useAutoSave.test.tsx, frontend/services/api/documents.test.ts, frontend/e2e/documents.spec.ts (typing sends that paragraph alone); 16/16 mutations</v>
      </c>
      <c r="I27" s="19">
        <f>IFERROR(IF(INDEX(MASTER!$O$2:$O$2000,MATCH($A27,MASTER!$A$2:$A$2000,0))="","",INDEX(MASTER!$O$2:$O$2000,MATCH($A27,MASTER!$A$2:$A$2000,0))),"")</f>
        <v>46296.494606481479</v>
      </c>
      <c r="J27" s="12" t="str">
        <f>IFERROR(INDEX(MASTER!$P$2:$P$2000,MATCH($A27,MASTER!$A$2:$A$2000,0))&amp;"","")</f>
        <v>5919014</v>
      </c>
      <c r="K27" s="12" t="str">
        <f>IFERROR(INDEX(MASTER!$Q$2:$Q$2000,MATCH($A27,MASTER!$A$2:$A$2000,0))&amp;"","")</f>
        <v/>
      </c>
      <c r="L27" s="12" t="str">
        <f>IFERROR(INDEX(MASTER!$R$2:$R$2000,MATCH($A27,MASTER!$A$2:$A$2000,0))&amp;"","")</f>
        <v/>
      </c>
    </row>
    <row r="28" spans="1:12" x14ac:dyDescent="0.25">
      <c r="A28" s="15" t="s">
        <v>911</v>
      </c>
      <c r="B28" s="12" t="str">
        <f>IFERROR(INDEX(MASTER!$C$2:$C$2000,MATCH($A28,MASTER!$A$2:$A$2000,0))&amp;"","")</f>
        <v>PERFORMANCE</v>
      </c>
      <c r="C28" s="16">
        <f>IFERROR(INDEX(MASTER!$B$2:$B$2000,MATCH($A28,MASTER!$A$2:$A$2000,0)),"")</f>
        <v>5</v>
      </c>
      <c r="D28" s="12" t="str">
        <f>IFERROR(INDEX(MASTER!$D$2:$D$2000,MATCH($A28,MASTER!$A$2:$A$2000,0))&amp;"","")</f>
        <v>Bounded, compressed version history</v>
      </c>
      <c r="E28" s="12" t="str">
        <f>IFERROR(INDEX(MASTER!$F$2:$F$2000,MATCH($A28,MASTER!$A$2:$A$2000,0))&amp;"","")</f>
        <v>P1</v>
      </c>
      <c r="F28" s="12" t="str">
        <f>IFERROR(INDEX(MASTER!$G$2:$G$2000,MATCH($A28,MASTER!$A$2:$A$2000,0))&amp;"","NOT IN MASTER")</f>
        <v>DONE</v>
      </c>
      <c r="G28" s="12" t="str">
        <f>IFERROR(INDEX(MASTER!$H$2:$H$2000,MATCH($A28,MASTER!$A$2:$A$2000,0))&amp;"","")</f>
        <v>backend/app/services/version_history.py (zlib, 50 steps and 10 MB a document), migration b8534d3c4256 (applied to Supabase), docs/cloud-reports/PERF-004.md</v>
      </c>
      <c r="H28" s="12" t="str">
        <f>IFERROR(INDEX(MASTER!$I$2:$I$2000,MATCH($A28,MASTER!$A$2:$A$2000,0))&amp;"","")</f>
        <v>version history tests; tests/test_content_patch.py compressed undo steps</v>
      </c>
      <c r="I28" s="19">
        <f>IFERROR(IF(INDEX(MASTER!$O$2:$O$2000,MATCH($A28,MASTER!$A$2:$A$2000,0))="","",INDEX(MASTER!$O$2:$O$2000,MATCH($A28,MASTER!$A$2:$A$2000,0))),"")</f>
        <v>46301.615023148152</v>
      </c>
      <c r="J28" s="12" t="str">
        <f>IFERROR(INDEX(MASTER!$P$2:$P$2000,MATCH($A28,MASTER!$A$2:$A$2000,0))&amp;"","")</f>
        <v>8966ec7</v>
      </c>
      <c r="K28" s="12" t="str">
        <f>IFERROR(INDEX(MASTER!$Q$2:$Q$2000,MATCH($A28,MASTER!$A$2:$A$2000,0))&amp;"","")</f>
        <v>2026-10-01: delegated to a cloud session (branch cloud/..., report docs/cloud-reports/PERF-004.md); to be reviewed, verified and merged locally.</v>
      </c>
      <c r="L28" s="12" t="str">
        <f>IFERROR(INDEX(MASTER!$R$2:$R$2000,MATCH($A28,MASTER!$A$2:$A$2000,0))&amp;"","")</f>
        <v/>
      </c>
    </row>
    <row r="29" spans="1:12" x14ac:dyDescent="0.25">
      <c r="A29" s="15" t="s">
        <v>917</v>
      </c>
      <c r="B29" s="12" t="str">
        <f>IFERROR(INDEX(MASTER!$C$2:$C$2000,MATCH($A29,MASTER!$A$2:$A$2000,0))&amp;"","")</f>
        <v>PERFORMANCE</v>
      </c>
      <c r="C29" s="16">
        <f>IFERROR(INDEX(MASTER!$B$2:$B$2000,MATCH($A29,MASTER!$A$2:$A$2000,0)),"")</f>
        <v>5</v>
      </c>
      <c r="D29" s="12" t="str">
        <f>IFERROR(INDEX(MASTER!$D$2:$D$2000,MATCH($A29,MASTER!$A$2:$A$2000,0))&amp;"","")</f>
        <v>Editor at 5k-12k blocks</v>
      </c>
      <c r="E29" s="12" t="str">
        <f>IFERROR(INDEX(MASTER!$F$2:$F$2000,MATCH($A29,MASTER!$A$2:$A$2000,0))&amp;"","")</f>
        <v>P2</v>
      </c>
      <c r="F29" s="12" t="str">
        <f>IFERROR(INDEX(MASTER!$G$2:$G$2000,MATCH($A29,MASTER!$A$2:$A$2000,0))&amp;"","NOT IN MASTER")</f>
        <v>DONE</v>
      </c>
      <c r="G29" s="12" t="str">
        <f>IFERROR(INDEX(MASTER!$H$2:$H$2000,MATCH($A29,MASTER!$A$2:$A$2000,0))&amp;"","")</f>
        <v>Measured with frontend/e2e/perf-typing.spec.ts (production build, Edge; keydown -&gt; next frame). 5,000 blocks: p50 142/153 -&gt; 45/48 ms, long tasks 113/236 -&gt; 3/1. 12,000 blocks: ~185 -&gt; 126/132 ms. Fixes: blockDom.ts (one-walk block DOM lookup replacing quadratic nodeDOM in pagination/floatWrap), textEdit.ts onlyTextChanged (decorations mapped on text-only edits in listLabels/headingNumbers/pictureLook/tableLook), layout waits for a 300 ms typing pause. Remaining 12k cost split to PERF-005A.</v>
      </c>
      <c r="H29" s="12" t="str">
        <f>IFERROR(INDEX(MASTER!$I$2:$I$2000,MATCH($A29,MASTER!$A$2:$A$2000,0))&amp;"","")</f>
        <v>frontend/editor/blockDom.test.ts (2), frontend/editor/textEdit.test.ts (4); Vitest 296; Playwright 53; perf spec (opt-in)</v>
      </c>
      <c r="I29" s="19">
        <f>IFERROR(IF(INDEX(MASTER!$O$2:$O$2000,MATCH($A29,MASTER!$A$2:$A$2000,0))="","",INDEX(MASTER!$O$2:$O$2000,MATCH($A29,MASTER!$A$2:$A$2000,0))),"")</f>
        <v>46302.662361111114</v>
      </c>
      <c r="J29" s="12" t="str">
        <f>IFERROR(INDEX(MASTER!$P$2:$P$2000,MATCH($A29,MASTER!$A$2:$A$2000,0))&amp;"","")</f>
        <v>4981bdb</v>
      </c>
      <c r="K29" s="12" t="str">
        <f>IFERROR(INDEX(MASTER!$Q$2:$Q$2000,MATCH($A29,MASTER!$A$2:$A$2000,0))&amp;"","")</f>
        <v/>
      </c>
      <c r="L29" s="12" t="str">
        <f>IFERROR(INDEX(MASTER!$R$2:$R$2000,MATCH($A29,MASTER!$A$2:$A$2000,0))&amp;"","")</f>
        <v/>
      </c>
    </row>
    <row r="30" spans="1:12" x14ac:dyDescent="0.25">
      <c r="A30" s="15" t="s">
        <v>923</v>
      </c>
      <c r="B30" s="12" t="str">
        <f>IFERROR(INDEX(MASTER!$C$2:$C$2000,MATCH($A30,MASTER!$A$2:$A$2000,0))&amp;"","")</f>
        <v>PERFORMANCE</v>
      </c>
      <c r="C30" s="16">
        <f>IFERROR(INDEX(MASTER!$B$2:$B$2000,MATCH($A30,MASTER!$A$2:$A$2000,0)),"")</f>
        <v>5</v>
      </c>
      <c r="D30" s="12" t="str">
        <f>IFERROR(INDEX(MASTER!$D$2:$D$2000,MATCH($A30,MASTER!$A$2:$A$2000,0))&amp;"","")</f>
        <v>Editor at 12k blocks: per-keystroke work in step with top-level blocks</v>
      </c>
      <c r="E30" s="12" t="str">
        <f>IFERROR(INDEX(MASTER!$F$2:$F$2000,MATCH($A30,MASTER!$A$2:$A$2000,0))&amp;"","")</f>
        <v>P3</v>
      </c>
      <c r="F30" s="12" t="str">
        <f>IFERROR(INDEX(MASTER!$G$2:$G$2000,MATCH($A30,MASTER!$A$2:$A$2000,0))&amp;"","NOT IN MASTER")</f>
        <v>DONE</v>
      </c>
      <c r="G30" s="12" t="str">
        <f>IFERROR(INDEX(MASTER!$H$2:$H$2000,MATCH($A30,MASTER!$A$2:$A$2000,0))&amp;"","")</f>
        <v>Measured with frontend/e2e/perf-typing.spec.ts (12,000 blocks, Edge, production build): p50 start/middle 177/186 ms (regressed from PERF-005's 126/132) -&gt; 113-124/116-120 ms. CPU profile mapped through source maps (NEXT_SOURCE_MAPS=1 in next.config.ts; the spec writes the .cpuprofile): DocumentEditorShell computed documentToTiptapJSON(initialDocument) on every render (28 ms a keystroke) -&gt; useMemo; fontStack.cssFontStack cached per family. Remaining per keystroke: prosemirror-view DecorationSet.forChild ~16 ms (12,000 top-level children x ~700 pagination decorations local to the root + list label sets), native layout of 12,000 siblings ~40 ms -&gt; PERF-005B.</v>
      </c>
      <c r="H30" s="12" t="str">
        <f>IFERROR(INDEX(MASTER!$I$2:$I$2000,MATCH($A30,MASTER!$A$2:$A$2000,0))&amp;"","")</f>
        <v>perf spec runs (opt-in, recorded above); Vitest 357 + fontStack cache test (4 in file); Playwright full 59 passed/1 skipped</v>
      </c>
      <c r="I30" s="19">
        <f>IFERROR(IF(INDEX(MASTER!$O$2:$O$2000,MATCH($A30,MASTER!$A$2:$A$2000,0))="","",INDEX(MASTER!$O$2:$O$2000,MATCH($A30,MASTER!$A$2:$A$2000,0))),"")</f>
        <v>46302.980925925927</v>
      </c>
      <c r="J30" s="12" t="str">
        <f>IFERROR(INDEX(MASTER!$P$2:$P$2000,MATCH($A30,MASTER!$A$2:$A$2000,0))&amp;"","")</f>
        <v>76dda4a</v>
      </c>
      <c r="K30" s="12" t="str">
        <f>IFERROR(INDEX(MASTER!$Q$2:$Q$2000,MATCH($A30,MASTER!$A$2:$A$2000,0))&amp;"","")</f>
        <v>Scoped like PERF-005: the per-keystroke work found and fixed here; grouping blocks into containers or virtualizing the pages is PERF-005B.</v>
      </c>
      <c r="L30" s="12" t="str">
        <f>IFERROR(INDEX(MASTER!$R$2:$R$2000,MATCH($A30,MASTER!$A$2:$A$2000,0))&amp;"","")</f>
        <v>PERF-005</v>
      </c>
    </row>
    <row r="31" spans="1:12" x14ac:dyDescent="0.25">
      <c r="A31" s="15" t="s">
        <v>930</v>
      </c>
      <c r="B31" s="12" t="str">
        <f>IFERROR(INDEX(MASTER!$C$2:$C$2000,MATCH($A31,MASTER!$A$2:$A$2000,0))&amp;"","")</f>
        <v>PERFORMANCE</v>
      </c>
      <c r="C31" s="16">
        <f>IFERROR(INDEX(MASTER!$B$2:$B$2000,MATCH($A31,MASTER!$A$2:$A$2000,0)),"")</f>
        <v>5</v>
      </c>
      <c r="D31" s="12" t="str">
        <f>IFERROR(INDEX(MASTER!$D$2:$D$2000,MATCH($A31,MASTER!$A$2:$A$2000,0))&amp;"","")</f>
        <v>Editor at 12k blocks: containers or page virtualization</v>
      </c>
      <c r="E31" s="12" t="str">
        <f>IFERROR(INDEX(MASTER!$F$2:$F$2000,MATCH($A31,MASTER!$A$2:$A$2000,0))&amp;"","")</f>
        <v>P3</v>
      </c>
      <c r="F31" s="12" t="str">
        <f>IFERROR(INDEX(MASTER!$G$2:$G$2000,MATCH($A31,MASTER!$A$2:$A$2000,0))&amp;"","NOT IN MASTER")</f>
        <v>NOT_STARTED</v>
      </c>
      <c r="G31" s="12" t="str">
        <f>IFERROR(INDEX(MASTER!$H$2:$H$2000,MATCH($A31,MASTER!$A$2:$A$2000,0))&amp;"","")</f>
        <v/>
      </c>
      <c r="H31" s="12" t="str">
        <f>IFERROR(INDEX(MASTER!$I$2:$I$2000,MATCH($A31,MASTER!$A$2:$A$2000,0))&amp;"","")</f>
        <v/>
      </c>
      <c r="I31" s="19" t="str">
        <f>IFERROR(IF(INDEX(MASTER!$O$2:$O$2000,MATCH($A31,MASTER!$A$2:$A$2000,0))="","",INDEX(MASTER!$O$2:$O$2000,MATCH($A31,MASTER!$A$2:$A$2000,0))),"")</f>
        <v/>
      </c>
      <c r="J31" s="12" t="str">
        <f>IFERROR(INDEX(MASTER!$P$2:$P$2000,MATCH($A31,MASTER!$A$2:$A$2000,0))&amp;"","")</f>
        <v/>
      </c>
      <c r="K31" s="12" t="str">
        <f>IFERROR(INDEX(MASTER!$Q$2:$Q$2000,MATCH($A31,MASTER!$A$2:$A$2000,0))&amp;"","")</f>
        <v/>
      </c>
      <c r="L31" s="12" t="str">
        <f>IFERROR(INDEX(MASTER!$R$2:$R$2000,MATCH($A31,MASTER!$A$2:$A$2000,0))&amp;"","")</f>
        <v>PERF-005A</v>
      </c>
    </row>
    <row r="32" spans="1:12" x14ac:dyDescent="0.25">
      <c r="A32" s="15" t="s">
        <v>933</v>
      </c>
      <c r="B32" s="12" t="str">
        <f>IFERROR(INDEX(MASTER!$C$2:$C$2000,MATCH($A32,MASTER!$A$2:$A$2000,0))&amp;"","")</f>
        <v>PERFORMANCE</v>
      </c>
      <c r="C32" s="16">
        <f>IFERROR(INDEX(MASTER!$B$2:$B$2000,MATCH($A32,MASTER!$A$2:$A$2000,0)),"")</f>
        <v>5</v>
      </c>
      <c r="D32" s="12" t="str">
        <f>IFERROR(INDEX(MASTER!$D$2:$D$2000,MATCH($A32,MASTER!$A$2:$A$2000,0))&amp;"","")</f>
        <v>JSON without ASCII escaping</v>
      </c>
      <c r="E32" s="12" t="str">
        <f>IFERROR(INDEX(MASTER!$F$2:$F$2000,MATCH($A32,MASTER!$A$2:$A$2000,0))&amp;"","")</f>
        <v>P2</v>
      </c>
      <c r="F32" s="12" t="str">
        <f>IFERROR(INDEX(MASTER!$G$2:$G$2000,MATCH($A32,MASTER!$A$2:$A$2000,0))&amp;"","NOT IN MASTER")</f>
        <v>DONE</v>
      </c>
      <c r="G32" s="12" t="str">
        <f>IFERROR(INDEX(MASTER!$H$2:$H$2000,MATCH($A32,MASTER!$A$2:$A$2000,0))&amp;"","")</f>
        <v>backend/app/db/session.py (json_serializer UTF-8), docs/cloud-reports/PERF-002-006.md</v>
      </c>
      <c r="H32" s="12" t="str">
        <f>IFERROR(INDEX(MASTER!$I$2:$I$2000,MATCH($A32,MASTER!$A$2:$A$2000,0))&amp;"","")</f>
        <v>backend/tests/test_utf8_json_storage.py</v>
      </c>
      <c r="I32" s="19">
        <f>IFERROR(IF(INDEX(MASTER!$O$2:$O$2000,MATCH($A32,MASTER!$A$2:$A$2000,0))="","",INDEX(MASTER!$O$2:$O$2000,MATCH($A32,MASTER!$A$2:$A$2000,0))),"")</f>
        <v>46301.615069444437</v>
      </c>
      <c r="J32" s="12" t="str">
        <f>IFERROR(INDEX(MASTER!$P$2:$P$2000,MATCH($A32,MASTER!$A$2:$A$2000,0))&amp;"","")</f>
        <v>8966ec7</v>
      </c>
      <c r="K32" s="12" t="str">
        <f>IFERROR(INDEX(MASTER!$Q$2:$Q$2000,MATCH($A32,MASTER!$A$2:$A$2000,0))&amp;"","")</f>
        <v>2026-10-01: delegated to a cloud session (branch cloud/..., report docs/cloud-reports/PERF-006.md); to be reviewed, verified and merged locally.</v>
      </c>
      <c r="L32" s="12" t="str">
        <f>IFERROR(INDEX(MASTER!$R$2:$R$2000,MATCH($A32,MASTER!$A$2:$A$2000,0))&amp;"","")</f>
        <v/>
      </c>
    </row>
    <row r="33" spans="1:12" x14ac:dyDescent="0.25">
      <c r="A33" s="15" t="s">
        <v>940</v>
      </c>
      <c r="B33" s="12" t="str">
        <f>IFERROR(INDEX(MASTER!$C$2:$C$2000,MATCH($A33,MASTER!$A$2:$A$2000,0))&amp;"","")</f>
        <v>PERFORMANCE</v>
      </c>
      <c r="C33" s="16">
        <f>IFERROR(INDEX(MASTER!$B$2:$B$2000,MATCH($A33,MASTER!$A$2:$A$2000,0)),"")</f>
        <v>5</v>
      </c>
      <c r="D33" s="12" t="str">
        <f>IFERROR(INDEX(MASTER!$D$2:$D$2000,MATCH($A33,MASTER!$A$2:$A$2000,0))&amp;"","")</f>
        <v>Safe size limits recorded</v>
      </c>
      <c r="E33" s="12" t="str">
        <f>IFERROR(INDEX(MASTER!$F$2:$F$2000,MATCH($A33,MASTER!$A$2:$A$2000,0))&amp;"","")</f>
        <v>P1</v>
      </c>
      <c r="F33" s="12" t="str">
        <f>IFERROR(INDEX(MASTER!$G$2:$G$2000,MATCH($A33,MASTER!$A$2:$A$2000,0))&amp;"","NOT IN MASTER")</f>
        <v>DONE</v>
      </c>
      <c r="G33" s="12" t="str">
        <f>IFERROR(INDEX(MASTER!$H$2:$H$2000,MATCH($A33,MASTER!$A$2:$A$2000,0))&amp;"","")</f>
        <v>docs/security/README.md Limits table (background jobs row)</v>
      </c>
      <c r="H33" s="12" t="str">
        <f>IFERROR(INDEX(MASTER!$I$2:$I$2000,MATCH($A33,MASTER!$A$2:$A$2000,0))&amp;"","")</f>
        <v>n/a (documentation of enforced limits; JOB-001's tests)</v>
      </c>
      <c r="I33" s="19">
        <f>IFERROR(IF(INDEX(MASTER!$O$2:$O$2000,MATCH($A33,MASTER!$A$2:$A$2000,0))="","",INDEX(MASTER!$O$2:$O$2000,MATCH($A33,MASTER!$A$2:$A$2000,0))),"")</f>
        <v>46301.615162037036</v>
      </c>
      <c r="J33" s="12" t="str">
        <f>IFERROR(INDEX(MASTER!$P$2:$P$2000,MATCH($A33,MASTER!$A$2:$A$2000,0))&amp;"","")</f>
        <v>8966ec7</v>
      </c>
      <c r="K33" s="12" t="str">
        <f>IFERROR(INDEX(MASTER!$Q$2:$Q$2000,MATCH($A33,MASTER!$A$2:$A$2000,0))&amp;"","")</f>
        <v>2026-10-01: the table of user-facing maximums and resource ceilings recorded with SEC-013 (docs/security/README.md, Limits); job timeouts follow JOB-001.</v>
      </c>
      <c r="L33" s="12" t="str">
        <f>IFERROR(INDEX(MASTER!$R$2:$R$2000,MATCH($A33,MASTER!$A$2:$A$2000,0))&amp;"","")</f>
        <v/>
      </c>
    </row>
    <row r="34" spans="1:12" x14ac:dyDescent="0.25">
      <c r="A34" s="15" t="s">
        <v>1299</v>
      </c>
      <c r="B34" s="12" t="str">
        <f>IFERROR(INDEX(MASTER!$C$2:$C$2000,MATCH($A34,MASTER!$A$2:$A$2000,0))&amp;"","")</f>
        <v>PERFORMANCE</v>
      </c>
      <c r="C34" s="16">
        <f>IFERROR(INDEX(MASTER!$B$2:$B$2000,MATCH($A34,MASTER!$A$2:$A$2000,0)),"")</f>
        <v>5</v>
      </c>
      <c r="D34" s="12" t="str">
        <f>IFERROR(INDEX(MASTER!$D$2:$D$2000,MATCH($A34,MASTER!$A$2:$A$2000,0))&amp;"","")</f>
        <v>A save's server cost in step with the change</v>
      </c>
      <c r="E34" s="12" t="str">
        <f>IFERROR(INDEX(MASTER!$F$2:$F$2000,MATCH($A34,MASTER!$A$2:$A$2000,0))&amp;"","")</f>
        <v>P2</v>
      </c>
      <c r="F34" s="12" t="str">
        <f>IFERROR(INDEX(MASTER!$G$2:$G$2000,MATCH($A34,MASTER!$A$2:$A$2000,0))&amp;"","NOT IN MASTER")</f>
        <v>DONE</v>
      </c>
      <c r="G34" s="12" t="str">
        <f>IFERROR(INDEX(MASTER!$H$2:$H$2000,MATCH($A34,MASTER!$A$2:$A$2000,0))&amp;"","")</f>
        <v>backend/app/services/document_service.py (_write_dumped, worker-thread validation/dumps/delta), repositories/document_repository.py (model_of, apply dumped), services/version_history.py (pack on a thread), export/docx_export.py (_paragraph, _next_num_id), docs/performance/README.md</v>
      </c>
      <c r="H34" s="12" t="str">
        <f>IFERROR(INDEX(MASTER!$I$2:$I$2000,MATCH($A34,MASTER!$A$2:$A$2000,0))&amp;"","")</f>
        <v>backend/tests/test_save_and_export_costs.py (3); 4/4 mutations; 74 fixture exports byte-identical but core.xml's time</v>
      </c>
      <c r="I34" s="19">
        <f>IFERROR(IF(INDEX(MASTER!$O$2:$O$2000,MATCH($A34,MASTER!$A$2:$A$2000,0))="","",INDEX(MASTER!$O$2:$O$2000,MATCH($A34,MASTER!$A$2:$A$2000,0))),"")</f>
        <v>46301.640243055554</v>
      </c>
      <c r="J34" s="12" t="str">
        <f>IFERROR(INDEX(MASTER!$P$2:$P$2000,MATCH($A34,MASTER!$A$2:$A$2000,0))&amp;"","")</f>
        <v>a1cb8f8</v>
      </c>
      <c r="K34" s="12" t="str">
        <f>IFERROR(INDEX(MASTER!$Q$2:$Q$2000,MATCH($A34,MASTER!$A$2:$A$2000,0))&amp;"","")</f>
        <v>Found by PERF-003's measurements (cProfile of one patch at 12,201 elements: model_dump x4 0.47 s, model_validate 0.42 s, JSON in/out 0.39 s). After the cloud's PERF-004 merges (it changes version recording).; 2026-10-06: the cloud worker (W5) stopped at its weekly limit with nothing pushed; done here.</v>
      </c>
      <c r="L34" s="12" t="str">
        <f>IFERROR(INDEX(MASTER!$R$2:$R$2000,MATCH($A34,MASTER!$A$2:$A$2000,0))&amp;"","")</f>
        <v/>
      </c>
    </row>
  </sheetData>
  <autoFilter ref="A24:L34" xr:uid="{00000000-0009-0000-0000-00000A000000}"/>
  <conditionalFormatting sqref="E25:E34">
    <cfRule type="cellIs" dxfId="170" priority="21" operator="equal">
      <formula>"P0"</formula>
    </cfRule>
    <cfRule type="cellIs" dxfId="169" priority="22" operator="equal">
      <formula>"P1"</formula>
    </cfRule>
  </conditionalFormatting>
  <conditionalFormatting sqref="F8:F20">
    <cfRule type="cellIs" dxfId="168" priority="1" operator="equal">
      <formula>"WITHIN"</formula>
    </cfRule>
    <cfRule type="cellIs" dxfId="167" priority="2" operator="equal">
      <formula>"OVER"</formula>
    </cfRule>
  </conditionalFormatting>
  <conditionalFormatting sqref="F25:F34">
    <cfRule type="cellIs" dxfId="166" priority="3" operator="equal">
      <formula>"DONE"</formula>
    </cfRule>
    <cfRule type="cellIs" dxfId="165" priority="4" operator="equal">
      <formula>"VERIFIED"</formula>
    </cfRule>
    <cfRule type="cellIs" dxfId="164" priority="5" operator="equal">
      <formula>"IN_PROGRESS"</formula>
    </cfRule>
    <cfRule type="cellIs" dxfId="163" priority="6" operator="equal">
      <formula>"IMPLEMENTED"</formula>
    </cfRule>
    <cfRule type="cellIs" dxfId="162" priority="7" operator="equal">
      <formula>"TESTING"</formula>
    </cfRule>
    <cfRule type="cellIs" dxfId="161" priority="8" operator="equal">
      <formula>"BLOCKED"</formula>
    </cfRule>
    <cfRule type="cellIs" dxfId="160" priority="9" operator="equal">
      <formula>"FAILED"</formula>
    </cfRule>
    <cfRule type="cellIs" dxfId="159" priority="10" operator="equal">
      <formula>"DEFERRED"</formula>
    </cfRule>
    <cfRule type="cellIs" dxfId="158" priority="11" operator="equal">
      <formula>"UNKNOWN"</formula>
    </cfRule>
    <cfRule type="cellIs" dxfId="157" priority="12" operator="equal">
      <formula>"PASS"</formula>
    </cfRule>
    <cfRule type="cellIs" dxfId="156" priority="13" operator="equal">
      <formula>"FAIL"</formula>
    </cfRule>
    <cfRule type="cellIs" dxfId="155" priority="14" operator="equal">
      <formula>"PARTIAL"</formula>
    </cfRule>
    <cfRule type="cellIs" dxfId="154" priority="15" operator="equal">
      <formula>"RESOLVED"</formula>
    </cfRule>
    <cfRule type="cellIs" dxfId="153" priority="16" operator="equal">
      <formula>"OPEN"</formula>
    </cfRule>
    <cfRule type="cellIs" dxfId="152" priority="17" operator="equal">
      <formula>"WITHIN"</formula>
    </cfRule>
    <cfRule type="cellIs" dxfId="151" priority="18" operator="equal">
      <formula>"OVER"</formula>
    </cfRule>
    <cfRule type="cellIs" dxfId="150" priority="19" operator="equal">
      <formula>"NOW"</formula>
    </cfRule>
    <cfRule type="cellIs" dxfId="149" priority="20" operator="equal">
      <formula>"NOT IN MASTER"</formula>
    </cfRule>
  </conditionalFormatting>
  <pageMargins left="0.75" right="0.75" top="1" bottom="1" header="0.5" footer="0.5"/>
  <pageSetup fitToHeight="0" orientation="landscape"/>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L335"/>
  <sheetViews>
    <sheetView workbookViewId="0">
      <pane ySplit="4" topLeftCell="A5" activePane="bottomLeft" state="frozen"/>
      <selection pane="bottomLeft"/>
    </sheetView>
  </sheetViews>
  <sheetFormatPr defaultRowHeight="15" x14ac:dyDescent="0.25"/>
  <cols>
    <col min="1" max="1" width="12" customWidth="1"/>
    <col min="2" max="2" width="16" customWidth="1"/>
    <col min="3" max="3" width="9" customWidth="1"/>
    <col min="4" max="4" width="50" customWidth="1"/>
    <col min="5" max="5" width="9" customWidth="1"/>
    <col min="6" max="6" width="14" customWidth="1"/>
    <col min="7" max="7" width="40" customWidth="1"/>
    <col min="8" max="8" width="34" customWidth="1"/>
    <col min="9" max="9" width="16" customWidth="1"/>
    <col min="10" max="10" width="11" customWidth="1"/>
    <col min="11" max="11" width="40" customWidth="1"/>
    <col min="12" max="12" width="11" customWidth="1"/>
  </cols>
  <sheetData>
    <row r="1" spans="1:11" ht="20.25" x14ac:dyDescent="0.3">
      <c r="A1" s="3" t="s">
        <v>1647</v>
      </c>
    </row>
    <row r="2" spans="1:11" x14ac:dyDescent="0.25">
      <c r="A2" s="4" t="s">
        <v>133</v>
      </c>
    </row>
    <row r="3" spans="1:11" x14ac:dyDescent="0.25">
      <c r="A3" s="6" t="s">
        <v>45</v>
      </c>
      <c r="B3" s="6" t="s">
        <v>46</v>
      </c>
      <c r="C3" s="6" t="s">
        <v>47</v>
      </c>
      <c r="D3" s="6" t="s">
        <v>13</v>
      </c>
      <c r="E3" s="6" t="s">
        <v>16</v>
      </c>
      <c r="F3" s="6" t="s">
        <v>19</v>
      </c>
      <c r="G3" s="6" t="s">
        <v>48</v>
      </c>
      <c r="H3" s="6" t="s">
        <v>33</v>
      </c>
    </row>
    <row r="4" spans="1:11" x14ac:dyDescent="0.25">
      <c r="A4" s="7">
        <f>COUNTIF(MASTER!$C$2:$C$2000,"TESTING")</f>
        <v>17</v>
      </c>
      <c r="B4" s="7">
        <f>COUNTIFS(MASTER!$C$2:$C$2000,"TESTING",MASTER!$G$2:$G$2000,"DONE")</f>
        <v>15</v>
      </c>
      <c r="C4" s="7">
        <f>COUNTIFS(MASTER!$C$2:$C$2000,"TESTING",MASTER!$G$2:$G$2000,"VERIFIED")+B4</f>
        <v>15</v>
      </c>
      <c r="D4" s="7">
        <f>COUNTIFS(MASTER!$C$2:$C$2000,"TESTING",MASTER!$G$2:$G$2000,"IN_PROGRESS")+COUNTIFS(MASTER!$C$2:$C$2000,"TESTING",MASTER!$G$2:$G$2000,"IMPLEMENTED")+COUNTIFS(MASTER!$C$2:$C$2000,"TESTING",MASTER!$G$2:$G$2000,"TESTING")</f>
        <v>1</v>
      </c>
      <c r="E4" s="7">
        <f>COUNTIFS(MASTER!$C$2:$C$2000,"TESTING",MASTER!$G$2:$G$2000,"BLOCKED")</f>
        <v>1</v>
      </c>
      <c r="F4" s="7">
        <f>COUNTIFS(MASTER!$C$2:$C$2000,"TESTING",MASTER!$G$2:$G$2000,"FAILED")</f>
        <v>0</v>
      </c>
      <c r="G4" s="9">
        <f>IF(A4=0,0,B4/A4)</f>
        <v>0.88235294117647056</v>
      </c>
      <c r="H4" s="9">
        <f>IF(A4=0,0,C4/A4)</f>
        <v>0.88235294117647056</v>
      </c>
    </row>
    <row r="6" spans="1:11" ht="15.75" x14ac:dyDescent="0.25">
      <c r="A6" s="5" t="s">
        <v>1648</v>
      </c>
    </row>
    <row r="7" spans="1:11" ht="25.5" x14ac:dyDescent="0.25">
      <c r="A7" s="10" t="s">
        <v>1649</v>
      </c>
      <c r="B7" s="10" t="s">
        <v>93</v>
      </c>
      <c r="C7" s="10" t="s">
        <v>94</v>
      </c>
      <c r="D7" s="10" t="s">
        <v>1650</v>
      </c>
      <c r="E7" s="10" t="s">
        <v>1651</v>
      </c>
      <c r="F7" s="10" t="s">
        <v>19</v>
      </c>
      <c r="G7" s="10" t="s">
        <v>178</v>
      </c>
      <c r="H7" s="10" t="s">
        <v>1652</v>
      </c>
      <c r="I7" s="10" t="s">
        <v>1653</v>
      </c>
      <c r="J7" s="10" t="s">
        <v>1654</v>
      </c>
      <c r="K7" s="10" t="s">
        <v>177</v>
      </c>
    </row>
    <row r="8" spans="1:11" ht="51" x14ac:dyDescent="0.25">
      <c r="A8" s="15" t="s">
        <v>1655</v>
      </c>
      <c r="B8" s="12" t="s">
        <v>1656</v>
      </c>
      <c r="C8" s="12" t="s">
        <v>1657</v>
      </c>
      <c r="D8" s="18" t="s">
        <v>1658</v>
      </c>
      <c r="E8" s="12">
        <v>643</v>
      </c>
      <c r="F8" s="12">
        <v>0</v>
      </c>
      <c r="G8" s="18" t="s">
        <v>1659</v>
      </c>
      <c r="H8" s="12">
        <v>1</v>
      </c>
      <c r="I8" s="19">
        <v>46292.166724537034</v>
      </c>
      <c r="J8" s="12">
        <v>88</v>
      </c>
      <c r="K8" s="12" t="s">
        <v>1660</v>
      </c>
    </row>
    <row r="9" spans="1:11" x14ac:dyDescent="0.25">
      <c r="A9" s="15" t="s">
        <v>1661</v>
      </c>
      <c r="B9" s="12" t="s">
        <v>1662</v>
      </c>
      <c r="C9" s="12" t="s">
        <v>1657</v>
      </c>
      <c r="D9" s="18" t="s">
        <v>1663</v>
      </c>
      <c r="E9" s="12">
        <v>0</v>
      </c>
      <c r="F9" s="12">
        <v>0</v>
      </c>
      <c r="G9" s="18" t="s">
        <v>1664</v>
      </c>
      <c r="H9" s="12">
        <v>0</v>
      </c>
      <c r="I9" s="19">
        <v>46292.166759259257</v>
      </c>
      <c r="J9" s="12">
        <v>53</v>
      </c>
      <c r="K9" s="12" t="s">
        <v>1660</v>
      </c>
    </row>
    <row r="10" spans="1:11" x14ac:dyDescent="0.25">
      <c r="A10" s="15" t="s">
        <v>1665</v>
      </c>
      <c r="B10" s="12" t="s">
        <v>1666</v>
      </c>
      <c r="C10" s="12" t="s">
        <v>1657</v>
      </c>
      <c r="D10" s="18" t="s">
        <v>1667</v>
      </c>
      <c r="E10" s="12">
        <v>0</v>
      </c>
      <c r="F10" s="12">
        <v>0</v>
      </c>
      <c r="G10" s="18" t="s">
        <v>1668</v>
      </c>
      <c r="H10" s="12">
        <v>0</v>
      </c>
      <c r="I10" s="19">
        <v>46292.16679398148</v>
      </c>
      <c r="J10" s="12">
        <v>7</v>
      </c>
      <c r="K10" s="12" t="s">
        <v>1660</v>
      </c>
    </row>
    <row r="11" spans="1:11" x14ac:dyDescent="0.25">
      <c r="A11" s="15" t="s">
        <v>1669</v>
      </c>
      <c r="B11" s="12" t="s">
        <v>1670</v>
      </c>
      <c r="C11" s="12" t="s">
        <v>1657</v>
      </c>
      <c r="D11" s="18" t="s">
        <v>1671</v>
      </c>
      <c r="E11" s="12">
        <v>46</v>
      </c>
      <c r="F11" s="12">
        <v>0</v>
      </c>
      <c r="G11" s="18" t="s">
        <v>1672</v>
      </c>
      <c r="H11" s="12">
        <v>0</v>
      </c>
      <c r="I11" s="19">
        <v>46292.166828703703</v>
      </c>
      <c r="J11" s="12">
        <v>30</v>
      </c>
      <c r="K11" s="12" t="s">
        <v>1660</v>
      </c>
    </row>
    <row r="12" spans="1:11" x14ac:dyDescent="0.25">
      <c r="A12" s="15" t="s">
        <v>1673</v>
      </c>
      <c r="B12" s="12" t="s">
        <v>1674</v>
      </c>
      <c r="C12" s="12" t="s">
        <v>1657</v>
      </c>
      <c r="D12" s="18" t="s">
        <v>1675</v>
      </c>
      <c r="E12" s="12">
        <v>0</v>
      </c>
      <c r="F12" s="12">
        <v>0</v>
      </c>
      <c r="G12" s="18" t="s">
        <v>1676</v>
      </c>
      <c r="H12" s="12">
        <v>0</v>
      </c>
      <c r="I12" s="19">
        <v>46292.166863425933</v>
      </c>
      <c r="J12" s="12">
        <v>20</v>
      </c>
      <c r="K12" s="12" t="s">
        <v>1660</v>
      </c>
    </row>
    <row r="13" spans="1:11" ht="63.75" x14ac:dyDescent="0.25">
      <c r="A13" s="15" t="s">
        <v>1677</v>
      </c>
      <c r="B13" s="12" t="s">
        <v>1678</v>
      </c>
      <c r="C13" s="12" t="s">
        <v>1657</v>
      </c>
      <c r="D13" s="18" t="s">
        <v>1679</v>
      </c>
      <c r="E13" s="12">
        <v>16</v>
      </c>
      <c r="F13" s="12">
        <v>0</v>
      </c>
      <c r="G13" s="18" t="s">
        <v>1680</v>
      </c>
      <c r="H13" s="12">
        <v>0</v>
      </c>
      <c r="I13" s="19">
        <v>46292.166898148149</v>
      </c>
      <c r="J13" s="12">
        <v>67</v>
      </c>
      <c r="K13" s="12" t="s">
        <v>1660</v>
      </c>
    </row>
    <row r="14" spans="1:11" ht="38.25" x14ac:dyDescent="0.25">
      <c r="A14" s="15" t="s">
        <v>1681</v>
      </c>
      <c r="B14" s="12" t="s">
        <v>1682</v>
      </c>
      <c r="C14" s="12" t="s">
        <v>1657</v>
      </c>
      <c r="D14" s="18" t="s">
        <v>1683</v>
      </c>
      <c r="E14" s="12">
        <v>4</v>
      </c>
      <c r="F14" s="12">
        <v>0</v>
      </c>
      <c r="G14" s="18" t="s">
        <v>1684</v>
      </c>
      <c r="H14" s="12">
        <v>0</v>
      </c>
      <c r="I14" s="19">
        <v>46292.166932870372</v>
      </c>
      <c r="J14" s="12"/>
      <c r="K14" s="12" t="s">
        <v>1660</v>
      </c>
    </row>
    <row r="15" spans="1:11" ht="63.75" x14ac:dyDescent="0.25">
      <c r="A15" s="15" t="s">
        <v>1685</v>
      </c>
      <c r="B15" s="12" t="s">
        <v>1686</v>
      </c>
      <c r="C15" s="12" t="s">
        <v>1657</v>
      </c>
      <c r="D15" s="18" t="s">
        <v>1687</v>
      </c>
      <c r="E15" s="12">
        <v>8</v>
      </c>
      <c r="F15" s="12">
        <v>0</v>
      </c>
      <c r="G15" s="18" t="s">
        <v>1688</v>
      </c>
      <c r="H15" s="12">
        <v>0</v>
      </c>
      <c r="I15" s="19">
        <v>46292.166979166657</v>
      </c>
      <c r="J15" s="12"/>
      <c r="K15" s="12" t="s">
        <v>1660</v>
      </c>
    </row>
    <row r="16" spans="1:11" ht="25.5" x14ac:dyDescent="0.25">
      <c r="A16" s="15" t="s">
        <v>1689</v>
      </c>
      <c r="B16" s="12" t="s">
        <v>1690</v>
      </c>
      <c r="C16" s="12" t="s">
        <v>1657</v>
      </c>
      <c r="D16" s="18" t="s">
        <v>1691</v>
      </c>
      <c r="E16" s="12">
        <v>2</v>
      </c>
      <c r="F16" s="12">
        <v>0</v>
      </c>
      <c r="G16" s="18" t="s">
        <v>1692</v>
      </c>
      <c r="H16" s="12">
        <v>0</v>
      </c>
      <c r="I16" s="19">
        <v>46292.167013888888</v>
      </c>
      <c r="J16" s="12"/>
      <c r="K16" s="12" t="s">
        <v>1660</v>
      </c>
    </row>
    <row r="17" spans="1:11" x14ac:dyDescent="0.25">
      <c r="A17" s="15" t="s">
        <v>1693</v>
      </c>
      <c r="B17" s="12" t="s">
        <v>1694</v>
      </c>
      <c r="C17" s="12" t="s">
        <v>1657</v>
      </c>
      <c r="D17" s="18" t="s">
        <v>1695</v>
      </c>
      <c r="E17" s="12">
        <v>1</v>
      </c>
      <c r="F17" s="12">
        <v>0</v>
      </c>
      <c r="G17" s="18" t="s">
        <v>1696</v>
      </c>
      <c r="H17" s="12">
        <v>0</v>
      </c>
      <c r="I17" s="19">
        <v>46292.167048611111</v>
      </c>
      <c r="J17" s="12"/>
      <c r="K17" s="12" t="s">
        <v>1660</v>
      </c>
    </row>
    <row r="18" spans="1:11" ht="63.75" x14ac:dyDescent="0.25">
      <c r="A18" s="15" t="s">
        <v>1697</v>
      </c>
      <c r="B18" s="12" t="s">
        <v>1698</v>
      </c>
      <c r="C18" s="12" t="s">
        <v>1699</v>
      </c>
      <c r="D18" s="18" t="s">
        <v>1700</v>
      </c>
      <c r="E18" s="12">
        <v>1</v>
      </c>
      <c r="F18" s="12">
        <v>0</v>
      </c>
      <c r="G18" s="18" t="s">
        <v>1701</v>
      </c>
      <c r="H18" s="12">
        <v>0</v>
      </c>
      <c r="I18" s="19">
        <v>46292.167083333326</v>
      </c>
      <c r="J18" s="12"/>
      <c r="K18" s="12" t="s">
        <v>1660</v>
      </c>
    </row>
    <row r="19" spans="1:11" ht="25.5" x14ac:dyDescent="0.25">
      <c r="A19" s="15" t="s">
        <v>1702</v>
      </c>
      <c r="B19" s="12" t="s">
        <v>1656</v>
      </c>
      <c r="C19" s="12" t="s">
        <v>1657</v>
      </c>
      <c r="D19" s="18" t="s">
        <v>1658</v>
      </c>
      <c r="E19" s="12">
        <v>659</v>
      </c>
      <c r="F19" s="12">
        <v>0</v>
      </c>
      <c r="G19" s="18" t="s">
        <v>1703</v>
      </c>
      <c r="H19" s="12">
        <v>1</v>
      </c>
      <c r="I19" s="19">
        <v>46292.194814814808</v>
      </c>
      <c r="J19" s="12">
        <v>85</v>
      </c>
      <c r="K19" s="12" t="s">
        <v>189</v>
      </c>
    </row>
    <row r="20" spans="1:11" ht="25.5" x14ac:dyDescent="0.25">
      <c r="A20" s="15" t="s">
        <v>1704</v>
      </c>
      <c r="B20" s="12" t="s">
        <v>1670</v>
      </c>
      <c r="C20" s="12" t="s">
        <v>1657</v>
      </c>
      <c r="D20" s="18" t="s">
        <v>1705</v>
      </c>
      <c r="E20" s="12">
        <v>77</v>
      </c>
      <c r="F20" s="12">
        <v>0</v>
      </c>
      <c r="G20" s="18" t="s">
        <v>1706</v>
      </c>
      <c r="H20" s="12">
        <v>0</v>
      </c>
      <c r="I20" s="19">
        <v>46292.194849537038</v>
      </c>
      <c r="J20" s="12">
        <v>4</v>
      </c>
      <c r="K20" s="12" t="s">
        <v>189</v>
      </c>
    </row>
    <row r="21" spans="1:11" ht="25.5" x14ac:dyDescent="0.25">
      <c r="A21" s="15" t="s">
        <v>1707</v>
      </c>
      <c r="B21" s="12" t="s">
        <v>1678</v>
      </c>
      <c r="C21" s="12" t="s">
        <v>1657</v>
      </c>
      <c r="D21" s="18" t="s">
        <v>1708</v>
      </c>
      <c r="E21" s="12">
        <v>17</v>
      </c>
      <c r="F21" s="12">
        <v>0</v>
      </c>
      <c r="G21" s="18" t="s">
        <v>1709</v>
      </c>
      <c r="H21" s="12">
        <v>0</v>
      </c>
      <c r="I21" s="19">
        <v>46292.194884259261</v>
      </c>
      <c r="J21" s="12">
        <v>71</v>
      </c>
      <c r="K21" s="12" t="s">
        <v>189</v>
      </c>
    </row>
    <row r="22" spans="1:11" ht="25.5" x14ac:dyDescent="0.25">
      <c r="A22" s="15" t="s">
        <v>1710</v>
      </c>
      <c r="B22" s="12" t="s">
        <v>1656</v>
      </c>
      <c r="C22" s="12" t="s">
        <v>1657</v>
      </c>
      <c r="D22" s="18" t="s">
        <v>1658</v>
      </c>
      <c r="E22" s="12">
        <v>688</v>
      </c>
      <c r="F22" s="12">
        <v>0</v>
      </c>
      <c r="G22" s="18" t="s">
        <v>1711</v>
      </c>
      <c r="H22" s="12">
        <v>1</v>
      </c>
      <c r="I22" s="19">
        <v>46292.218171296299</v>
      </c>
      <c r="J22" s="12">
        <v>102</v>
      </c>
      <c r="K22" s="12" t="s">
        <v>259</v>
      </c>
    </row>
    <row r="23" spans="1:11" x14ac:dyDescent="0.25">
      <c r="A23" s="15" t="s">
        <v>1712</v>
      </c>
      <c r="B23" s="12" t="s">
        <v>1670</v>
      </c>
      <c r="C23" s="12" t="s">
        <v>1657</v>
      </c>
      <c r="D23" s="18" t="s">
        <v>1705</v>
      </c>
      <c r="E23" s="12">
        <v>80</v>
      </c>
      <c r="F23" s="12">
        <v>0</v>
      </c>
      <c r="G23" s="18" t="s">
        <v>1713</v>
      </c>
      <c r="H23" s="12">
        <v>0</v>
      </c>
      <c r="I23" s="19">
        <v>46292.218206018522</v>
      </c>
      <c r="J23" s="12">
        <v>5</v>
      </c>
      <c r="K23" s="12" t="s">
        <v>259</v>
      </c>
    </row>
    <row r="24" spans="1:11" ht="38.25" x14ac:dyDescent="0.25">
      <c r="A24" s="15" t="s">
        <v>1714</v>
      </c>
      <c r="B24" s="12" t="s">
        <v>1678</v>
      </c>
      <c r="C24" s="12" t="s">
        <v>1657</v>
      </c>
      <c r="D24" s="18" t="s">
        <v>1708</v>
      </c>
      <c r="E24" s="12">
        <v>18</v>
      </c>
      <c r="F24" s="12">
        <v>0</v>
      </c>
      <c r="G24" s="18" t="s">
        <v>1715</v>
      </c>
      <c r="H24" s="12">
        <v>0</v>
      </c>
      <c r="I24" s="19">
        <v>46292.218240740738</v>
      </c>
      <c r="J24" s="12">
        <v>72</v>
      </c>
      <c r="K24" s="12" t="s">
        <v>259</v>
      </c>
    </row>
    <row r="25" spans="1:11" ht="25.5" x14ac:dyDescent="0.25">
      <c r="A25" s="15" t="s">
        <v>1716</v>
      </c>
      <c r="B25" s="12" t="s">
        <v>1656</v>
      </c>
      <c r="C25" s="12" t="s">
        <v>1657</v>
      </c>
      <c r="D25" s="18" t="s">
        <v>1658</v>
      </c>
      <c r="E25" s="12">
        <v>694</v>
      </c>
      <c r="F25" s="12">
        <v>0</v>
      </c>
      <c r="G25" s="18" t="s">
        <v>1717</v>
      </c>
      <c r="H25" s="12">
        <v>1</v>
      </c>
      <c r="I25" s="19">
        <v>46292.350682870368</v>
      </c>
      <c r="J25" s="12">
        <v>107</v>
      </c>
      <c r="K25" s="12" t="s">
        <v>357</v>
      </c>
    </row>
    <row r="26" spans="1:11" x14ac:dyDescent="0.25">
      <c r="A26" s="15" t="s">
        <v>1718</v>
      </c>
      <c r="B26" s="12" t="s">
        <v>1670</v>
      </c>
      <c r="C26" s="12" t="s">
        <v>1657</v>
      </c>
      <c r="D26" s="18" t="s">
        <v>1705</v>
      </c>
      <c r="E26" s="12">
        <v>84</v>
      </c>
      <c r="F26" s="12">
        <v>0</v>
      </c>
      <c r="G26" s="18" t="s">
        <v>1719</v>
      </c>
      <c r="H26" s="12">
        <v>0</v>
      </c>
      <c r="I26" s="19">
        <v>46292.350717592592</v>
      </c>
      <c r="J26" s="12">
        <v>5</v>
      </c>
      <c r="K26" s="12" t="s">
        <v>357</v>
      </c>
    </row>
    <row r="27" spans="1:11" ht="25.5" x14ac:dyDescent="0.25">
      <c r="A27" s="15" t="s">
        <v>1720</v>
      </c>
      <c r="B27" s="12" t="s">
        <v>1678</v>
      </c>
      <c r="C27" s="12" t="s">
        <v>1657</v>
      </c>
      <c r="D27" s="18" t="s">
        <v>1708</v>
      </c>
      <c r="E27" s="12">
        <v>18</v>
      </c>
      <c r="F27" s="12">
        <v>0</v>
      </c>
      <c r="G27" s="18" t="s">
        <v>1721</v>
      </c>
      <c r="H27" s="12">
        <v>0</v>
      </c>
      <c r="I27" s="19">
        <v>46292.350763888891</v>
      </c>
      <c r="J27" s="12">
        <v>72</v>
      </c>
      <c r="K27" s="12" t="s">
        <v>357</v>
      </c>
    </row>
    <row r="28" spans="1:11" ht="25.5" x14ac:dyDescent="0.25">
      <c r="A28" s="15" t="s">
        <v>1722</v>
      </c>
      <c r="B28" s="12" t="s">
        <v>1656</v>
      </c>
      <c r="C28" s="12" t="s">
        <v>1657</v>
      </c>
      <c r="D28" s="18" t="s">
        <v>1658</v>
      </c>
      <c r="E28" s="12">
        <v>700</v>
      </c>
      <c r="F28" s="12">
        <v>0</v>
      </c>
      <c r="G28" s="18" t="s">
        <v>1723</v>
      </c>
      <c r="H28" s="12">
        <v>1</v>
      </c>
      <c r="I28" s="19">
        <v>46292.356620370367</v>
      </c>
      <c r="J28" s="12">
        <v>89</v>
      </c>
      <c r="K28" s="12" t="s">
        <v>372</v>
      </c>
    </row>
    <row r="29" spans="1:11" x14ac:dyDescent="0.25">
      <c r="A29" s="15" t="s">
        <v>1724</v>
      </c>
      <c r="B29" s="12" t="s">
        <v>1244</v>
      </c>
      <c r="C29" s="12" t="s">
        <v>1657</v>
      </c>
      <c r="D29" s="18" t="s">
        <v>1725</v>
      </c>
      <c r="E29" s="12">
        <v>713</v>
      </c>
      <c r="F29" s="12">
        <v>0</v>
      </c>
      <c r="G29" s="18" t="s">
        <v>1726</v>
      </c>
      <c r="H29" s="12">
        <v>1</v>
      </c>
      <c r="I29" s="19">
        <v>46292.374259259261</v>
      </c>
      <c r="J29" s="12">
        <v>92</v>
      </c>
      <c r="K29" s="12" t="s">
        <v>390</v>
      </c>
    </row>
    <row r="30" spans="1:11" x14ac:dyDescent="0.25">
      <c r="A30" s="15" t="s">
        <v>1727</v>
      </c>
      <c r="B30" s="12" t="s">
        <v>1670</v>
      </c>
      <c r="C30" s="12" t="s">
        <v>1657</v>
      </c>
      <c r="D30" s="18" t="s">
        <v>1728</v>
      </c>
      <c r="E30" s="12">
        <v>84</v>
      </c>
      <c r="F30" s="12">
        <v>0</v>
      </c>
      <c r="G30" s="18" t="s">
        <v>1729</v>
      </c>
      <c r="H30" s="12">
        <v>0</v>
      </c>
      <c r="I30" s="19">
        <v>46292.374305555553</v>
      </c>
      <c r="J30" s="12"/>
      <c r="K30" s="12" t="s">
        <v>390</v>
      </c>
    </row>
    <row r="31" spans="1:11" x14ac:dyDescent="0.25">
      <c r="A31" s="15" t="s">
        <v>1730</v>
      </c>
      <c r="B31" s="12" t="s">
        <v>1244</v>
      </c>
      <c r="C31" s="12" t="s">
        <v>1657</v>
      </c>
      <c r="D31" s="18" t="s">
        <v>1725</v>
      </c>
      <c r="E31" s="12">
        <v>749</v>
      </c>
      <c r="F31" s="12">
        <v>0</v>
      </c>
      <c r="G31" s="18" t="s">
        <v>1731</v>
      </c>
      <c r="H31" s="12">
        <v>1</v>
      </c>
      <c r="I31" s="19">
        <v>46292.398113425923</v>
      </c>
      <c r="J31" s="12">
        <v>95</v>
      </c>
      <c r="K31" s="12" t="s">
        <v>364</v>
      </c>
    </row>
    <row r="32" spans="1:11" x14ac:dyDescent="0.25">
      <c r="A32" s="15" t="s">
        <v>1732</v>
      </c>
      <c r="B32" s="12" t="s">
        <v>1670</v>
      </c>
      <c r="C32" s="12" t="s">
        <v>1657</v>
      </c>
      <c r="D32" s="18" t="s">
        <v>1728</v>
      </c>
      <c r="E32" s="12">
        <v>109</v>
      </c>
      <c r="F32" s="12">
        <v>0</v>
      </c>
      <c r="G32" s="18" t="s">
        <v>1733</v>
      </c>
      <c r="H32" s="12">
        <v>0</v>
      </c>
      <c r="I32" s="19">
        <v>46292.398148148153</v>
      </c>
      <c r="J32" s="12"/>
      <c r="K32" s="12" t="s">
        <v>364</v>
      </c>
    </row>
    <row r="33" spans="1:11" x14ac:dyDescent="0.25">
      <c r="A33" s="15" t="s">
        <v>1734</v>
      </c>
      <c r="B33" s="12" t="s">
        <v>1735</v>
      </c>
      <c r="C33" s="12" t="s">
        <v>1657</v>
      </c>
      <c r="D33" s="18" t="s">
        <v>1736</v>
      </c>
      <c r="E33" s="12">
        <v>19</v>
      </c>
      <c r="F33" s="12">
        <v>0</v>
      </c>
      <c r="G33" s="18" t="s">
        <v>1737</v>
      </c>
      <c r="H33" s="12">
        <v>0</v>
      </c>
      <c r="I33" s="19">
        <v>46292.398194444453</v>
      </c>
      <c r="J33" s="12">
        <v>72</v>
      </c>
      <c r="K33" s="12" t="s">
        <v>364</v>
      </c>
    </row>
    <row r="34" spans="1:11" ht="25.5" x14ac:dyDescent="0.25">
      <c r="A34" s="15" t="s">
        <v>1738</v>
      </c>
      <c r="B34" s="12" t="s">
        <v>1244</v>
      </c>
      <c r="C34" s="12" t="s">
        <v>1657</v>
      </c>
      <c r="D34" s="18" t="s">
        <v>1725</v>
      </c>
      <c r="E34" s="12">
        <v>754</v>
      </c>
      <c r="F34" s="12">
        <v>0</v>
      </c>
      <c r="G34" s="18" t="s">
        <v>1739</v>
      </c>
      <c r="H34" s="12">
        <v>1</v>
      </c>
      <c r="I34" s="19">
        <v>46292.413946759261</v>
      </c>
      <c r="J34" s="12">
        <v>113</v>
      </c>
      <c r="K34" s="12" t="s">
        <v>302</v>
      </c>
    </row>
    <row r="35" spans="1:11" x14ac:dyDescent="0.25">
      <c r="A35" s="15" t="s">
        <v>1740</v>
      </c>
      <c r="B35" s="12" t="s">
        <v>1670</v>
      </c>
      <c r="C35" s="12" t="s">
        <v>1657</v>
      </c>
      <c r="D35" s="18" t="s">
        <v>1728</v>
      </c>
      <c r="E35" s="12">
        <v>113</v>
      </c>
      <c r="F35" s="12">
        <v>0</v>
      </c>
      <c r="G35" s="18" t="s">
        <v>1741</v>
      </c>
      <c r="H35" s="12">
        <v>0</v>
      </c>
      <c r="I35" s="19">
        <v>46292.413981481477</v>
      </c>
      <c r="J35" s="12"/>
      <c r="K35" s="12" t="s">
        <v>302</v>
      </c>
    </row>
    <row r="36" spans="1:11" x14ac:dyDescent="0.25">
      <c r="A36" s="15" t="s">
        <v>1742</v>
      </c>
      <c r="B36" s="12" t="s">
        <v>1735</v>
      </c>
      <c r="C36" s="12" t="s">
        <v>1657</v>
      </c>
      <c r="D36" s="18" t="s">
        <v>1736</v>
      </c>
      <c r="E36" s="12">
        <v>19</v>
      </c>
      <c r="F36" s="12">
        <v>0</v>
      </c>
      <c r="G36" s="18" t="s">
        <v>1743</v>
      </c>
      <c r="H36" s="12">
        <v>0</v>
      </c>
      <c r="I36" s="19">
        <v>46292.414027777777</v>
      </c>
      <c r="J36" s="12">
        <v>96</v>
      </c>
      <c r="K36" s="12" t="s">
        <v>302</v>
      </c>
    </row>
    <row r="37" spans="1:11" x14ac:dyDescent="0.25">
      <c r="A37" s="15" t="s">
        <v>1744</v>
      </c>
      <c r="B37" s="12" t="s">
        <v>1244</v>
      </c>
      <c r="C37" s="12" t="s">
        <v>1657</v>
      </c>
      <c r="D37" s="18" t="s">
        <v>1725</v>
      </c>
      <c r="E37" s="12">
        <v>789</v>
      </c>
      <c r="F37" s="12">
        <v>0</v>
      </c>
      <c r="G37" s="18" t="s">
        <v>1745</v>
      </c>
      <c r="H37" s="12">
        <v>1</v>
      </c>
      <c r="I37" s="19">
        <v>46292.605902777781</v>
      </c>
      <c r="J37" s="12">
        <v>96</v>
      </c>
      <c r="K37" s="12" t="s">
        <v>483</v>
      </c>
    </row>
    <row r="38" spans="1:11" x14ac:dyDescent="0.25">
      <c r="A38" s="15" t="s">
        <v>1746</v>
      </c>
      <c r="B38" s="12" t="s">
        <v>1244</v>
      </c>
      <c r="C38" s="12" t="s">
        <v>1657</v>
      </c>
      <c r="D38" s="18" t="s">
        <v>1725</v>
      </c>
      <c r="E38" s="12">
        <v>799</v>
      </c>
      <c r="F38" s="12">
        <v>0</v>
      </c>
      <c r="G38" s="18" t="s">
        <v>1747</v>
      </c>
      <c r="H38" s="12">
        <v>1</v>
      </c>
      <c r="I38" s="19">
        <v>46292.606377314813</v>
      </c>
      <c r="J38" s="12">
        <v>93</v>
      </c>
      <c r="K38" s="12" t="s">
        <v>483</v>
      </c>
    </row>
    <row r="39" spans="1:11" x14ac:dyDescent="0.25">
      <c r="A39" s="15" t="s">
        <v>1748</v>
      </c>
      <c r="B39" s="12" t="s">
        <v>1670</v>
      </c>
      <c r="C39" s="12" t="s">
        <v>1657</v>
      </c>
      <c r="D39" s="18" t="s">
        <v>1728</v>
      </c>
      <c r="E39" s="12">
        <v>117</v>
      </c>
      <c r="F39" s="12">
        <v>0</v>
      </c>
      <c r="G39" s="18" t="s">
        <v>1733</v>
      </c>
      <c r="H39" s="12">
        <v>0</v>
      </c>
      <c r="I39" s="19">
        <v>46292.606423611112</v>
      </c>
      <c r="J39" s="12"/>
      <c r="K39" s="12" t="s">
        <v>483</v>
      </c>
    </row>
    <row r="40" spans="1:11" x14ac:dyDescent="0.25">
      <c r="A40" s="15" t="s">
        <v>1749</v>
      </c>
      <c r="B40" s="12" t="s">
        <v>1735</v>
      </c>
      <c r="C40" s="12" t="s">
        <v>1657</v>
      </c>
      <c r="D40" s="18" t="s">
        <v>1736</v>
      </c>
      <c r="E40" s="12">
        <v>20</v>
      </c>
      <c r="F40" s="12">
        <v>0</v>
      </c>
      <c r="G40" s="18" t="s">
        <v>1750</v>
      </c>
      <c r="H40" s="12">
        <v>0</v>
      </c>
      <c r="I40" s="19">
        <v>46292.606458333343</v>
      </c>
      <c r="J40" s="12">
        <v>78</v>
      </c>
      <c r="K40" s="12" t="s">
        <v>483</v>
      </c>
    </row>
    <row r="41" spans="1:11" x14ac:dyDescent="0.25">
      <c r="A41" s="15" t="s">
        <v>1751</v>
      </c>
      <c r="B41" s="12" t="s">
        <v>1244</v>
      </c>
      <c r="C41" s="12" t="s">
        <v>1657</v>
      </c>
      <c r="D41" s="18" t="s">
        <v>1725</v>
      </c>
      <c r="E41" s="12">
        <v>805</v>
      </c>
      <c r="F41" s="12">
        <v>0</v>
      </c>
      <c r="G41" s="18" t="s">
        <v>1752</v>
      </c>
      <c r="H41" s="12">
        <v>1</v>
      </c>
      <c r="I41" s="19">
        <v>46292.606736111113</v>
      </c>
      <c r="J41" s="12">
        <v>94</v>
      </c>
      <c r="K41" s="12" t="s">
        <v>483</v>
      </c>
    </row>
    <row r="42" spans="1:11" x14ac:dyDescent="0.25">
      <c r="A42" s="15" t="s">
        <v>1753</v>
      </c>
      <c r="B42" s="12" t="s">
        <v>1244</v>
      </c>
      <c r="C42" s="12" t="s">
        <v>1657</v>
      </c>
      <c r="D42" s="18" t="s">
        <v>1725</v>
      </c>
      <c r="E42" s="12">
        <v>817</v>
      </c>
      <c r="F42" s="12">
        <v>0</v>
      </c>
      <c r="G42" s="18" t="s">
        <v>1754</v>
      </c>
      <c r="H42" s="12">
        <v>1</v>
      </c>
      <c r="I42" s="19">
        <v>46292.606932870367</v>
      </c>
      <c r="J42" s="12">
        <v>97</v>
      </c>
      <c r="K42" s="12" t="s">
        <v>483</v>
      </c>
    </row>
    <row r="43" spans="1:11" x14ac:dyDescent="0.25">
      <c r="A43" s="15" t="s">
        <v>1755</v>
      </c>
      <c r="B43" s="12" t="s">
        <v>1735</v>
      </c>
      <c r="C43" s="12" t="s">
        <v>1657</v>
      </c>
      <c r="D43" s="18" t="s">
        <v>1736</v>
      </c>
      <c r="E43" s="12">
        <v>20</v>
      </c>
      <c r="F43" s="12">
        <v>0</v>
      </c>
      <c r="G43" s="18" t="s">
        <v>1756</v>
      </c>
      <c r="H43" s="12">
        <v>0</v>
      </c>
      <c r="I43" s="19">
        <v>46292.607141203713</v>
      </c>
      <c r="J43" s="12">
        <v>78</v>
      </c>
      <c r="K43" s="12" t="s">
        <v>483</v>
      </c>
    </row>
    <row r="44" spans="1:11" x14ac:dyDescent="0.25">
      <c r="A44" s="15" t="s">
        <v>1757</v>
      </c>
      <c r="B44" s="12" t="s">
        <v>1670</v>
      </c>
      <c r="C44" s="12" t="s">
        <v>1657</v>
      </c>
      <c r="D44" s="18" t="s">
        <v>1728</v>
      </c>
      <c r="E44" s="12">
        <v>117</v>
      </c>
      <c r="F44" s="12">
        <v>0</v>
      </c>
      <c r="G44" s="18" t="s">
        <v>1756</v>
      </c>
      <c r="H44" s="12">
        <v>0</v>
      </c>
      <c r="I44" s="19">
        <v>46292.607187499998</v>
      </c>
      <c r="J44" s="12"/>
      <c r="K44" s="12" t="s">
        <v>483</v>
      </c>
    </row>
    <row r="45" spans="1:11" x14ac:dyDescent="0.25">
      <c r="A45" s="15" t="s">
        <v>1758</v>
      </c>
      <c r="B45" s="12" t="s">
        <v>1244</v>
      </c>
      <c r="C45" s="12" t="s">
        <v>1657</v>
      </c>
      <c r="D45" s="18" t="s">
        <v>1725</v>
      </c>
      <c r="E45" s="12">
        <v>838</v>
      </c>
      <c r="F45" s="12">
        <v>0</v>
      </c>
      <c r="G45" s="18" t="s">
        <v>1759</v>
      </c>
      <c r="H45" s="12">
        <v>1</v>
      </c>
      <c r="I45" s="19">
        <v>46292.607465277782</v>
      </c>
      <c r="J45" s="12">
        <v>104</v>
      </c>
      <c r="K45" s="12" t="s">
        <v>483</v>
      </c>
    </row>
    <row r="46" spans="1:11" x14ac:dyDescent="0.25">
      <c r="A46" s="15" t="s">
        <v>1760</v>
      </c>
      <c r="B46" s="12" t="s">
        <v>1735</v>
      </c>
      <c r="C46" s="12" t="s">
        <v>1657</v>
      </c>
      <c r="D46" s="18" t="s">
        <v>1736</v>
      </c>
      <c r="E46" s="12">
        <v>20</v>
      </c>
      <c r="F46" s="12">
        <v>0</v>
      </c>
      <c r="G46" s="18" t="s">
        <v>1761</v>
      </c>
      <c r="H46" s="12">
        <v>0</v>
      </c>
      <c r="I46" s="19">
        <v>46292.607499999998</v>
      </c>
      <c r="J46" s="12">
        <v>84</v>
      </c>
      <c r="K46" s="12" t="s">
        <v>483</v>
      </c>
    </row>
    <row r="47" spans="1:11" ht="25.5" x14ac:dyDescent="0.25">
      <c r="A47" s="15" t="s">
        <v>1762</v>
      </c>
      <c r="B47" s="12" t="s">
        <v>1763</v>
      </c>
      <c r="C47" s="12" t="s">
        <v>1657</v>
      </c>
      <c r="D47" s="18" t="s">
        <v>1658</v>
      </c>
      <c r="E47" s="12">
        <v>869</v>
      </c>
      <c r="F47" s="12">
        <v>0</v>
      </c>
      <c r="G47" s="18" t="s">
        <v>1764</v>
      </c>
      <c r="H47" s="12">
        <v>1</v>
      </c>
      <c r="I47" s="19">
        <v>46292.780370370368</v>
      </c>
      <c r="J47" s="12">
        <v>112</v>
      </c>
      <c r="K47" s="12" t="s">
        <v>1765</v>
      </c>
    </row>
    <row r="48" spans="1:11" x14ac:dyDescent="0.25">
      <c r="A48" s="15" t="s">
        <v>1766</v>
      </c>
      <c r="B48" s="12" t="s">
        <v>1767</v>
      </c>
      <c r="C48" s="12" t="s">
        <v>1657</v>
      </c>
      <c r="D48" s="18" t="s">
        <v>1705</v>
      </c>
      <c r="E48" s="12">
        <v>119</v>
      </c>
      <c r="F48" s="12">
        <v>0</v>
      </c>
      <c r="G48" s="18" t="s">
        <v>1768</v>
      </c>
      <c r="H48" s="12">
        <v>0</v>
      </c>
      <c r="I48" s="19">
        <v>46292.780405092592</v>
      </c>
      <c r="J48" s="12"/>
      <c r="K48" s="12" t="s">
        <v>1765</v>
      </c>
    </row>
    <row r="49" spans="1:11" x14ac:dyDescent="0.25">
      <c r="A49" s="15" t="s">
        <v>1769</v>
      </c>
      <c r="B49" s="12" t="s">
        <v>1770</v>
      </c>
      <c r="C49" s="12" t="s">
        <v>1657</v>
      </c>
      <c r="D49" s="18" t="s">
        <v>1708</v>
      </c>
      <c r="E49" s="12">
        <v>21</v>
      </c>
      <c r="F49" s="12">
        <v>0</v>
      </c>
      <c r="G49" s="18" t="s">
        <v>1771</v>
      </c>
      <c r="H49" s="12">
        <v>0</v>
      </c>
      <c r="I49" s="19">
        <v>46292.780451388891</v>
      </c>
      <c r="J49" s="12">
        <v>102</v>
      </c>
      <c r="K49" s="12" t="s">
        <v>1765</v>
      </c>
    </row>
    <row r="50" spans="1:11" x14ac:dyDescent="0.25">
      <c r="A50" s="15" t="s">
        <v>1772</v>
      </c>
      <c r="B50" s="12" t="s">
        <v>1773</v>
      </c>
      <c r="C50" s="12" t="s">
        <v>1657</v>
      </c>
      <c r="D50" s="18" t="s">
        <v>1774</v>
      </c>
      <c r="E50" s="12">
        <v>2</v>
      </c>
      <c r="F50" s="12">
        <v>0</v>
      </c>
      <c r="G50" s="18" t="s">
        <v>1775</v>
      </c>
      <c r="H50" s="12">
        <v>0</v>
      </c>
      <c r="I50" s="19">
        <v>46292.780486111107</v>
      </c>
      <c r="J50" s="12"/>
      <c r="K50" s="12" t="s">
        <v>1765</v>
      </c>
    </row>
    <row r="51" spans="1:11" ht="25.5" x14ac:dyDescent="0.25">
      <c r="A51" s="15" t="s">
        <v>1776</v>
      </c>
      <c r="B51" s="12" t="s">
        <v>1763</v>
      </c>
      <c r="C51" s="12" t="s">
        <v>1657</v>
      </c>
      <c r="D51" s="18" t="s">
        <v>1658</v>
      </c>
      <c r="E51" s="12">
        <v>876</v>
      </c>
      <c r="F51" s="12">
        <v>0</v>
      </c>
      <c r="G51" s="18" t="s">
        <v>1777</v>
      </c>
      <c r="H51" s="12">
        <v>1</v>
      </c>
      <c r="I51" s="19">
        <v>46292.79247685185</v>
      </c>
      <c r="J51" s="12">
        <v>114</v>
      </c>
      <c r="K51" s="12" t="s">
        <v>1778</v>
      </c>
    </row>
    <row r="52" spans="1:11" x14ac:dyDescent="0.25">
      <c r="A52" s="15" t="s">
        <v>1779</v>
      </c>
      <c r="B52" s="12" t="s">
        <v>1767</v>
      </c>
      <c r="C52" s="12" t="s">
        <v>1657</v>
      </c>
      <c r="D52" s="18" t="s">
        <v>1705</v>
      </c>
      <c r="E52" s="12">
        <v>125</v>
      </c>
      <c r="F52" s="12">
        <v>0</v>
      </c>
      <c r="G52" s="18" t="s">
        <v>1780</v>
      </c>
      <c r="H52" s="12">
        <v>0</v>
      </c>
      <c r="I52" s="19">
        <v>46292.792511574073</v>
      </c>
      <c r="J52" s="12"/>
      <c r="K52" s="12" t="s">
        <v>1778</v>
      </c>
    </row>
    <row r="53" spans="1:11" x14ac:dyDescent="0.25">
      <c r="A53" s="15" t="s">
        <v>1781</v>
      </c>
      <c r="B53" s="12" t="s">
        <v>1770</v>
      </c>
      <c r="C53" s="12" t="s">
        <v>1657</v>
      </c>
      <c r="D53" s="18" t="s">
        <v>1708</v>
      </c>
      <c r="E53" s="12">
        <v>22</v>
      </c>
      <c r="F53" s="12">
        <v>0</v>
      </c>
      <c r="G53" s="18" t="s">
        <v>1782</v>
      </c>
      <c r="H53" s="12">
        <v>0</v>
      </c>
      <c r="I53" s="19">
        <v>46292.792557870373</v>
      </c>
      <c r="J53" s="12">
        <v>90</v>
      </c>
      <c r="K53" s="12" t="s">
        <v>1778</v>
      </c>
    </row>
    <row r="54" spans="1:11" x14ac:dyDescent="0.25">
      <c r="A54" s="15" t="s">
        <v>1783</v>
      </c>
      <c r="B54" s="12" t="s">
        <v>1773</v>
      </c>
      <c r="C54" s="12" t="s">
        <v>1657</v>
      </c>
      <c r="D54" s="18" t="s">
        <v>1774</v>
      </c>
      <c r="E54" s="12">
        <v>2</v>
      </c>
      <c r="F54" s="12">
        <v>0</v>
      </c>
      <c r="G54" s="18" t="s">
        <v>1775</v>
      </c>
      <c r="H54" s="12">
        <v>0</v>
      </c>
      <c r="I54" s="19">
        <v>46292.792592592603</v>
      </c>
      <c r="J54" s="12"/>
      <c r="K54" s="12" t="s">
        <v>1778</v>
      </c>
    </row>
    <row r="55" spans="1:11" ht="25.5" x14ac:dyDescent="0.25">
      <c r="A55" s="15" t="s">
        <v>1784</v>
      </c>
      <c r="B55" s="12" t="s">
        <v>1763</v>
      </c>
      <c r="C55" s="12" t="s">
        <v>1657</v>
      </c>
      <c r="D55" s="18" t="s">
        <v>1658</v>
      </c>
      <c r="E55" s="12">
        <v>888</v>
      </c>
      <c r="F55" s="12">
        <v>0</v>
      </c>
      <c r="G55" s="18" t="s">
        <v>1785</v>
      </c>
      <c r="H55" s="12">
        <v>1</v>
      </c>
      <c r="I55" s="19">
        <v>46292.807222222233</v>
      </c>
      <c r="J55" s="12">
        <v>114</v>
      </c>
      <c r="K55" s="12" t="s">
        <v>1786</v>
      </c>
    </row>
    <row r="56" spans="1:11" x14ac:dyDescent="0.25">
      <c r="A56" s="15" t="s">
        <v>1787</v>
      </c>
      <c r="B56" s="12" t="s">
        <v>1767</v>
      </c>
      <c r="C56" s="12" t="s">
        <v>1657</v>
      </c>
      <c r="D56" s="18" t="s">
        <v>1705</v>
      </c>
      <c r="E56" s="12">
        <v>128</v>
      </c>
      <c r="F56" s="12">
        <v>0</v>
      </c>
      <c r="G56" s="18" t="s">
        <v>1788</v>
      </c>
      <c r="H56" s="12">
        <v>0</v>
      </c>
      <c r="I56" s="19">
        <v>46292.807268518518</v>
      </c>
      <c r="J56" s="12"/>
      <c r="K56" s="12" t="s">
        <v>1786</v>
      </c>
    </row>
    <row r="57" spans="1:11" x14ac:dyDescent="0.25">
      <c r="A57" s="15" t="s">
        <v>1789</v>
      </c>
      <c r="B57" s="12" t="s">
        <v>1770</v>
      </c>
      <c r="C57" s="12" t="s">
        <v>1657</v>
      </c>
      <c r="D57" s="18" t="s">
        <v>1708</v>
      </c>
      <c r="E57" s="12">
        <v>22</v>
      </c>
      <c r="F57" s="12">
        <v>0</v>
      </c>
      <c r="G57" s="18" t="s">
        <v>1790</v>
      </c>
      <c r="H57" s="12">
        <v>0</v>
      </c>
      <c r="I57" s="19">
        <v>46292.807303240741</v>
      </c>
      <c r="J57" s="12">
        <v>90</v>
      </c>
      <c r="K57" s="12" t="s">
        <v>1786</v>
      </c>
    </row>
    <row r="58" spans="1:11" x14ac:dyDescent="0.25">
      <c r="A58" s="15" t="s">
        <v>1791</v>
      </c>
      <c r="B58" s="12" t="s">
        <v>1773</v>
      </c>
      <c r="C58" s="12" t="s">
        <v>1657</v>
      </c>
      <c r="D58" s="18" t="s">
        <v>1774</v>
      </c>
      <c r="E58" s="12">
        <v>2</v>
      </c>
      <c r="F58" s="12">
        <v>0</v>
      </c>
      <c r="G58" s="18" t="s">
        <v>1775</v>
      </c>
      <c r="H58" s="12">
        <v>0</v>
      </c>
      <c r="I58" s="19">
        <v>46292.807337962957</v>
      </c>
      <c r="J58" s="12"/>
      <c r="K58" s="12" t="s">
        <v>1786</v>
      </c>
    </row>
    <row r="59" spans="1:11" ht="25.5" x14ac:dyDescent="0.25">
      <c r="A59" s="15" t="s">
        <v>1792</v>
      </c>
      <c r="B59" s="12" t="s">
        <v>1763</v>
      </c>
      <c r="C59" s="12" t="s">
        <v>1657</v>
      </c>
      <c r="D59" s="18" t="s">
        <v>1658</v>
      </c>
      <c r="E59" s="12">
        <v>894</v>
      </c>
      <c r="F59" s="12">
        <v>0</v>
      </c>
      <c r="G59" s="18" t="s">
        <v>1793</v>
      </c>
      <c r="H59" s="12">
        <v>1</v>
      </c>
      <c r="I59" s="19">
        <v>46292.817453703698</v>
      </c>
      <c r="J59" s="12">
        <v>117</v>
      </c>
      <c r="K59" s="12" t="s">
        <v>1794</v>
      </c>
    </row>
    <row r="60" spans="1:11" x14ac:dyDescent="0.25">
      <c r="A60" s="15" t="s">
        <v>1795</v>
      </c>
      <c r="B60" s="12" t="s">
        <v>1767</v>
      </c>
      <c r="C60" s="12" t="s">
        <v>1657</v>
      </c>
      <c r="D60" s="18" t="s">
        <v>1705</v>
      </c>
      <c r="E60" s="12">
        <v>129</v>
      </c>
      <c r="F60" s="12">
        <v>0</v>
      </c>
      <c r="G60" s="18" t="s">
        <v>1796</v>
      </c>
      <c r="H60" s="12">
        <v>0</v>
      </c>
      <c r="I60" s="19">
        <v>46292.817488425928</v>
      </c>
      <c r="J60" s="12"/>
      <c r="K60" s="12" t="s">
        <v>1794</v>
      </c>
    </row>
    <row r="61" spans="1:11" x14ac:dyDescent="0.25">
      <c r="A61" s="15" t="s">
        <v>1797</v>
      </c>
      <c r="B61" s="12" t="s">
        <v>1770</v>
      </c>
      <c r="C61" s="12" t="s">
        <v>1657</v>
      </c>
      <c r="D61" s="18" t="s">
        <v>1708</v>
      </c>
      <c r="E61" s="12">
        <v>22</v>
      </c>
      <c r="F61" s="12">
        <v>0</v>
      </c>
      <c r="G61" s="18" t="s">
        <v>1798</v>
      </c>
      <c r="H61" s="12">
        <v>0</v>
      </c>
      <c r="I61" s="19">
        <v>46292.817523148151</v>
      </c>
      <c r="J61" s="12">
        <v>90</v>
      </c>
      <c r="K61" s="12" t="s">
        <v>1794</v>
      </c>
    </row>
    <row r="62" spans="1:11" x14ac:dyDescent="0.25">
      <c r="A62" s="15" t="s">
        <v>1799</v>
      </c>
      <c r="B62" s="12" t="s">
        <v>1773</v>
      </c>
      <c r="C62" s="12" t="s">
        <v>1657</v>
      </c>
      <c r="D62" s="18" t="s">
        <v>1774</v>
      </c>
      <c r="E62" s="12">
        <v>2</v>
      </c>
      <c r="F62" s="12">
        <v>0</v>
      </c>
      <c r="G62" s="18" t="s">
        <v>1775</v>
      </c>
      <c r="H62" s="12">
        <v>0</v>
      </c>
      <c r="I62" s="19">
        <v>46292.817569444444</v>
      </c>
      <c r="J62" s="12"/>
      <c r="K62" s="12" t="s">
        <v>1794</v>
      </c>
    </row>
    <row r="63" spans="1:11" ht="25.5" x14ac:dyDescent="0.25">
      <c r="A63" s="15" t="s">
        <v>1800</v>
      </c>
      <c r="B63" s="12" t="s">
        <v>1763</v>
      </c>
      <c r="C63" s="12" t="s">
        <v>1657</v>
      </c>
      <c r="D63" s="18" t="s">
        <v>1658</v>
      </c>
      <c r="E63" s="12">
        <v>903</v>
      </c>
      <c r="F63" s="12">
        <v>0</v>
      </c>
      <c r="G63" s="18" t="s">
        <v>1801</v>
      </c>
      <c r="H63" s="12">
        <v>1</v>
      </c>
      <c r="I63" s="19">
        <v>46292.826944444438</v>
      </c>
      <c r="J63" s="12">
        <v>117</v>
      </c>
      <c r="K63" s="12" t="s">
        <v>1802</v>
      </c>
    </row>
    <row r="64" spans="1:11" x14ac:dyDescent="0.25">
      <c r="A64" s="15" t="s">
        <v>1803</v>
      </c>
      <c r="B64" s="12" t="s">
        <v>1767</v>
      </c>
      <c r="C64" s="12" t="s">
        <v>1657</v>
      </c>
      <c r="D64" s="18" t="s">
        <v>1705</v>
      </c>
      <c r="E64" s="12">
        <v>129</v>
      </c>
      <c r="F64" s="12">
        <v>0</v>
      </c>
      <c r="G64" s="18" t="s">
        <v>1804</v>
      </c>
      <c r="H64" s="12">
        <v>0</v>
      </c>
      <c r="I64" s="19">
        <v>46292.826990740738</v>
      </c>
      <c r="J64" s="12"/>
      <c r="K64" s="12" t="s">
        <v>1802</v>
      </c>
    </row>
    <row r="65" spans="1:11" x14ac:dyDescent="0.25">
      <c r="A65" s="15" t="s">
        <v>1805</v>
      </c>
      <c r="B65" s="12" t="s">
        <v>1770</v>
      </c>
      <c r="C65" s="12" t="s">
        <v>1657</v>
      </c>
      <c r="D65" s="18" t="s">
        <v>1708</v>
      </c>
      <c r="E65" s="12">
        <v>22</v>
      </c>
      <c r="F65" s="12">
        <v>0</v>
      </c>
      <c r="G65" s="18" t="s">
        <v>1804</v>
      </c>
      <c r="H65" s="12">
        <v>0</v>
      </c>
      <c r="I65" s="19">
        <v>46292.827025462961</v>
      </c>
      <c r="J65" s="12">
        <v>90</v>
      </c>
      <c r="K65" s="12" t="s">
        <v>1802</v>
      </c>
    </row>
    <row r="66" spans="1:11" x14ac:dyDescent="0.25">
      <c r="A66" s="15" t="s">
        <v>1806</v>
      </c>
      <c r="B66" s="12" t="s">
        <v>1773</v>
      </c>
      <c r="C66" s="12" t="s">
        <v>1657</v>
      </c>
      <c r="D66" s="18" t="s">
        <v>1774</v>
      </c>
      <c r="E66" s="12">
        <v>2</v>
      </c>
      <c r="F66" s="12">
        <v>0</v>
      </c>
      <c r="G66" s="18" t="s">
        <v>1775</v>
      </c>
      <c r="H66" s="12">
        <v>0</v>
      </c>
      <c r="I66" s="19">
        <v>46292.82707175926</v>
      </c>
      <c r="J66" s="12"/>
      <c r="K66" s="12" t="s">
        <v>1802</v>
      </c>
    </row>
    <row r="67" spans="1:11" ht="25.5" x14ac:dyDescent="0.25">
      <c r="A67" s="15" t="s">
        <v>1807</v>
      </c>
      <c r="B67" s="12" t="s">
        <v>1763</v>
      </c>
      <c r="C67" s="12" t="s">
        <v>1657</v>
      </c>
      <c r="D67" s="18" t="s">
        <v>1658</v>
      </c>
      <c r="E67" s="12">
        <v>913</v>
      </c>
      <c r="F67" s="12">
        <v>0</v>
      </c>
      <c r="G67" s="18" t="s">
        <v>1808</v>
      </c>
      <c r="H67" s="12">
        <v>1</v>
      </c>
      <c r="I67" s="19">
        <v>46292.833993055552</v>
      </c>
      <c r="J67" s="12">
        <v>116</v>
      </c>
      <c r="K67" s="12" t="s">
        <v>1809</v>
      </c>
    </row>
    <row r="68" spans="1:11" x14ac:dyDescent="0.25">
      <c r="A68" s="15" t="s">
        <v>1810</v>
      </c>
      <c r="B68" s="12" t="s">
        <v>1767</v>
      </c>
      <c r="C68" s="12" t="s">
        <v>1657</v>
      </c>
      <c r="D68" s="18" t="s">
        <v>1705</v>
      </c>
      <c r="E68" s="12">
        <v>129</v>
      </c>
      <c r="F68" s="12">
        <v>0</v>
      </c>
      <c r="G68" s="18" t="s">
        <v>1811</v>
      </c>
      <c r="H68" s="12">
        <v>0</v>
      </c>
      <c r="I68" s="19">
        <v>46292.834027777782</v>
      </c>
      <c r="J68" s="12"/>
      <c r="K68" s="12" t="s">
        <v>1809</v>
      </c>
    </row>
    <row r="69" spans="1:11" x14ac:dyDescent="0.25">
      <c r="A69" s="15" t="s">
        <v>1812</v>
      </c>
      <c r="B69" s="12" t="s">
        <v>1770</v>
      </c>
      <c r="C69" s="12" t="s">
        <v>1657</v>
      </c>
      <c r="D69" s="18" t="s">
        <v>1708</v>
      </c>
      <c r="E69" s="12">
        <v>22</v>
      </c>
      <c r="F69" s="12">
        <v>0</v>
      </c>
      <c r="G69" s="18" t="s">
        <v>1811</v>
      </c>
      <c r="H69" s="12">
        <v>0</v>
      </c>
      <c r="I69" s="19">
        <v>46292.834074074082</v>
      </c>
      <c r="J69" s="12">
        <v>90</v>
      </c>
      <c r="K69" s="12" t="s">
        <v>1809</v>
      </c>
    </row>
    <row r="70" spans="1:11" x14ac:dyDescent="0.25">
      <c r="A70" s="15" t="s">
        <v>1813</v>
      </c>
      <c r="B70" s="12" t="s">
        <v>1773</v>
      </c>
      <c r="C70" s="12" t="s">
        <v>1657</v>
      </c>
      <c r="D70" s="18" t="s">
        <v>1774</v>
      </c>
      <c r="E70" s="12">
        <v>2</v>
      </c>
      <c r="F70" s="12">
        <v>0</v>
      </c>
      <c r="G70" s="18" t="s">
        <v>1775</v>
      </c>
      <c r="H70" s="12">
        <v>0</v>
      </c>
      <c r="I70" s="19">
        <v>46292.834108796298</v>
      </c>
      <c r="J70" s="12"/>
      <c r="K70" s="12" t="s">
        <v>1809</v>
      </c>
    </row>
    <row r="71" spans="1:11" ht="25.5" x14ac:dyDescent="0.25">
      <c r="A71" s="15" t="s">
        <v>1814</v>
      </c>
      <c r="B71" s="12" t="s">
        <v>1763</v>
      </c>
      <c r="C71" s="12" t="s">
        <v>1657</v>
      </c>
      <c r="D71" s="18" t="s">
        <v>1658</v>
      </c>
      <c r="E71" s="12">
        <v>919</v>
      </c>
      <c r="F71" s="12">
        <v>0</v>
      </c>
      <c r="G71" s="18" t="s">
        <v>1815</v>
      </c>
      <c r="H71" s="12">
        <v>1</v>
      </c>
      <c r="I71" s="19">
        <v>46292.846990740742</v>
      </c>
      <c r="J71" s="12">
        <v>144</v>
      </c>
      <c r="K71" s="12" t="s">
        <v>1816</v>
      </c>
    </row>
    <row r="72" spans="1:11" x14ac:dyDescent="0.25">
      <c r="A72" s="15" t="s">
        <v>1817</v>
      </c>
      <c r="B72" s="12" t="s">
        <v>1767</v>
      </c>
      <c r="C72" s="12" t="s">
        <v>1657</v>
      </c>
      <c r="D72" s="18" t="s">
        <v>1705</v>
      </c>
      <c r="E72" s="12">
        <v>132</v>
      </c>
      <c r="F72" s="12">
        <v>0</v>
      </c>
      <c r="G72" s="18" t="s">
        <v>1818</v>
      </c>
      <c r="H72" s="12">
        <v>0</v>
      </c>
      <c r="I72" s="19">
        <v>46292.847025462957</v>
      </c>
      <c r="J72" s="12"/>
      <c r="K72" s="12" t="s">
        <v>1816</v>
      </c>
    </row>
    <row r="73" spans="1:11" x14ac:dyDescent="0.25">
      <c r="A73" s="15" t="s">
        <v>1819</v>
      </c>
      <c r="B73" s="12" t="s">
        <v>1770</v>
      </c>
      <c r="C73" s="12" t="s">
        <v>1657</v>
      </c>
      <c r="D73" s="18" t="s">
        <v>1708</v>
      </c>
      <c r="E73" s="12">
        <v>22</v>
      </c>
      <c r="F73" s="12">
        <v>0</v>
      </c>
      <c r="G73" s="18" t="s">
        <v>1820</v>
      </c>
      <c r="H73" s="12">
        <v>0</v>
      </c>
      <c r="I73" s="19">
        <v>46292.847071759257</v>
      </c>
      <c r="J73" s="12">
        <v>90</v>
      </c>
      <c r="K73" s="12" t="s">
        <v>1816</v>
      </c>
    </row>
    <row r="74" spans="1:11" x14ac:dyDescent="0.25">
      <c r="A74" s="15" t="s">
        <v>1821</v>
      </c>
      <c r="B74" s="12" t="s">
        <v>1773</v>
      </c>
      <c r="C74" s="12" t="s">
        <v>1657</v>
      </c>
      <c r="D74" s="18" t="s">
        <v>1774</v>
      </c>
      <c r="E74" s="12">
        <v>2</v>
      </c>
      <c r="F74" s="12">
        <v>0</v>
      </c>
      <c r="G74" s="18" t="s">
        <v>1775</v>
      </c>
      <c r="H74" s="12">
        <v>0</v>
      </c>
      <c r="I74" s="19">
        <v>46292.84710648148</v>
      </c>
      <c r="J74" s="12"/>
      <c r="K74" s="12" t="s">
        <v>1816</v>
      </c>
    </row>
    <row r="75" spans="1:11" ht="25.5" x14ac:dyDescent="0.25">
      <c r="A75" s="15" t="s">
        <v>1822</v>
      </c>
      <c r="B75" s="12" t="s">
        <v>1763</v>
      </c>
      <c r="C75" s="12" t="s">
        <v>1657</v>
      </c>
      <c r="D75" s="18" t="s">
        <v>1658</v>
      </c>
      <c r="E75" s="12">
        <v>920</v>
      </c>
      <c r="F75" s="12">
        <v>0</v>
      </c>
      <c r="G75" s="18" t="s">
        <v>1823</v>
      </c>
      <c r="H75" s="12">
        <v>1</v>
      </c>
      <c r="I75" s="19">
        <v>46292.980844907397</v>
      </c>
      <c r="J75" s="12">
        <v>124</v>
      </c>
      <c r="K75" s="12" t="s">
        <v>1824</v>
      </c>
    </row>
    <row r="76" spans="1:11" x14ac:dyDescent="0.25">
      <c r="A76" s="15" t="s">
        <v>1825</v>
      </c>
      <c r="B76" s="12" t="s">
        <v>1767</v>
      </c>
      <c r="C76" s="12" t="s">
        <v>1657</v>
      </c>
      <c r="D76" s="18" t="s">
        <v>1705</v>
      </c>
      <c r="E76" s="12">
        <v>132</v>
      </c>
      <c r="F76" s="12">
        <v>0</v>
      </c>
      <c r="G76" s="18" t="s">
        <v>1826</v>
      </c>
      <c r="H76" s="12">
        <v>0</v>
      </c>
      <c r="I76" s="19">
        <v>46292.980891203697</v>
      </c>
      <c r="J76" s="12"/>
      <c r="K76" s="12" t="s">
        <v>1824</v>
      </c>
    </row>
    <row r="77" spans="1:11" x14ac:dyDescent="0.25">
      <c r="A77" s="15" t="s">
        <v>1827</v>
      </c>
      <c r="B77" s="12" t="s">
        <v>1770</v>
      </c>
      <c r="C77" s="12" t="s">
        <v>1657</v>
      </c>
      <c r="D77" s="18" t="s">
        <v>1708</v>
      </c>
      <c r="E77" s="12">
        <v>22</v>
      </c>
      <c r="F77" s="12">
        <v>0</v>
      </c>
      <c r="G77" s="18" t="s">
        <v>1826</v>
      </c>
      <c r="H77" s="12">
        <v>0</v>
      </c>
      <c r="I77" s="19">
        <v>46292.980925925927</v>
      </c>
      <c r="J77" s="12">
        <v>90</v>
      </c>
      <c r="K77" s="12" t="s">
        <v>1824</v>
      </c>
    </row>
    <row r="78" spans="1:11" x14ac:dyDescent="0.25">
      <c r="A78" s="15" t="s">
        <v>1828</v>
      </c>
      <c r="B78" s="12" t="s">
        <v>1773</v>
      </c>
      <c r="C78" s="12" t="s">
        <v>1657</v>
      </c>
      <c r="D78" s="18" t="s">
        <v>1774</v>
      </c>
      <c r="E78" s="12">
        <v>2</v>
      </c>
      <c r="F78" s="12">
        <v>0</v>
      </c>
      <c r="G78" s="18" t="s">
        <v>1775</v>
      </c>
      <c r="H78" s="12">
        <v>0</v>
      </c>
      <c r="I78" s="19">
        <v>46292.98097222222</v>
      </c>
      <c r="J78" s="12"/>
      <c r="K78" s="12" t="s">
        <v>1824</v>
      </c>
    </row>
    <row r="79" spans="1:11" ht="25.5" x14ac:dyDescent="0.25">
      <c r="A79" s="15" t="s">
        <v>1829</v>
      </c>
      <c r="B79" s="12" t="s">
        <v>1244</v>
      </c>
      <c r="C79" s="12" t="s">
        <v>1657</v>
      </c>
      <c r="D79" s="18" t="s">
        <v>1658</v>
      </c>
      <c r="E79" s="12">
        <v>936</v>
      </c>
      <c r="F79" s="12">
        <v>0</v>
      </c>
      <c r="G79" s="18"/>
      <c r="H79" s="12">
        <v>0</v>
      </c>
      <c r="I79" s="19">
        <v>46294.632986111108</v>
      </c>
      <c r="J79" s="12">
        <v>128</v>
      </c>
      <c r="K79" s="12" t="s">
        <v>1830</v>
      </c>
    </row>
    <row r="80" spans="1:11" x14ac:dyDescent="0.25">
      <c r="A80" s="15" t="s">
        <v>1831</v>
      </c>
      <c r="B80" s="12" t="s">
        <v>1832</v>
      </c>
      <c r="C80" s="12" t="s">
        <v>1657</v>
      </c>
      <c r="D80" s="18" t="s">
        <v>1705</v>
      </c>
      <c r="E80" s="12">
        <v>140</v>
      </c>
      <c r="F80" s="12">
        <v>0</v>
      </c>
      <c r="G80" s="18"/>
      <c r="H80" s="12">
        <v>0</v>
      </c>
      <c r="I80" s="19">
        <v>46294.633020833331</v>
      </c>
      <c r="J80" s="12">
        <v>10</v>
      </c>
      <c r="K80" s="12" t="s">
        <v>1830</v>
      </c>
    </row>
    <row r="81" spans="1:11" x14ac:dyDescent="0.25">
      <c r="A81" s="15" t="s">
        <v>1833</v>
      </c>
      <c r="B81" s="12" t="s">
        <v>1770</v>
      </c>
      <c r="C81" s="12" t="s">
        <v>1657</v>
      </c>
      <c r="D81" s="18" t="s">
        <v>1708</v>
      </c>
      <c r="E81" s="12">
        <v>23</v>
      </c>
      <c r="F81" s="12">
        <v>0</v>
      </c>
      <c r="G81" s="18"/>
      <c r="H81" s="12">
        <v>0</v>
      </c>
      <c r="I81" s="19">
        <v>46294.633067129631</v>
      </c>
      <c r="J81" s="12">
        <v>90</v>
      </c>
      <c r="K81" s="12" t="s">
        <v>1830</v>
      </c>
    </row>
    <row r="82" spans="1:11" ht="25.5" x14ac:dyDescent="0.25">
      <c r="A82" s="15" t="s">
        <v>1834</v>
      </c>
      <c r="B82" s="12" t="s">
        <v>1244</v>
      </c>
      <c r="C82" s="12" t="s">
        <v>1657</v>
      </c>
      <c r="D82" s="18" t="s">
        <v>1658</v>
      </c>
      <c r="E82" s="12">
        <v>937</v>
      </c>
      <c r="F82" s="12">
        <v>0</v>
      </c>
      <c r="G82" s="18"/>
      <c r="H82" s="12">
        <v>0</v>
      </c>
      <c r="I82" s="19">
        <v>46294.640046296299</v>
      </c>
      <c r="J82" s="12">
        <v>128</v>
      </c>
      <c r="K82" s="12" t="s">
        <v>1835</v>
      </c>
    </row>
    <row r="83" spans="1:11" x14ac:dyDescent="0.25">
      <c r="A83" s="15" t="s">
        <v>1836</v>
      </c>
      <c r="B83" s="12" t="s">
        <v>1770</v>
      </c>
      <c r="C83" s="12" t="s">
        <v>1657</v>
      </c>
      <c r="D83" s="18" t="s">
        <v>1708</v>
      </c>
      <c r="E83" s="12">
        <v>23</v>
      </c>
      <c r="F83" s="12">
        <v>0</v>
      </c>
      <c r="G83" s="18"/>
      <c r="H83" s="12">
        <v>0</v>
      </c>
      <c r="I83" s="19">
        <v>46294.640081018522</v>
      </c>
      <c r="J83" s="12">
        <v>90</v>
      </c>
      <c r="K83" s="12" t="s">
        <v>1835</v>
      </c>
    </row>
    <row r="84" spans="1:11" ht="25.5" x14ac:dyDescent="0.25">
      <c r="A84" s="15" t="s">
        <v>1837</v>
      </c>
      <c r="B84" s="12" t="s">
        <v>1244</v>
      </c>
      <c r="C84" s="12" t="s">
        <v>1657</v>
      </c>
      <c r="D84" s="18" t="s">
        <v>1658</v>
      </c>
      <c r="E84" s="12">
        <v>937</v>
      </c>
      <c r="F84" s="12">
        <v>0</v>
      </c>
      <c r="G84" s="18"/>
      <c r="H84" s="12">
        <v>0</v>
      </c>
      <c r="I84" s="19">
        <v>46294.651724537027</v>
      </c>
      <c r="J84" s="12">
        <v>133</v>
      </c>
      <c r="K84" s="12" t="s">
        <v>1838</v>
      </c>
    </row>
    <row r="85" spans="1:11" x14ac:dyDescent="0.25">
      <c r="A85" s="15" t="s">
        <v>1839</v>
      </c>
      <c r="B85" s="12" t="s">
        <v>1832</v>
      </c>
      <c r="C85" s="12" t="s">
        <v>1657</v>
      </c>
      <c r="D85" s="18" t="s">
        <v>1705</v>
      </c>
      <c r="E85" s="12">
        <v>144</v>
      </c>
      <c r="F85" s="12">
        <v>0</v>
      </c>
      <c r="G85" s="18"/>
      <c r="H85" s="12">
        <v>0</v>
      </c>
      <c r="I85" s="19">
        <v>46294.651770833327</v>
      </c>
      <c r="J85" s="12">
        <v>8</v>
      </c>
      <c r="K85" s="12" t="s">
        <v>1838</v>
      </c>
    </row>
    <row r="86" spans="1:11" x14ac:dyDescent="0.25">
      <c r="A86" s="15" t="s">
        <v>1840</v>
      </c>
      <c r="B86" s="12" t="s">
        <v>1770</v>
      </c>
      <c r="C86" s="12" t="s">
        <v>1657</v>
      </c>
      <c r="D86" s="18" t="s">
        <v>1708</v>
      </c>
      <c r="E86" s="12">
        <v>24</v>
      </c>
      <c r="F86" s="12">
        <v>0</v>
      </c>
      <c r="G86" s="18"/>
      <c r="H86" s="12">
        <v>0</v>
      </c>
      <c r="I86" s="19">
        <v>46294.651805555557</v>
      </c>
      <c r="J86" s="12">
        <v>100</v>
      </c>
      <c r="K86" s="12" t="s">
        <v>1838</v>
      </c>
    </row>
    <row r="87" spans="1:11" ht="25.5" x14ac:dyDescent="0.25">
      <c r="A87" s="15" t="s">
        <v>1841</v>
      </c>
      <c r="B87" s="12" t="s">
        <v>1244</v>
      </c>
      <c r="C87" s="12" t="s">
        <v>1657</v>
      </c>
      <c r="D87" s="18" t="s">
        <v>1658</v>
      </c>
      <c r="E87" s="12">
        <v>951</v>
      </c>
      <c r="F87" s="12">
        <v>0</v>
      </c>
      <c r="G87" s="18"/>
      <c r="H87" s="12">
        <v>0</v>
      </c>
      <c r="I87" s="19">
        <v>46294.675370370373</v>
      </c>
      <c r="J87" s="12">
        <v>124</v>
      </c>
      <c r="K87" s="12" t="s">
        <v>520</v>
      </c>
    </row>
    <row r="88" spans="1:11" x14ac:dyDescent="0.25">
      <c r="A88" s="15" t="s">
        <v>1842</v>
      </c>
      <c r="B88" s="12" t="s">
        <v>1832</v>
      </c>
      <c r="C88" s="12" t="s">
        <v>1657</v>
      </c>
      <c r="D88" s="18" t="s">
        <v>1705</v>
      </c>
      <c r="E88" s="12">
        <v>148</v>
      </c>
      <c r="F88" s="12">
        <v>0</v>
      </c>
      <c r="G88" s="18"/>
      <c r="H88" s="12">
        <v>0</v>
      </c>
      <c r="I88" s="19">
        <v>46294.675416666672</v>
      </c>
      <c r="J88" s="12">
        <v>9</v>
      </c>
      <c r="K88" s="12" t="s">
        <v>520</v>
      </c>
    </row>
    <row r="89" spans="1:11" x14ac:dyDescent="0.25">
      <c r="A89" s="15" t="s">
        <v>1843</v>
      </c>
      <c r="B89" s="12" t="s">
        <v>1770</v>
      </c>
      <c r="C89" s="12" t="s">
        <v>1657</v>
      </c>
      <c r="D89" s="18" t="s">
        <v>1708</v>
      </c>
      <c r="E89" s="12">
        <v>24</v>
      </c>
      <c r="F89" s="12">
        <v>0</v>
      </c>
      <c r="G89" s="18"/>
      <c r="H89" s="12">
        <v>0</v>
      </c>
      <c r="I89" s="19">
        <v>46294.675451388888</v>
      </c>
      <c r="J89" s="12">
        <v>96</v>
      </c>
      <c r="K89" s="12" t="s">
        <v>520</v>
      </c>
    </row>
    <row r="90" spans="1:11" ht="25.5" x14ac:dyDescent="0.25">
      <c r="A90" s="15" t="s">
        <v>1844</v>
      </c>
      <c r="B90" s="12" t="s">
        <v>1244</v>
      </c>
      <c r="C90" s="12" t="s">
        <v>1657</v>
      </c>
      <c r="D90" s="18" t="s">
        <v>1658</v>
      </c>
      <c r="E90" s="12">
        <v>953</v>
      </c>
      <c r="F90" s="12">
        <v>0</v>
      </c>
      <c r="G90" s="18"/>
      <c r="H90" s="12">
        <v>0</v>
      </c>
      <c r="I90" s="19">
        <v>46294.68277777778</v>
      </c>
      <c r="J90" s="12">
        <v>125</v>
      </c>
      <c r="K90" s="12" t="s">
        <v>1845</v>
      </c>
    </row>
    <row r="91" spans="1:11" x14ac:dyDescent="0.25">
      <c r="A91" s="15" t="s">
        <v>1846</v>
      </c>
      <c r="B91" s="12" t="s">
        <v>1770</v>
      </c>
      <c r="C91" s="12" t="s">
        <v>1657</v>
      </c>
      <c r="D91" s="18" t="s">
        <v>1708</v>
      </c>
      <c r="E91" s="12">
        <v>24</v>
      </c>
      <c r="F91" s="12">
        <v>0</v>
      </c>
      <c r="G91" s="18"/>
      <c r="H91" s="12">
        <v>0</v>
      </c>
      <c r="I91" s="19">
        <v>46294.682812500003</v>
      </c>
      <c r="J91" s="12">
        <v>90</v>
      </c>
      <c r="K91" s="12" t="s">
        <v>1845</v>
      </c>
    </row>
    <row r="92" spans="1:11" ht="25.5" x14ac:dyDescent="0.25">
      <c r="A92" s="15" t="s">
        <v>1847</v>
      </c>
      <c r="B92" s="12" t="s">
        <v>1244</v>
      </c>
      <c r="C92" s="12" t="s">
        <v>1657</v>
      </c>
      <c r="D92" s="18" t="s">
        <v>1658</v>
      </c>
      <c r="E92" s="12">
        <v>953</v>
      </c>
      <c r="F92" s="12">
        <v>0</v>
      </c>
      <c r="G92" s="18"/>
      <c r="H92" s="12">
        <v>0</v>
      </c>
      <c r="I92" s="19">
        <v>46294.695011574076</v>
      </c>
      <c r="J92" s="12">
        <v>127</v>
      </c>
      <c r="K92" s="12" t="s">
        <v>1848</v>
      </c>
    </row>
    <row r="93" spans="1:11" x14ac:dyDescent="0.25">
      <c r="A93" s="15" t="s">
        <v>1849</v>
      </c>
      <c r="B93" s="12" t="s">
        <v>1832</v>
      </c>
      <c r="C93" s="12" t="s">
        <v>1657</v>
      </c>
      <c r="D93" s="18" t="s">
        <v>1705</v>
      </c>
      <c r="E93" s="12">
        <v>152</v>
      </c>
      <c r="F93" s="12">
        <v>0</v>
      </c>
      <c r="G93" s="18"/>
      <c r="H93" s="12">
        <v>0</v>
      </c>
      <c r="I93" s="19">
        <v>46294.6950462963</v>
      </c>
      <c r="J93" s="12">
        <v>9</v>
      </c>
      <c r="K93" s="12" t="s">
        <v>1848</v>
      </c>
    </row>
    <row r="94" spans="1:11" x14ac:dyDescent="0.25">
      <c r="A94" s="15" t="s">
        <v>1850</v>
      </c>
      <c r="B94" s="12" t="s">
        <v>1770</v>
      </c>
      <c r="C94" s="12" t="s">
        <v>1657</v>
      </c>
      <c r="D94" s="18" t="s">
        <v>1708</v>
      </c>
      <c r="E94" s="12">
        <v>25</v>
      </c>
      <c r="F94" s="12">
        <v>0</v>
      </c>
      <c r="G94" s="18"/>
      <c r="H94" s="12">
        <v>0</v>
      </c>
      <c r="I94" s="19">
        <v>46294.695092592592</v>
      </c>
      <c r="J94" s="12">
        <v>96</v>
      </c>
      <c r="K94" s="12" t="s">
        <v>1848</v>
      </c>
    </row>
    <row r="95" spans="1:11" ht="25.5" x14ac:dyDescent="0.25">
      <c r="A95" s="15" t="s">
        <v>1851</v>
      </c>
      <c r="B95" s="12" t="s">
        <v>1244</v>
      </c>
      <c r="C95" s="12" t="s">
        <v>1657</v>
      </c>
      <c r="D95" s="18" t="s">
        <v>1658</v>
      </c>
      <c r="E95" s="12">
        <v>959</v>
      </c>
      <c r="F95" s="12">
        <v>0</v>
      </c>
      <c r="G95" s="18"/>
      <c r="H95" s="12">
        <v>0</v>
      </c>
      <c r="I95" s="19">
        <v>46294.906469907408</v>
      </c>
      <c r="J95" s="12">
        <v>128</v>
      </c>
      <c r="K95" s="12" t="s">
        <v>545</v>
      </c>
    </row>
    <row r="96" spans="1:11" x14ac:dyDescent="0.25">
      <c r="A96" s="15" t="s">
        <v>1852</v>
      </c>
      <c r="B96" s="12" t="s">
        <v>1832</v>
      </c>
      <c r="C96" s="12" t="s">
        <v>1657</v>
      </c>
      <c r="D96" s="18" t="s">
        <v>1705</v>
      </c>
      <c r="E96" s="12">
        <v>155</v>
      </c>
      <c r="F96" s="12">
        <v>0</v>
      </c>
      <c r="G96" s="18"/>
      <c r="H96" s="12">
        <v>0</v>
      </c>
      <c r="I96" s="19">
        <v>46294.906504629631</v>
      </c>
      <c r="J96" s="12">
        <v>9</v>
      </c>
      <c r="K96" s="12" t="s">
        <v>545</v>
      </c>
    </row>
    <row r="97" spans="1:11" x14ac:dyDescent="0.25">
      <c r="A97" s="15" t="s">
        <v>1853</v>
      </c>
      <c r="B97" s="12" t="s">
        <v>1770</v>
      </c>
      <c r="C97" s="12" t="s">
        <v>1657</v>
      </c>
      <c r="D97" s="18" t="s">
        <v>1708</v>
      </c>
      <c r="E97" s="12">
        <v>25</v>
      </c>
      <c r="F97" s="12">
        <v>0</v>
      </c>
      <c r="G97" s="18"/>
      <c r="H97" s="12">
        <v>0</v>
      </c>
      <c r="I97" s="19">
        <v>46294.906550925924</v>
      </c>
      <c r="J97" s="12">
        <v>108</v>
      </c>
      <c r="K97" s="12" t="s">
        <v>545</v>
      </c>
    </row>
    <row r="98" spans="1:11" ht="25.5" x14ac:dyDescent="0.25">
      <c r="A98" s="15" t="s">
        <v>1854</v>
      </c>
      <c r="B98" s="12" t="s">
        <v>1244</v>
      </c>
      <c r="C98" s="12" t="s">
        <v>1657</v>
      </c>
      <c r="D98" s="18" t="s">
        <v>1658</v>
      </c>
      <c r="E98" s="12">
        <v>968</v>
      </c>
      <c r="F98" s="12">
        <v>0</v>
      </c>
      <c r="G98" s="18"/>
      <c r="H98" s="12">
        <v>0</v>
      </c>
      <c r="I98" s="19">
        <v>46294.923182870371</v>
      </c>
      <c r="J98" s="12">
        <v>133</v>
      </c>
      <c r="K98" s="12" t="s">
        <v>1855</v>
      </c>
    </row>
    <row r="99" spans="1:11" x14ac:dyDescent="0.25">
      <c r="A99" s="15" t="s">
        <v>1856</v>
      </c>
      <c r="B99" s="12" t="s">
        <v>1832</v>
      </c>
      <c r="C99" s="12" t="s">
        <v>1657</v>
      </c>
      <c r="D99" s="18" t="s">
        <v>1705</v>
      </c>
      <c r="E99" s="12">
        <v>158</v>
      </c>
      <c r="F99" s="12">
        <v>0</v>
      </c>
      <c r="G99" s="18"/>
      <c r="H99" s="12">
        <v>0</v>
      </c>
      <c r="I99" s="19">
        <v>46294.923229166663</v>
      </c>
      <c r="J99" s="12">
        <v>9</v>
      </c>
      <c r="K99" s="12" t="s">
        <v>1855</v>
      </c>
    </row>
    <row r="100" spans="1:11" x14ac:dyDescent="0.25">
      <c r="A100" s="15" t="s">
        <v>1857</v>
      </c>
      <c r="B100" s="12" t="s">
        <v>1770</v>
      </c>
      <c r="C100" s="12" t="s">
        <v>1657</v>
      </c>
      <c r="D100" s="18" t="s">
        <v>1708</v>
      </c>
      <c r="E100" s="12">
        <v>26</v>
      </c>
      <c r="F100" s="12">
        <v>0</v>
      </c>
      <c r="G100" s="18"/>
      <c r="H100" s="12">
        <v>0</v>
      </c>
      <c r="I100" s="19">
        <v>46294.923275462963</v>
      </c>
      <c r="J100" s="12">
        <v>114</v>
      </c>
      <c r="K100" s="12" t="s">
        <v>1855</v>
      </c>
    </row>
    <row r="101" spans="1:11" ht="25.5" x14ac:dyDescent="0.25">
      <c r="A101" s="15" t="s">
        <v>1858</v>
      </c>
      <c r="B101" s="12" t="s">
        <v>1244</v>
      </c>
      <c r="C101" s="12" t="s">
        <v>1657</v>
      </c>
      <c r="D101" s="18" t="s">
        <v>1658</v>
      </c>
      <c r="E101" s="12">
        <v>987</v>
      </c>
      <c r="F101" s="12">
        <v>0</v>
      </c>
      <c r="G101" s="18"/>
      <c r="H101" s="12">
        <v>0</v>
      </c>
      <c r="I101" s="19">
        <v>46294.956284722219</v>
      </c>
      <c r="J101" s="12">
        <v>183</v>
      </c>
      <c r="K101" s="12" t="s">
        <v>573</v>
      </c>
    </row>
    <row r="102" spans="1:11" x14ac:dyDescent="0.25">
      <c r="A102" s="15" t="s">
        <v>1859</v>
      </c>
      <c r="B102" s="12" t="s">
        <v>1832</v>
      </c>
      <c r="C102" s="12" t="s">
        <v>1657</v>
      </c>
      <c r="D102" s="18" t="s">
        <v>1705</v>
      </c>
      <c r="E102" s="12">
        <v>164</v>
      </c>
      <c r="F102" s="12">
        <v>0</v>
      </c>
      <c r="G102" s="18"/>
      <c r="H102" s="12">
        <v>0</v>
      </c>
      <c r="I102" s="19">
        <v>46294.956319444442</v>
      </c>
      <c r="J102" s="12"/>
      <c r="K102" s="12" t="s">
        <v>573</v>
      </c>
    </row>
    <row r="103" spans="1:11" x14ac:dyDescent="0.25">
      <c r="A103" s="15" t="s">
        <v>1860</v>
      </c>
      <c r="B103" s="12" t="s">
        <v>1770</v>
      </c>
      <c r="C103" s="12" t="s">
        <v>1657</v>
      </c>
      <c r="D103" s="18" t="s">
        <v>1708</v>
      </c>
      <c r="E103" s="12">
        <v>27</v>
      </c>
      <c r="F103" s="12">
        <v>0</v>
      </c>
      <c r="G103" s="18"/>
      <c r="H103" s="12">
        <v>0</v>
      </c>
      <c r="I103" s="19">
        <v>46294.956365740742</v>
      </c>
      <c r="J103" s="12">
        <v>114</v>
      </c>
      <c r="K103" s="12" t="s">
        <v>573</v>
      </c>
    </row>
    <row r="104" spans="1:11" x14ac:dyDescent="0.25">
      <c r="A104" s="15" t="s">
        <v>1861</v>
      </c>
      <c r="B104" s="12" t="s">
        <v>1862</v>
      </c>
      <c r="C104" s="12" t="s">
        <v>1657</v>
      </c>
      <c r="D104" s="18" t="s">
        <v>1774</v>
      </c>
      <c r="E104" s="12">
        <v>1</v>
      </c>
      <c r="F104" s="12">
        <v>0</v>
      </c>
      <c r="G104" s="18"/>
      <c r="H104" s="12">
        <v>0</v>
      </c>
      <c r="I104" s="19">
        <v>46294.956412037027</v>
      </c>
      <c r="J104" s="12"/>
      <c r="K104" s="12" t="s">
        <v>573</v>
      </c>
    </row>
    <row r="105" spans="1:11" ht="25.5" x14ac:dyDescent="0.25">
      <c r="A105" s="15" t="s">
        <v>1863</v>
      </c>
      <c r="B105" s="12" t="s">
        <v>1244</v>
      </c>
      <c r="C105" s="12" t="s">
        <v>1657</v>
      </c>
      <c r="D105" s="18" t="s">
        <v>1658</v>
      </c>
      <c r="E105" s="12">
        <v>990</v>
      </c>
      <c r="F105" s="12">
        <v>0</v>
      </c>
      <c r="G105" s="18"/>
      <c r="H105" s="12">
        <v>0</v>
      </c>
      <c r="I105" s="19">
        <v>46294.965208333328</v>
      </c>
      <c r="J105" s="12">
        <v>166</v>
      </c>
      <c r="K105" s="12" t="s">
        <v>593</v>
      </c>
    </row>
    <row r="106" spans="1:11" x14ac:dyDescent="0.25">
      <c r="A106" s="15" t="s">
        <v>1864</v>
      </c>
      <c r="B106" s="12" t="s">
        <v>1832</v>
      </c>
      <c r="C106" s="12" t="s">
        <v>1657</v>
      </c>
      <c r="D106" s="18" t="s">
        <v>1705</v>
      </c>
      <c r="E106" s="12">
        <v>164</v>
      </c>
      <c r="F106" s="12">
        <v>0</v>
      </c>
      <c r="G106" s="18"/>
      <c r="H106" s="12">
        <v>0</v>
      </c>
      <c r="I106" s="19">
        <v>46294.965254629627</v>
      </c>
      <c r="J106" s="12"/>
      <c r="K106" s="12" t="s">
        <v>593</v>
      </c>
    </row>
    <row r="107" spans="1:11" x14ac:dyDescent="0.25">
      <c r="A107" s="15" t="s">
        <v>1865</v>
      </c>
      <c r="B107" s="12" t="s">
        <v>1770</v>
      </c>
      <c r="C107" s="12" t="s">
        <v>1657</v>
      </c>
      <c r="D107" s="18" t="s">
        <v>1708</v>
      </c>
      <c r="E107" s="12">
        <v>27</v>
      </c>
      <c r="F107" s="12">
        <v>0</v>
      </c>
      <c r="G107" s="18"/>
      <c r="H107" s="12">
        <v>0</v>
      </c>
      <c r="I107" s="19">
        <v>46294.965289351851</v>
      </c>
      <c r="J107" s="12">
        <v>108</v>
      </c>
      <c r="K107" s="12" t="s">
        <v>593</v>
      </c>
    </row>
    <row r="108" spans="1:11" x14ac:dyDescent="0.25">
      <c r="A108" s="15" t="s">
        <v>1866</v>
      </c>
      <c r="B108" s="12" t="s">
        <v>1862</v>
      </c>
      <c r="C108" s="12" t="s">
        <v>1657</v>
      </c>
      <c r="D108" s="18" t="s">
        <v>1774</v>
      </c>
      <c r="E108" s="12">
        <v>1</v>
      </c>
      <c r="F108" s="12">
        <v>0</v>
      </c>
      <c r="G108" s="18"/>
      <c r="H108" s="12">
        <v>0</v>
      </c>
      <c r="I108" s="19">
        <v>46294.96533564815</v>
      </c>
      <c r="J108" s="12"/>
      <c r="K108" s="12" t="s">
        <v>593</v>
      </c>
    </row>
    <row r="109" spans="1:11" ht="25.5" x14ac:dyDescent="0.25">
      <c r="A109" s="15" t="s">
        <v>1867</v>
      </c>
      <c r="B109" s="12" t="s">
        <v>1244</v>
      </c>
      <c r="C109" s="12" t="s">
        <v>1657</v>
      </c>
      <c r="D109" s="18" t="s">
        <v>1658</v>
      </c>
      <c r="E109" s="12">
        <v>993</v>
      </c>
      <c r="F109" s="12">
        <v>0</v>
      </c>
      <c r="G109" s="18"/>
      <c r="H109" s="12">
        <v>0</v>
      </c>
      <c r="I109" s="19">
        <v>46295.105914351851</v>
      </c>
      <c r="J109" s="12">
        <v>144</v>
      </c>
      <c r="K109" s="12" t="s">
        <v>748</v>
      </c>
    </row>
    <row r="110" spans="1:11" x14ac:dyDescent="0.25">
      <c r="A110" s="15" t="s">
        <v>1868</v>
      </c>
      <c r="B110" s="12" t="s">
        <v>1832</v>
      </c>
      <c r="C110" s="12" t="s">
        <v>1657</v>
      </c>
      <c r="D110" s="18" t="s">
        <v>1705</v>
      </c>
      <c r="E110" s="12">
        <v>164</v>
      </c>
      <c r="F110" s="12">
        <v>0</v>
      </c>
      <c r="G110" s="18"/>
      <c r="H110" s="12">
        <v>0</v>
      </c>
      <c r="I110" s="19">
        <v>46295.10596064815</v>
      </c>
      <c r="J110" s="12"/>
      <c r="K110" s="12" t="s">
        <v>748</v>
      </c>
    </row>
    <row r="111" spans="1:11" x14ac:dyDescent="0.25">
      <c r="A111" s="15" t="s">
        <v>1869</v>
      </c>
      <c r="B111" s="12" t="s">
        <v>1770</v>
      </c>
      <c r="C111" s="12" t="s">
        <v>1657</v>
      </c>
      <c r="D111" s="18" t="s">
        <v>1708</v>
      </c>
      <c r="E111" s="12">
        <v>27</v>
      </c>
      <c r="F111" s="12">
        <v>0</v>
      </c>
      <c r="G111" s="18"/>
      <c r="H111" s="12">
        <v>0</v>
      </c>
      <c r="I111" s="19">
        <v>46295.105995370373</v>
      </c>
      <c r="J111" s="12">
        <v>114</v>
      </c>
      <c r="K111" s="12" t="s">
        <v>748</v>
      </c>
    </row>
    <row r="112" spans="1:11" x14ac:dyDescent="0.25">
      <c r="A112" s="15" t="s">
        <v>1870</v>
      </c>
      <c r="B112" s="12" t="s">
        <v>1862</v>
      </c>
      <c r="C112" s="12" t="s">
        <v>1657</v>
      </c>
      <c r="D112" s="18" t="s">
        <v>1774</v>
      </c>
      <c r="E112" s="12">
        <v>1</v>
      </c>
      <c r="F112" s="12">
        <v>0</v>
      </c>
      <c r="G112" s="18"/>
      <c r="H112" s="12">
        <v>0</v>
      </c>
      <c r="I112" s="19">
        <v>46295.106041666673</v>
      </c>
      <c r="J112" s="12"/>
      <c r="K112" s="12" t="s">
        <v>748</v>
      </c>
    </row>
    <row r="113" spans="1:11" ht="25.5" x14ac:dyDescent="0.25">
      <c r="A113" s="15" t="s">
        <v>1871</v>
      </c>
      <c r="B113" s="12" t="s">
        <v>1244</v>
      </c>
      <c r="C113" s="12" t="s">
        <v>1657</v>
      </c>
      <c r="D113" s="18" t="s">
        <v>1658</v>
      </c>
      <c r="E113" s="12">
        <v>996</v>
      </c>
      <c r="F113" s="12">
        <v>0</v>
      </c>
      <c r="G113" s="18"/>
      <c r="H113" s="12">
        <v>0</v>
      </c>
      <c r="I113" s="19">
        <v>46295.114618055559</v>
      </c>
      <c r="J113" s="12">
        <v>160</v>
      </c>
      <c r="K113" s="12" t="s">
        <v>710</v>
      </c>
    </row>
    <row r="114" spans="1:11" x14ac:dyDescent="0.25">
      <c r="A114" s="15" t="s">
        <v>1872</v>
      </c>
      <c r="B114" s="12" t="s">
        <v>1832</v>
      </c>
      <c r="C114" s="12" t="s">
        <v>1657</v>
      </c>
      <c r="D114" s="18" t="s">
        <v>1705</v>
      </c>
      <c r="E114" s="12">
        <v>166</v>
      </c>
      <c r="F114" s="12">
        <v>0</v>
      </c>
      <c r="G114" s="18"/>
      <c r="H114" s="12">
        <v>0</v>
      </c>
      <c r="I114" s="19">
        <v>46295.114664351851</v>
      </c>
      <c r="J114" s="12"/>
      <c r="K114" s="12" t="s">
        <v>710</v>
      </c>
    </row>
    <row r="115" spans="1:11" x14ac:dyDescent="0.25">
      <c r="A115" s="15" t="s">
        <v>1873</v>
      </c>
      <c r="B115" s="12" t="s">
        <v>1770</v>
      </c>
      <c r="C115" s="12" t="s">
        <v>1657</v>
      </c>
      <c r="D115" s="18" t="s">
        <v>1708</v>
      </c>
      <c r="E115" s="12">
        <v>28</v>
      </c>
      <c r="F115" s="12">
        <v>0</v>
      </c>
      <c r="G115" s="18"/>
      <c r="H115" s="12">
        <v>0</v>
      </c>
      <c r="I115" s="19">
        <v>46295.114699074067</v>
      </c>
      <c r="J115" s="12">
        <v>108</v>
      </c>
      <c r="K115" s="12" t="s">
        <v>710</v>
      </c>
    </row>
    <row r="116" spans="1:11" x14ac:dyDescent="0.25">
      <c r="A116" s="15" t="s">
        <v>1874</v>
      </c>
      <c r="B116" s="12" t="s">
        <v>1862</v>
      </c>
      <c r="C116" s="12" t="s">
        <v>1657</v>
      </c>
      <c r="D116" s="18" t="s">
        <v>1774</v>
      </c>
      <c r="E116" s="12">
        <v>1</v>
      </c>
      <c r="F116" s="12">
        <v>0</v>
      </c>
      <c r="G116" s="18"/>
      <c r="H116" s="12">
        <v>0</v>
      </c>
      <c r="I116" s="19">
        <v>46295.114745370367</v>
      </c>
      <c r="J116" s="12"/>
      <c r="K116" s="12" t="s">
        <v>710</v>
      </c>
    </row>
    <row r="117" spans="1:11" ht="25.5" x14ac:dyDescent="0.25">
      <c r="A117" s="15" t="s">
        <v>1875</v>
      </c>
      <c r="B117" s="12" t="s">
        <v>1244</v>
      </c>
      <c r="C117" s="12" t="s">
        <v>1657</v>
      </c>
      <c r="D117" s="18" t="s">
        <v>1658</v>
      </c>
      <c r="E117" s="12">
        <v>1037</v>
      </c>
      <c r="F117" s="12">
        <v>0</v>
      </c>
      <c r="G117" s="18"/>
      <c r="H117" s="12">
        <v>0</v>
      </c>
      <c r="I117" s="19">
        <v>46295.122025462973</v>
      </c>
      <c r="J117" s="12">
        <v>139</v>
      </c>
      <c r="K117" s="12" t="s">
        <v>701</v>
      </c>
    </row>
    <row r="118" spans="1:11" ht="25.5" x14ac:dyDescent="0.25">
      <c r="A118" s="15" t="s">
        <v>1876</v>
      </c>
      <c r="B118" s="12" t="s">
        <v>1244</v>
      </c>
      <c r="C118" s="12" t="s">
        <v>1657</v>
      </c>
      <c r="D118" s="18" t="s">
        <v>1658</v>
      </c>
      <c r="E118" s="12">
        <v>1075</v>
      </c>
      <c r="F118" s="12">
        <v>0</v>
      </c>
      <c r="G118" s="18"/>
      <c r="H118" s="12">
        <v>0</v>
      </c>
      <c r="I118" s="19">
        <v>46295.126666666663</v>
      </c>
      <c r="J118" s="12">
        <v>145</v>
      </c>
      <c r="K118" s="12" t="s">
        <v>717</v>
      </c>
    </row>
    <row r="119" spans="1:11" ht="25.5" x14ac:dyDescent="0.25">
      <c r="A119" s="15" t="s">
        <v>1877</v>
      </c>
      <c r="B119" s="12" t="s">
        <v>1244</v>
      </c>
      <c r="C119" s="12" t="s">
        <v>1657</v>
      </c>
      <c r="D119" s="18" t="s">
        <v>1658</v>
      </c>
      <c r="E119" s="12">
        <v>1224</v>
      </c>
      <c r="F119" s="12">
        <v>0</v>
      </c>
      <c r="G119" s="18"/>
      <c r="H119" s="12">
        <v>0</v>
      </c>
      <c r="I119" s="19">
        <v>46295.136516203696</v>
      </c>
      <c r="J119" s="12">
        <v>182</v>
      </c>
      <c r="K119" s="12" t="s">
        <v>723</v>
      </c>
    </row>
    <row r="120" spans="1:11" x14ac:dyDescent="0.25">
      <c r="A120" s="15" t="s">
        <v>1878</v>
      </c>
      <c r="B120" s="12" t="s">
        <v>1832</v>
      </c>
      <c r="C120" s="12" t="s">
        <v>1657</v>
      </c>
      <c r="D120" s="18" t="s">
        <v>1705</v>
      </c>
      <c r="E120" s="12">
        <v>166</v>
      </c>
      <c r="F120" s="12">
        <v>0</v>
      </c>
      <c r="G120" s="18"/>
      <c r="H120" s="12">
        <v>0</v>
      </c>
      <c r="I120" s="19">
        <v>46295.136562500003</v>
      </c>
      <c r="J120" s="12"/>
      <c r="K120" s="12" t="s">
        <v>723</v>
      </c>
    </row>
    <row r="121" spans="1:11" x14ac:dyDescent="0.25">
      <c r="A121" s="15" t="s">
        <v>1879</v>
      </c>
      <c r="B121" s="12" t="s">
        <v>1770</v>
      </c>
      <c r="C121" s="12" t="s">
        <v>1657</v>
      </c>
      <c r="D121" s="18" t="s">
        <v>1708</v>
      </c>
      <c r="E121" s="12">
        <v>28</v>
      </c>
      <c r="F121" s="12">
        <v>0</v>
      </c>
      <c r="G121" s="18"/>
      <c r="H121" s="12">
        <v>0</v>
      </c>
      <c r="I121" s="19">
        <v>46295.136608796303</v>
      </c>
      <c r="J121" s="12">
        <v>114</v>
      </c>
      <c r="K121" s="12" t="s">
        <v>723</v>
      </c>
    </row>
    <row r="122" spans="1:11" x14ac:dyDescent="0.25">
      <c r="A122" s="15" t="s">
        <v>1880</v>
      </c>
      <c r="B122" s="12" t="s">
        <v>1862</v>
      </c>
      <c r="C122" s="12" t="s">
        <v>1657</v>
      </c>
      <c r="D122" s="18" t="s">
        <v>1774</v>
      </c>
      <c r="E122" s="12">
        <v>1</v>
      </c>
      <c r="F122" s="12">
        <v>0</v>
      </c>
      <c r="G122" s="18"/>
      <c r="H122" s="12">
        <v>0</v>
      </c>
      <c r="I122" s="19">
        <v>46295.136655092603</v>
      </c>
      <c r="J122" s="12"/>
      <c r="K122" s="12" t="s">
        <v>723</v>
      </c>
    </row>
    <row r="123" spans="1:11" ht="25.5" x14ac:dyDescent="0.25">
      <c r="A123" s="15" t="s">
        <v>1881</v>
      </c>
      <c r="B123" s="12" t="s">
        <v>1244</v>
      </c>
      <c r="C123" s="12" t="s">
        <v>1657</v>
      </c>
      <c r="D123" s="18" t="s">
        <v>1658</v>
      </c>
      <c r="E123" s="12">
        <v>1227</v>
      </c>
      <c r="F123" s="12">
        <v>0</v>
      </c>
      <c r="G123" s="18"/>
      <c r="H123" s="12">
        <v>0</v>
      </c>
      <c r="I123" s="19">
        <v>46295.148726851847</v>
      </c>
      <c r="J123" s="12">
        <v>186</v>
      </c>
      <c r="K123" s="12" t="s">
        <v>736</v>
      </c>
    </row>
    <row r="124" spans="1:11" x14ac:dyDescent="0.25">
      <c r="A124" s="15" t="s">
        <v>1882</v>
      </c>
      <c r="B124" s="12" t="s">
        <v>1832</v>
      </c>
      <c r="C124" s="12" t="s">
        <v>1657</v>
      </c>
      <c r="D124" s="18" t="s">
        <v>1705</v>
      </c>
      <c r="E124" s="12">
        <v>166</v>
      </c>
      <c r="F124" s="12">
        <v>0</v>
      </c>
      <c r="G124" s="18"/>
      <c r="H124" s="12">
        <v>0</v>
      </c>
      <c r="I124" s="19">
        <v>46295.148761574077</v>
      </c>
      <c r="J124" s="12"/>
      <c r="K124" s="12" t="s">
        <v>736</v>
      </c>
    </row>
    <row r="125" spans="1:11" x14ac:dyDescent="0.25">
      <c r="A125" s="15" t="s">
        <v>1883</v>
      </c>
      <c r="B125" s="12" t="s">
        <v>1770</v>
      </c>
      <c r="C125" s="12" t="s">
        <v>1657</v>
      </c>
      <c r="D125" s="18" t="s">
        <v>1708</v>
      </c>
      <c r="E125" s="12">
        <v>28</v>
      </c>
      <c r="F125" s="12">
        <v>0</v>
      </c>
      <c r="G125" s="18"/>
      <c r="H125" s="12">
        <v>0</v>
      </c>
      <c r="I125" s="19">
        <v>46295.14880787037</v>
      </c>
      <c r="J125" s="12">
        <v>120</v>
      </c>
      <c r="K125" s="12" t="s">
        <v>736</v>
      </c>
    </row>
    <row r="126" spans="1:11" x14ac:dyDescent="0.25">
      <c r="A126" s="15" t="s">
        <v>1884</v>
      </c>
      <c r="B126" s="12" t="s">
        <v>1862</v>
      </c>
      <c r="C126" s="12" t="s">
        <v>1657</v>
      </c>
      <c r="D126" s="18" t="s">
        <v>1774</v>
      </c>
      <c r="E126" s="12">
        <v>1</v>
      </c>
      <c r="F126" s="12">
        <v>0</v>
      </c>
      <c r="G126" s="18"/>
      <c r="H126" s="12">
        <v>0</v>
      </c>
      <c r="I126" s="19">
        <v>46295.148854166669</v>
      </c>
      <c r="J126" s="12"/>
      <c r="K126" s="12" t="s">
        <v>736</v>
      </c>
    </row>
    <row r="127" spans="1:11" ht="25.5" x14ac:dyDescent="0.25">
      <c r="A127" s="15" t="s">
        <v>1885</v>
      </c>
      <c r="B127" s="12" t="s">
        <v>1244</v>
      </c>
      <c r="C127" s="12" t="s">
        <v>1657</v>
      </c>
      <c r="D127" s="18" t="s">
        <v>1658</v>
      </c>
      <c r="E127" s="12">
        <v>1233</v>
      </c>
      <c r="F127" s="12">
        <v>0</v>
      </c>
      <c r="G127" s="18"/>
      <c r="H127" s="12">
        <v>0</v>
      </c>
      <c r="I127" s="19">
        <v>46295.314618055563</v>
      </c>
      <c r="J127" s="12">
        <v>184</v>
      </c>
      <c r="K127" s="12" t="s">
        <v>621</v>
      </c>
    </row>
    <row r="128" spans="1:11" x14ac:dyDescent="0.25">
      <c r="A128" s="15" t="s">
        <v>1886</v>
      </c>
      <c r="B128" s="12" t="s">
        <v>1832</v>
      </c>
      <c r="C128" s="12" t="s">
        <v>1657</v>
      </c>
      <c r="D128" s="18" t="s">
        <v>1705</v>
      </c>
      <c r="E128" s="12">
        <v>166</v>
      </c>
      <c r="F128" s="12">
        <v>0</v>
      </c>
      <c r="G128" s="18"/>
      <c r="H128" s="12">
        <v>0</v>
      </c>
      <c r="I128" s="19">
        <v>46295.314652777779</v>
      </c>
      <c r="J128" s="12"/>
      <c r="K128" s="12" t="s">
        <v>621</v>
      </c>
    </row>
    <row r="129" spans="1:11" x14ac:dyDescent="0.25">
      <c r="A129" s="15" t="s">
        <v>1887</v>
      </c>
      <c r="B129" s="12" t="s">
        <v>1770</v>
      </c>
      <c r="C129" s="12" t="s">
        <v>1657</v>
      </c>
      <c r="D129" s="18" t="s">
        <v>1708</v>
      </c>
      <c r="E129" s="12">
        <v>28</v>
      </c>
      <c r="F129" s="12">
        <v>0</v>
      </c>
      <c r="G129" s="18"/>
      <c r="H129" s="12">
        <v>0</v>
      </c>
      <c r="I129" s="19">
        <v>46295.314699074072</v>
      </c>
      <c r="J129" s="12">
        <v>120</v>
      </c>
      <c r="K129" s="12" t="s">
        <v>621</v>
      </c>
    </row>
    <row r="130" spans="1:11" x14ac:dyDescent="0.25">
      <c r="A130" s="15" t="s">
        <v>1888</v>
      </c>
      <c r="B130" s="12" t="s">
        <v>1862</v>
      </c>
      <c r="C130" s="12" t="s">
        <v>1657</v>
      </c>
      <c r="D130" s="18" t="s">
        <v>1774</v>
      </c>
      <c r="E130" s="12">
        <v>1</v>
      </c>
      <c r="F130" s="12">
        <v>0</v>
      </c>
      <c r="G130" s="18"/>
      <c r="H130" s="12">
        <v>0</v>
      </c>
      <c r="I130" s="19">
        <v>46295.314745370371</v>
      </c>
      <c r="J130" s="12"/>
      <c r="K130" s="12" t="s">
        <v>621</v>
      </c>
    </row>
    <row r="131" spans="1:11" ht="25.5" x14ac:dyDescent="0.25">
      <c r="A131" s="15" t="s">
        <v>1889</v>
      </c>
      <c r="B131" s="12" t="s">
        <v>1763</v>
      </c>
      <c r="C131" s="12" t="s">
        <v>1657</v>
      </c>
      <c r="D131" s="18" t="s">
        <v>1658</v>
      </c>
      <c r="E131" s="12">
        <v>1410</v>
      </c>
      <c r="F131" s="12">
        <v>0</v>
      </c>
      <c r="G131" s="18" t="s">
        <v>1890</v>
      </c>
      <c r="H131" s="12">
        <v>1</v>
      </c>
      <c r="I131" s="19">
        <v>46295.625185185178</v>
      </c>
      <c r="J131" s="12">
        <v>230</v>
      </c>
      <c r="K131" s="12" t="s">
        <v>1891</v>
      </c>
    </row>
    <row r="132" spans="1:11" ht="25.5" x14ac:dyDescent="0.25">
      <c r="A132" s="15" t="s">
        <v>1892</v>
      </c>
      <c r="B132" s="12" t="s">
        <v>1763</v>
      </c>
      <c r="C132" s="12" t="s">
        <v>1657</v>
      </c>
      <c r="D132" s="18" t="s">
        <v>1658</v>
      </c>
      <c r="E132" s="12">
        <v>1455</v>
      </c>
      <c r="F132" s="12">
        <v>0</v>
      </c>
      <c r="G132" s="18" t="s">
        <v>1893</v>
      </c>
      <c r="H132" s="12">
        <v>1</v>
      </c>
      <c r="I132" s="19">
        <v>46295.914375</v>
      </c>
      <c r="J132" s="12">
        <v>252</v>
      </c>
      <c r="K132" s="12" t="s">
        <v>1894</v>
      </c>
    </row>
    <row r="133" spans="1:11" ht="25.5" x14ac:dyDescent="0.25">
      <c r="A133" s="15" t="s">
        <v>1895</v>
      </c>
      <c r="B133" s="12" t="s">
        <v>1763</v>
      </c>
      <c r="C133" s="12" t="s">
        <v>1657</v>
      </c>
      <c r="D133" s="18" t="s">
        <v>1658</v>
      </c>
      <c r="E133" s="12">
        <v>1480</v>
      </c>
      <c r="F133" s="12">
        <v>0</v>
      </c>
      <c r="G133" s="18" t="s">
        <v>806</v>
      </c>
      <c r="H133" s="12">
        <v>1</v>
      </c>
      <c r="I133" s="19">
        <v>46295.935162037043</v>
      </c>
      <c r="J133" s="12">
        <v>243</v>
      </c>
      <c r="K133" s="12" t="s">
        <v>1896</v>
      </c>
    </row>
    <row r="134" spans="1:11" x14ac:dyDescent="0.25">
      <c r="A134" s="15" t="s">
        <v>1897</v>
      </c>
      <c r="B134" s="12" t="s">
        <v>1767</v>
      </c>
      <c r="C134" s="12" t="s">
        <v>1657</v>
      </c>
      <c r="D134" s="18" t="s">
        <v>1705</v>
      </c>
      <c r="E134" s="12">
        <v>179</v>
      </c>
      <c r="F134" s="12">
        <v>0</v>
      </c>
      <c r="G134" s="18" t="s">
        <v>806</v>
      </c>
      <c r="H134" s="12">
        <v>0</v>
      </c>
      <c r="I134" s="19">
        <v>46295.935196759259</v>
      </c>
      <c r="J134" s="12">
        <v>12</v>
      </c>
      <c r="K134" s="12" t="s">
        <v>1896</v>
      </c>
    </row>
    <row r="135" spans="1:11" x14ac:dyDescent="0.25">
      <c r="A135" s="15" t="s">
        <v>1898</v>
      </c>
      <c r="B135" s="12" t="s">
        <v>1770</v>
      </c>
      <c r="C135" s="12" t="s">
        <v>1657</v>
      </c>
      <c r="D135" s="18" t="s">
        <v>1708</v>
      </c>
      <c r="E135" s="12">
        <v>31</v>
      </c>
      <c r="F135" s="12">
        <v>0</v>
      </c>
      <c r="G135" s="18" t="s">
        <v>806</v>
      </c>
      <c r="H135" s="12">
        <v>0</v>
      </c>
      <c r="I135" s="19">
        <v>46295.935243055559</v>
      </c>
      <c r="J135" s="12">
        <v>138</v>
      </c>
      <c r="K135" s="12" t="s">
        <v>1896</v>
      </c>
    </row>
    <row r="136" spans="1:11" ht="25.5" x14ac:dyDescent="0.25">
      <c r="A136" s="15" t="s">
        <v>1899</v>
      </c>
      <c r="B136" s="12" t="s">
        <v>1763</v>
      </c>
      <c r="C136" s="12" t="s">
        <v>1657</v>
      </c>
      <c r="D136" s="18" t="s">
        <v>1658</v>
      </c>
      <c r="E136" s="12">
        <v>1518</v>
      </c>
      <c r="F136" s="12">
        <v>0</v>
      </c>
      <c r="G136" s="18" t="s">
        <v>820</v>
      </c>
      <c r="H136" s="12">
        <v>1</v>
      </c>
      <c r="I136" s="19">
        <v>46295.949293981481</v>
      </c>
      <c r="J136" s="12">
        <v>272</v>
      </c>
      <c r="K136" s="12" t="s">
        <v>1900</v>
      </c>
    </row>
    <row r="137" spans="1:11" x14ac:dyDescent="0.25">
      <c r="A137" s="15" t="s">
        <v>1901</v>
      </c>
      <c r="B137" s="12" t="s">
        <v>1767</v>
      </c>
      <c r="C137" s="12" t="s">
        <v>1657</v>
      </c>
      <c r="D137" s="18" t="s">
        <v>1705</v>
      </c>
      <c r="E137" s="12">
        <v>217</v>
      </c>
      <c r="F137" s="12">
        <v>0</v>
      </c>
      <c r="G137" s="18" t="s">
        <v>820</v>
      </c>
      <c r="H137" s="12">
        <v>0</v>
      </c>
      <c r="I137" s="19">
        <v>46295.949340277781</v>
      </c>
      <c r="J137" s="12">
        <v>13</v>
      </c>
      <c r="K137" s="12" t="s">
        <v>1900</v>
      </c>
    </row>
    <row r="138" spans="1:11" x14ac:dyDescent="0.25">
      <c r="A138" s="15" t="s">
        <v>1902</v>
      </c>
      <c r="B138" s="12" t="s">
        <v>1770</v>
      </c>
      <c r="C138" s="12" t="s">
        <v>1657</v>
      </c>
      <c r="D138" s="18" t="s">
        <v>1708</v>
      </c>
      <c r="E138" s="12">
        <v>31</v>
      </c>
      <c r="F138" s="12">
        <v>0</v>
      </c>
      <c r="G138" s="18" t="s">
        <v>820</v>
      </c>
      <c r="H138" s="12">
        <v>0</v>
      </c>
      <c r="I138" s="19">
        <v>46295.949386574073</v>
      </c>
      <c r="J138" s="12">
        <v>126</v>
      </c>
      <c r="K138" s="12" t="s">
        <v>1900</v>
      </c>
    </row>
    <row r="139" spans="1:11" ht="25.5" x14ac:dyDescent="0.25">
      <c r="A139" s="15" t="s">
        <v>1903</v>
      </c>
      <c r="B139" s="12" t="s">
        <v>1763</v>
      </c>
      <c r="C139" s="12" t="s">
        <v>1657</v>
      </c>
      <c r="D139" s="18" t="s">
        <v>1658</v>
      </c>
      <c r="E139" s="12">
        <v>1550</v>
      </c>
      <c r="F139" s="12">
        <v>0</v>
      </c>
      <c r="G139" s="18" t="s">
        <v>828</v>
      </c>
      <c r="H139" s="12">
        <v>1</v>
      </c>
      <c r="I139" s="19">
        <v>46295.965324074074</v>
      </c>
      <c r="J139" s="12">
        <v>270</v>
      </c>
      <c r="K139" s="12" t="s">
        <v>1904</v>
      </c>
    </row>
    <row r="140" spans="1:11" x14ac:dyDescent="0.25">
      <c r="A140" s="15" t="s">
        <v>1905</v>
      </c>
      <c r="B140" s="12" t="s">
        <v>1770</v>
      </c>
      <c r="C140" s="12" t="s">
        <v>1657</v>
      </c>
      <c r="D140" s="18" t="s">
        <v>1708</v>
      </c>
      <c r="E140" s="12">
        <v>31</v>
      </c>
      <c r="F140" s="12">
        <v>0</v>
      </c>
      <c r="G140" s="18" t="s">
        <v>828</v>
      </c>
      <c r="H140" s="12">
        <v>0</v>
      </c>
      <c r="I140" s="19">
        <v>46295.965370370373</v>
      </c>
      <c r="J140" s="12">
        <v>126</v>
      </c>
      <c r="K140" s="12" t="s">
        <v>1904</v>
      </c>
    </row>
    <row r="141" spans="1:11" ht="25.5" x14ac:dyDescent="0.25">
      <c r="A141" s="15" t="s">
        <v>1906</v>
      </c>
      <c r="B141" s="12" t="s">
        <v>1907</v>
      </c>
      <c r="C141" s="12" t="s">
        <v>1657</v>
      </c>
      <c r="D141" s="18" t="s">
        <v>1908</v>
      </c>
      <c r="E141" s="12">
        <v>433</v>
      </c>
      <c r="F141" s="12">
        <v>0</v>
      </c>
      <c r="G141" s="18" t="s">
        <v>864</v>
      </c>
      <c r="H141" s="12">
        <v>0</v>
      </c>
      <c r="I141" s="19">
        <v>46295.975243055553</v>
      </c>
      <c r="J141" s="12">
        <v>97</v>
      </c>
      <c r="K141" s="12" t="s">
        <v>1909</v>
      </c>
    </row>
    <row r="142" spans="1:11" ht="25.5" x14ac:dyDescent="0.25">
      <c r="A142" s="15" t="s">
        <v>1910</v>
      </c>
      <c r="B142" s="12" t="s">
        <v>1763</v>
      </c>
      <c r="C142" s="12" t="s">
        <v>1657</v>
      </c>
      <c r="D142" s="18" t="s">
        <v>1911</v>
      </c>
      <c r="E142" s="12">
        <v>1223</v>
      </c>
      <c r="F142" s="12">
        <v>0</v>
      </c>
      <c r="G142" s="18" t="s">
        <v>1912</v>
      </c>
      <c r="H142" s="12">
        <v>1</v>
      </c>
      <c r="I142" s="19">
        <v>46295.975289351853</v>
      </c>
      <c r="J142" s="12">
        <v>204</v>
      </c>
      <c r="K142" s="12" t="s">
        <v>1909</v>
      </c>
    </row>
    <row r="143" spans="1:11" ht="25.5" x14ac:dyDescent="0.25">
      <c r="A143" s="15" t="s">
        <v>1913</v>
      </c>
      <c r="B143" s="12" t="s">
        <v>1763</v>
      </c>
      <c r="C143" s="12" t="s">
        <v>1657</v>
      </c>
      <c r="D143" s="18" t="s">
        <v>1658</v>
      </c>
      <c r="E143" s="12">
        <v>1658</v>
      </c>
      <c r="F143" s="12">
        <v>0</v>
      </c>
      <c r="G143" s="18" t="s">
        <v>834</v>
      </c>
      <c r="H143" s="12">
        <v>1</v>
      </c>
      <c r="I143" s="19">
        <v>46295.985381944447</v>
      </c>
      <c r="J143" s="12">
        <v>303</v>
      </c>
      <c r="K143" s="12" t="s">
        <v>1914</v>
      </c>
    </row>
    <row r="144" spans="1:11" x14ac:dyDescent="0.25">
      <c r="A144" s="15" t="s">
        <v>1915</v>
      </c>
      <c r="B144" s="12" t="s">
        <v>1770</v>
      </c>
      <c r="C144" s="12" t="s">
        <v>1657</v>
      </c>
      <c r="D144" s="18" t="s">
        <v>1708</v>
      </c>
      <c r="E144" s="12">
        <v>31</v>
      </c>
      <c r="F144" s="12">
        <v>0</v>
      </c>
      <c r="G144" s="18" t="s">
        <v>834</v>
      </c>
      <c r="H144" s="12">
        <v>0</v>
      </c>
      <c r="I144" s="19">
        <v>46295.98542824074</v>
      </c>
      <c r="J144" s="12">
        <v>126</v>
      </c>
      <c r="K144" s="12" t="s">
        <v>1914</v>
      </c>
    </row>
    <row r="145" spans="1:11" ht="25.5" x14ac:dyDescent="0.25">
      <c r="A145" s="15" t="s">
        <v>1916</v>
      </c>
      <c r="B145" s="12" t="s">
        <v>1907</v>
      </c>
      <c r="C145" s="12" t="s">
        <v>1657</v>
      </c>
      <c r="D145" s="18" t="s">
        <v>1908</v>
      </c>
      <c r="E145" s="12">
        <v>441</v>
      </c>
      <c r="F145" s="12">
        <v>0</v>
      </c>
      <c r="G145" s="18" t="s">
        <v>840</v>
      </c>
      <c r="H145" s="12">
        <v>0</v>
      </c>
      <c r="I145" s="19">
        <v>46295.990659722222</v>
      </c>
      <c r="J145" s="12">
        <v>98</v>
      </c>
      <c r="K145" s="12" t="s">
        <v>1917</v>
      </c>
    </row>
    <row r="146" spans="1:11" ht="25.5" x14ac:dyDescent="0.25">
      <c r="A146" s="15" t="s">
        <v>1918</v>
      </c>
      <c r="B146" s="12" t="s">
        <v>1763</v>
      </c>
      <c r="C146" s="12" t="s">
        <v>1657</v>
      </c>
      <c r="D146" s="18" t="s">
        <v>1658</v>
      </c>
      <c r="E146" s="12">
        <v>1725</v>
      </c>
      <c r="F146" s="12">
        <v>0</v>
      </c>
      <c r="G146" s="18" t="s">
        <v>851</v>
      </c>
      <c r="H146" s="12">
        <v>1</v>
      </c>
      <c r="I146" s="19">
        <v>46296.425127314818</v>
      </c>
      <c r="J146" s="12">
        <v>348</v>
      </c>
      <c r="K146" s="12" t="s">
        <v>1919</v>
      </c>
    </row>
    <row r="147" spans="1:11" ht="25.5" x14ac:dyDescent="0.25">
      <c r="A147" s="15" t="s">
        <v>1920</v>
      </c>
      <c r="B147" s="12" t="s">
        <v>1763</v>
      </c>
      <c r="C147" s="12" t="s">
        <v>1657</v>
      </c>
      <c r="D147" s="18" t="s">
        <v>1658</v>
      </c>
      <c r="E147" s="12">
        <v>1730</v>
      </c>
      <c r="F147" s="12">
        <v>0</v>
      </c>
      <c r="G147" s="18" t="s">
        <v>814</v>
      </c>
      <c r="H147" s="12">
        <v>1</v>
      </c>
      <c r="I147" s="19">
        <v>46296.44771990741</v>
      </c>
      <c r="J147" s="12">
        <v>349</v>
      </c>
      <c r="K147" s="12" t="s">
        <v>1921</v>
      </c>
    </row>
    <row r="148" spans="1:11" ht="25.5" x14ac:dyDescent="0.25">
      <c r="A148" s="15" t="s">
        <v>1922</v>
      </c>
      <c r="B148" s="12" t="s">
        <v>1763</v>
      </c>
      <c r="C148" s="12" t="s">
        <v>1657</v>
      </c>
      <c r="D148" s="18" t="s">
        <v>1658</v>
      </c>
      <c r="E148" s="12">
        <v>1734</v>
      </c>
      <c r="F148" s="12">
        <v>0</v>
      </c>
      <c r="G148" s="18" t="s">
        <v>1923</v>
      </c>
      <c r="H148" s="12">
        <v>1</v>
      </c>
      <c r="I148" s="19">
        <v>46296.462048611109</v>
      </c>
      <c r="J148" s="12">
        <v>313</v>
      </c>
      <c r="K148" s="12" t="s">
        <v>1924</v>
      </c>
    </row>
    <row r="149" spans="1:11" x14ac:dyDescent="0.25">
      <c r="A149" s="15" t="s">
        <v>1925</v>
      </c>
      <c r="B149" s="12" t="s">
        <v>1767</v>
      </c>
      <c r="C149" s="12" t="s">
        <v>1657</v>
      </c>
      <c r="D149" s="18" t="s">
        <v>1705</v>
      </c>
      <c r="E149" s="12">
        <v>217</v>
      </c>
      <c r="F149" s="12">
        <v>0</v>
      </c>
      <c r="G149" s="18" t="s">
        <v>1923</v>
      </c>
      <c r="H149" s="12">
        <v>0</v>
      </c>
      <c r="I149" s="19">
        <v>46296.462094907409</v>
      </c>
      <c r="J149" s="12"/>
      <c r="K149" s="12" t="s">
        <v>1924</v>
      </c>
    </row>
    <row r="150" spans="1:11" x14ac:dyDescent="0.25">
      <c r="A150" s="15" t="s">
        <v>1926</v>
      </c>
      <c r="B150" s="12" t="s">
        <v>1770</v>
      </c>
      <c r="C150" s="12" t="s">
        <v>1657</v>
      </c>
      <c r="D150" s="18" t="s">
        <v>1708</v>
      </c>
      <c r="E150" s="12">
        <v>31</v>
      </c>
      <c r="F150" s="12">
        <v>0</v>
      </c>
      <c r="G150" s="18" t="s">
        <v>1923</v>
      </c>
      <c r="H150" s="12">
        <v>0</v>
      </c>
      <c r="I150" s="19">
        <v>46296.462141203701</v>
      </c>
      <c r="J150" s="12">
        <v>138</v>
      </c>
      <c r="K150" s="12" t="s">
        <v>1924</v>
      </c>
    </row>
    <row r="151" spans="1:11" x14ac:dyDescent="0.25">
      <c r="A151" s="15" t="s">
        <v>1927</v>
      </c>
      <c r="B151" s="12" t="s">
        <v>1773</v>
      </c>
      <c r="C151" s="12" t="s">
        <v>1657</v>
      </c>
      <c r="D151" s="18" t="s">
        <v>1774</v>
      </c>
      <c r="E151" s="12">
        <v>2</v>
      </c>
      <c r="F151" s="12">
        <v>0</v>
      </c>
      <c r="G151" s="18" t="s">
        <v>1928</v>
      </c>
      <c r="H151" s="12">
        <v>0</v>
      </c>
      <c r="I151" s="19">
        <v>46296.462187500001</v>
      </c>
      <c r="J151" s="12"/>
      <c r="K151" s="12" t="s">
        <v>1924</v>
      </c>
    </row>
    <row r="152" spans="1:11" ht="38.25" x14ac:dyDescent="0.25">
      <c r="A152" s="15" t="s">
        <v>1929</v>
      </c>
      <c r="B152" s="12" t="s">
        <v>1930</v>
      </c>
      <c r="C152" s="12" t="s">
        <v>1657</v>
      </c>
      <c r="D152" s="18" t="s">
        <v>1931</v>
      </c>
      <c r="E152" s="12">
        <v>60</v>
      </c>
      <c r="F152" s="12">
        <v>0</v>
      </c>
      <c r="G152" s="18" t="s">
        <v>1932</v>
      </c>
      <c r="H152" s="12">
        <v>0</v>
      </c>
      <c r="I152" s="19">
        <v>46296.462233796286</v>
      </c>
      <c r="J152" s="12"/>
      <c r="K152" s="12" t="s">
        <v>1924</v>
      </c>
    </row>
    <row r="153" spans="1:11" ht="25.5" x14ac:dyDescent="0.25">
      <c r="A153" s="15" t="s">
        <v>1933</v>
      </c>
      <c r="B153" s="12" t="s">
        <v>1763</v>
      </c>
      <c r="C153" s="12" t="s">
        <v>1657</v>
      </c>
      <c r="D153" s="18" t="s">
        <v>1658</v>
      </c>
      <c r="E153" s="12">
        <v>1758</v>
      </c>
      <c r="F153" s="12">
        <v>0</v>
      </c>
      <c r="G153" s="18" t="s">
        <v>904</v>
      </c>
      <c r="H153" s="12">
        <v>1</v>
      </c>
      <c r="I153" s="19">
        <v>46296.494768518518</v>
      </c>
      <c r="J153" s="12">
        <v>329</v>
      </c>
      <c r="K153" s="12" t="s">
        <v>910</v>
      </c>
    </row>
    <row r="154" spans="1:11" x14ac:dyDescent="0.25">
      <c r="A154" s="15" t="s">
        <v>1934</v>
      </c>
      <c r="B154" s="12" t="s">
        <v>1767</v>
      </c>
      <c r="C154" s="12" t="s">
        <v>1657</v>
      </c>
      <c r="D154" s="18" t="s">
        <v>1705</v>
      </c>
      <c r="E154" s="12">
        <v>228</v>
      </c>
      <c r="F154" s="12">
        <v>0</v>
      </c>
      <c r="G154" s="18" t="s">
        <v>904</v>
      </c>
      <c r="H154" s="12">
        <v>0</v>
      </c>
      <c r="I154" s="19">
        <v>46296.494814814818</v>
      </c>
      <c r="J154" s="12"/>
      <c r="K154" s="12" t="s">
        <v>910</v>
      </c>
    </row>
    <row r="155" spans="1:11" ht="25.5" x14ac:dyDescent="0.25">
      <c r="A155" s="15" t="s">
        <v>1935</v>
      </c>
      <c r="B155" s="12" t="s">
        <v>1770</v>
      </c>
      <c r="C155" s="12" t="s">
        <v>1657</v>
      </c>
      <c r="D155" s="18" t="s">
        <v>1708</v>
      </c>
      <c r="E155" s="12">
        <v>31</v>
      </c>
      <c r="F155" s="12">
        <v>0</v>
      </c>
      <c r="G155" s="18" t="s">
        <v>1936</v>
      </c>
      <c r="H155" s="12">
        <v>0</v>
      </c>
      <c r="I155" s="19">
        <v>46296.49486111111</v>
      </c>
      <c r="J155" s="12">
        <v>120</v>
      </c>
      <c r="K155" s="12" t="s">
        <v>910</v>
      </c>
    </row>
    <row r="156" spans="1:11" x14ac:dyDescent="0.25">
      <c r="A156" s="15" t="s">
        <v>1937</v>
      </c>
      <c r="B156" s="12" t="s">
        <v>1773</v>
      </c>
      <c r="C156" s="12" t="s">
        <v>1657</v>
      </c>
      <c r="D156" s="18" t="s">
        <v>1774</v>
      </c>
      <c r="E156" s="12">
        <v>2</v>
      </c>
      <c r="F156" s="12">
        <v>0</v>
      </c>
      <c r="G156" s="18" t="s">
        <v>904</v>
      </c>
      <c r="H156" s="12">
        <v>0</v>
      </c>
      <c r="I156" s="19">
        <v>46296.494895833333</v>
      </c>
      <c r="J156" s="12"/>
      <c r="K156" s="12" t="s">
        <v>910</v>
      </c>
    </row>
    <row r="157" spans="1:11" x14ac:dyDescent="0.25">
      <c r="A157" s="15" t="s">
        <v>1938</v>
      </c>
      <c r="B157" s="12" t="s">
        <v>1939</v>
      </c>
      <c r="C157" s="12" t="s">
        <v>1657</v>
      </c>
      <c r="D157" s="18" t="s">
        <v>1940</v>
      </c>
      <c r="E157" s="12">
        <v>16</v>
      </c>
      <c r="F157" s="12">
        <v>0</v>
      </c>
      <c r="G157" s="18" t="s">
        <v>904</v>
      </c>
      <c r="H157" s="12">
        <v>0</v>
      </c>
      <c r="I157" s="19">
        <v>46296.494942129633</v>
      </c>
      <c r="J157" s="12"/>
      <c r="K157" s="12" t="s">
        <v>910</v>
      </c>
    </row>
    <row r="158" spans="1:11" ht="25.5" x14ac:dyDescent="0.25">
      <c r="A158" s="15" t="s">
        <v>1941</v>
      </c>
      <c r="B158" s="12" t="s">
        <v>1763</v>
      </c>
      <c r="C158" s="12" t="s">
        <v>1657</v>
      </c>
      <c r="D158" s="18" t="s">
        <v>1658</v>
      </c>
      <c r="E158" s="12">
        <v>1762</v>
      </c>
      <c r="F158" s="12">
        <v>0</v>
      </c>
      <c r="G158" s="18" t="s">
        <v>1942</v>
      </c>
      <c r="H158" s="12">
        <v>1</v>
      </c>
      <c r="I158" s="19">
        <v>46296.631886574083</v>
      </c>
      <c r="J158" s="12">
        <v>315</v>
      </c>
      <c r="K158" s="12" t="s">
        <v>1943</v>
      </c>
    </row>
    <row r="159" spans="1:11" x14ac:dyDescent="0.25">
      <c r="A159" s="15" t="s">
        <v>1944</v>
      </c>
      <c r="B159" s="12" t="s">
        <v>1939</v>
      </c>
      <c r="C159" s="12" t="s">
        <v>1657</v>
      </c>
      <c r="D159" s="18" t="s">
        <v>1945</v>
      </c>
      <c r="E159" s="12">
        <v>6</v>
      </c>
      <c r="F159" s="12">
        <v>0</v>
      </c>
      <c r="G159" s="18" t="s">
        <v>1004</v>
      </c>
      <c r="H159" s="12">
        <v>0</v>
      </c>
      <c r="I159" s="19">
        <v>46296.631932870368</v>
      </c>
      <c r="J159" s="12"/>
      <c r="K159" s="12" t="s">
        <v>1943</v>
      </c>
    </row>
    <row r="160" spans="1:11" ht="25.5" x14ac:dyDescent="0.25">
      <c r="A160" s="15" t="s">
        <v>1946</v>
      </c>
      <c r="B160" s="12" t="s">
        <v>1763</v>
      </c>
      <c r="C160" s="12" t="s">
        <v>1657</v>
      </c>
      <c r="D160" s="18" t="s">
        <v>1658</v>
      </c>
      <c r="E160" s="12">
        <v>1768</v>
      </c>
      <c r="F160" s="12">
        <v>0</v>
      </c>
      <c r="G160" s="18" t="s">
        <v>948</v>
      </c>
      <c r="H160" s="12">
        <v>1</v>
      </c>
      <c r="I160" s="19">
        <v>46296.640289351853</v>
      </c>
      <c r="J160" s="12">
        <v>321</v>
      </c>
      <c r="K160" s="12" t="s">
        <v>953</v>
      </c>
    </row>
    <row r="161" spans="1:11" x14ac:dyDescent="0.25">
      <c r="A161" s="15" t="s">
        <v>1947</v>
      </c>
      <c r="B161" s="12" t="s">
        <v>1939</v>
      </c>
      <c r="C161" s="12" t="s">
        <v>1657</v>
      </c>
      <c r="D161" s="18" t="s">
        <v>1948</v>
      </c>
      <c r="E161" s="12">
        <v>7</v>
      </c>
      <c r="F161" s="12">
        <v>0</v>
      </c>
      <c r="G161" s="18" t="s">
        <v>948</v>
      </c>
      <c r="H161" s="12">
        <v>0</v>
      </c>
      <c r="I161" s="19">
        <v>46296.640335648153</v>
      </c>
      <c r="J161" s="12"/>
      <c r="K161" s="12" t="s">
        <v>953</v>
      </c>
    </row>
    <row r="162" spans="1:11" ht="25.5" x14ac:dyDescent="0.25">
      <c r="A162" s="15" t="s">
        <v>1949</v>
      </c>
      <c r="B162" s="12" t="s">
        <v>1763</v>
      </c>
      <c r="C162" s="12" t="s">
        <v>1657</v>
      </c>
      <c r="D162" s="18" t="s">
        <v>1658</v>
      </c>
      <c r="E162" s="12">
        <v>1781</v>
      </c>
      <c r="F162" s="12">
        <v>0</v>
      </c>
      <c r="G162" s="18" t="s">
        <v>955</v>
      </c>
      <c r="H162" s="12">
        <v>1</v>
      </c>
      <c r="I162" s="19">
        <v>46296.657210648147</v>
      </c>
      <c r="J162" s="12">
        <v>328</v>
      </c>
      <c r="K162" s="12" t="s">
        <v>961</v>
      </c>
    </row>
    <row r="163" spans="1:11" x14ac:dyDescent="0.25">
      <c r="A163" s="15" t="s">
        <v>1950</v>
      </c>
      <c r="B163" s="12" t="s">
        <v>1767</v>
      </c>
      <c r="C163" s="12" t="s">
        <v>1657</v>
      </c>
      <c r="D163" s="18" t="s">
        <v>1705</v>
      </c>
      <c r="E163" s="12">
        <v>233</v>
      </c>
      <c r="F163" s="12">
        <v>0</v>
      </c>
      <c r="G163" s="18" t="s">
        <v>955</v>
      </c>
      <c r="H163" s="12">
        <v>0</v>
      </c>
      <c r="I163" s="19">
        <v>46296.657256944447</v>
      </c>
      <c r="J163" s="12"/>
      <c r="K163" s="12" t="s">
        <v>961</v>
      </c>
    </row>
    <row r="164" spans="1:11" x14ac:dyDescent="0.25">
      <c r="A164" s="15" t="s">
        <v>1951</v>
      </c>
      <c r="B164" s="12" t="s">
        <v>1770</v>
      </c>
      <c r="C164" s="12" t="s">
        <v>1657</v>
      </c>
      <c r="D164" s="18" t="s">
        <v>1708</v>
      </c>
      <c r="E164" s="12">
        <v>32</v>
      </c>
      <c r="F164" s="12">
        <v>0</v>
      </c>
      <c r="G164" s="18" t="s">
        <v>1952</v>
      </c>
      <c r="H164" s="12">
        <v>0</v>
      </c>
      <c r="I164" s="19">
        <v>46296.65730324074</v>
      </c>
      <c r="J164" s="12">
        <v>126</v>
      </c>
      <c r="K164" s="12" t="s">
        <v>961</v>
      </c>
    </row>
    <row r="165" spans="1:11" x14ac:dyDescent="0.25">
      <c r="A165" s="15" t="s">
        <v>1953</v>
      </c>
      <c r="B165" s="12" t="s">
        <v>1773</v>
      </c>
      <c r="C165" s="12" t="s">
        <v>1657</v>
      </c>
      <c r="D165" s="18" t="s">
        <v>1774</v>
      </c>
      <c r="E165" s="12">
        <v>2</v>
      </c>
      <c r="F165" s="12">
        <v>0</v>
      </c>
      <c r="G165" s="18" t="s">
        <v>955</v>
      </c>
      <c r="H165" s="12">
        <v>0</v>
      </c>
      <c r="I165" s="19">
        <v>46296.657349537039</v>
      </c>
      <c r="J165" s="12"/>
      <c r="K165" s="12" t="s">
        <v>961</v>
      </c>
    </row>
    <row r="166" spans="1:11" x14ac:dyDescent="0.25">
      <c r="A166" s="15" t="s">
        <v>1954</v>
      </c>
      <c r="B166" s="12" t="s">
        <v>1939</v>
      </c>
      <c r="C166" s="12" t="s">
        <v>1657</v>
      </c>
      <c r="D166" s="18" t="s">
        <v>1955</v>
      </c>
      <c r="E166" s="12">
        <v>13</v>
      </c>
      <c r="F166" s="12">
        <v>0</v>
      </c>
      <c r="G166" s="18" t="s">
        <v>955</v>
      </c>
      <c r="H166" s="12">
        <v>0</v>
      </c>
      <c r="I166" s="19">
        <v>46296.657384259262</v>
      </c>
      <c r="J166" s="12"/>
      <c r="K166" s="12" t="s">
        <v>961</v>
      </c>
    </row>
    <row r="167" spans="1:11" ht="51" x14ac:dyDescent="0.25">
      <c r="A167" s="15" t="s">
        <v>1956</v>
      </c>
      <c r="B167" s="12" t="s">
        <v>1686</v>
      </c>
      <c r="C167" s="12" t="s">
        <v>1657</v>
      </c>
      <c r="D167" s="18" t="s">
        <v>1957</v>
      </c>
      <c r="E167" s="12">
        <v>1</v>
      </c>
      <c r="F167" s="12">
        <v>0</v>
      </c>
      <c r="G167" s="18" t="s">
        <v>1958</v>
      </c>
      <c r="H167" s="12">
        <v>0</v>
      </c>
      <c r="I167" s="19">
        <v>46296.657430555562</v>
      </c>
      <c r="J167" s="12"/>
      <c r="K167" s="12" t="s">
        <v>961</v>
      </c>
    </row>
    <row r="168" spans="1:11" ht="25.5" x14ac:dyDescent="0.25">
      <c r="A168" s="15" t="s">
        <v>1959</v>
      </c>
      <c r="B168" s="12" t="s">
        <v>1763</v>
      </c>
      <c r="C168" s="12" t="s">
        <v>1657</v>
      </c>
      <c r="D168" s="18" t="s">
        <v>1658</v>
      </c>
      <c r="E168" s="12">
        <v>1790</v>
      </c>
      <c r="F168" s="12">
        <v>0</v>
      </c>
      <c r="G168" s="18" t="s">
        <v>962</v>
      </c>
      <c r="H168" s="12">
        <v>1</v>
      </c>
      <c r="I168" s="19">
        <v>46296.674039351848</v>
      </c>
      <c r="J168" s="12">
        <v>388</v>
      </c>
      <c r="K168" s="12" t="s">
        <v>967</v>
      </c>
    </row>
    <row r="169" spans="1:11" x14ac:dyDescent="0.25">
      <c r="A169" s="15" t="s">
        <v>1960</v>
      </c>
      <c r="B169" s="12" t="s">
        <v>1767</v>
      </c>
      <c r="C169" s="12" t="s">
        <v>1657</v>
      </c>
      <c r="D169" s="18" t="s">
        <v>1705</v>
      </c>
      <c r="E169" s="12">
        <v>237</v>
      </c>
      <c r="F169" s="12">
        <v>0</v>
      </c>
      <c r="G169" s="18" t="s">
        <v>962</v>
      </c>
      <c r="H169" s="12">
        <v>0</v>
      </c>
      <c r="I169" s="19">
        <v>46296.674085648148</v>
      </c>
      <c r="J169" s="12"/>
      <c r="K169" s="12" t="s">
        <v>967</v>
      </c>
    </row>
    <row r="170" spans="1:11" x14ac:dyDescent="0.25">
      <c r="A170" s="15" t="s">
        <v>1961</v>
      </c>
      <c r="B170" s="12" t="s">
        <v>1770</v>
      </c>
      <c r="C170" s="12" t="s">
        <v>1657</v>
      </c>
      <c r="D170" s="18" t="s">
        <v>1708</v>
      </c>
      <c r="E170" s="12">
        <v>33</v>
      </c>
      <c r="F170" s="12">
        <v>0</v>
      </c>
      <c r="G170" s="18" t="s">
        <v>1962</v>
      </c>
      <c r="H170" s="12">
        <v>0</v>
      </c>
      <c r="I170" s="19">
        <v>46296.674131944441</v>
      </c>
      <c r="J170" s="12">
        <v>162</v>
      </c>
      <c r="K170" s="12" t="s">
        <v>967</v>
      </c>
    </row>
    <row r="171" spans="1:11" x14ac:dyDescent="0.25">
      <c r="A171" s="15" t="s">
        <v>1963</v>
      </c>
      <c r="B171" s="12" t="s">
        <v>1773</v>
      </c>
      <c r="C171" s="12" t="s">
        <v>1657</v>
      </c>
      <c r="D171" s="18" t="s">
        <v>1774</v>
      </c>
      <c r="E171" s="12">
        <v>2</v>
      </c>
      <c r="F171" s="12">
        <v>0</v>
      </c>
      <c r="G171" s="18" t="s">
        <v>962</v>
      </c>
      <c r="H171" s="12">
        <v>0</v>
      </c>
      <c r="I171" s="19">
        <v>46296.674166666657</v>
      </c>
      <c r="J171" s="12"/>
      <c r="K171" s="12" t="s">
        <v>967</v>
      </c>
    </row>
    <row r="172" spans="1:11" x14ac:dyDescent="0.25">
      <c r="A172" s="15" t="s">
        <v>1964</v>
      </c>
      <c r="B172" s="12" t="s">
        <v>1939</v>
      </c>
      <c r="C172" s="12" t="s">
        <v>1657</v>
      </c>
      <c r="D172" s="18" t="s">
        <v>1965</v>
      </c>
      <c r="E172" s="12">
        <v>8</v>
      </c>
      <c r="F172" s="12">
        <v>0</v>
      </c>
      <c r="G172" s="18" t="s">
        <v>962</v>
      </c>
      <c r="H172" s="12">
        <v>0</v>
      </c>
      <c r="I172" s="19">
        <v>46296.674212962957</v>
      </c>
      <c r="J172" s="12"/>
      <c r="K172" s="12" t="s">
        <v>967</v>
      </c>
    </row>
    <row r="173" spans="1:11" ht="25.5" x14ac:dyDescent="0.25">
      <c r="A173" s="15" t="s">
        <v>1966</v>
      </c>
      <c r="B173" s="12" t="s">
        <v>1686</v>
      </c>
      <c r="C173" s="12" t="s">
        <v>1657</v>
      </c>
      <c r="D173" s="18" t="s">
        <v>1967</v>
      </c>
      <c r="E173" s="12">
        <v>1</v>
      </c>
      <c r="F173" s="12">
        <v>0</v>
      </c>
      <c r="G173" s="18" t="s">
        <v>1968</v>
      </c>
      <c r="H173" s="12">
        <v>0</v>
      </c>
      <c r="I173" s="19">
        <v>46296.674259259264</v>
      </c>
      <c r="J173" s="12"/>
      <c r="K173" s="12" t="s">
        <v>967</v>
      </c>
    </row>
    <row r="174" spans="1:11" ht="25.5" x14ac:dyDescent="0.25">
      <c r="A174" s="15" t="s">
        <v>1969</v>
      </c>
      <c r="B174" s="12" t="s">
        <v>1763</v>
      </c>
      <c r="C174" s="12" t="s">
        <v>1657</v>
      </c>
      <c r="D174" s="18" t="s">
        <v>1658</v>
      </c>
      <c r="E174" s="12">
        <v>1795</v>
      </c>
      <c r="F174" s="12">
        <v>0</v>
      </c>
      <c r="G174" s="18" t="s">
        <v>968</v>
      </c>
      <c r="H174" s="12">
        <v>1</v>
      </c>
      <c r="I174" s="19">
        <v>46296.683657407397</v>
      </c>
      <c r="J174" s="12">
        <v>376</v>
      </c>
      <c r="K174" s="12" t="s">
        <v>973</v>
      </c>
    </row>
    <row r="175" spans="1:11" x14ac:dyDescent="0.25">
      <c r="A175" s="15" t="s">
        <v>1970</v>
      </c>
      <c r="B175" s="12" t="s">
        <v>1767</v>
      </c>
      <c r="C175" s="12" t="s">
        <v>1657</v>
      </c>
      <c r="D175" s="18" t="s">
        <v>1705</v>
      </c>
      <c r="E175" s="12">
        <v>240</v>
      </c>
      <c r="F175" s="12">
        <v>0</v>
      </c>
      <c r="G175" s="18" t="s">
        <v>968</v>
      </c>
      <c r="H175" s="12">
        <v>0</v>
      </c>
      <c r="I175" s="19">
        <v>46296.683703703697</v>
      </c>
      <c r="J175" s="12"/>
      <c r="K175" s="12" t="s">
        <v>973</v>
      </c>
    </row>
    <row r="176" spans="1:11" x14ac:dyDescent="0.25">
      <c r="A176" s="15" t="s">
        <v>1971</v>
      </c>
      <c r="B176" s="12" t="s">
        <v>1770</v>
      </c>
      <c r="C176" s="12" t="s">
        <v>1657</v>
      </c>
      <c r="D176" s="18" t="s">
        <v>1708</v>
      </c>
      <c r="E176" s="12">
        <v>34</v>
      </c>
      <c r="F176" s="12">
        <v>0</v>
      </c>
      <c r="G176" s="18" t="s">
        <v>968</v>
      </c>
      <c r="H176" s="12">
        <v>0</v>
      </c>
      <c r="I176" s="19">
        <v>46296.683749999997</v>
      </c>
      <c r="J176" s="12">
        <v>144</v>
      </c>
      <c r="K176" s="12" t="s">
        <v>973</v>
      </c>
    </row>
    <row r="177" spans="1:11" x14ac:dyDescent="0.25">
      <c r="A177" s="15" t="s">
        <v>1972</v>
      </c>
      <c r="B177" s="12" t="s">
        <v>1773</v>
      </c>
      <c r="C177" s="12" t="s">
        <v>1657</v>
      </c>
      <c r="D177" s="18" t="s">
        <v>1774</v>
      </c>
      <c r="E177" s="12">
        <v>2</v>
      </c>
      <c r="F177" s="12">
        <v>0</v>
      </c>
      <c r="G177" s="18" t="s">
        <v>968</v>
      </c>
      <c r="H177" s="12">
        <v>0</v>
      </c>
      <c r="I177" s="19">
        <v>46296.68378472222</v>
      </c>
      <c r="J177" s="12"/>
      <c r="K177" s="12" t="s">
        <v>973</v>
      </c>
    </row>
    <row r="178" spans="1:11" x14ac:dyDescent="0.25">
      <c r="A178" s="15" t="s">
        <v>1973</v>
      </c>
      <c r="B178" s="12" t="s">
        <v>1939</v>
      </c>
      <c r="C178" s="12" t="s">
        <v>1657</v>
      </c>
      <c r="D178" s="18" t="s">
        <v>1974</v>
      </c>
      <c r="E178" s="12">
        <v>7</v>
      </c>
      <c r="F178" s="12">
        <v>0</v>
      </c>
      <c r="G178" s="18" t="s">
        <v>968</v>
      </c>
      <c r="H178" s="12">
        <v>0</v>
      </c>
      <c r="I178" s="19">
        <v>46296.683831018519</v>
      </c>
      <c r="J178" s="12"/>
      <c r="K178" s="12" t="s">
        <v>973</v>
      </c>
    </row>
    <row r="179" spans="1:11" ht="25.5" x14ac:dyDescent="0.25">
      <c r="A179" s="15" t="s">
        <v>1975</v>
      </c>
      <c r="B179" s="12" t="s">
        <v>1763</v>
      </c>
      <c r="C179" s="12" t="s">
        <v>1657</v>
      </c>
      <c r="D179" s="18" t="s">
        <v>1658</v>
      </c>
      <c r="E179" s="12">
        <v>2136</v>
      </c>
      <c r="F179" s="12">
        <v>0</v>
      </c>
      <c r="G179" s="18" t="s">
        <v>1976</v>
      </c>
      <c r="H179" s="12">
        <v>11</v>
      </c>
      <c r="I179" s="19">
        <v>46301.616018518522</v>
      </c>
      <c r="J179" s="12">
        <v>511</v>
      </c>
      <c r="K179" s="12" t="s">
        <v>979</v>
      </c>
    </row>
    <row r="180" spans="1:11" x14ac:dyDescent="0.25">
      <c r="A180" s="15" t="s">
        <v>1977</v>
      </c>
      <c r="B180" s="12" t="s">
        <v>1767</v>
      </c>
      <c r="C180" s="12" t="s">
        <v>1657</v>
      </c>
      <c r="D180" s="18" t="s">
        <v>1705</v>
      </c>
      <c r="E180" s="12">
        <v>253</v>
      </c>
      <c r="F180" s="12">
        <v>0</v>
      </c>
      <c r="G180" s="18" t="s">
        <v>1976</v>
      </c>
      <c r="H180" s="12">
        <v>0</v>
      </c>
      <c r="I180" s="19">
        <v>46301.616064814807</v>
      </c>
      <c r="J180" s="12"/>
      <c r="K180" s="12" t="s">
        <v>979</v>
      </c>
    </row>
    <row r="181" spans="1:11" x14ac:dyDescent="0.25">
      <c r="A181" s="15" t="s">
        <v>1978</v>
      </c>
      <c r="B181" s="12" t="s">
        <v>1770</v>
      </c>
      <c r="C181" s="12" t="s">
        <v>1657</v>
      </c>
      <c r="D181" s="18" t="s">
        <v>1708</v>
      </c>
      <c r="E181" s="12">
        <v>38</v>
      </c>
      <c r="F181" s="12">
        <v>0</v>
      </c>
      <c r="G181" s="18" t="s">
        <v>1976</v>
      </c>
      <c r="H181" s="12">
        <v>0</v>
      </c>
      <c r="I181" s="19">
        <v>46301.616111111107</v>
      </c>
      <c r="J181" s="12">
        <v>168</v>
      </c>
      <c r="K181" s="12" t="s">
        <v>979</v>
      </c>
    </row>
    <row r="182" spans="1:11" ht="25.5" x14ac:dyDescent="0.25">
      <c r="A182" s="15" t="s">
        <v>1979</v>
      </c>
      <c r="B182" s="12" t="s">
        <v>1930</v>
      </c>
      <c r="C182" s="12" t="s">
        <v>1657</v>
      </c>
      <c r="D182" s="18" t="s">
        <v>1980</v>
      </c>
      <c r="E182" s="12">
        <v>60</v>
      </c>
      <c r="F182" s="12">
        <v>0</v>
      </c>
      <c r="G182" s="18" t="s">
        <v>1981</v>
      </c>
      <c r="H182" s="12">
        <v>0</v>
      </c>
      <c r="I182" s="19">
        <v>46301.616157407407</v>
      </c>
      <c r="J182" s="12"/>
      <c r="K182" s="12" t="s">
        <v>979</v>
      </c>
    </row>
    <row r="183" spans="1:11" ht="38.25" x14ac:dyDescent="0.25">
      <c r="A183" s="15" t="s">
        <v>1982</v>
      </c>
      <c r="B183" s="12" t="s">
        <v>1686</v>
      </c>
      <c r="C183" s="12" t="s">
        <v>1657</v>
      </c>
      <c r="D183" s="18" t="s">
        <v>1983</v>
      </c>
      <c r="E183" s="12">
        <v>4</v>
      </c>
      <c r="F183" s="12">
        <v>0</v>
      </c>
      <c r="G183" s="18" t="s">
        <v>1984</v>
      </c>
      <c r="H183" s="12">
        <v>0</v>
      </c>
      <c r="I183" s="19">
        <v>46301.616203703707</v>
      </c>
      <c r="J183" s="12"/>
      <c r="K183" s="12" t="s">
        <v>979</v>
      </c>
    </row>
    <row r="184" spans="1:11" x14ac:dyDescent="0.25">
      <c r="A184" s="15" t="s">
        <v>1985</v>
      </c>
      <c r="B184" s="12" t="s">
        <v>1770</v>
      </c>
      <c r="C184" s="12" t="s">
        <v>1657</v>
      </c>
      <c r="D184" s="18" t="s">
        <v>1708</v>
      </c>
      <c r="E184" s="12">
        <v>42</v>
      </c>
      <c r="F184" s="12">
        <v>0</v>
      </c>
      <c r="G184" s="18" t="s">
        <v>1349</v>
      </c>
      <c r="H184" s="12">
        <v>0</v>
      </c>
      <c r="I184" s="19">
        <v>46301.640335648153</v>
      </c>
      <c r="J184" s="12">
        <v>162</v>
      </c>
      <c r="K184" s="12" t="s">
        <v>1354</v>
      </c>
    </row>
    <row r="185" spans="1:11" ht="25.5" x14ac:dyDescent="0.25">
      <c r="A185" s="15" t="s">
        <v>1986</v>
      </c>
      <c r="B185" s="12" t="s">
        <v>1763</v>
      </c>
      <c r="C185" s="12" t="s">
        <v>1657</v>
      </c>
      <c r="D185" s="18" t="s">
        <v>1658</v>
      </c>
      <c r="E185" s="12">
        <v>2139</v>
      </c>
      <c r="F185" s="12">
        <v>0</v>
      </c>
      <c r="G185" s="18" t="s">
        <v>1299</v>
      </c>
      <c r="H185" s="12">
        <v>11</v>
      </c>
      <c r="I185" s="19">
        <v>46301.640381944453</v>
      </c>
      <c r="J185" s="12">
        <v>494</v>
      </c>
      <c r="K185" s="12" t="s">
        <v>1354</v>
      </c>
    </row>
    <row r="186" spans="1:11" x14ac:dyDescent="0.25">
      <c r="A186" s="15" t="s">
        <v>1987</v>
      </c>
      <c r="B186" s="12" t="s">
        <v>1939</v>
      </c>
      <c r="C186" s="12" t="s">
        <v>1657</v>
      </c>
      <c r="D186" s="18" t="s">
        <v>1988</v>
      </c>
      <c r="E186" s="12">
        <v>4</v>
      </c>
      <c r="F186" s="12">
        <v>0</v>
      </c>
      <c r="G186" s="18" t="s">
        <v>1299</v>
      </c>
      <c r="H186" s="12">
        <v>0</v>
      </c>
      <c r="I186" s="19">
        <v>46301.640439814822</v>
      </c>
      <c r="J186" s="12"/>
      <c r="K186" s="12" t="s">
        <v>1354</v>
      </c>
    </row>
    <row r="187" spans="1:11" ht="38.25" x14ac:dyDescent="0.25">
      <c r="A187" s="15" t="s">
        <v>1989</v>
      </c>
      <c r="B187" s="12" t="s">
        <v>1244</v>
      </c>
      <c r="C187" s="12" t="s">
        <v>1657</v>
      </c>
      <c r="D187" s="18" t="s">
        <v>1990</v>
      </c>
      <c r="E187" s="12">
        <v>2168</v>
      </c>
      <c r="F187" s="12">
        <v>1</v>
      </c>
      <c r="G187" s="18" t="s">
        <v>1991</v>
      </c>
      <c r="H187" s="12">
        <v>11</v>
      </c>
      <c r="I187" s="19">
        <v>46301.819178240738</v>
      </c>
      <c r="J187" s="12"/>
      <c r="K187" s="12" t="s">
        <v>1043</v>
      </c>
    </row>
    <row r="188" spans="1:11" x14ac:dyDescent="0.25">
      <c r="A188" s="15" t="s">
        <v>1992</v>
      </c>
      <c r="B188" s="12" t="s">
        <v>1770</v>
      </c>
      <c r="C188" s="12" t="s">
        <v>1657</v>
      </c>
      <c r="D188" s="18" t="s">
        <v>1736</v>
      </c>
      <c r="E188" s="12">
        <v>42</v>
      </c>
      <c r="F188" s="12">
        <v>0</v>
      </c>
      <c r="G188" s="18"/>
      <c r="H188" s="12">
        <v>0</v>
      </c>
      <c r="I188" s="19">
        <v>46301.819224537037</v>
      </c>
      <c r="J188" s="12"/>
      <c r="K188" s="12" t="s">
        <v>1043</v>
      </c>
    </row>
    <row r="189" spans="1:11" x14ac:dyDescent="0.25">
      <c r="A189" s="15" t="s">
        <v>1993</v>
      </c>
      <c r="B189" s="12" t="s">
        <v>1832</v>
      </c>
      <c r="C189" s="12" t="s">
        <v>1657</v>
      </c>
      <c r="D189" s="18" t="s">
        <v>1728</v>
      </c>
      <c r="E189" s="12">
        <v>253</v>
      </c>
      <c r="F189" s="12">
        <v>0</v>
      </c>
      <c r="G189" s="18"/>
      <c r="H189" s="12">
        <v>0</v>
      </c>
      <c r="I189" s="19">
        <v>46301.81927083333</v>
      </c>
      <c r="J189" s="12"/>
      <c r="K189" s="12" t="s">
        <v>1043</v>
      </c>
    </row>
    <row r="190" spans="1:11" x14ac:dyDescent="0.25">
      <c r="A190" s="15" t="s">
        <v>1994</v>
      </c>
      <c r="B190" s="12" t="s">
        <v>1995</v>
      </c>
      <c r="C190" s="12" t="s">
        <v>1657</v>
      </c>
      <c r="D190" s="18" t="s">
        <v>1996</v>
      </c>
      <c r="E190" s="12">
        <v>10</v>
      </c>
      <c r="F190" s="12">
        <v>0</v>
      </c>
      <c r="G190" s="18"/>
      <c r="H190" s="12">
        <v>0</v>
      </c>
      <c r="I190" s="19">
        <v>46301.81931712963</v>
      </c>
      <c r="J190" s="12"/>
      <c r="K190" s="12" t="s">
        <v>1043</v>
      </c>
    </row>
    <row r="191" spans="1:11" x14ac:dyDescent="0.25">
      <c r="A191" s="15" t="s">
        <v>1997</v>
      </c>
      <c r="B191" s="12" t="s">
        <v>1244</v>
      </c>
      <c r="C191" s="12" t="s">
        <v>1657</v>
      </c>
      <c r="D191" s="18" t="s">
        <v>1990</v>
      </c>
      <c r="E191" s="12">
        <v>2176</v>
      </c>
      <c r="F191" s="12">
        <v>0</v>
      </c>
      <c r="G191" s="18"/>
      <c r="H191" s="12">
        <v>11</v>
      </c>
      <c r="I191" s="19">
        <v>46301.832372685189</v>
      </c>
      <c r="J191" s="12"/>
      <c r="K191" s="12" t="s">
        <v>1071</v>
      </c>
    </row>
    <row r="192" spans="1:11" x14ac:dyDescent="0.25">
      <c r="A192" s="15" t="s">
        <v>1998</v>
      </c>
      <c r="B192" s="12" t="s">
        <v>1999</v>
      </c>
      <c r="C192" s="12" t="s">
        <v>1657</v>
      </c>
      <c r="D192" s="18" t="s">
        <v>2000</v>
      </c>
      <c r="E192" s="12">
        <v>6</v>
      </c>
      <c r="F192" s="12">
        <v>0</v>
      </c>
      <c r="G192" s="18"/>
      <c r="H192" s="12">
        <v>0</v>
      </c>
      <c r="I192" s="19">
        <v>46301.832418981481</v>
      </c>
      <c r="J192" s="12"/>
      <c r="K192" s="12" t="s">
        <v>1071</v>
      </c>
    </row>
    <row r="193" spans="1:11" ht="38.25" x14ac:dyDescent="0.25">
      <c r="A193" s="15" t="s">
        <v>2001</v>
      </c>
      <c r="B193" s="12" t="s">
        <v>1244</v>
      </c>
      <c r="C193" s="12" t="s">
        <v>1657</v>
      </c>
      <c r="D193" s="18" t="s">
        <v>1990</v>
      </c>
      <c r="E193" s="12">
        <v>2182</v>
      </c>
      <c r="F193" s="12">
        <v>1</v>
      </c>
      <c r="G193" s="18" t="s">
        <v>2002</v>
      </c>
      <c r="H193" s="12">
        <v>11</v>
      </c>
      <c r="I193" s="19">
        <v>46301.847731481481</v>
      </c>
      <c r="J193" s="12"/>
      <c r="K193" s="12" t="s">
        <v>1057</v>
      </c>
    </row>
    <row r="194" spans="1:11" x14ac:dyDescent="0.25">
      <c r="A194" s="15" t="s">
        <v>2003</v>
      </c>
      <c r="B194" s="12" t="s">
        <v>2004</v>
      </c>
      <c r="C194" s="12" t="s">
        <v>1657</v>
      </c>
      <c r="D194" s="18" t="s">
        <v>2005</v>
      </c>
      <c r="E194" s="12">
        <v>9</v>
      </c>
      <c r="F194" s="12">
        <v>0</v>
      </c>
      <c r="G194" s="18"/>
      <c r="H194" s="12">
        <v>0</v>
      </c>
      <c r="I194" s="19">
        <v>46301.847777777781</v>
      </c>
      <c r="J194" s="12"/>
      <c r="K194" s="12" t="s">
        <v>1057</v>
      </c>
    </row>
    <row r="195" spans="1:11" x14ac:dyDescent="0.25">
      <c r="A195" s="15" t="s">
        <v>2006</v>
      </c>
      <c r="B195" s="12" t="s">
        <v>1244</v>
      </c>
      <c r="C195" s="12" t="s">
        <v>1657</v>
      </c>
      <c r="D195" s="18" t="s">
        <v>1990</v>
      </c>
      <c r="E195" s="12">
        <v>2189</v>
      </c>
      <c r="F195" s="12">
        <v>0</v>
      </c>
      <c r="G195" s="18"/>
      <c r="H195" s="12">
        <v>11</v>
      </c>
      <c r="I195" s="19">
        <v>46301.857766203713</v>
      </c>
      <c r="J195" s="12"/>
      <c r="K195" s="12" t="s">
        <v>1064</v>
      </c>
    </row>
    <row r="196" spans="1:11" x14ac:dyDescent="0.25">
      <c r="A196" s="15" t="s">
        <v>2007</v>
      </c>
      <c r="B196" s="12" t="s">
        <v>2008</v>
      </c>
      <c r="C196" s="12" t="s">
        <v>1657</v>
      </c>
      <c r="D196" s="18" t="s">
        <v>2009</v>
      </c>
      <c r="E196" s="12">
        <v>10</v>
      </c>
      <c r="F196" s="12">
        <v>0</v>
      </c>
      <c r="G196" s="18"/>
      <c r="H196" s="12">
        <v>0</v>
      </c>
      <c r="I196" s="19">
        <v>46301.857812499999</v>
      </c>
      <c r="J196" s="12"/>
      <c r="K196" s="12" t="s">
        <v>1064</v>
      </c>
    </row>
    <row r="197" spans="1:11" x14ac:dyDescent="0.25">
      <c r="A197" s="15" t="s">
        <v>2010</v>
      </c>
      <c r="B197" s="12" t="s">
        <v>1244</v>
      </c>
      <c r="C197" s="12" t="s">
        <v>1657</v>
      </c>
      <c r="D197" s="18" t="s">
        <v>1990</v>
      </c>
      <c r="E197" s="12">
        <v>2197</v>
      </c>
      <c r="F197" s="12">
        <v>0</v>
      </c>
      <c r="G197" s="18"/>
      <c r="H197" s="12">
        <v>11</v>
      </c>
      <c r="I197" s="19">
        <v>46301.868495370371</v>
      </c>
      <c r="J197" s="12"/>
      <c r="K197" s="12" t="s">
        <v>1079</v>
      </c>
    </row>
    <row r="198" spans="1:11" x14ac:dyDescent="0.25">
      <c r="A198" s="15" t="s">
        <v>2011</v>
      </c>
      <c r="B198" s="12" t="s">
        <v>2012</v>
      </c>
      <c r="C198" s="12" t="s">
        <v>1657</v>
      </c>
      <c r="D198" s="18" t="s">
        <v>2013</v>
      </c>
      <c r="E198" s="12">
        <v>7</v>
      </c>
      <c r="F198" s="12">
        <v>0</v>
      </c>
      <c r="G198" s="18"/>
      <c r="H198" s="12">
        <v>0</v>
      </c>
      <c r="I198" s="19">
        <v>46301.868541666663</v>
      </c>
      <c r="J198" s="12"/>
      <c r="K198" s="12" t="s">
        <v>1079</v>
      </c>
    </row>
    <row r="199" spans="1:11" x14ac:dyDescent="0.25">
      <c r="A199" s="15" t="s">
        <v>2014</v>
      </c>
      <c r="B199" s="12" t="s">
        <v>1244</v>
      </c>
      <c r="C199" s="12" t="s">
        <v>1657</v>
      </c>
      <c r="D199" s="18" t="s">
        <v>1990</v>
      </c>
      <c r="E199" s="12">
        <v>2201</v>
      </c>
      <c r="F199" s="12">
        <v>0</v>
      </c>
      <c r="G199" s="18"/>
      <c r="H199" s="12">
        <v>11</v>
      </c>
      <c r="I199" s="19">
        <v>46301.883900462963</v>
      </c>
      <c r="J199" s="12"/>
      <c r="K199" s="12" t="s">
        <v>1087</v>
      </c>
    </row>
    <row r="200" spans="1:11" x14ac:dyDescent="0.25">
      <c r="A200" s="15" t="s">
        <v>2015</v>
      </c>
      <c r="B200" s="12" t="s">
        <v>1832</v>
      </c>
      <c r="C200" s="12" t="s">
        <v>1657</v>
      </c>
      <c r="D200" s="18" t="s">
        <v>1728</v>
      </c>
      <c r="E200" s="12">
        <v>256</v>
      </c>
      <c r="F200" s="12">
        <v>0</v>
      </c>
      <c r="G200" s="18"/>
      <c r="H200" s="12">
        <v>0</v>
      </c>
      <c r="I200" s="19">
        <v>46301.883946759262</v>
      </c>
      <c r="J200" s="12"/>
      <c r="K200" s="12" t="s">
        <v>1087</v>
      </c>
    </row>
    <row r="201" spans="1:11" x14ac:dyDescent="0.25">
      <c r="A201" s="15" t="s">
        <v>2016</v>
      </c>
      <c r="B201" s="12" t="s">
        <v>1770</v>
      </c>
      <c r="C201" s="12" t="s">
        <v>1657</v>
      </c>
      <c r="D201" s="18" t="s">
        <v>1736</v>
      </c>
      <c r="E201" s="12">
        <v>43</v>
      </c>
      <c r="F201" s="12">
        <v>0</v>
      </c>
      <c r="G201" s="18"/>
      <c r="H201" s="12">
        <v>0</v>
      </c>
      <c r="I201" s="19">
        <v>46301.883993055562</v>
      </c>
      <c r="J201" s="12"/>
      <c r="K201" s="12" t="s">
        <v>1087</v>
      </c>
    </row>
    <row r="202" spans="1:11" x14ac:dyDescent="0.25">
      <c r="A202" s="15" t="s">
        <v>2017</v>
      </c>
      <c r="B202" s="12" t="s">
        <v>2018</v>
      </c>
      <c r="C202" s="12" t="s">
        <v>1657</v>
      </c>
      <c r="D202" s="18" t="s">
        <v>2019</v>
      </c>
      <c r="E202" s="12">
        <v>7</v>
      </c>
      <c r="F202" s="12">
        <v>0</v>
      </c>
      <c r="G202" s="18"/>
      <c r="H202" s="12">
        <v>0</v>
      </c>
      <c r="I202" s="19">
        <v>46301.884039351848</v>
      </c>
      <c r="J202" s="12"/>
      <c r="K202" s="12" t="s">
        <v>1087</v>
      </c>
    </row>
    <row r="203" spans="1:11" ht="38.25" x14ac:dyDescent="0.25">
      <c r="A203" s="15" t="s">
        <v>2020</v>
      </c>
      <c r="B203" s="12" t="s">
        <v>1244</v>
      </c>
      <c r="C203" s="12" t="s">
        <v>1657</v>
      </c>
      <c r="D203" s="18" t="s">
        <v>1990</v>
      </c>
      <c r="E203" s="12">
        <v>2250</v>
      </c>
      <c r="F203" s="12">
        <v>0</v>
      </c>
      <c r="G203" s="18" t="s">
        <v>2021</v>
      </c>
      <c r="H203" s="12">
        <v>11</v>
      </c>
      <c r="I203" s="19">
        <v>46301.923645833333</v>
      </c>
      <c r="J203" s="12"/>
      <c r="K203" s="12" t="s">
        <v>1145</v>
      </c>
    </row>
    <row r="204" spans="1:11" x14ac:dyDescent="0.25">
      <c r="A204" s="15" t="s">
        <v>2022</v>
      </c>
      <c r="B204" s="12" t="s">
        <v>1832</v>
      </c>
      <c r="C204" s="12" t="s">
        <v>1657</v>
      </c>
      <c r="D204" s="18" t="s">
        <v>1728</v>
      </c>
      <c r="E204" s="12">
        <v>267</v>
      </c>
      <c r="F204" s="12">
        <v>0</v>
      </c>
      <c r="G204" s="18"/>
      <c r="H204" s="12">
        <v>0</v>
      </c>
      <c r="I204" s="19">
        <v>46301.923692129632</v>
      </c>
      <c r="J204" s="12"/>
      <c r="K204" s="12" t="s">
        <v>1145</v>
      </c>
    </row>
    <row r="205" spans="1:11" x14ac:dyDescent="0.25">
      <c r="A205" s="15" t="s">
        <v>2023</v>
      </c>
      <c r="B205" s="12" t="s">
        <v>1770</v>
      </c>
      <c r="C205" s="12" t="s">
        <v>1657</v>
      </c>
      <c r="D205" s="18" t="s">
        <v>1736</v>
      </c>
      <c r="E205" s="12">
        <v>45</v>
      </c>
      <c r="F205" s="12">
        <v>0</v>
      </c>
      <c r="G205" s="18"/>
      <c r="H205" s="12">
        <v>0</v>
      </c>
      <c r="I205" s="19">
        <v>46301.923738425918</v>
      </c>
      <c r="J205" s="12"/>
      <c r="K205" s="12" t="s">
        <v>1145</v>
      </c>
    </row>
    <row r="206" spans="1:11" x14ac:dyDescent="0.25">
      <c r="A206" s="15" t="s">
        <v>2024</v>
      </c>
      <c r="B206" s="12" t="s">
        <v>2025</v>
      </c>
      <c r="C206" s="12" t="s">
        <v>1657</v>
      </c>
      <c r="D206" s="18" t="s">
        <v>2026</v>
      </c>
      <c r="E206" s="12">
        <v>20</v>
      </c>
      <c r="F206" s="12">
        <v>0</v>
      </c>
      <c r="G206" s="18"/>
      <c r="H206" s="12">
        <v>0</v>
      </c>
      <c r="I206" s="19">
        <v>46301.923796296287</v>
      </c>
      <c r="J206" s="12"/>
      <c r="K206" s="12" t="s">
        <v>1145</v>
      </c>
    </row>
    <row r="207" spans="1:11" x14ac:dyDescent="0.25">
      <c r="A207" s="15" t="s">
        <v>2027</v>
      </c>
      <c r="B207" s="12" t="s">
        <v>1244</v>
      </c>
      <c r="C207" s="12" t="s">
        <v>1657</v>
      </c>
      <c r="D207" s="18" t="s">
        <v>1990</v>
      </c>
      <c r="E207" s="12">
        <v>2370</v>
      </c>
      <c r="F207" s="12">
        <v>0</v>
      </c>
      <c r="G207" s="18"/>
      <c r="H207" s="12">
        <v>11</v>
      </c>
      <c r="I207" s="19">
        <v>46302.364363425928</v>
      </c>
      <c r="J207" s="12"/>
      <c r="K207" s="12" t="s">
        <v>600</v>
      </c>
    </row>
    <row r="208" spans="1:11" x14ac:dyDescent="0.25">
      <c r="A208" s="15" t="s">
        <v>2028</v>
      </c>
      <c r="B208" s="12" t="s">
        <v>1832</v>
      </c>
      <c r="C208" s="12" t="s">
        <v>1657</v>
      </c>
      <c r="D208" s="18" t="s">
        <v>1728</v>
      </c>
      <c r="E208" s="12">
        <v>281</v>
      </c>
      <c r="F208" s="12">
        <v>0</v>
      </c>
      <c r="G208" s="18"/>
      <c r="H208" s="12">
        <v>0</v>
      </c>
      <c r="I208" s="19">
        <v>46302.36440972222</v>
      </c>
      <c r="J208" s="12"/>
      <c r="K208" s="12" t="s">
        <v>600</v>
      </c>
    </row>
    <row r="209" spans="1:11" x14ac:dyDescent="0.25">
      <c r="A209" s="15" t="s">
        <v>2029</v>
      </c>
      <c r="B209" s="12" t="s">
        <v>1770</v>
      </c>
      <c r="C209" s="12" t="s">
        <v>1657</v>
      </c>
      <c r="D209" s="18" t="s">
        <v>1736</v>
      </c>
      <c r="E209" s="12">
        <v>51</v>
      </c>
      <c r="F209" s="12">
        <v>0</v>
      </c>
      <c r="G209" s="18"/>
      <c r="H209" s="12">
        <v>0</v>
      </c>
      <c r="I209" s="19">
        <v>46302.36445601852</v>
      </c>
      <c r="J209" s="12"/>
      <c r="K209" s="12" t="s">
        <v>600</v>
      </c>
    </row>
    <row r="210" spans="1:11" x14ac:dyDescent="0.25">
      <c r="A210" s="15" t="s">
        <v>2030</v>
      </c>
      <c r="B210" s="12" t="s">
        <v>1244</v>
      </c>
      <c r="C210" s="12" t="s">
        <v>1657</v>
      </c>
      <c r="D210" s="18" t="s">
        <v>1990</v>
      </c>
      <c r="E210" s="12">
        <v>2279</v>
      </c>
      <c r="F210" s="12">
        <v>0</v>
      </c>
      <c r="G210" s="18"/>
      <c r="H210" s="12">
        <v>11</v>
      </c>
      <c r="I210" s="19">
        <v>46302.365115740737</v>
      </c>
      <c r="J210" s="12"/>
      <c r="K210" s="12" t="s">
        <v>1172</v>
      </c>
    </row>
    <row r="211" spans="1:11" x14ac:dyDescent="0.25">
      <c r="A211" s="15" t="s">
        <v>2031</v>
      </c>
      <c r="B211" s="12" t="s">
        <v>1832</v>
      </c>
      <c r="C211" s="12" t="s">
        <v>1657</v>
      </c>
      <c r="D211" s="18" t="s">
        <v>1728</v>
      </c>
      <c r="E211" s="12">
        <v>267</v>
      </c>
      <c r="F211" s="12">
        <v>0</v>
      </c>
      <c r="G211" s="18"/>
      <c r="H211" s="12">
        <v>0</v>
      </c>
      <c r="I211" s="19">
        <v>46302.365173611113</v>
      </c>
      <c r="J211" s="12"/>
      <c r="K211" s="12" t="s">
        <v>1172</v>
      </c>
    </row>
    <row r="212" spans="1:11" x14ac:dyDescent="0.25">
      <c r="A212" s="15" t="s">
        <v>2032</v>
      </c>
      <c r="B212" s="12" t="s">
        <v>1770</v>
      </c>
      <c r="C212" s="12" t="s">
        <v>1657</v>
      </c>
      <c r="D212" s="18" t="s">
        <v>1736</v>
      </c>
      <c r="E212" s="12">
        <v>45</v>
      </c>
      <c r="F212" s="12">
        <v>0</v>
      </c>
      <c r="G212" s="18"/>
      <c r="H212" s="12">
        <v>0</v>
      </c>
      <c r="I212" s="19">
        <v>46302.365219907413</v>
      </c>
      <c r="J212" s="12"/>
      <c r="K212" s="12" t="s">
        <v>1172</v>
      </c>
    </row>
    <row r="213" spans="1:11" x14ac:dyDescent="0.25">
      <c r="A213" s="15" t="s">
        <v>2033</v>
      </c>
      <c r="B213" s="12" t="s">
        <v>2034</v>
      </c>
      <c r="C213" s="12" t="s">
        <v>1657</v>
      </c>
      <c r="D213" s="18" t="s">
        <v>2035</v>
      </c>
      <c r="E213" s="12">
        <v>11</v>
      </c>
      <c r="F213" s="12">
        <v>0</v>
      </c>
      <c r="G213" s="18"/>
      <c r="H213" s="12">
        <v>0</v>
      </c>
      <c r="I213" s="19">
        <v>46302.365266203713</v>
      </c>
      <c r="J213" s="12"/>
      <c r="K213" s="12" t="s">
        <v>1172</v>
      </c>
    </row>
    <row r="214" spans="1:11" x14ac:dyDescent="0.25">
      <c r="A214" s="15" t="s">
        <v>2036</v>
      </c>
      <c r="B214" s="12" t="s">
        <v>1244</v>
      </c>
      <c r="C214" s="12" t="s">
        <v>1657</v>
      </c>
      <c r="D214" s="18" t="s">
        <v>1990</v>
      </c>
      <c r="E214" s="12">
        <v>2289</v>
      </c>
      <c r="F214" s="12">
        <v>0</v>
      </c>
      <c r="G214" s="18"/>
      <c r="H214" s="12">
        <v>11</v>
      </c>
      <c r="I214" s="19">
        <v>46302.365555555552</v>
      </c>
      <c r="J214" s="12"/>
      <c r="K214" s="12" t="s">
        <v>1202</v>
      </c>
    </row>
    <row r="215" spans="1:11" x14ac:dyDescent="0.25">
      <c r="A215" s="15" t="s">
        <v>2037</v>
      </c>
      <c r="B215" s="12" t="s">
        <v>1832</v>
      </c>
      <c r="C215" s="12" t="s">
        <v>1657</v>
      </c>
      <c r="D215" s="18" t="s">
        <v>1728</v>
      </c>
      <c r="E215" s="12">
        <v>269</v>
      </c>
      <c r="F215" s="12">
        <v>0</v>
      </c>
      <c r="G215" s="18"/>
      <c r="H215" s="12">
        <v>0</v>
      </c>
      <c r="I215" s="19">
        <v>46302.365601851852</v>
      </c>
      <c r="J215" s="12"/>
      <c r="K215" s="12" t="s">
        <v>1202</v>
      </c>
    </row>
    <row r="216" spans="1:11" x14ac:dyDescent="0.25">
      <c r="A216" s="15" t="s">
        <v>2038</v>
      </c>
      <c r="B216" s="12" t="s">
        <v>1770</v>
      </c>
      <c r="C216" s="12" t="s">
        <v>1657</v>
      </c>
      <c r="D216" s="18" t="s">
        <v>1736</v>
      </c>
      <c r="E216" s="12">
        <v>45</v>
      </c>
      <c r="F216" s="12">
        <v>0</v>
      </c>
      <c r="G216" s="18"/>
      <c r="H216" s="12">
        <v>0</v>
      </c>
      <c r="I216" s="19">
        <v>46302.365648148138</v>
      </c>
      <c r="J216" s="12"/>
      <c r="K216" s="12" t="s">
        <v>1202</v>
      </c>
    </row>
    <row r="217" spans="1:11" x14ac:dyDescent="0.25">
      <c r="A217" s="15" t="s">
        <v>2039</v>
      </c>
      <c r="B217" s="12" t="s">
        <v>2040</v>
      </c>
      <c r="C217" s="12" t="s">
        <v>1657</v>
      </c>
      <c r="D217" s="18" t="s">
        <v>2041</v>
      </c>
      <c r="E217" s="12">
        <v>9</v>
      </c>
      <c r="F217" s="12">
        <v>0</v>
      </c>
      <c r="G217" s="18"/>
      <c r="H217" s="12">
        <v>0</v>
      </c>
      <c r="I217" s="19">
        <v>46302.365694444437</v>
      </c>
      <c r="J217" s="12"/>
      <c r="K217" s="12" t="s">
        <v>1202</v>
      </c>
    </row>
    <row r="218" spans="1:11" x14ac:dyDescent="0.25">
      <c r="A218" s="15" t="s">
        <v>2042</v>
      </c>
      <c r="B218" s="12" t="s">
        <v>1244</v>
      </c>
      <c r="C218" s="12" t="s">
        <v>1657</v>
      </c>
      <c r="D218" s="18" t="s">
        <v>1990</v>
      </c>
      <c r="E218" s="12">
        <v>2308</v>
      </c>
      <c r="F218" s="12">
        <v>0</v>
      </c>
      <c r="G218" s="18"/>
      <c r="H218" s="12">
        <v>11</v>
      </c>
      <c r="I218" s="19">
        <v>46302.365937499999</v>
      </c>
      <c r="J218" s="12"/>
      <c r="K218" s="12" t="s">
        <v>1222</v>
      </c>
    </row>
    <row r="219" spans="1:11" x14ac:dyDescent="0.25">
      <c r="A219" s="15" t="s">
        <v>2043</v>
      </c>
      <c r="B219" s="12" t="s">
        <v>1832</v>
      </c>
      <c r="C219" s="12" t="s">
        <v>1657</v>
      </c>
      <c r="D219" s="18" t="s">
        <v>1728</v>
      </c>
      <c r="E219" s="12">
        <v>272</v>
      </c>
      <c r="F219" s="12">
        <v>0</v>
      </c>
      <c r="G219" s="18"/>
      <c r="H219" s="12">
        <v>0</v>
      </c>
      <c r="I219" s="19">
        <v>46302.365983796299</v>
      </c>
      <c r="J219" s="12"/>
      <c r="K219" s="12" t="s">
        <v>1222</v>
      </c>
    </row>
    <row r="220" spans="1:11" x14ac:dyDescent="0.25">
      <c r="A220" s="15" t="s">
        <v>2044</v>
      </c>
      <c r="B220" s="12" t="s">
        <v>1770</v>
      </c>
      <c r="C220" s="12" t="s">
        <v>1657</v>
      </c>
      <c r="D220" s="18" t="s">
        <v>1736</v>
      </c>
      <c r="E220" s="12">
        <v>46</v>
      </c>
      <c r="F220" s="12">
        <v>0</v>
      </c>
      <c r="G220" s="18"/>
      <c r="H220" s="12">
        <v>0</v>
      </c>
      <c r="I220" s="19">
        <v>46302.366030092591</v>
      </c>
      <c r="J220" s="12"/>
      <c r="K220" s="12" t="s">
        <v>1222</v>
      </c>
    </row>
    <row r="221" spans="1:11" x14ac:dyDescent="0.25">
      <c r="A221" s="15" t="s">
        <v>2045</v>
      </c>
      <c r="B221" s="12" t="s">
        <v>2046</v>
      </c>
      <c r="C221" s="12" t="s">
        <v>1657</v>
      </c>
      <c r="D221" s="18" t="s">
        <v>2047</v>
      </c>
      <c r="E221" s="12">
        <v>12</v>
      </c>
      <c r="F221" s="12">
        <v>0</v>
      </c>
      <c r="G221" s="18"/>
      <c r="H221" s="12">
        <v>0</v>
      </c>
      <c r="I221" s="19">
        <v>46302.366076388891</v>
      </c>
      <c r="J221" s="12"/>
      <c r="K221" s="12" t="s">
        <v>1222</v>
      </c>
    </row>
    <row r="222" spans="1:11" x14ac:dyDescent="0.25">
      <c r="A222" s="15" t="s">
        <v>2048</v>
      </c>
      <c r="B222" s="12" t="s">
        <v>1244</v>
      </c>
      <c r="C222" s="12" t="s">
        <v>1657</v>
      </c>
      <c r="D222" s="18" t="s">
        <v>1990</v>
      </c>
      <c r="E222" s="12">
        <v>2317</v>
      </c>
      <c r="F222" s="12">
        <v>0</v>
      </c>
      <c r="G222" s="18"/>
      <c r="H222" s="12">
        <v>11</v>
      </c>
      <c r="I222" s="19">
        <v>46302.366377314807</v>
      </c>
      <c r="J222" s="12"/>
      <c r="K222" s="12" t="s">
        <v>1239</v>
      </c>
    </row>
    <row r="223" spans="1:11" x14ac:dyDescent="0.25">
      <c r="A223" s="15" t="s">
        <v>2049</v>
      </c>
      <c r="B223" s="12" t="s">
        <v>1832</v>
      </c>
      <c r="C223" s="12" t="s">
        <v>1657</v>
      </c>
      <c r="D223" s="18" t="s">
        <v>1728</v>
      </c>
      <c r="E223" s="12">
        <v>276</v>
      </c>
      <c r="F223" s="12">
        <v>0</v>
      </c>
      <c r="G223" s="18"/>
      <c r="H223" s="12">
        <v>0</v>
      </c>
      <c r="I223" s="19">
        <v>46302.366423611107</v>
      </c>
      <c r="J223" s="12"/>
      <c r="K223" s="12" t="s">
        <v>1239</v>
      </c>
    </row>
    <row r="224" spans="1:11" x14ac:dyDescent="0.25">
      <c r="A224" s="15" t="s">
        <v>2050</v>
      </c>
      <c r="B224" s="12" t="s">
        <v>1770</v>
      </c>
      <c r="C224" s="12" t="s">
        <v>1657</v>
      </c>
      <c r="D224" s="18" t="s">
        <v>1736</v>
      </c>
      <c r="E224" s="12">
        <v>47</v>
      </c>
      <c r="F224" s="12">
        <v>0</v>
      </c>
      <c r="G224" s="18"/>
      <c r="H224" s="12">
        <v>0</v>
      </c>
      <c r="I224" s="19">
        <v>46302.366469907407</v>
      </c>
      <c r="J224" s="12"/>
      <c r="K224" s="12" t="s">
        <v>1239</v>
      </c>
    </row>
    <row r="225" spans="1:11" x14ac:dyDescent="0.25">
      <c r="A225" s="15" t="s">
        <v>2051</v>
      </c>
      <c r="B225" s="12" t="s">
        <v>2052</v>
      </c>
      <c r="C225" s="12" t="s">
        <v>1657</v>
      </c>
      <c r="D225" s="18" t="s">
        <v>2053</v>
      </c>
      <c r="E225" s="12">
        <v>8</v>
      </c>
      <c r="F225" s="12">
        <v>0</v>
      </c>
      <c r="G225" s="18"/>
      <c r="H225" s="12">
        <v>0</v>
      </c>
      <c r="I225" s="19">
        <v>46302.366516203707</v>
      </c>
      <c r="J225" s="12"/>
      <c r="K225" s="12" t="s">
        <v>1239</v>
      </c>
    </row>
    <row r="226" spans="1:11" x14ac:dyDescent="0.25">
      <c r="A226" s="15" t="s">
        <v>2054</v>
      </c>
      <c r="B226" s="12" t="s">
        <v>1244</v>
      </c>
      <c r="C226" s="12" t="s">
        <v>1657</v>
      </c>
      <c r="D226" s="18" t="s">
        <v>1990</v>
      </c>
      <c r="E226" s="12">
        <v>2331</v>
      </c>
      <c r="F226" s="12">
        <v>0</v>
      </c>
      <c r="G226" s="18"/>
      <c r="H226" s="12">
        <v>11</v>
      </c>
      <c r="I226" s="19">
        <v>46302.366782407407</v>
      </c>
      <c r="J226" s="12"/>
      <c r="K226" s="12" t="s">
        <v>1285</v>
      </c>
    </row>
    <row r="227" spans="1:11" x14ac:dyDescent="0.25">
      <c r="A227" s="15" t="s">
        <v>2055</v>
      </c>
      <c r="B227" s="12" t="s">
        <v>1832</v>
      </c>
      <c r="C227" s="12" t="s">
        <v>1657</v>
      </c>
      <c r="D227" s="18" t="s">
        <v>1728</v>
      </c>
      <c r="E227" s="12">
        <v>277</v>
      </c>
      <c r="F227" s="12">
        <v>0</v>
      </c>
      <c r="G227" s="18"/>
      <c r="H227" s="12">
        <v>0</v>
      </c>
      <c r="I227" s="19">
        <v>46302.366828703707</v>
      </c>
      <c r="J227" s="12"/>
      <c r="K227" s="12" t="s">
        <v>1285</v>
      </c>
    </row>
    <row r="228" spans="1:11" x14ac:dyDescent="0.25">
      <c r="A228" s="15" t="s">
        <v>2056</v>
      </c>
      <c r="B228" s="12" t="s">
        <v>1770</v>
      </c>
      <c r="C228" s="12" t="s">
        <v>1657</v>
      </c>
      <c r="D228" s="18" t="s">
        <v>1736</v>
      </c>
      <c r="E228" s="12">
        <v>49</v>
      </c>
      <c r="F228" s="12">
        <v>0</v>
      </c>
      <c r="G228" s="18"/>
      <c r="H228" s="12">
        <v>0</v>
      </c>
      <c r="I228" s="19">
        <v>46302.366875</v>
      </c>
      <c r="J228" s="12"/>
      <c r="K228" s="12" t="s">
        <v>1285</v>
      </c>
    </row>
    <row r="229" spans="1:11" x14ac:dyDescent="0.25">
      <c r="A229" s="15" t="s">
        <v>2057</v>
      </c>
      <c r="B229" s="12" t="s">
        <v>2058</v>
      </c>
      <c r="C229" s="12" t="s">
        <v>1657</v>
      </c>
      <c r="D229" s="18" t="s">
        <v>2059</v>
      </c>
      <c r="E229" s="12">
        <v>11</v>
      </c>
      <c r="F229" s="12">
        <v>0</v>
      </c>
      <c r="G229" s="18"/>
      <c r="H229" s="12">
        <v>0</v>
      </c>
      <c r="I229" s="19">
        <v>46302.3669212963</v>
      </c>
      <c r="J229" s="12"/>
      <c r="K229" s="12" t="s">
        <v>1285</v>
      </c>
    </row>
    <row r="230" spans="1:11" x14ac:dyDescent="0.25">
      <c r="A230" s="15" t="s">
        <v>2060</v>
      </c>
      <c r="B230" s="12" t="s">
        <v>1244</v>
      </c>
      <c r="C230" s="12" t="s">
        <v>1657</v>
      </c>
      <c r="D230" s="18" t="s">
        <v>1990</v>
      </c>
      <c r="E230" s="12">
        <v>2336</v>
      </c>
      <c r="F230" s="12">
        <v>0</v>
      </c>
      <c r="G230" s="18"/>
      <c r="H230" s="12">
        <v>11</v>
      </c>
      <c r="I230" s="19">
        <v>46302.367175925923</v>
      </c>
      <c r="J230" s="12"/>
      <c r="K230" s="12" t="s">
        <v>1324</v>
      </c>
    </row>
    <row r="231" spans="1:11" x14ac:dyDescent="0.25">
      <c r="A231" s="15" t="s">
        <v>2061</v>
      </c>
      <c r="B231" s="12" t="s">
        <v>1770</v>
      </c>
      <c r="C231" s="12" t="s">
        <v>1657</v>
      </c>
      <c r="D231" s="18" t="s">
        <v>1736</v>
      </c>
      <c r="E231" s="12">
        <v>49</v>
      </c>
      <c r="F231" s="12">
        <v>0</v>
      </c>
      <c r="G231" s="18"/>
      <c r="H231" s="12">
        <v>0</v>
      </c>
      <c r="I231" s="19">
        <v>46302.3672337963</v>
      </c>
      <c r="J231" s="12"/>
      <c r="K231" s="12" t="s">
        <v>1324</v>
      </c>
    </row>
    <row r="232" spans="1:11" x14ac:dyDescent="0.25">
      <c r="A232" s="15" t="s">
        <v>2062</v>
      </c>
      <c r="B232" s="12" t="s">
        <v>2063</v>
      </c>
      <c r="C232" s="12" t="s">
        <v>1657</v>
      </c>
      <c r="D232" s="18" t="s">
        <v>2064</v>
      </c>
      <c r="E232" s="12">
        <v>11</v>
      </c>
      <c r="F232" s="12">
        <v>0</v>
      </c>
      <c r="G232" s="18"/>
      <c r="H232" s="12">
        <v>0</v>
      </c>
      <c r="I232" s="19">
        <v>46302.367291666669</v>
      </c>
      <c r="J232" s="12"/>
      <c r="K232" s="12" t="s">
        <v>1324</v>
      </c>
    </row>
    <row r="233" spans="1:11" x14ac:dyDescent="0.25">
      <c r="A233" s="15" t="s">
        <v>2065</v>
      </c>
      <c r="B233" s="12" t="s">
        <v>1244</v>
      </c>
      <c r="C233" s="12" t="s">
        <v>1657</v>
      </c>
      <c r="D233" s="18" t="s">
        <v>1990</v>
      </c>
      <c r="E233" s="12">
        <v>2344</v>
      </c>
      <c r="F233" s="12">
        <v>0</v>
      </c>
      <c r="G233" s="18"/>
      <c r="H233" s="12">
        <v>11</v>
      </c>
      <c r="I233" s="19">
        <v>46302.367650462962</v>
      </c>
      <c r="J233" s="12"/>
      <c r="K233" s="12" t="s">
        <v>1360</v>
      </c>
    </row>
    <row r="234" spans="1:11" x14ac:dyDescent="0.25">
      <c r="A234" s="15" t="s">
        <v>2066</v>
      </c>
      <c r="B234" s="12" t="s">
        <v>2067</v>
      </c>
      <c r="C234" s="12" t="s">
        <v>1657</v>
      </c>
      <c r="D234" s="18" t="s">
        <v>2068</v>
      </c>
      <c r="E234" s="12">
        <v>98</v>
      </c>
      <c r="F234" s="12">
        <v>0</v>
      </c>
      <c r="G234" s="18"/>
      <c r="H234" s="12">
        <v>0</v>
      </c>
      <c r="I234" s="19">
        <v>46302.367696759262</v>
      </c>
      <c r="J234" s="12"/>
      <c r="K234" s="12" t="s">
        <v>1360</v>
      </c>
    </row>
    <row r="235" spans="1:11" x14ac:dyDescent="0.25">
      <c r="A235" s="15" t="s">
        <v>2069</v>
      </c>
      <c r="B235" s="12" t="s">
        <v>1244</v>
      </c>
      <c r="C235" s="12" t="s">
        <v>1657</v>
      </c>
      <c r="D235" s="18" t="s">
        <v>1990</v>
      </c>
      <c r="E235" s="12">
        <v>2346</v>
      </c>
      <c r="F235" s="12">
        <v>0</v>
      </c>
      <c r="G235" s="18"/>
      <c r="H235" s="12">
        <v>11</v>
      </c>
      <c r="I235" s="19">
        <v>46302.368564814817</v>
      </c>
      <c r="J235" s="12"/>
      <c r="K235" s="12" t="s">
        <v>527</v>
      </c>
    </row>
    <row r="236" spans="1:11" x14ac:dyDescent="0.25">
      <c r="A236" s="15" t="s">
        <v>2070</v>
      </c>
      <c r="B236" s="12" t="s">
        <v>1832</v>
      </c>
      <c r="C236" s="12" t="s">
        <v>1657</v>
      </c>
      <c r="D236" s="18" t="s">
        <v>1728</v>
      </c>
      <c r="E236" s="12">
        <v>278</v>
      </c>
      <c r="F236" s="12">
        <v>0</v>
      </c>
      <c r="G236" s="18"/>
      <c r="H236" s="12">
        <v>0</v>
      </c>
      <c r="I236" s="19">
        <v>46302.368611111109</v>
      </c>
      <c r="J236" s="12"/>
      <c r="K236" s="12" t="s">
        <v>527</v>
      </c>
    </row>
    <row r="237" spans="1:11" x14ac:dyDescent="0.25">
      <c r="A237" s="15" t="s">
        <v>2071</v>
      </c>
      <c r="B237" s="12" t="s">
        <v>1770</v>
      </c>
      <c r="C237" s="12" t="s">
        <v>1657</v>
      </c>
      <c r="D237" s="18" t="s">
        <v>1736</v>
      </c>
      <c r="E237" s="12">
        <v>49</v>
      </c>
      <c r="F237" s="12">
        <v>0</v>
      </c>
      <c r="G237" s="18"/>
      <c r="H237" s="12">
        <v>0</v>
      </c>
      <c r="I237" s="19">
        <v>46302.368657407409</v>
      </c>
      <c r="J237" s="12"/>
      <c r="K237" s="12" t="s">
        <v>527</v>
      </c>
    </row>
    <row r="238" spans="1:11" x14ac:dyDescent="0.25">
      <c r="A238" s="15" t="s">
        <v>2072</v>
      </c>
      <c r="B238" s="12" t="s">
        <v>1244</v>
      </c>
      <c r="C238" s="12" t="s">
        <v>1657</v>
      </c>
      <c r="D238" s="18" t="s">
        <v>1990</v>
      </c>
      <c r="E238" s="12">
        <v>2352</v>
      </c>
      <c r="F238" s="12">
        <v>0</v>
      </c>
      <c r="G238" s="18"/>
      <c r="H238" s="12">
        <v>11</v>
      </c>
      <c r="I238" s="19">
        <v>46302.36886574074</v>
      </c>
      <c r="J238" s="12"/>
      <c r="K238" s="12" t="s">
        <v>538</v>
      </c>
    </row>
    <row r="239" spans="1:11" x14ac:dyDescent="0.25">
      <c r="A239" s="15" t="s">
        <v>2073</v>
      </c>
      <c r="B239" s="12" t="s">
        <v>1832</v>
      </c>
      <c r="C239" s="12" t="s">
        <v>1657</v>
      </c>
      <c r="D239" s="18" t="s">
        <v>1728</v>
      </c>
      <c r="E239" s="12">
        <v>280</v>
      </c>
      <c r="F239" s="12">
        <v>0</v>
      </c>
      <c r="G239" s="18"/>
      <c r="H239" s="12">
        <v>0</v>
      </c>
      <c r="I239" s="19">
        <v>46302.36891203704</v>
      </c>
      <c r="J239" s="12"/>
      <c r="K239" s="12" t="s">
        <v>538</v>
      </c>
    </row>
    <row r="240" spans="1:11" x14ac:dyDescent="0.25">
      <c r="A240" s="15" t="s">
        <v>2074</v>
      </c>
      <c r="B240" s="12" t="s">
        <v>1770</v>
      </c>
      <c r="C240" s="12" t="s">
        <v>1657</v>
      </c>
      <c r="D240" s="18" t="s">
        <v>1736</v>
      </c>
      <c r="E240" s="12">
        <v>50</v>
      </c>
      <c r="F240" s="12">
        <v>0</v>
      </c>
      <c r="G240" s="18"/>
      <c r="H240" s="12">
        <v>0</v>
      </c>
      <c r="I240" s="19">
        <v>46302.368958333333</v>
      </c>
      <c r="J240" s="12"/>
      <c r="K240" s="12" t="s">
        <v>538</v>
      </c>
    </row>
    <row r="241" spans="1:11" x14ac:dyDescent="0.25">
      <c r="A241" s="15" t="s">
        <v>2075</v>
      </c>
      <c r="B241" s="12" t="s">
        <v>1244</v>
      </c>
      <c r="C241" s="12" t="s">
        <v>1657</v>
      </c>
      <c r="D241" s="18" t="s">
        <v>1990</v>
      </c>
      <c r="E241" s="12">
        <v>2355</v>
      </c>
      <c r="F241" s="12">
        <v>0</v>
      </c>
      <c r="G241" s="18"/>
      <c r="H241" s="12">
        <v>11</v>
      </c>
      <c r="I241" s="19">
        <v>46302.369108796287</v>
      </c>
      <c r="J241" s="12"/>
      <c r="K241" s="12" t="s">
        <v>580</v>
      </c>
    </row>
    <row r="242" spans="1:11" x14ac:dyDescent="0.25">
      <c r="A242" s="15" t="s">
        <v>2076</v>
      </c>
      <c r="B242" s="12" t="s">
        <v>1832</v>
      </c>
      <c r="C242" s="12" t="s">
        <v>1657</v>
      </c>
      <c r="D242" s="18" t="s">
        <v>1728</v>
      </c>
      <c r="E242" s="12">
        <v>280</v>
      </c>
      <c r="F242" s="12">
        <v>0</v>
      </c>
      <c r="G242" s="18"/>
      <c r="H242" s="12">
        <v>0</v>
      </c>
      <c r="I242" s="19">
        <v>46302.369155092587</v>
      </c>
      <c r="J242" s="12"/>
      <c r="K242" s="12" t="s">
        <v>580</v>
      </c>
    </row>
    <row r="243" spans="1:11" x14ac:dyDescent="0.25">
      <c r="A243" s="15" t="s">
        <v>2077</v>
      </c>
      <c r="B243" s="12" t="s">
        <v>1770</v>
      </c>
      <c r="C243" s="12" t="s">
        <v>1657</v>
      </c>
      <c r="D243" s="18" t="s">
        <v>1736</v>
      </c>
      <c r="E243" s="12">
        <v>50</v>
      </c>
      <c r="F243" s="12">
        <v>0</v>
      </c>
      <c r="G243" s="18"/>
      <c r="H243" s="12">
        <v>0</v>
      </c>
      <c r="I243" s="19">
        <v>46302.369201388887</v>
      </c>
      <c r="J243" s="12"/>
      <c r="K243" s="12" t="s">
        <v>580</v>
      </c>
    </row>
    <row r="244" spans="1:11" x14ac:dyDescent="0.25">
      <c r="A244" s="15" t="s">
        <v>2078</v>
      </c>
      <c r="B244" s="12" t="s">
        <v>2079</v>
      </c>
      <c r="C244" s="12" t="s">
        <v>1657</v>
      </c>
      <c r="D244" s="18" t="s">
        <v>2080</v>
      </c>
      <c r="E244" s="12">
        <v>60</v>
      </c>
      <c r="F244" s="12">
        <v>0</v>
      </c>
      <c r="G244" s="18"/>
      <c r="H244" s="12">
        <v>0</v>
      </c>
      <c r="I244" s="19">
        <v>46302.369513888887</v>
      </c>
      <c r="J244" s="12"/>
      <c r="K244" s="12" t="s">
        <v>2081</v>
      </c>
    </row>
    <row r="245" spans="1:11" ht="25.5" x14ac:dyDescent="0.25">
      <c r="A245" s="15" t="s">
        <v>2082</v>
      </c>
      <c r="B245" s="12" t="s">
        <v>2083</v>
      </c>
      <c r="C245" s="12" t="s">
        <v>1657</v>
      </c>
      <c r="D245" s="18" t="s">
        <v>2084</v>
      </c>
      <c r="E245" s="12">
        <v>3</v>
      </c>
      <c r="F245" s="12">
        <v>0</v>
      </c>
      <c r="G245" s="18"/>
      <c r="H245" s="12">
        <v>0</v>
      </c>
      <c r="I245" s="19">
        <v>46302.369571759264</v>
      </c>
      <c r="J245" s="12"/>
      <c r="K245" s="12" t="s">
        <v>2085</v>
      </c>
    </row>
    <row r="246" spans="1:11" x14ac:dyDescent="0.25">
      <c r="A246" s="15" t="s">
        <v>2086</v>
      </c>
      <c r="B246" s="12" t="s">
        <v>1244</v>
      </c>
      <c r="C246" s="12" t="s">
        <v>1657</v>
      </c>
      <c r="D246" s="18" t="s">
        <v>1990</v>
      </c>
      <c r="E246" s="12">
        <v>2371</v>
      </c>
      <c r="F246" s="12">
        <v>0</v>
      </c>
      <c r="G246" s="18"/>
      <c r="H246" s="12">
        <v>11</v>
      </c>
      <c r="I246" s="19">
        <v>46302.429212962961</v>
      </c>
      <c r="J246" s="12"/>
      <c r="K246" s="12" t="s">
        <v>614</v>
      </c>
    </row>
    <row r="247" spans="1:11" x14ac:dyDescent="0.25">
      <c r="A247" s="15" t="s">
        <v>2087</v>
      </c>
      <c r="B247" s="12" t="s">
        <v>1244</v>
      </c>
      <c r="C247" s="12" t="s">
        <v>1657</v>
      </c>
      <c r="D247" s="18" t="s">
        <v>1990</v>
      </c>
      <c r="E247" s="12">
        <v>2377</v>
      </c>
      <c r="F247" s="12">
        <v>0</v>
      </c>
      <c r="G247" s="18"/>
      <c r="H247" s="12">
        <v>11</v>
      </c>
      <c r="I247" s="19">
        <v>46302.452060185176</v>
      </c>
      <c r="J247" s="12"/>
      <c r="K247" s="12" t="s">
        <v>628</v>
      </c>
    </row>
    <row r="248" spans="1:11" x14ac:dyDescent="0.25">
      <c r="A248" s="15" t="s">
        <v>2088</v>
      </c>
      <c r="B248" s="12" t="s">
        <v>1832</v>
      </c>
      <c r="C248" s="12" t="s">
        <v>1657</v>
      </c>
      <c r="D248" s="18" t="s">
        <v>1728</v>
      </c>
      <c r="E248" s="12">
        <v>284</v>
      </c>
      <c r="F248" s="12">
        <v>0</v>
      </c>
      <c r="G248" s="18"/>
      <c r="H248" s="12">
        <v>0</v>
      </c>
      <c r="I248" s="19">
        <v>46302.452106481483</v>
      </c>
      <c r="J248" s="12"/>
      <c r="K248" s="12" t="s">
        <v>628</v>
      </c>
    </row>
    <row r="249" spans="1:11" x14ac:dyDescent="0.25">
      <c r="A249" s="15" t="s">
        <v>2089</v>
      </c>
      <c r="B249" s="12" t="s">
        <v>1770</v>
      </c>
      <c r="C249" s="12" t="s">
        <v>1657</v>
      </c>
      <c r="D249" s="18" t="s">
        <v>1736</v>
      </c>
      <c r="E249" s="12">
        <v>52</v>
      </c>
      <c r="F249" s="12">
        <v>0</v>
      </c>
      <c r="G249" s="18"/>
      <c r="H249" s="12">
        <v>0</v>
      </c>
      <c r="I249" s="19">
        <v>46302.452152777783</v>
      </c>
      <c r="J249" s="12"/>
      <c r="K249" s="12" t="s">
        <v>628</v>
      </c>
    </row>
    <row r="250" spans="1:11" x14ac:dyDescent="0.25">
      <c r="A250" s="15" t="s">
        <v>2090</v>
      </c>
      <c r="B250" s="12" t="s">
        <v>2079</v>
      </c>
      <c r="C250" s="12" t="s">
        <v>1657</v>
      </c>
      <c r="D250" s="18" t="s">
        <v>2091</v>
      </c>
      <c r="E250" s="12">
        <v>60</v>
      </c>
      <c r="F250" s="12">
        <v>0</v>
      </c>
      <c r="G250" s="18"/>
      <c r="H250" s="12">
        <v>0</v>
      </c>
      <c r="I250" s="19">
        <v>46302.452210648153</v>
      </c>
      <c r="J250" s="12"/>
      <c r="K250" s="12" t="s">
        <v>628</v>
      </c>
    </row>
    <row r="251" spans="1:11" x14ac:dyDescent="0.25">
      <c r="A251" s="15" t="s">
        <v>2092</v>
      </c>
      <c r="B251" s="12" t="s">
        <v>1832</v>
      </c>
      <c r="C251" s="12" t="s">
        <v>1657</v>
      </c>
      <c r="D251" s="18" t="s">
        <v>1728</v>
      </c>
      <c r="E251" s="12">
        <v>286</v>
      </c>
      <c r="F251" s="12">
        <v>0</v>
      </c>
      <c r="G251" s="18" t="s">
        <v>639</v>
      </c>
      <c r="H251" s="12">
        <v>0</v>
      </c>
      <c r="I251" s="19">
        <v>46302.468981481477</v>
      </c>
      <c r="J251" s="12"/>
      <c r="K251" s="12" t="s">
        <v>644</v>
      </c>
    </row>
    <row r="252" spans="1:11" ht="25.5" x14ac:dyDescent="0.25">
      <c r="A252" s="15" t="s">
        <v>2093</v>
      </c>
      <c r="B252" s="12" t="s">
        <v>2079</v>
      </c>
      <c r="C252" s="12" t="s">
        <v>1657</v>
      </c>
      <c r="D252" s="18" t="s">
        <v>2094</v>
      </c>
      <c r="E252" s="12">
        <v>60</v>
      </c>
      <c r="F252" s="12">
        <v>0</v>
      </c>
      <c r="G252" s="18" t="s">
        <v>2095</v>
      </c>
      <c r="H252" s="12">
        <v>0</v>
      </c>
      <c r="I252" s="19">
        <v>46302.469027777777</v>
      </c>
      <c r="J252" s="12"/>
      <c r="K252" s="12" t="s">
        <v>644</v>
      </c>
    </row>
    <row r="253" spans="1:11" x14ac:dyDescent="0.25">
      <c r="A253" s="15" t="s">
        <v>2096</v>
      </c>
      <c r="B253" s="12" t="s">
        <v>1244</v>
      </c>
      <c r="C253" s="12" t="s">
        <v>1657</v>
      </c>
      <c r="D253" s="18" t="s">
        <v>1990</v>
      </c>
      <c r="E253" s="12">
        <v>2383</v>
      </c>
      <c r="F253" s="12">
        <v>0</v>
      </c>
      <c r="G253" s="18" t="s">
        <v>639</v>
      </c>
      <c r="H253" s="12">
        <v>11</v>
      </c>
      <c r="I253" s="19">
        <v>46302.469293981478</v>
      </c>
      <c r="J253" s="12">
        <v>529</v>
      </c>
      <c r="K253" s="12" t="s">
        <v>644</v>
      </c>
    </row>
    <row r="254" spans="1:11" ht="38.25" x14ac:dyDescent="0.25">
      <c r="A254" s="15" t="s">
        <v>2097</v>
      </c>
      <c r="B254" s="12" t="s">
        <v>1770</v>
      </c>
      <c r="C254" s="12" t="s">
        <v>1657</v>
      </c>
      <c r="D254" s="18" t="s">
        <v>1736</v>
      </c>
      <c r="E254" s="12">
        <v>52</v>
      </c>
      <c r="F254" s="12">
        <v>0</v>
      </c>
      <c r="G254" s="18" t="s">
        <v>2098</v>
      </c>
      <c r="H254" s="12">
        <v>0</v>
      </c>
      <c r="I254" s="19">
        <v>46302.476840277777</v>
      </c>
      <c r="J254" s="12"/>
      <c r="K254" s="12" t="s">
        <v>644</v>
      </c>
    </row>
    <row r="255" spans="1:11" x14ac:dyDescent="0.25">
      <c r="A255" s="15" t="s">
        <v>2099</v>
      </c>
      <c r="B255" s="12" t="s">
        <v>1244</v>
      </c>
      <c r="C255" s="12" t="s">
        <v>1657</v>
      </c>
      <c r="D255" s="18" t="s">
        <v>1990</v>
      </c>
      <c r="E255" s="12">
        <v>2389</v>
      </c>
      <c r="F255" s="12">
        <v>0</v>
      </c>
      <c r="G255" s="18" t="s">
        <v>661</v>
      </c>
      <c r="H255" s="12">
        <v>11</v>
      </c>
      <c r="I255" s="19">
        <v>46302.500381944446</v>
      </c>
      <c r="J255" s="12">
        <v>565</v>
      </c>
      <c r="K255" s="12" t="s">
        <v>666</v>
      </c>
    </row>
    <row r="256" spans="1:11" x14ac:dyDescent="0.25">
      <c r="A256" s="15" t="s">
        <v>2100</v>
      </c>
      <c r="B256" s="12" t="s">
        <v>1832</v>
      </c>
      <c r="C256" s="12" t="s">
        <v>1657</v>
      </c>
      <c r="D256" s="18" t="s">
        <v>1728</v>
      </c>
      <c r="E256" s="12">
        <v>290</v>
      </c>
      <c r="F256" s="12">
        <v>0</v>
      </c>
      <c r="G256" s="18" t="s">
        <v>661</v>
      </c>
      <c r="H256" s="12">
        <v>0</v>
      </c>
      <c r="I256" s="19">
        <v>46302.500428240739</v>
      </c>
      <c r="J256" s="12"/>
      <c r="K256" s="12" t="s">
        <v>666</v>
      </c>
    </row>
    <row r="257" spans="1:11" x14ac:dyDescent="0.25">
      <c r="A257" s="15" t="s">
        <v>2101</v>
      </c>
      <c r="B257" s="12" t="s">
        <v>1770</v>
      </c>
      <c r="C257" s="12" t="s">
        <v>1657</v>
      </c>
      <c r="D257" s="18" t="s">
        <v>1736</v>
      </c>
      <c r="E257" s="12">
        <v>53</v>
      </c>
      <c r="F257" s="12">
        <v>0</v>
      </c>
      <c r="G257" s="18" t="s">
        <v>661</v>
      </c>
      <c r="H257" s="12">
        <v>0</v>
      </c>
      <c r="I257" s="19">
        <v>46302.500486111108</v>
      </c>
      <c r="J257" s="12"/>
      <c r="K257" s="12" t="s">
        <v>666</v>
      </c>
    </row>
    <row r="258" spans="1:11" ht="25.5" x14ac:dyDescent="0.25">
      <c r="A258" s="15" t="s">
        <v>2102</v>
      </c>
      <c r="B258" s="12" t="s">
        <v>2079</v>
      </c>
      <c r="C258" s="12" t="s">
        <v>1657</v>
      </c>
      <c r="D258" s="18" t="s">
        <v>2094</v>
      </c>
      <c r="E258" s="12">
        <v>60</v>
      </c>
      <c r="F258" s="12">
        <v>0</v>
      </c>
      <c r="G258" s="18" t="s">
        <v>2103</v>
      </c>
      <c r="H258" s="12">
        <v>0</v>
      </c>
      <c r="I258" s="19">
        <v>46302.500532407408</v>
      </c>
      <c r="J258" s="12"/>
      <c r="K258" s="12" t="s">
        <v>666</v>
      </c>
    </row>
    <row r="259" spans="1:11" x14ac:dyDescent="0.25">
      <c r="A259" s="15" t="s">
        <v>2104</v>
      </c>
      <c r="B259" s="12" t="s">
        <v>1244</v>
      </c>
      <c r="C259" s="12" t="s">
        <v>1657</v>
      </c>
      <c r="D259" s="18" t="s">
        <v>1990</v>
      </c>
      <c r="E259" s="12">
        <v>2395</v>
      </c>
      <c r="F259" s="12">
        <v>0</v>
      </c>
      <c r="G259" s="18" t="s">
        <v>675</v>
      </c>
      <c r="H259" s="12">
        <v>11</v>
      </c>
      <c r="I259" s="19">
        <v>46302.524768518517</v>
      </c>
      <c r="J259" s="12">
        <v>537</v>
      </c>
      <c r="K259" s="12" t="s">
        <v>680</v>
      </c>
    </row>
    <row r="260" spans="1:11" x14ac:dyDescent="0.25">
      <c r="A260" s="15" t="s">
        <v>2105</v>
      </c>
      <c r="B260" s="12" t="s">
        <v>1832</v>
      </c>
      <c r="C260" s="12" t="s">
        <v>1657</v>
      </c>
      <c r="D260" s="18" t="s">
        <v>1728</v>
      </c>
      <c r="E260" s="12">
        <v>290</v>
      </c>
      <c r="F260" s="12">
        <v>0</v>
      </c>
      <c r="G260" s="18" t="s">
        <v>675</v>
      </c>
      <c r="H260" s="12">
        <v>0</v>
      </c>
      <c r="I260" s="19">
        <v>46302.524814814817</v>
      </c>
      <c r="J260" s="12"/>
      <c r="K260" s="12" t="s">
        <v>680</v>
      </c>
    </row>
    <row r="261" spans="1:11" x14ac:dyDescent="0.25">
      <c r="A261" s="15" t="s">
        <v>2106</v>
      </c>
      <c r="B261" s="12" t="s">
        <v>1770</v>
      </c>
      <c r="C261" s="12" t="s">
        <v>1657</v>
      </c>
      <c r="D261" s="18" t="s">
        <v>1736</v>
      </c>
      <c r="E261" s="12">
        <v>53</v>
      </c>
      <c r="F261" s="12">
        <v>0</v>
      </c>
      <c r="G261" s="18" t="s">
        <v>675</v>
      </c>
      <c r="H261" s="12">
        <v>0</v>
      </c>
      <c r="I261" s="19">
        <v>46302.524872685193</v>
      </c>
      <c r="J261" s="12"/>
      <c r="K261" s="12" t="s">
        <v>680</v>
      </c>
    </row>
    <row r="262" spans="1:11" ht="25.5" x14ac:dyDescent="0.25">
      <c r="A262" s="15" t="s">
        <v>2107</v>
      </c>
      <c r="B262" s="12" t="s">
        <v>2079</v>
      </c>
      <c r="C262" s="12" t="s">
        <v>1657</v>
      </c>
      <c r="D262" s="18" t="s">
        <v>2108</v>
      </c>
      <c r="E262" s="12">
        <v>60</v>
      </c>
      <c r="F262" s="12">
        <v>0</v>
      </c>
      <c r="G262" s="18" t="s">
        <v>2109</v>
      </c>
      <c r="H262" s="12">
        <v>0</v>
      </c>
      <c r="I262" s="19">
        <v>46302.524918981479</v>
      </c>
      <c r="J262" s="12"/>
      <c r="K262" s="12" t="s">
        <v>680</v>
      </c>
    </row>
    <row r="263" spans="1:11" x14ac:dyDescent="0.25">
      <c r="A263" s="15" t="s">
        <v>2110</v>
      </c>
      <c r="B263" s="12" t="s">
        <v>1244</v>
      </c>
      <c r="C263" s="12" t="s">
        <v>1657</v>
      </c>
      <c r="D263" s="18" t="s">
        <v>2111</v>
      </c>
      <c r="E263" s="12">
        <v>39</v>
      </c>
      <c r="F263" s="12">
        <v>0</v>
      </c>
      <c r="G263" s="18" t="s">
        <v>724</v>
      </c>
      <c r="H263" s="12">
        <v>0</v>
      </c>
      <c r="I263" s="19">
        <v>46302.527557870373</v>
      </c>
      <c r="J263" s="12"/>
      <c r="K263" s="12" t="s">
        <v>729</v>
      </c>
    </row>
    <row r="264" spans="1:11" x14ac:dyDescent="0.25">
      <c r="A264" s="15" t="s">
        <v>2112</v>
      </c>
      <c r="B264" s="12" t="s">
        <v>1244</v>
      </c>
      <c r="C264" s="12" t="s">
        <v>1657</v>
      </c>
      <c r="D264" s="18" t="s">
        <v>1990</v>
      </c>
      <c r="E264" s="12">
        <v>2404</v>
      </c>
      <c r="F264" s="12">
        <v>0</v>
      </c>
      <c r="G264" s="18" t="s">
        <v>775</v>
      </c>
      <c r="H264" s="12">
        <v>11</v>
      </c>
      <c r="I264" s="19">
        <v>46302.636342592603</v>
      </c>
      <c r="J264" s="12">
        <v>515</v>
      </c>
      <c r="K264" s="12" t="s">
        <v>780</v>
      </c>
    </row>
    <row r="265" spans="1:11" x14ac:dyDescent="0.25">
      <c r="A265" s="15" t="s">
        <v>2113</v>
      </c>
      <c r="B265" s="12" t="s">
        <v>1832</v>
      </c>
      <c r="C265" s="12" t="s">
        <v>1657</v>
      </c>
      <c r="D265" s="18" t="s">
        <v>1728</v>
      </c>
      <c r="E265" s="12">
        <v>290</v>
      </c>
      <c r="F265" s="12">
        <v>0</v>
      </c>
      <c r="G265" s="18" t="s">
        <v>775</v>
      </c>
      <c r="H265" s="12">
        <v>0</v>
      </c>
      <c r="I265" s="19">
        <v>46302.636400462958</v>
      </c>
      <c r="J265" s="12"/>
      <c r="K265" s="12" t="s">
        <v>780</v>
      </c>
    </row>
    <row r="266" spans="1:11" x14ac:dyDescent="0.25">
      <c r="A266" s="15" t="s">
        <v>2114</v>
      </c>
      <c r="B266" s="12" t="s">
        <v>1770</v>
      </c>
      <c r="C266" s="12" t="s">
        <v>1657</v>
      </c>
      <c r="D266" s="18" t="s">
        <v>1736</v>
      </c>
      <c r="E266" s="12">
        <v>53</v>
      </c>
      <c r="F266" s="12">
        <v>0</v>
      </c>
      <c r="G266" s="18" t="s">
        <v>775</v>
      </c>
      <c r="H266" s="12">
        <v>0</v>
      </c>
      <c r="I266" s="19">
        <v>46302.636446759258</v>
      </c>
      <c r="J266" s="12"/>
      <c r="K266" s="12" t="s">
        <v>780</v>
      </c>
    </row>
    <row r="267" spans="1:11" ht="25.5" x14ac:dyDescent="0.25">
      <c r="A267" s="15" t="s">
        <v>2115</v>
      </c>
      <c r="B267" s="12" t="s">
        <v>2079</v>
      </c>
      <c r="C267" s="12" t="s">
        <v>1657</v>
      </c>
      <c r="D267" s="18" t="s">
        <v>2094</v>
      </c>
      <c r="E267" s="12">
        <v>60</v>
      </c>
      <c r="F267" s="12">
        <v>0</v>
      </c>
      <c r="G267" s="18" t="s">
        <v>2116</v>
      </c>
      <c r="H267" s="12">
        <v>0</v>
      </c>
      <c r="I267" s="19">
        <v>46302.636493055557</v>
      </c>
      <c r="J267" s="12"/>
      <c r="K267" s="12" t="s">
        <v>780</v>
      </c>
    </row>
    <row r="268" spans="1:11" x14ac:dyDescent="0.25">
      <c r="A268" s="15" t="s">
        <v>2117</v>
      </c>
      <c r="B268" s="12" t="s">
        <v>1832</v>
      </c>
      <c r="C268" s="12" t="s">
        <v>1657</v>
      </c>
      <c r="D268" s="18" t="s">
        <v>1728</v>
      </c>
      <c r="E268" s="12">
        <v>296</v>
      </c>
      <c r="F268" s="12">
        <v>0</v>
      </c>
      <c r="G268" s="18" t="s">
        <v>917</v>
      </c>
      <c r="H268" s="12">
        <v>0</v>
      </c>
      <c r="I268" s="19">
        <v>46302.662418981483</v>
      </c>
      <c r="J268" s="12"/>
      <c r="K268" s="12" t="s">
        <v>922</v>
      </c>
    </row>
    <row r="269" spans="1:11" x14ac:dyDescent="0.25">
      <c r="A269" s="15" t="s">
        <v>2118</v>
      </c>
      <c r="B269" s="12" t="s">
        <v>1770</v>
      </c>
      <c r="C269" s="12" t="s">
        <v>1657</v>
      </c>
      <c r="D269" s="18" t="s">
        <v>1736</v>
      </c>
      <c r="E269" s="12">
        <v>53</v>
      </c>
      <c r="F269" s="12">
        <v>0</v>
      </c>
      <c r="G269" s="18" t="s">
        <v>2119</v>
      </c>
      <c r="H269" s="12">
        <v>1</v>
      </c>
      <c r="I269" s="19">
        <v>46302.662465277783</v>
      </c>
      <c r="J269" s="12"/>
      <c r="K269" s="12" t="s">
        <v>922</v>
      </c>
    </row>
    <row r="270" spans="1:11" ht="25.5" x14ac:dyDescent="0.25">
      <c r="A270" s="15" t="s">
        <v>2120</v>
      </c>
      <c r="B270" s="12" t="s">
        <v>1244</v>
      </c>
      <c r="C270" s="12" t="s">
        <v>1657</v>
      </c>
      <c r="D270" s="18" t="s">
        <v>1990</v>
      </c>
      <c r="E270" s="12">
        <v>2424</v>
      </c>
      <c r="F270" s="12">
        <v>0</v>
      </c>
      <c r="G270" s="18" t="s">
        <v>2121</v>
      </c>
      <c r="H270" s="12">
        <v>11</v>
      </c>
      <c r="I270" s="19">
        <v>46302.677025462966</v>
      </c>
      <c r="J270" s="12">
        <v>517</v>
      </c>
      <c r="K270" s="12" t="s">
        <v>1123</v>
      </c>
    </row>
    <row r="271" spans="1:11" x14ac:dyDescent="0.25">
      <c r="A271" s="15" t="s">
        <v>2122</v>
      </c>
      <c r="B271" s="12" t="s">
        <v>1244</v>
      </c>
      <c r="C271" s="12" t="s">
        <v>1657</v>
      </c>
      <c r="D271" s="18" t="s">
        <v>2123</v>
      </c>
      <c r="E271" s="12">
        <v>5</v>
      </c>
      <c r="F271" s="12">
        <v>0</v>
      </c>
      <c r="G271" s="18" t="s">
        <v>1101</v>
      </c>
      <c r="H271" s="12">
        <v>0</v>
      </c>
      <c r="I271" s="19">
        <v>46302.680937500001</v>
      </c>
      <c r="J271" s="12"/>
      <c r="K271" s="12" t="s">
        <v>1107</v>
      </c>
    </row>
    <row r="272" spans="1:11" x14ac:dyDescent="0.25">
      <c r="A272" s="15" t="s">
        <v>2124</v>
      </c>
      <c r="B272" s="12" t="s">
        <v>1244</v>
      </c>
      <c r="C272" s="12" t="s">
        <v>1657</v>
      </c>
      <c r="D272" s="18" t="s">
        <v>1990</v>
      </c>
      <c r="E272" s="12">
        <v>2434</v>
      </c>
      <c r="F272" s="12">
        <v>0</v>
      </c>
      <c r="G272" s="18" t="s">
        <v>1187</v>
      </c>
      <c r="H272" s="12">
        <v>11</v>
      </c>
      <c r="I272" s="19">
        <v>46302.691018518519</v>
      </c>
      <c r="J272" s="12">
        <v>598</v>
      </c>
      <c r="K272" s="12" t="s">
        <v>1192</v>
      </c>
    </row>
    <row r="273" spans="1:11" x14ac:dyDescent="0.25">
      <c r="A273" s="15" t="s">
        <v>2125</v>
      </c>
      <c r="B273" s="12" t="s">
        <v>1832</v>
      </c>
      <c r="C273" s="12" t="s">
        <v>1657</v>
      </c>
      <c r="D273" s="18" t="s">
        <v>1728</v>
      </c>
      <c r="E273" s="12">
        <v>299</v>
      </c>
      <c r="F273" s="12">
        <v>0</v>
      </c>
      <c r="G273" s="18" t="s">
        <v>1187</v>
      </c>
      <c r="H273" s="12">
        <v>0</v>
      </c>
      <c r="I273" s="19">
        <v>46302.691064814811</v>
      </c>
      <c r="J273" s="12"/>
      <c r="K273" s="12" t="s">
        <v>1192</v>
      </c>
    </row>
    <row r="274" spans="1:11" ht="25.5" x14ac:dyDescent="0.25">
      <c r="A274" s="15" t="s">
        <v>2126</v>
      </c>
      <c r="B274" s="12" t="s">
        <v>1770</v>
      </c>
      <c r="C274" s="12" t="s">
        <v>1657</v>
      </c>
      <c r="D274" s="18" t="s">
        <v>1736</v>
      </c>
      <c r="E274" s="12">
        <v>53</v>
      </c>
      <c r="F274" s="12">
        <v>0</v>
      </c>
      <c r="G274" s="18" t="s">
        <v>2127</v>
      </c>
      <c r="H274" s="12">
        <v>1</v>
      </c>
      <c r="I274" s="19">
        <v>46302.691111111111</v>
      </c>
      <c r="J274" s="12"/>
      <c r="K274" s="12" t="s">
        <v>1192</v>
      </c>
    </row>
    <row r="275" spans="1:11" ht="25.5" x14ac:dyDescent="0.25">
      <c r="A275" s="15" t="s">
        <v>2128</v>
      </c>
      <c r="B275" s="12" t="s">
        <v>1244</v>
      </c>
      <c r="C275" s="12" t="s">
        <v>1657</v>
      </c>
      <c r="D275" s="18" t="s">
        <v>1990</v>
      </c>
      <c r="E275" s="12">
        <v>2442</v>
      </c>
      <c r="F275" s="12">
        <v>0</v>
      </c>
      <c r="G275" s="18" t="s">
        <v>2129</v>
      </c>
      <c r="H275" s="12">
        <v>11</v>
      </c>
      <c r="I275" s="19">
        <v>46302.707789351851</v>
      </c>
      <c r="J275" s="12">
        <v>532</v>
      </c>
      <c r="K275" s="12" t="s">
        <v>1233</v>
      </c>
    </row>
    <row r="276" spans="1:11" x14ac:dyDescent="0.25">
      <c r="A276" s="15" t="s">
        <v>2130</v>
      </c>
      <c r="B276" s="12" t="s">
        <v>1832</v>
      </c>
      <c r="C276" s="12" t="s">
        <v>1657</v>
      </c>
      <c r="D276" s="18" t="s">
        <v>1728</v>
      </c>
      <c r="E276" s="12">
        <v>301</v>
      </c>
      <c r="F276" s="12">
        <v>0</v>
      </c>
      <c r="G276" s="18" t="s">
        <v>1228</v>
      </c>
      <c r="H276" s="12">
        <v>0</v>
      </c>
      <c r="I276" s="19">
        <v>46302.707835648151</v>
      </c>
      <c r="J276" s="12"/>
      <c r="K276" s="12" t="s">
        <v>1233</v>
      </c>
    </row>
    <row r="277" spans="1:11" ht="38.25" x14ac:dyDescent="0.25">
      <c r="A277" s="15" t="s">
        <v>2131</v>
      </c>
      <c r="B277" s="12" t="s">
        <v>1244</v>
      </c>
      <c r="C277" s="12" t="s">
        <v>1657</v>
      </c>
      <c r="D277" s="18" t="s">
        <v>1990</v>
      </c>
      <c r="E277" s="12">
        <v>2453</v>
      </c>
      <c r="F277" s="12">
        <v>0</v>
      </c>
      <c r="G277" s="18" t="s">
        <v>2132</v>
      </c>
      <c r="H277" s="12">
        <v>11</v>
      </c>
      <c r="I277" s="19">
        <v>46302.733969907407</v>
      </c>
      <c r="J277" s="12">
        <v>635</v>
      </c>
      <c r="K277" s="12" t="s">
        <v>1251</v>
      </c>
    </row>
    <row r="278" spans="1:11" x14ac:dyDescent="0.25">
      <c r="A278" s="15" t="s">
        <v>2133</v>
      </c>
      <c r="B278" s="12" t="s">
        <v>1832</v>
      </c>
      <c r="C278" s="12" t="s">
        <v>1657</v>
      </c>
      <c r="D278" s="18" t="s">
        <v>1728</v>
      </c>
      <c r="E278" s="12">
        <v>303</v>
      </c>
      <c r="F278" s="12">
        <v>0</v>
      </c>
      <c r="G278" s="18" t="s">
        <v>1246</v>
      </c>
      <c r="H278" s="12">
        <v>0</v>
      </c>
      <c r="I278" s="19">
        <v>46302.734016203707</v>
      </c>
      <c r="J278" s="12"/>
      <c r="K278" s="12" t="s">
        <v>1251</v>
      </c>
    </row>
    <row r="279" spans="1:11" x14ac:dyDescent="0.25">
      <c r="A279" s="15" t="s">
        <v>2134</v>
      </c>
      <c r="B279" s="12" t="s">
        <v>1770</v>
      </c>
      <c r="C279" s="12" t="s">
        <v>1657</v>
      </c>
      <c r="D279" s="18" t="s">
        <v>1736</v>
      </c>
      <c r="E279" s="12">
        <v>54</v>
      </c>
      <c r="F279" s="12">
        <v>0</v>
      </c>
      <c r="G279" s="18" t="s">
        <v>1246</v>
      </c>
      <c r="H279" s="12">
        <v>1</v>
      </c>
      <c r="I279" s="19">
        <v>46302.734074074076</v>
      </c>
      <c r="J279" s="12"/>
      <c r="K279" s="12" t="s">
        <v>1251</v>
      </c>
    </row>
    <row r="280" spans="1:11" x14ac:dyDescent="0.25">
      <c r="A280" s="15" t="s">
        <v>2135</v>
      </c>
      <c r="B280" s="12" t="s">
        <v>1244</v>
      </c>
      <c r="C280" s="12" t="s">
        <v>1657</v>
      </c>
      <c r="D280" s="18" t="s">
        <v>1990</v>
      </c>
      <c r="E280" s="12">
        <v>2460</v>
      </c>
      <c r="F280" s="12">
        <v>0</v>
      </c>
      <c r="G280" s="18" t="s">
        <v>1253</v>
      </c>
      <c r="H280" s="12">
        <v>11</v>
      </c>
      <c r="I280" s="19">
        <v>46302.751527777778</v>
      </c>
      <c r="J280" s="12">
        <v>555</v>
      </c>
      <c r="K280" s="12" t="s">
        <v>1258</v>
      </c>
    </row>
    <row r="281" spans="1:11" x14ac:dyDescent="0.25">
      <c r="A281" s="15" t="s">
        <v>2136</v>
      </c>
      <c r="B281" s="12" t="s">
        <v>1832</v>
      </c>
      <c r="C281" s="12" t="s">
        <v>1657</v>
      </c>
      <c r="D281" s="18" t="s">
        <v>1728</v>
      </c>
      <c r="E281" s="12">
        <v>305</v>
      </c>
      <c r="F281" s="12">
        <v>0</v>
      </c>
      <c r="G281" s="18" t="s">
        <v>1253</v>
      </c>
      <c r="H281" s="12">
        <v>0</v>
      </c>
      <c r="I281" s="19">
        <v>46302.751562500001</v>
      </c>
      <c r="J281" s="12"/>
      <c r="K281" s="12" t="s">
        <v>1258</v>
      </c>
    </row>
    <row r="282" spans="1:11" x14ac:dyDescent="0.25">
      <c r="A282" s="15" t="s">
        <v>2137</v>
      </c>
      <c r="B282" s="12" t="s">
        <v>1770</v>
      </c>
      <c r="C282" s="12" t="s">
        <v>1657</v>
      </c>
      <c r="D282" s="18" t="s">
        <v>1736</v>
      </c>
      <c r="E282" s="12">
        <v>55</v>
      </c>
      <c r="F282" s="12">
        <v>0</v>
      </c>
      <c r="G282" s="18" t="s">
        <v>1253</v>
      </c>
      <c r="H282" s="12">
        <v>1</v>
      </c>
      <c r="I282" s="19">
        <v>46302.751620370371</v>
      </c>
      <c r="J282" s="12"/>
      <c r="K282" s="12" t="s">
        <v>1258</v>
      </c>
    </row>
    <row r="283" spans="1:11" x14ac:dyDescent="0.25">
      <c r="A283" s="15" t="s">
        <v>2138</v>
      </c>
      <c r="B283" s="12" t="s">
        <v>1244</v>
      </c>
      <c r="C283" s="12" t="s">
        <v>1657</v>
      </c>
      <c r="D283" s="18" t="s">
        <v>1990</v>
      </c>
      <c r="E283" s="12">
        <v>2472</v>
      </c>
      <c r="F283" s="12">
        <v>0</v>
      </c>
      <c r="G283" s="18" t="s">
        <v>1259</v>
      </c>
      <c r="H283" s="12">
        <v>11</v>
      </c>
      <c r="I283" s="19">
        <v>46302.856307870366</v>
      </c>
      <c r="J283" s="12">
        <v>561</v>
      </c>
      <c r="K283" s="12" t="s">
        <v>1265</v>
      </c>
    </row>
    <row r="284" spans="1:11" x14ac:dyDescent="0.25">
      <c r="A284" s="15" t="s">
        <v>2139</v>
      </c>
      <c r="B284" s="12" t="s">
        <v>1832</v>
      </c>
      <c r="C284" s="12" t="s">
        <v>1657</v>
      </c>
      <c r="D284" s="18" t="s">
        <v>1728</v>
      </c>
      <c r="E284" s="12">
        <v>307</v>
      </c>
      <c r="F284" s="12">
        <v>0</v>
      </c>
      <c r="G284" s="18" t="s">
        <v>1259</v>
      </c>
      <c r="H284" s="12">
        <v>0</v>
      </c>
      <c r="I284" s="19">
        <v>46302.856365740743</v>
      </c>
      <c r="J284" s="12"/>
      <c r="K284" s="12" t="s">
        <v>1265</v>
      </c>
    </row>
    <row r="285" spans="1:11" x14ac:dyDescent="0.25">
      <c r="A285" s="15" t="s">
        <v>2140</v>
      </c>
      <c r="B285" s="12" t="s">
        <v>1770</v>
      </c>
      <c r="C285" s="12" t="s">
        <v>1657</v>
      </c>
      <c r="D285" s="18" t="s">
        <v>1736</v>
      </c>
      <c r="E285" s="12">
        <v>56</v>
      </c>
      <c r="F285" s="12">
        <v>0</v>
      </c>
      <c r="G285" s="18" t="s">
        <v>1259</v>
      </c>
      <c r="H285" s="12">
        <v>1</v>
      </c>
      <c r="I285" s="19">
        <v>46302.856412037043</v>
      </c>
      <c r="J285" s="12"/>
      <c r="K285" s="12" t="s">
        <v>1265</v>
      </c>
    </row>
    <row r="286" spans="1:11" ht="25.5" x14ac:dyDescent="0.25">
      <c r="A286" s="15" t="s">
        <v>2141</v>
      </c>
      <c r="B286" s="12" t="s">
        <v>1244</v>
      </c>
      <c r="C286" s="12" t="s">
        <v>1657</v>
      </c>
      <c r="D286" s="18" t="s">
        <v>1990</v>
      </c>
      <c r="E286" s="12">
        <v>2479</v>
      </c>
      <c r="F286" s="12">
        <v>0</v>
      </c>
      <c r="G286" s="18" t="s">
        <v>2142</v>
      </c>
      <c r="H286" s="12">
        <v>11</v>
      </c>
      <c r="I286" s="19">
        <v>46302.873124999998</v>
      </c>
      <c r="J286" s="12">
        <v>551</v>
      </c>
      <c r="K286" s="12" t="s">
        <v>1272</v>
      </c>
    </row>
    <row r="287" spans="1:11" x14ac:dyDescent="0.25">
      <c r="A287" s="15" t="s">
        <v>2143</v>
      </c>
      <c r="B287" s="12" t="s">
        <v>1832</v>
      </c>
      <c r="C287" s="12" t="s">
        <v>1657</v>
      </c>
      <c r="D287" s="18" t="s">
        <v>1728</v>
      </c>
      <c r="E287" s="12">
        <v>308</v>
      </c>
      <c r="F287" s="12">
        <v>0</v>
      </c>
      <c r="G287" s="18" t="s">
        <v>1267</v>
      </c>
      <c r="H287" s="12">
        <v>0</v>
      </c>
      <c r="I287" s="19">
        <v>46302.873171296298</v>
      </c>
      <c r="J287" s="12"/>
      <c r="K287" s="12" t="s">
        <v>1272</v>
      </c>
    </row>
    <row r="288" spans="1:11" x14ac:dyDescent="0.25">
      <c r="A288" s="15" t="s">
        <v>2144</v>
      </c>
      <c r="B288" s="12" t="s">
        <v>1770</v>
      </c>
      <c r="C288" s="12" t="s">
        <v>1657</v>
      </c>
      <c r="D288" s="18" t="s">
        <v>1736</v>
      </c>
      <c r="E288" s="12">
        <v>56</v>
      </c>
      <c r="F288" s="12">
        <v>0</v>
      </c>
      <c r="G288" s="18" t="s">
        <v>1267</v>
      </c>
      <c r="H288" s="12">
        <v>1</v>
      </c>
      <c r="I288" s="19">
        <v>46302.873217592591</v>
      </c>
      <c r="J288" s="12"/>
      <c r="K288" s="12" t="s">
        <v>1272</v>
      </c>
    </row>
    <row r="289" spans="1:11" x14ac:dyDescent="0.25">
      <c r="A289" s="15" t="s">
        <v>2145</v>
      </c>
      <c r="B289" s="12" t="s">
        <v>1244</v>
      </c>
      <c r="C289" s="12" t="s">
        <v>1657</v>
      </c>
      <c r="D289" s="18" t="s">
        <v>2146</v>
      </c>
      <c r="E289" s="12">
        <v>2483</v>
      </c>
      <c r="F289" s="12">
        <v>0</v>
      </c>
      <c r="G289" s="18" t="s">
        <v>2147</v>
      </c>
      <c r="H289" s="12">
        <v>11</v>
      </c>
      <c r="I289" s="19">
        <v>46302.89502314815</v>
      </c>
      <c r="J289" s="12">
        <v>557</v>
      </c>
      <c r="K289" s="12" t="s">
        <v>1336</v>
      </c>
    </row>
    <row r="290" spans="1:11" x14ac:dyDescent="0.25">
      <c r="A290" s="15" t="s">
        <v>2148</v>
      </c>
      <c r="B290" s="12" t="s">
        <v>1770</v>
      </c>
      <c r="C290" s="12" t="s">
        <v>1657</v>
      </c>
      <c r="D290" s="18" t="s">
        <v>2149</v>
      </c>
      <c r="E290" s="12">
        <v>56</v>
      </c>
      <c r="F290" s="12">
        <v>0</v>
      </c>
      <c r="G290" s="18" t="s">
        <v>2150</v>
      </c>
      <c r="H290" s="12">
        <v>1</v>
      </c>
      <c r="I290" s="19">
        <v>46302.898692129631</v>
      </c>
      <c r="J290" s="12">
        <v>222</v>
      </c>
      <c r="K290" s="12" t="s">
        <v>1367</v>
      </c>
    </row>
    <row r="291" spans="1:11" x14ac:dyDescent="0.25">
      <c r="A291" s="15" t="s">
        <v>2151</v>
      </c>
      <c r="B291" s="12" t="s">
        <v>1244</v>
      </c>
      <c r="C291" s="12" t="s">
        <v>1657</v>
      </c>
      <c r="D291" s="18" t="s">
        <v>2146</v>
      </c>
      <c r="E291" s="12">
        <v>2530</v>
      </c>
      <c r="F291" s="12">
        <v>0</v>
      </c>
      <c r="G291" s="18" t="s">
        <v>2152</v>
      </c>
      <c r="H291" s="12">
        <v>11</v>
      </c>
      <c r="I291" s="19">
        <v>46302.921863425923</v>
      </c>
      <c r="J291" s="12">
        <v>606</v>
      </c>
      <c r="K291" s="12" t="s">
        <v>559</v>
      </c>
    </row>
    <row r="292" spans="1:11" x14ac:dyDescent="0.25">
      <c r="A292" s="15" t="s">
        <v>2153</v>
      </c>
      <c r="B292" s="12" t="s">
        <v>1832</v>
      </c>
      <c r="C292" s="12" t="s">
        <v>1657</v>
      </c>
      <c r="D292" s="18" t="s">
        <v>1728</v>
      </c>
      <c r="E292" s="12">
        <v>350</v>
      </c>
      <c r="F292" s="12">
        <v>0</v>
      </c>
      <c r="G292" s="18" t="s">
        <v>2152</v>
      </c>
      <c r="H292" s="12">
        <v>0</v>
      </c>
      <c r="I292" s="19">
        <v>46302.921909722223</v>
      </c>
      <c r="J292" s="12"/>
      <c r="K292" s="12" t="s">
        <v>559</v>
      </c>
    </row>
    <row r="293" spans="1:11" x14ac:dyDescent="0.25">
      <c r="A293" s="15" t="s">
        <v>2154</v>
      </c>
      <c r="B293" s="12" t="s">
        <v>1244</v>
      </c>
      <c r="C293" s="12" t="s">
        <v>1657</v>
      </c>
      <c r="D293" s="18" t="s">
        <v>2146</v>
      </c>
      <c r="E293" s="12">
        <v>2549</v>
      </c>
      <c r="F293" s="12">
        <v>0</v>
      </c>
      <c r="G293" s="18" t="s">
        <v>2155</v>
      </c>
      <c r="H293" s="12">
        <v>11</v>
      </c>
      <c r="I293" s="19">
        <v>46302.939131944448</v>
      </c>
      <c r="J293" s="12">
        <v>556</v>
      </c>
      <c r="K293" s="12" t="s">
        <v>587</v>
      </c>
    </row>
    <row r="294" spans="1:11" x14ac:dyDescent="0.25">
      <c r="A294" s="15" t="s">
        <v>2156</v>
      </c>
      <c r="B294" s="12" t="s">
        <v>1832</v>
      </c>
      <c r="C294" s="12" t="s">
        <v>1657</v>
      </c>
      <c r="D294" s="18" t="s">
        <v>1728</v>
      </c>
      <c r="E294" s="12">
        <v>351</v>
      </c>
      <c r="F294" s="12">
        <v>0</v>
      </c>
      <c r="G294" s="18" t="s">
        <v>2155</v>
      </c>
      <c r="H294" s="12">
        <v>0</v>
      </c>
      <c r="I294" s="19">
        <v>46302.93917824074</v>
      </c>
      <c r="J294" s="12"/>
      <c r="K294" s="12" t="s">
        <v>587</v>
      </c>
    </row>
    <row r="295" spans="1:11" x14ac:dyDescent="0.25">
      <c r="A295" s="15" t="s">
        <v>2157</v>
      </c>
      <c r="B295" s="12" t="s">
        <v>1832</v>
      </c>
      <c r="C295" s="12" t="s">
        <v>1657</v>
      </c>
      <c r="D295" s="18" t="s">
        <v>1728</v>
      </c>
      <c r="E295" s="12">
        <v>356</v>
      </c>
      <c r="F295" s="12">
        <v>0</v>
      </c>
      <c r="G295" s="18" t="s">
        <v>2158</v>
      </c>
      <c r="H295" s="12">
        <v>0</v>
      </c>
      <c r="I295" s="19">
        <v>46302.945949074077</v>
      </c>
      <c r="J295" s="12"/>
      <c r="K295" s="12" t="s">
        <v>607</v>
      </c>
    </row>
    <row r="296" spans="1:11" ht="25.5" x14ac:dyDescent="0.25">
      <c r="A296" s="15" t="s">
        <v>2159</v>
      </c>
      <c r="B296" s="12" t="s">
        <v>1770</v>
      </c>
      <c r="C296" s="12" t="s">
        <v>1657</v>
      </c>
      <c r="D296" s="18" t="s">
        <v>2160</v>
      </c>
      <c r="E296" s="12">
        <v>8</v>
      </c>
      <c r="F296" s="12">
        <v>0</v>
      </c>
      <c r="G296" s="18" t="s">
        <v>2161</v>
      </c>
      <c r="H296" s="12">
        <v>0</v>
      </c>
      <c r="I296" s="19">
        <v>46302.946006944447</v>
      </c>
      <c r="J296" s="12"/>
      <c r="K296" s="12" t="s">
        <v>607</v>
      </c>
    </row>
    <row r="297" spans="1:11" x14ac:dyDescent="0.25">
      <c r="A297" s="15" t="s">
        <v>2162</v>
      </c>
      <c r="B297" s="12" t="s">
        <v>1770</v>
      </c>
      <c r="C297" s="12" t="s">
        <v>1657</v>
      </c>
      <c r="D297" s="18" t="s">
        <v>2149</v>
      </c>
      <c r="E297" s="12">
        <v>59</v>
      </c>
      <c r="F297" s="12">
        <v>0</v>
      </c>
      <c r="G297" s="18" t="s">
        <v>2163</v>
      </c>
      <c r="H297" s="12">
        <v>1</v>
      </c>
      <c r="I297" s="19">
        <v>46302.949166666673</v>
      </c>
      <c r="J297" s="12">
        <v>240</v>
      </c>
      <c r="K297" s="12" t="s">
        <v>607</v>
      </c>
    </row>
    <row r="298" spans="1:11" x14ac:dyDescent="0.25">
      <c r="A298" s="15" t="s">
        <v>2164</v>
      </c>
      <c r="B298" s="12" t="s">
        <v>1244</v>
      </c>
      <c r="C298" s="12" t="s">
        <v>1657</v>
      </c>
      <c r="D298" s="18" t="s">
        <v>2146</v>
      </c>
      <c r="E298" s="12">
        <v>2551</v>
      </c>
      <c r="F298" s="12">
        <v>0</v>
      </c>
      <c r="G298" s="18" t="s">
        <v>2165</v>
      </c>
      <c r="H298" s="12">
        <v>11</v>
      </c>
      <c r="I298" s="19">
        <v>46302.965439814812</v>
      </c>
      <c r="J298" s="12">
        <v>678</v>
      </c>
      <c r="K298" s="12" t="s">
        <v>755</v>
      </c>
    </row>
    <row r="299" spans="1:11" x14ac:dyDescent="0.25">
      <c r="A299" s="15" t="s">
        <v>2166</v>
      </c>
      <c r="B299" s="12" t="s">
        <v>1832</v>
      </c>
      <c r="C299" s="12" t="s">
        <v>1657</v>
      </c>
      <c r="D299" s="18" t="s">
        <v>1728</v>
      </c>
      <c r="E299" s="12">
        <v>357</v>
      </c>
      <c r="F299" s="12">
        <v>0</v>
      </c>
      <c r="G299" s="18" t="s">
        <v>2165</v>
      </c>
      <c r="H299" s="12">
        <v>0</v>
      </c>
      <c r="I299" s="19">
        <v>46302.965486111112</v>
      </c>
      <c r="J299" s="12">
        <v>0</v>
      </c>
      <c r="K299" s="12" t="s">
        <v>755</v>
      </c>
    </row>
    <row r="300" spans="1:11" x14ac:dyDescent="0.25">
      <c r="A300" s="15" t="s">
        <v>2167</v>
      </c>
      <c r="B300" s="12" t="s">
        <v>1770</v>
      </c>
      <c r="C300" s="12" t="s">
        <v>1657</v>
      </c>
      <c r="D300" s="18" t="s">
        <v>2149</v>
      </c>
      <c r="E300" s="12">
        <v>59</v>
      </c>
      <c r="F300" s="12">
        <v>0</v>
      </c>
      <c r="G300" s="18" t="s">
        <v>2165</v>
      </c>
      <c r="H300" s="12">
        <v>1</v>
      </c>
      <c r="I300" s="19">
        <v>46302.965543981481</v>
      </c>
      <c r="J300" s="12">
        <v>290</v>
      </c>
      <c r="K300" s="12" t="s">
        <v>755</v>
      </c>
    </row>
    <row r="301" spans="1:11" ht="25.5" x14ac:dyDescent="0.25">
      <c r="A301" s="15" t="s">
        <v>2168</v>
      </c>
      <c r="B301" s="12" t="s">
        <v>1832</v>
      </c>
      <c r="C301" s="12" t="s">
        <v>1657</v>
      </c>
      <c r="D301" s="18" t="s">
        <v>1728</v>
      </c>
      <c r="E301" s="12">
        <v>358</v>
      </c>
      <c r="F301" s="12">
        <v>0</v>
      </c>
      <c r="G301" s="18" t="s">
        <v>2169</v>
      </c>
      <c r="H301" s="12">
        <v>0</v>
      </c>
      <c r="I301" s="19">
        <v>46302.98101851852</v>
      </c>
      <c r="J301" s="12"/>
      <c r="K301" s="12" t="s">
        <v>928</v>
      </c>
    </row>
    <row r="302" spans="1:11" x14ac:dyDescent="0.25">
      <c r="A302" s="15" t="s">
        <v>2170</v>
      </c>
      <c r="B302" s="12" t="s">
        <v>1770</v>
      </c>
      <c r="C302" s="12" t="s">
        <v>1657</v>
      </c>
      <c r="D302" s="18" t="s">
        <v>2149</v>
      </c>
      <c r="E302" s="12">
        <v>59</v>
      </c>
      <c r="F302" s="12">
        <v>0</v>
      </c>
      <c r="G302" s="18" t="s">
        <v>2171</v>
      </c>
      <c r="H302" s="12">
        <v>1</v>
      </c>
      <c r="I302" s="19">
        <v>46302.981076388889</v>
      </c>
      <c r="J302" s="12">
        <v>246</v>
      </c>
      <c r="K302" s="12" t="s">
        <v>928</v>
      </c>
    </row>
    <row r="303" spans="1:11" x14ac:dyDescent="0.25">
      <c r="A303" s="15" t="s">
        <v>2172</v>
      </c>
      <c r="B303" s="12" t="s">
        <v>1244</v>
      </c>
      <c r="C303" s="12" t="s">
        <v>1657</v>
      </c>
      <c r="D303" s="18" t="s">
        <v>2146</v>
      </c>
      <c r="E303" s="12">
        <v>2557</v>
      </c>
      <c r="F303" s="12">
        <v>0</v>
      </c>
      <c r="G303" s="18" t="s">
        <v>2173</v>
      </c>
      <c r="H303" s="12">
        <v>11</v>
      </c>
      <c r="I303" s="19">
        <v>46303.055914351848</v>
      </c>
      <c r="J303" s="12">
        <v>551</v>
      </c>
      <c r="K303" s="12" t="s">
        <v>1113</v>
      </c>
    </row>
    <row r="304" spans="1:11" x14ac:dyDescent="0.25">
      <c r="A304" s="15" t="s">
        <v>2174</v>
      </c>
      <c r="B304" s="12" t="s">
        <v>1244</v>
      </c>
      <c r="C304" s="12" t="s">
        <v>1657</v>
      </c>
      <c r="D304" s="18" t="s">
        <v>2146</v>
      </c>
      <c r="E304" s="12">
        <v>2562</v>
      </c>
      <c r="F304" s="12">
        <v>0</v>
      </c>
      <c r="G304" s="18" t="s">
        <v>2175</v>
      </c>
      <c r="H304" s="12">
        <v>11</v>
      </c>
      <c r="I304" s="19">
        <v>46303.069097222222</v>
      </c>
      <c r="J304" s="12">
        <v>630</v>
      </c>
      <c r="K304" s="12" t="s">
        <v>1279</v>
      </c>
    </row>
    <row r="305" spans="1:12" x14ac:dyDescent="0.25">
      <c r="A305" s="15" t="s">
        <v>2176</v>
      </c>
      <c r="B305" s="12" t="s">
        <v>1832</v>
      </c>
      <c r="C305" s="12" t="s">
        <v>1657</v>
      </c>
      <c r="D305" s="18" t="s">
        <v>1728</v>
      </c>
      <c r="E305" s="12">
        <v>359</v>
      </c>
      <c r="F305" s="12">
        <v>0</v>
      </c>
      <c r="G305" s="18" t="s">
        <v>2175</v>
      </c>
      <c r="H305" s="12">
        <v>0</v>
      </c>
      <c r="I305" s="19">
        <v>46303.069155092591</v>
      </c>
      <c r="J305" s="12">
        <v>0</v>
      </c>
      <c r="K305" s="12" t="s">
        <v>1279</v>
      </c>
    </row>
    <row r="306" spans="1:12" x14ac:dyDescent="0.25">
      <c r="A306" s="15" t="s">
        <v>2177</v>
      </c>
      <c r="B306" s="12" t="s">
        <v>1770</v>
      </c>
      <c r="C306" s="12" t="s">
        <v>1657</v>
      </c>
      <c r="D306" s="18" t="s">
        <v>2149</v>
      </c>
      <c r="E306" s="12">
        <v>59</v>
      </c>
      <c r="F306" s="12">
        <v>0</v>
      </c>
      <c r="G306" s="18" t="s">
        <v>2175</v>
      </c>
      <c r="H306" s="12">
        <v>1</v>
      </c>
      <c r="I306" s="19">
        <v>46303.069201388891</v>
      </c>
      <c r="J306" s="12">
        <v>252</v>
      </c>
      <c r="K306" s="12" t="s">
        <v>1279</v>
      </c>
    </row>
    <row r="307" spans="1:12" ht="25.5" x14ac:dyDescent="0.25">
      <c r="A307" s="15" t="s">
        <v>2178</v>
      </c>
      <c r="B307" s="12" t="s">
        <v>1244</v>
      </c>
      <c r="C307" s="12" t="s">
        <v>1657</v>
      </c>
      <c r="D307" s="18" t="s">
        <v>2146</v>
      </c>
      <c r="E307" s="12">
        <v>2566</v>
      </c>
      <c r="F307" s="12">
        <v>0</v>
      </c>
      <c r="G307" s="18" t="s">
        <v>2179</v>
      </c>
      <c r="H307" s="12">
        <v>11</v>
      </c>
      <c r="I307" s="19">
        <v>46303.091134259259</v>
      </c>
      <c r="J307" s="12">
        <v>667</v>
      </c>
      <c r="K307" s="12" t="s">
        <v>566</v>
      </c>
    </row>
    <row r="308" spans="1:12" ht="25.5" x14ac:dyDescent="0.25">
      <c r="A308" s="15" t="s">
        <v>2180</v>
      </c>
      <c r="B308" s="12" t="s">
        <v>1832</v>
      </c>
      <c r="C308" s="12" t="s">
        <v>1657</v>
      </c>
      <c r="D308" s="18" t="s">
        <v>1728</v>
      </c>
      <c r="E308" s="12">
        <v>364</v>
      </c>
      <c r="F308" s="12">
        <v>0</v>
      </c>
      <c r="G308" s="18" t="s">
        <v>2179</v>
      </c>
      <c r="H308" s="12">
        <v>0</v>
      </c>
      <c r="I308" s="19">
        <v>46303.091180555559</v>
      </c>
      <c r="J308" s="12">
        <v>0</v>
      </c>
      <c r="K308" s="12" t="s">
        <v>566</v>
      </c>
    </row>
    <row r="309" spans="1:12" ht="25.5" x14ac:dyDescent="0.25">
      <c r="A309" s="15" t="s">
        <v>2181</v>
      </c>
      <c r="B309" s="12" t="s">
        <v>1770</v>
      </c>
      <c r="C309" s="12" t="s">
        <v>1657</v>
      </c>
      <c r="D309" s="18" t="s">
        <v>2149</v>
      </c>
      <c r="E309" s="12">
        <v>59</v>
      </c>
      <c r="F309" s="12">
        <v>0</v>
      </c>
      <c r="G309" s="18" t="s">
        <v>2179</v>
      </c>
      <c r="H309" s="12">
        <v>1</v>
      </c>
      <c r="I309" s="19">
        <v>46303.091238425928</v>
      </c>
      <c r="J309" s="12">
        <v>282</v>
      </c>
      <c r="K309" s="12" t="s">
        <v>566</v>
      </c>
    </row>
    <row r="310" spans="1:12" x14ac:dyDescent="0.25">
      <c r="A310" s="15" t="s">
        <v>2182</v>
      </c>
      <c r="B310" s="12" t="s">
        <v>1244</v>
      </c>
      <c r="C310" s="12" t="s">
        <v>1657</v>
      </c>
      <c r="D310" s="18" t="s">
        <v>2146</v>
      </c>
      <c r="E310" s="12">
        <v>2571</v>
      </c>
      <c r="F310" s="12">
        <v>0</v>
      </c>
      <c r="G310" s="18" t="s">
        <v>2183</v>
      </c>
      <c r="H310" s="12">
        <v>11</v>
      </c>
      <c r="I310" s="19">
        <v>46303.100381944438</v>
      </c>
      <c r="J310" s="12">
        <v>558</v>
      </c>
      <c r="K310" s="12" t="s">
        <v>1100</v>
      </c>
    </row>
    <row r="311" spans="1:12" ht="38.25" x14ac:dyDescent="0.25">
      <c r="A311" s="15" t="s">
        <v>2184</v>
      </c>
      <c r="B311" s="12" t="s">
        <v>1244</v>
      </c>
      <c r="C311" s="12" t="s">
        <v>1657</v>
      </c>
      <c r="D311" s="18" t="s">
        <v>2146</v>
      </c>
      <c r="E311" s="12">
        <v>2578</v>
      </c>
      <c r="F311" s="12">
        <v>0</v>
      </c>
      <c r="G311" s="18" t="s">
        <v>2185</v>
      </c>
      <c r="H311" s="12">
        <v>11</v>
      </c>
      <c r="I311" s="19">
        <v>46308.596319444441</v>
      </c>
      <c r="J311" s="12">
        <v>651</v>
      </c>
      <c r="K311" s="12" t="s">
        <v>1436</v>
      </c>
    </row>
    <row r="312" spans="1:12" ht="25.5" x14ac:dyDescent="0.25">
      <c r="A312" s="15" t="s">
        <v>2186</v>
      </c>
      <c r="B312" s="12" t="s">
        <v>1244</v>
      </c>
      <c r="C312" s="12" t="s">
        <v>1657</v>
      </c>
      <c r="D312" s="18" t="s">
        <v>2146</v>
      </c>
      <c r="E312" s="12">
        <v>2588</v>
      </c>
      <c r="F312" s="12">
        <v>0</v>
      </c>
      <c r="G312" s="18" t="s">
        <v>2187</v>
      </c>
      <c r="H312" s="12">
        <v>11</v>
      </c>
      <c r="I312" s="19">
        <v>46308.718136574083</v>
      </c>
      <c r="J312" s="12">
        <v>706</v>
      </c>
      <c r="K312" s="12" t="s">
        <v>1505</v>
      </c>
    </row>
    <row r="313" spans="1:12" x14ac:dyDescent="0.25">
      <c r="A313" s="15" t="s">
        <v>2188</v>
      </c>
      <c r="B313" s="12" t="s">
        <v>214</v>
      </c>
      <c r="C313" s="12" t="s">
        <v>1657</v>
      </c>
      <c r="D313" s="18" t="s">
        <v>1728</v>
      </c>
      <c r="E313" s="12">
        <v>368</v>
      </c>
      <c r="F313" s="12">
        <v>0</v>
      </c>
      <c r="G313" s="18" t="s">
        <v>2189</v>
      </c>
      <c r="H313" s="12">
        <v>0</v>
      </c>
      <c r="I313" s="19">
        <v>46308.718217592592</v>
      </c>
      <c r="J313" s="12">
        <v>33</v>
      </c>
      <c r="K313" s="12" t="s">
        <v>1505</v>
      </c>
    </row>
    <row r="314" spans="1:12" ht="25.5" x14ac:dyDescent="0.25">
      <c r="A314" s="15" t="s">
        <v>2190</v>
      </c>
      <c r="B314" s="12" t="s">
        <v>1735</v>
      </c>
      <c r="C314" s="12" t="s">
        <v>1657</v>
      </c>
      <c r="D314" s="18" t="s">
        <v>2191</v>
      </c>
      <c r="E314" s="12">
        <v>59</v>
      </c>
      <c r="F314" s="12">
        <v>0</v>
      </c>
      <c r="G314" s="18" t="s">
        <v>2192</v>
      </c>
      <c r="H314" s="12">
        <v>1</v>
      </c>
      <c r="I314" s="19">
        <v>46308.720937500002</v>
      </c>
      <c r="J314" s="12">
        <v>270</v>
      </c>
      <c r="K314" s="12" t="s">
        <v>1468</v>
      </c>
    </row>
    <row r="317" spans="1:12" ht="15.75" x14ac:dyDescent="0.25">
      <c r="A317" s="5" t="s">
        <v>2193</v>
      </c>
    </row>
    <row r="318" spans="1:12" x14ac:dyDescent="0.25">
      <c r="A318" s="10" t="s">
        <v>166</v>
      </c>
      <c r="B318" s="10" t="s">
        <v>100</v>
      </c>
      <c r="C318" s="10" t="s">
        <v>43</v>
      </c>
      <c r="D318" s="10" t="s">
        <v>167</v>
      </c>
      <c r="E318" s="10" t="s">
        <v>169</v>
      </c>
      <c r="F318" s="10" t="s">
        <v>57</v>
      </c>
      <c r="G318" s="10" t="s">
        <v>170</v>
      </c>
      <c r="H318" s="10" t="s">
        <v>171</v>
      </c>
      <c r="I318" s="10" t="s">
        <v>15</v>
      </c>
      <c r="J318" s="10" t="s">
        <v>177</v>
      </c>
      <c r="K318" s="10" t="s">
        <v>178</v>
      </c>
      <c r="L318" s="10" t="s">
        <v>179</v>
      </c>
    </row>
    <row r="319" spans="1:12" x14ac:dyDescent="0.25">
      <c r="A319" s="15" t="s">
        <v>203</v>
      </c>
      <c r="B319" s="12" t="str">
        <f>IFERROR(INDEX(MASTER!$C$2:$C$2000,MATCH($A319,MASTER!$A$2:$A$2000,0))&amp;"","")</f>
        <v>TESTING</v>
      </c>
      <c r="C319" s="16">
        <f>IFERROR(INDEX(MASTER!$B$2:$B$2000,MATCH($A319,MASTER!$A$2:$A$2000,0)),"")</f>
        <v>0</v>
      </c>
      <c r="D319" s="12" t="str">
        <f>IFERROR(INDEX(MASTER!$D$2:$D$2000,MATCH($A319,MASTER!$A$2:$A$2000,0))&amp;"","")</f>
        <v>Baseline: backend tests</v>
      </c>
      <c r="E319" s="12" t="str">
        <f>IFERROR(INDEX(MASTER!$F$2:$F$2000,MATCH($A319,MASTER!$A$2:$A$2000,0))&amp;"","")</f>
        <v>P0</v>
      </c>
      <c r="F319" s="12" t="str">
        <f>IFERROR(INDEX(MASTER!$G$2:$G$2000,MATCH($A319,MASTER!$A$2:$A$2000,0))&amp;"","NOT IN MASTER")</f>
        <v>DONE</v>
      </c>
      <c r="G319" s="12" t="str">
        <f>IFERROR(INDEX(MASTER!$H$2:$H$2000,MATCH($A319,MASTER!$A$2:$A$2000,0))&amp;"","")</f>
        <v>docs/architecture/current-baseline.md; TESTING RUN-0001</v>
      </c>
      <c r="H319" s="12" t="str">
        <f>IFERROR(INDEX(MASTER!$I$2:$I$2000,MATCH($A319,MASTER!$A$2:$A$2000,0))&amp;"","")</f>
        <v>backend pytest: 643 passed, 1 skipped, 0 failed (88 s)</v>
      </c>
      <c r="I319" s="19">
        <f>IFERROR(IF(INDEX(MASTER!$O$2:$O$2000,MATCH($A319,MASTER!$A$2:$A$2000,0))="","",INDEX(MASTER!$O$2:$O$2000,MATCH($A319,MASTER!$A$2:$A$2000,0))),"")</f>
        <v>46292.17150462963</v>
      </c>
      <c r="J319" s="12" t="str">
        <f>IFERROR(INDEX(MASTER!$P$2:$P$2000,MATCH($A319,MASTER!$A$2:$A$2000,0))&amp;"","")</f>
        <v>4da4ecb</v>
      </c>
      <c r="K319" s="12" t="str">
        <f>IFERROR(INDEX(MASTER!$Q$2:$Q$2000,MATCH($A319,MASTER!$A$2:$A$2000,0))&amp;"","")</f>
        <v/>
      </c>
      <c r="L319" s="12" t="str">
        <f>IFERROR(INDEX(MASTER!$R$2:$R$2000,MATCH($A319,MASTER!$A$2:$A$2000,0))&amp;"","")</f>
        <v/>
      </c>
    </row>
    <row r="320" spans="1:12" x14ac:dyDescent="0.25">
      <c r="A320" s="15" t="s">
        <v>209</v>
      </c>
      <c r="B320" s="12" t="str">
        <f>IFERROR(INDEX(MASTER!$C$2:$C$2000,MATCH($A320,MASTER!$A$2:$A$2000,0))&amp;"","")</f>
        <v>TESTING</v>
      </c>
      <c r="C320" s="16">
        <f>IFERROR(INDEX(MASTER!$B$2:$B$2000,MATCH($A320,MASTER!$A$2:$A$2000,0)),"")</f>
        <v>0</v>
      </c>
      <c r="D320" s="12" t="str">
        <f>IFERROR(INDEX(MASTER!$D$2:$D$2000,MATCH($A320,MASTER!$A$2:$A$2000,0))&amp;"","")</f>
        <v>Baseline: frontend tests, typecheck, lint, build</v>
      </c>
      <c r="E320" s="12" t="str">
        <f>IFERROR(INDEX(MASTER!$F$2:$F$2000,MATCH($A320,MASTER!$A$2:$A$2000,0))&amp;"","")</f>
        <v>P0</v>
      </c>
      <c r="F320" s="12" t="str">
        <f>IFERROR(INDEX(MASTER!$G$2:$G$2000,MATCH($A320,MASTER!$A$2:$A$2000,0))&amp;"","NOT IN MASTER")</f>
        <v>DONE</v>
      </c>
      <c r="G320" s="12" t="str">
        <f>IFERROR(INDEX(MASTER!$H$2:$H$2000,MATCH($A320,MASTER!$A$2:$A$2000,0))&amp;"","")</f>
        <v>docs/architecture/current-baseline.md; TESTING RUN-0002..0005</v>
      </c>
      <c r="H320" s="12" t="str">
        <f>IFERROR(INDEX(MASTER!$I$2:$I$2000,MATCH($A320,MASTER!$A$2:$A$2000,0))&amp;"","")</f>
        <v>eslint 0 problems; tsc 0 errors; Vitest 46/46; next build OK (11 routes)</v>
      </c>
      <c r="I320" s="19">
        <f>IFERROR(IF(INDEX(MASTER!$O$2:$O$2000,MATCH($A320,MASTER!$A$2:$A$2000,0))="","",INDEX(MASTER!$O$2:$O$2000,MATCH($A320,MASTER!$A$2:$A$2000,0))),"")</f>
        <v>46292.171550925923</v>
      </c>
      <c r="J320" s="12" t="str">
        <f>IFERROR(INDEX(MASTER!$P$2:$P$2000,MATCH($A320,MASTER!$A$2:$A$2000,0))&amp;"","")</f>
        <v>4da4ecb</v>
      </c>
      <c r="K320" s="12" t="str">
        <f>IFERROR(INDEX(MASTER!$Q$2:$Q$2000,MATCH($A320,MASTER!$A$2:$A$2000,0))&amp;"","")</f>
        <v/>
      </c>
      <c r="L320" s="12" t="str">
        <f>IFERROR(INDEX(MASTER!$R$2:$R$2000,MATCH($A320,MASTER!$A$2:$A$2000,0))&amp;"","")</f>
        <v/>
      </c>
    </row>
    <row r="321" spans="1:12" x14ac:dyDescent="0.25">
      <c r="A321" s="15" t="s">
        <v>215</v>
      </c>
      <c r="B321" s="12" t="str">
        <f>IFERROR(INDEX(MASTER!$C$2:$C$2000,MATCH($A321,MASTER!$A$2:$A$2000,0))&amp;"","")</f>
        <v>TESTING</v>
      </c>
      <c r="C321" s="16">
        <f>IFERROR(INDEX(MASTER!$B$2:$B$2000,MATCH($A321,MASTER!$A$2:$A$2000,0)),"")</f>
        <v>0</v>
      </c>
      <c r="D321" s="12" t="str">
        <f>IFERROR(INDEX(MASTER!$D$2:$D$2000,MATCH($A321,MASTER!$A$2:$A$2000,0))&amp;"","")</f>
        <v>Baseline: Playwright E2E</v>
      </c>
      <c r="E321" s="12" t="str">
        <f>IFERROR(INDEX(MASTER!$F$2:$F$2000,MATCH($A321,MASTER!$A$2:$A$2000,0))&amp;"","")</f>
        <v>P0</v>
      </c>
      <c r="F321" s="12" t="str">
        <f>IFERROR(INDEX(MASTER!$G$2:$G$2000,MATCH($A321,MASTER!$A$2:$A$2000,0))&amp;"","NOT IN MASTER")</f>
        <v>DONE</v>
      </c>
      <c r="G321" s="12" t="str">
        <f>IFERROR(INDEX(MASTER!$H$2:$H$2000,MATCH($A321,MASTER!$A$2:$A$2000,0))&amp;"","")</f>
        <v>docs/architecture/current-baseline.md; TESTING RUN-0006</v>
      </c>
      <c r="H321" s="12" t="str">
        <f>IFERROR(INDEX(MASTER!$I$2:$I$2000,MATCH($A321,MASTER!$A$2:$A$2000,0))&amp;"","")</f>
        <v>Playwright (Edge): 16 passed, 0 failed (67 s)</v>
      </c>
      <c r="I321" s="19">
        <f>IFERROR(IF(INDEX(MASTER!$O$2:$O$2000,MATCH($A321,MASTER!$A$2:$A$2000,0))="","",INDEX(MASTER!$O$2:$O$2000,MATCH($A321,MASTER!$A$2:$A$2000,0))),"")</f>
        <v>46292.171585648153</v>
      </c>
      <c r="J321" s="12" t="str">
        <f>IFERROR(INDEX(MASTER!$P$2:$P$2000,MATCH($A321,MASTER!$A$2:$A$2000,0))&amp;"","")</f>
        <v>4da4ecb</v>
      </c>
      <c r="K321" s="12" t="str">
        <f>IFERROR(INDEX(MASTER!$Q$2:$Q$2000,MATCH($A321,MASTER!$A$2:$A$2000,0))&amp;"","")</f>
        <v/>
      </c>
      <c r="L321" s="12" t="str">
        <f>IFERROR(INDEX(MASTER!$R$2:$R$2000,MATCH($A321,MASTER!$A$2:$A$2000,0))&amp;"","")</f>
        <v/>
      </c>
    </row>
    <row r="322" spans="1:12" x14ac:dyDescent="0.25">
      <c r="A322" s="15" t="s">
        <v>221</v>
      </c>
      <c r="B322" s="12" t="str">
        <f>IFERROR(INDEX(MASTER!$C$2:$C$2000,MATCH($A322,MASTER!$A$2:$A$2000,0))&amp;"","")</f>
        <v>TESTING</v>
      </c>
      <c r="C322" s="16">
        <f>IFERROR(INDEX(MASTER!$B$2:$B$2000,MATCH($A322,MASTER!$A$2:$A$2000,0)),"")</f>
        <v>0</v>
      </c>
      <c r="D322" s="12" t="str">
        <f>IFERROR(INDEX(MASTER!$D$2:$D$2000,MATCH($A322,MASTER!$A$2:$A$2000,0))&amp;"","")</f>
        <v>Baseline: migrations and database</v>
      </c>
      <c r="E322" s="12" t="str">
        <f>IFERROR(INDEX(MASTER!$F$2:$F$2000,MATCH($A322,MASTER!$A$2:$A$2000,0))&amp;"","")</f>
        <v>P0</v>
      </c>
      <c r="F322" s="12" t="str">
        <f>IFERROR(INDEX(MASTER!$G$2:$G$2000,MATCH($A322,MASTER!$A$2:$A$2000,0))&amp;"","NOT IN MASTER")</f>
        <v>DONE</v>
      </c>
      <c r="G322" s="12" t="str">
        <f>IFERROR(INDEX(MASTER!$H$2:$H$2000,MATCH($A322,MASTER!$A$2:$A$2000,0))&amp;"","")</f>
        <v>docs/architecture/current-baseline.md; TESTING RUN-0007, RUN-0008</v>
      </c>
      <c r="H322" s="12" t="str">
        <f>IFERROR(INDEX(MASTER!$I$2:$I$2000,MATCH($A322,MASTER!$A$2:$A$2000,0))&amp;"","")</f>
        <v>alembic upgrade/check/downgrade/upgrade on scratch SQLite; offline PostgreSQL SQL; Supabase list_migrations 8/8 + advisors</v>
      </c>
      <c r="I322" s="19">
        <f>IFERROR(IF(INDEX(MASTER!$O$2:$O$2000,MATCH($A322,MASTER!$A$2:$A$2000,0))="","",INDEX(MASTER!$O$2:$O$2000,MATCH($A322,MASTER!$A$2:$A$2000,0))),"")</f>
        <v>46292.171620370369</v>
      </c>
      <c r="J322" s="12" t="str">
        <f>IFERROR(INDEX(MASTER!$P$2:$P$2000,MATCH($A322,MASTER!$A$2:$A$2000,0))&amp;"","")</f>
        <v>4da4ecb</v>
      </c>
      <c r="K322" s="12" t="str">
        <f>IFERROR(INDEX(MASTER!$Q$2:$Q$2000,MATCH($A322,MASTER!$A$2:$A$2000,0))&amp;"","")</f>
        <v/>
      </c>
      <c r="L322" s="12" t="str">
        <f>IFERROR(INDEX(MASTER!$R$2:$R$2000,MATCH($A322,MASTER!$A$2:$A$2000,0))&amp;"","")</f>
        <v/>
      </c>
    </row>
    <row r="323" spans="1:12" x14ac:dyDescent="0.25">
      <c r="A323" s="15" t="s">
        <v>240</v>
      </c>
      <c r="B323" s="12" t="str">
        <f>IFERROR(INDEX(MASTER!$C$2:$C$2000,MATCH($A323,MASTER!$A$2:$A$2000,0))&amp;"","")</f>
        <v>TESTING</v>
      </c>
      <c r="C323" s="16">
        <f>IFERROR(INDEX(MASTER!$B$2:$B$2000,MATCH($A323,MASTER!$A$2:$A$2000,0)),"")</f>
        <v>0</v>
      </c>
      <c r="D323" s="12" t="str">
        <f>IFERROR(INDEX(MASTER!$D$2:$D$2000,MATCH($A323,MASTER!$A$2:$A$2000,0))&amp;"","")</f>
        <v>Baseline: fixture inventory</v>
      </c>
      <c r="E323" s="12" t="str">
        <f>IFERROR(INDEX(MASTER!$F$2:$F$2000,MATCH($A323,MASTER!$A$2:$A$2000,0))&amp;"","")</f>
        <v>P1</v>
      </c>
      <c r="F323" s="12" t="str">
        <f>IFERROR(INDEX(MASTER!$G$2:$G$2000,MATCH($A323,MASTER!$A$2:$A$2000,0))&amp;"","NOT IN MASTER")</f>
        <v>DONE</v>
      </c>
      <c r="G323" s="12" t="str">
        <f>IFERROR(INDEX(MASTER!$H$2:$H$2000,MATCH($A323,MASTER!$A$2:$A$2000,0))&amp;"","")</f>
        <v>docs/architecture/current-baseline.md (fixture inventory)</v>
      </c>
      <c r="H323" s="12" t="str">
        <f>IFERROR(INDEX(MASTER!$I$2:$I$2000,MATCH($A323,MASTER!$A$2:$A$2000,0))&amp;"","")</f>
        <v>backend/tests/fixtures: 12 generated DOCX + sample.pdf; 17 Word-authored audit fixtures (a01-a12, r01-r05) outside the repo</v>
      </c>
      <c r="I323" s="19">
        <f>IFERROR(IF(INDEX(MASTER!$O$2:$O$2000,MATCH($A323,MASTER!$A$2:$A$2000,0))="","",INDEX(MASTER!$O$2:$O$2000,MATCH($A323,MASTER!$A$2:$A$2000,0))),"")</f>
        <v>46292.171655092592</v>
      </c>
      <c r="J323" s="12" t="str">
        <f>IFERROR(INDEX(MASTER!$P$2:$P$2000,MATCH($A323,MASTER!$A$2:$A$2000,0))&amp;"","")</f>
        <v>4da4ecb</v>
      </c>
      <c r="K323" s="12" t="str">
        <f>IFERROR(INDEX(MASTER!$Q$2:$Q$2000,MATCH($A323,MASTER!$A$2:$A$2000,0))&amp;"","")</f>
        <v/>
      </c>
      <c r="L323" s="12" t="str">
        <f>IFERROR(INDEX(MASTER!$R$2:$R$2000,MATCH($A323,MASTER!$A$2:$A$2000,0))&amp;"","")</f>
        <v/>
      </c>
    </row>
    <row r="324" spans="1:12" x14ac:dyDescent="0.25">
      <c r="A324" s="15" t="s">
        <v>393</v>
      </c>
      <c r="B324" s="12" t="str">
        <f>IFERROR(INDEX(MASTER!$C$2:$C$2000,MATCH($A324,MASTER!$A$2:$A$2000,0))&amp;"","")</f>
        <v>TESTING</v>
      </c>
      <c r="C324" s="16">
        <f>IFERROR(INDEX(MASTER!$B$2:$B$2000,MATCH($A324,MASTER!$A$2:$A$2000,0)),"")</f>
        <v>1</v>
      </c>
      <c r="D324" s="12" t="str">
        <f>IFERROR(INDEX(MASTER!$D$2:$D$2000,MATCH($A324,MASTER!$A$2:$A$2000,0))&amp;"","")</f>
        <v>Regression tests for nested structures</v>
      </c>
      <c r="E324" s="12" t="str">
        <f>IFERROR(INDEX(MASTER!$F$2:$F$2000,MATCH($A324,MASTER!$A$2:$A$2000,0))&amp;"","")</f>
        <v>P0</v>
      </c>
      <c r="F324" s="12" t="str">
        <f>IFERROR(INDEX(MASTER!$G$2:$G$2000,MATCH($A324,MASTER!$A$2:$A$2000,0))&amp;"","NOT IN MASTER")</f>
        <v>DONE</v>
      </c>
      <c r="G324" s="12" t="str">
        <f>IFERROR(INDEX(MASTER!$H$2:$H$2000,MATCH($A324,MASTER!$A$2:$A$2000,0))&amp;"","")</f>
        <v>Nested structures covered at every layer and green: model (tests/test_document_nesting.py), API + storage + exports (tests/test_nested_blocks_api.py), editor mapping both ways (frontend/editor/nestedBlocks.test.ts), paste -&gt; save -&gt; reload in a real browser (frontend/e2e/nested.spec.ts); plus the golden round trip (editorRoundTrip.test.ts) and direct formatting (directFormatting.test.ts, e2e/direct-formatting.spec.ts).</v>
      </c>
      <c r="H324" s="12" t="str">
        <f>IFERROR(INDEX(MASTER!$I$2:$I$2000,MATCH($A324,MASTER!$A$2:$A$2000,0))&amp;"","")</f>
        <v>backend 753 passed; Vitest 113; Playwright 19</v>
      </c>
      <c r="I324" s="19">
        <f>IFERROR(IF(INDEX(MASTER!$O$2:$O$2000,MATCH($A324,MASTER!$A$2:$A$2000,0))="","",INDEX(MASTER!$O$2:$O$2000,MATCH($A324,MASTER!$A$2:$A$2000,0))),"")</f>
        <v>46292.416215277779</v>
      </c>
      <c r="J324" s="12" t="str">
        <f>IFERROR(INDEX(MASTER!$P$2:$P$2000,MATCH($A324,MASTER!$A$2:$A$2000,0))&amp;"","")</f>
        <v>66bbdf1</v>
      </c>
      <c r="K324" s="12" t="str">
        <f>IFERROR(INDEX(MASTER!$Q$2:$Q$2000,MATCH($A324,MASTER!$A$2:$A$2000,0))&amp;"","")</f>
        <v/>
      </c>
      <c r="L324" s="12" t="str">
        <f>IFERROR(INDEX(MASTER!$R$2:$R$2000,MATCH($A324,MASTER!$A$2:$A$2000,0))&amp;"","")</f>
        <v/>
      </c>
    </row>
    <row r="325" spans="1:12" x14ac:dyDescent="0.25">
      <c r="A325" s="15" t="s">
        <v>711</v>
      </c>
      <c r="B325" s="12" t="str">
        <f>IFERROR(INDEX(MASTER!$C$2:$C$2000,MATCH($A325,MASTER!$A$2:$A$2000,0))&amp;"","")</f>
        <v>TESTING</v>
      </c>
      <c r="C325" s="16">
        <f>IFERROR(INDEX(MASTER!$B$2:$B$2000,MATCH($A325,MASTER!$A$2:$A$2000,0)),"")</f>
        <v>3</v>
      </c>
      <c r="D325" s="12" t="str">
        <f>IFERROR(INDEX(MASTER!$D$2:$D$2000,MATCH($A325,MASTER!$A$2:$A$2000,0))&amp;"","")</f>
        <v>Word-authored fixtures in the repository</v>
      </c>
      <c r="E325" s="12" t="str">
        <f>IFERROR(INDEX(MASTER!$F$2:$F$2000,MATCH($A325,MASTER!$A$2:$A$2000,0))&amp;"","")</f>
        <v>P0</v>
      </c>
      <c r="F325" s="12" t="str">
        <f>IFERROR(INDEX(MASTER!$G$2:$G$2000,MATCH($A325,MASTER!$A$2:$A$2000,0))&amp;"","NOT IN MASTER")</f>
        <v>DONE</v>
      </c>
      <c r="G325" s="12" t="str">
        <f>IFERROR(INDEX(MASTER!$H$2:$H$2000,MATCH($A325,MASTER!$A$2:$A$2000,0))&amp;"","")</f>
        <v>backend/tests/fixtures/word/: 20 synthetic documents written by Microsoft Word through COM (the audit's a01-a12 and r01-r05 plus a13-pictures, a14-modified-styles, a15-links), built by backend/scripts/make_word_fixtures.py (Windows + Word only, refuses while Word is open, kills no process), manifest.json recording every feature Word put in (none refused), a README saying what each holds. Each file scrubbed: the Word user's name and initials, Office sensitivity labels (MSIP_Label_*), comment authors' sign-in identities (w15:presenceInfo; the audit's a07 carried the account's e-mail), any company/manager/author Office filled in; the fixtures' own made-up values kept (a12's custom properties, a07's comment authors). Secret scan clean over 498 files.</v>
      </c>
      <c r="H325" s="12" t="str">
        <f>IFERROR(INDEX(MASTER!$I$2:$I$2000,MATCH($A325,MASTER!$A$2:$A$2000,0))&amp;"","")</f>
        <v>backend 1037 passed/1 skipped (tests/test_word_fixtures.py 41: 20 files listed in the manifest with nothing refused; nothing identifying in any part - labels, presence info, home folders, non-example e-mails, authors, core/app properties; each imports and exports to a sound Word file)</v>
      </c>
      <c r="I325" s="19">
        <f>IFERROR(IF(INDEX(MASTER!$O$2:$O$2000,MATCH($A325,MASTER!$A$2:$A$2000,0))="","",INDEX(MASTER!$O$2:$O$2000,MATCH($A325,MASTER!$A$2:$A$2000,0))),"")</f>
        <v>46295.122604166667</v>
      </c>
      <c r="J325" s="12" t="str">
        <f>IFERROR(INDEX(MASTER!$P$2:$P$2000,MATCH($A325,MASTER!$A$2:$A$2000,0))&amp;"","")</f>
        <v>505d97f</v>
      </c>
      <c r="K325" s="12" t="str">
        <f>IFERROR(INDEX(MASTER!$Q$2:$Q$2000,MATCH($A325,MASTER!$A$2:$A$2000,0))&amp;"","")</f>
        <v/>
      </c>
      <c r="L325" s="12" t="str">
        <f>IFERROR(INDEX(MASTER!$R$2:$R$2000,MATCH($A325,MASTER!$A$2:$A$2000,0))&amp;"","")</f>
        <v/>
      </c>
    </row>
    <row r="326" spans="1:12" x14ac:dyDescent="0.25">
      <c r="A326" s="15" t="s">
        <v>718</v>
      </c>
      <c r="B326" s="12" t="str">
        <f>IFERROR(INDEX(MASTER!$C$2:$C$2000,MATCH($A326,MASTER!$A$2:$A$2000,0))&amp;"","")</f>
        <v>TESTING</v>
      </c>
      <c r="C326" s="16">
        <f>IFERROR(INDEX(MASTER!$B$2:$B$2000,MATCH($A326,MASTER!$A$2:$A$2000,0)),"")</f>
        <v>3</v>
      </c>
      <c r="D326" s="12" t="str">
        <f>IFERROR(INDEX(MASTER!$D$2:$D$2000,MATCH($A326,MASTER!$A$2:$A$2000,0))&amp;"","")</f>
        <v>Expected-loss manifests in CI</v>
      </c>
      <c r="E326" s="12" t="str">
        <f>IFERROR(INDEX(MASTER!$F$2:$F$2000,MATCH($A326,MASTER!$A$2:$A$2000,0))&amp;"","")</f>
        <v>P0</v>
      </c>
      <c r="F326" s="12" t="str">
        <f>IFERROR(INDEX(MASTER!$G$2:$G$2000,MATCH($A326,MASTER!$A$2:$A$2000,0))&amp;"","NOT IN MASTER")</f>
        <v>DONE</v>
      </c>
      <c r="G326" s="12" t="str">
        <f>IFERROR(INDEX(MASTER!$H$2:$H$2000,MATCH($A326,MASTER!$A$2:$A$2000,0))&amp;"","")</f>
        <v>Next to each of the 37 fixtures (17 golden, 20 Word-authored), &lt;fixture&gt;.expected-loss.json: the import report and the Word and PDF exports' reports as an upload and an export job make them (file kept via with_source_kept, fingerprints stamped, Word export into the original), reduced to each item's feature, policy, count, contentChanged and each content check's status (app/fidelity/loss_manifest.py). tests/test_expected_losses.py compares them with what happens now - in CI too - naming each new, gone or changed item; scripts/export_expected_losses.py rewrites them on purpose (keeping other platforms' PDF claims). PDF claims are per platform (win32 recorded) because PDF fonts come from the machine; import and Word export are compared everywhere. Recorded gaps include a03 numbered headings typed into text (DOCX-016A), a07 tracked changes accepted (DOCX-022), a09 charts/SmartArt/objects left out (DOCX-019), a11 scripts missing from the PDF.</v>
      </c>
      <c r="H326" s="12" t="str">
        <f>IFERROR(INDEX(MASTER!$I$2:$I$2000,MATCH($A326,MASTER!$A$2:$A$2000,0))&amp;"","")</f>
        <v>backend 1075 passed/1 skipped (tests/test_expected_losses.py 38: every fixture has a manifest; each fixture loses what its manifest says - deterministic over two runs; a mutated manifest fails naming the new item and the content change)</v>
      </c>
      <c r="I326" s="19">
        <f>IFERROR(IF(INDEX(MASTER!$O$2:$O$2000,MATCH($A326,MASTER!$A$2:$A$2000,0))="","",INDEX(MASTER!$O$2:$O$2000,MATCH($A326,MASTER!$A$2:$A$2000,0))),"")</f>
        <v>46295.127291666657</v>
      </c>
      <c r="J326" s="12" t="str">
        <f>IFERROR(INDEX(MASTER!$P$2:$P$2000,MATCH($A326,MASTER!$A$2:$A$2000,0))&amp;"","")</f>
        <v>05c6c69</v>
      </c>
      <c r="K326" s="12" t="str">
        <f>IFERROR(INDEX(MASTER!$Q$2:$Q$2000,MATCH($A326,MASTER!$A$2:$A$2000,0))&amp;"","")</f>
        <v/>
      </c>
      <c r="L326" s="12" t="str">
        <f>IFERROR(INDEX(MASTER!$R$2:$R$2000,MATCH($A326,MASTER!$A$2:$A$2000,0))&amp;"","")</f>
        <v>TEST-020</v>
      </c>
    </row>
    <row r="327" spans="1:12" x14ac:dyDescent="0.25">
      <c r="A327" s="15" t="s">
        <v>724</v>
      </c>
      <c r="B327" s="12" t="str">
        <f>IFERROR(INDEX(MASTER!$C$2:$C$2000,MATCH($A327,MASTER!$A$2:$A$2000,0))&amp;"","")</f>
        <v>TESTING</v>
      </c>
      <c r="C327" s="16">
        <f>IFERROR(INDEX(MASTER!$B$2:$B$2000,MATCH($A327,MASTER!$A$2:$A$2000,0)),"")</f>
        <v>3</v>
      </c>
      <c r="D327" s="12" t="str">
        <f>IFERROR(INDEX(MASTER!$D$2:$D$2000,MATCH($A327,MASTER!$A$2:$A$2000,0))&amp;"","")</f>
        <v>PDF expected losses on the CI platform</v>
      </c>
      <c r="E327" s="12" t="str">
        <f>IFERROR(INDEX(MASTER!$F$2:$F$2000,MATCH($A327,MASTER!$A$2:$A$2000,0))&amp;"","")</f>
        <v>P2</v>
      </c>
      <c r="F327" s="12" t="str">
        <f>IFERROR(INDEX(MASTER!$G$2:$G$2000,MATCH($A327,MASTER!$A$2:$A$2000,0))&amp;"","NOT IN MASTER")</f>
        <v>BLOCKED</v>
      </c>
      <c r="G327" s="12" t="str">
        <f>IFERROR(INDEX(MASTER!$H$2:$H$2000,MATCH($A327,MASTER!$A$2:$A$2000,0))&amp;"","")</f>
        <v>CI backend job records the Linux PDF claims after its tests and uploads them (artifact expected-loss-linux); scripts/merge_expected_losses.py merges only that platform's PDF claims (test_expected_losses: merged in and nothing else). Remaining: download one run's artifact, merge, commit.</v>
      </c>
      <c r="H327" s="12" t="str">
        <f>IFERROR(INDEX(MASTER!$I$2:$I$2000,MATCH($A327,MASTER!$A$2:$A$2000,0))&amp;"","")</f>
        <v>backend/tests/test_expected_losses.py::test_another_platforms_pdf_claims_are_merged_in_and_nothing_else</v>
      </c>
      <c r="I327" s="19" t="str">
        <f>IFERROR(IF(INDEX(MASTER!$O$2:$O$2000,MATCH($A327,MASTER!$A$2:$A$2000,0))="","",INDEX(MASTER!$O$2:$O$2000,MATCH($A327,MASTER!$A$2:$A$2000,0))),"")</f>
        <v/>
      </c>
      <c r="J327" s="12" t="str">
        <f>IFERROR(INDEX(MASTER!$P$2:$P$2000,MATCH($A327,MASTER!$A$2:$A$2000,0))&amp;"","")</f>
        <v>9760557</v>
      </c>
      <c r="K327" s="12" t="str">
        <f>IFERROR(INDEX(MASTER!$Q$2:$Q$2000,MATCH($A327,MASTER!$A$2:$A$2000,0))&amp;"","")</f>
        <v>BLOCKED: needs the CI artifact from GitHub (no Linux here: no Docker, no WSL distro; GitHub API not used from this machine). Boril: download expected-loss-linux from a CI run, run python -m scripts.merge_expected_losses DIR, commit.</v>
      </c>
      <c r="L327" s="12" t="str">
        <f>IFERROR(INDEX(MASTER!$R$2:$R$2000,MATCH($A327,MASTER!$A$2:$A$2000,0))&amp;"","")</f>
        <v>TEST-021</v>
      </c>
    </row>
    <row r="328" spans="1:12" x14ac:dyDescent="0.25">
      <c r="A328" s="15" t="s">
        <v>731</v>
      </c>
      <c r="B328" s="12" t="str">
        <f>IFERROR(INDEX(MASTER!$C$2:$C$2000,MATCH($A328,MASTER!$A$2:$A$2000,0))&amp;"","")</f>
        <v>TESTING</v>
      </c>
      <c r="C328" s="16">
        <f>IFERROR(INDEX(MASTER!$B$2:$B$2000,MATCH($A328,MASTER!$A$2:$A$2000,0)),"")</f>
        <v>3</v>
      </c>
      <c r="D328" s="12" t="str">
        <f>IFERROR(INDEX(MASTER!$D$2:$D$2000,MATCH($A328,MASTER!$A$2:$A$2000,0))&amp;"","")</f>
        <v>True fidelity test</v>
      </c>
      <c r="E328" s="12" t="str">
        <f>IFERROR(INDEX(MASTER!$F$2:$F$2000,MATCH($A328,MASTER!$A$2:$A$2000,0))&amp;"","")</f>
        <v>P0</v>
      </c>
      <c r="F328" s="12" t="str">
        <f>IFERROR(INDEX(MASTER!$G$2:$G$2000,MATCH($A328,MASTER!$A$2:$A$2000,0))&amp;"","NOT IN MASTER")</f>
        <v>DONE</v>
      </c>
      <c r="G328" s="12" t="str">
        <f>IFERROR(INDEX(MASTER!$H$2:$H$2000,MATCH($A328,MASTER!$A$2:$A$2000,0))&amp;"","")</f>
        <v>app/fidelity/round_trip.py: every fixture (37) through the app's whole path - imported as an upload imports it (with_source_kept, fingerprints), the academic template (apply_formatting), the editor's save (elements through JSON, keep_provenance), a Word export into the original - and the result file against the source on four axes each on its own: content (body and header words, compare_words), structure (kinds, heading levels, list levels, table shapes, pictures; difflib), formatting (each used kind's look and mark counts against the formatted document), metadata (core and custom properties; modified excluded). Pinned per fixture in &lt;fixture&gt;.expected-fidelity.json (scripts/export_expected_fidelity.py). Found and fixed: (1) the Word export overwrote the title - a file without one got its display name, a12's own title was replaced by its first heading - now SourceProperties.title/importedTitle keep them apart; (2) after a template, kinds it didn't set looked one way in the app and another in Word (Word styles based on Normal took the new body look): the import leaves out of each kind what it only inherits from Normal (docx_styles.inherit_from_normal, render_spec.FROM_BODY) and the export into the original writes every kind's style once Normal changed. Today only a03's typed heading numbers differ (DOCX-016A). Visual baseline updated after review (lists, table text, captions, quote follow the template's body font as in Word).</v>
      </c>
      <c r="H328" s="12" t="str">
        <f>IFERROR(INDEX(MASTER!$I$2:$I$2000,MATCH($A328,MASTER!$A$2:$A$2000,0))&amp;"","")</f>
        <v>backend 1224 passed/1 skipped (tests/test_true_fidelity.py 149: 37 fixtures x 4 axes + manifest check; test_docx_detect title case updated incl. a rename); Vitest 166; Playwright 28 (visual baseline regenerated and reviewed); tsc + eslint clean</v>
      </c>
      <c r="I328" s="19">
        <f>IFERROR(IF(INDEX(MASTER!$O$2:$O$2000,MATCH($A328,MASTER!$A$2:$A$2000,0))="","",INDEX(MASTER!$O$2:$O$2000,MATCH($A328,MASTER!$A$2:$A$2000,0))),"")</f>
        <v>46295.137418981481</v>
      </c>
      <c r="J328" s="12" t="str">
        <f>IFERROR(INDEX(MASTER!$P$2:$P$2000,MATCH($A328,MASTER!$A$2:$A$2000,0))&amp;"","")</f>
        <v>6869d5c</v>
      </c>
      <c r="K328" s="12" t="str">
        <f>IFERROR(INDEX(MASTER!$Q$2:$Q$2000,MATCH($A328,MASTER!$A$2:$A$2000,0))&amp;"","")</f>
        <v/>
      </c>
      <c r="L328" s="12" t="str">
        <f>IFERROR(INDEX(MASTER!$R$2:$R$2000,MATCH($A328,MASTER!$A$2:$A$2000,0))&amp;"","")</f>
        <v>TEST-020</v>
      </c>
    </row>
    <row r="329" spans="1:12" x14ac:dyDescent="0.25">
      <c r="A329" s="15" t="s">
        <v>737</v>
      </c>
      <c r="B329" s="12" t="str">
        <f>IFERROR(INDEX(MASTER!$C$2:$C$2000,MATCH($A329,MASTER!$A$2:$A$2000,0))&amp;"","")</f>
        <v>TESTING</v>
      </c>
      <c r="C329" s="16">
        <f>IFERROR(INDEX(MASTER!$B$2:$B$2000,MATCH($A329,MASTER!$A$2:$A$2000,0)),"")</f>
        <v>3</v>
      </c>
      <c r="D329" s="12" t="str">
        <f>IFERROR(INDEX(MASTER!$D$2:$D$2000,MATCH($A329,MASTER!$A$2:$A$2000,0))&amp;"","")</f>
        <v>Independent validation</v>
      </c>
      <c r="E329" s="12" t="str">
        <f>IFERROR(INDEX(MASTER!$F$2:$F$2000,MATCH($A329,MASTER!$A$2:$A$2000,0))&amp;"","")</f>
        <v>P1</v>
      </c>
      <c r="F329" s="12" t="str">
        <f>IFERROR(INDEX(MASTER!$G$2:$G$2000,MATCH($A329,MASTER!$A$2:$A$2000,0))&amp;"","NOT IN MASTER")</f>
        <v>DONE</v>
      </c>
      <c r="G329" s="12" t="str">
        <f>IFERROR(INDEX(MASTER!$H$2:$H$2000,MATCH($A329,MASTER!$A$2:$A$2000,0))&amp;"","")</f>
        <v>app/export/package_check.py: an independent package check (zip read directly): well-formed parts, content types, relationships resolving, relationship ids used, defined styles/lists/comments. Found a real defect on first run (python-docx's add_comment refers to an undefined CommentReference style; exports now define it). Every golden export passes, fresh and into its original.</v>
      </c>
      <c r="H329" s="12" t="str">
        <f>IFERROR(INDEX(MASTER!$I$2:$I$2000,MATCH($A329,MASTER!$A$2:$A$2000,0))&amp;"","")</f>
        <v>tests/test_package_check.py (13)</v>
      </c>
      <c r="I329" s="19">
        <f>IFERROR(IF(INDEX(MASTER!$O$2:$O$2000,MATCH($A329,MASTER!$A$2:$A$2000,0))="","",INDEX(MASTER!$O$2:$O$2000,MATCH($A329,MASTER!$A$2:$A$2000,0))),"")</f>
        <v>46292.607662037037</v>
      </c>
      <c r="J329" s="12" t="str">
        <f>IFERROR(INDEX(MASTER!$P$2:$P$2000,MATCH($A329,MASTER!$A$2:$A$2000,0))&amp;"","")</f>
        <v>de23961</v>
      </c>
      <c r="K329" s="12" t="str">
        <f>IFERROR(INDEX(MASTER!$Q$2:$Q$2000,MATCH($A329,MASTER!$A$2:$A$2000,0))&amp;"","")</f>
        <v>The docx skill's XSD validator needs defusedxml (not installed; installing needs a download) - schema-level validation remains open.</v>
      </c>
      <c r="L329" s="12" t="str">
        <f>IFERROR(INDEX(MASTER!$R$2:$R$2000,MATCH($A329,MASTER!$A$2:$A$2000,0))&amp;"","")</f>
        <v/>
      </c>
    </row>
    <row r="330" spans="1:12" x14ac:dyDescent="0.25">
      <c r="A330" s="15" t="s">
        <v>864</v>
      </c>
      <c r="B330" s="12" t="str">
        <f>IFERROR(INDEX(MASTER!$C$2:$C$2000,MATCH($A330,MASTER!$A$2:$A$2000,0))&amp;"","")</f>
        <v>TESTING</v>
      </c>
      <c r="C330" s="16">
        <f>IFERROR(INDEX(MASTER!$B$2:$B$2000,MATCH($A330,MASTER!$A$2:$A$2000,0)),"")</f>
        <v>4</v>
      </c>
      <c r="D330" s="12" t="str">
        <f>IFERROR(INDEX(MASTER!$D$2:$D$2000,MATCH($A330,MASTER!$A$2:$A$2000,0))&amp;"","")</f>
        <v>Security regression suite</v>
      </c>
      <c r="E330" s="12" t="str">
        <f>IFERROR(INDEX(MASTER!$F$2:$F$2000,MATCH($A330,MASTER!$A$2:$A$2000,0))&amp;"","")</f>
        <v>P0</v>
      </c>
      <c r="F330" s="12" t="str">
        <f>IFERROR(INDEX(MASTER!$G$2:$G$2000,MATCH($A330,MASTER!$A$2:$A$2000,0))&amp;"","NOT IN MASTER")</f>
        <v>DONE</v>
      </c>
      <c r="G330" s="12" t="str">
        <f>IFERROR(INDEX(MASTER!$H$2:$H$2000,MATCH($A330,MASTER!$A$2:$A$2000,0))&amp;"","")</f>
        <v>The security regression suite is one pytest marker (security, registered in backend/pytest.ini; 433 tests): the SEC-010..015 corpora (malformed Word, PDF, pictures, link and field policies), prompt injection, upload checks, document authorization, and backend/tests/test_security_suite.py, which reads the API's OpenAPI schema so no route goes unchecked: all 33 routes taking an id answer another workspace exactly as a missing id (404, same body), need sign-in, and leave the owner's document, picture, job and template untouched (a route without a request in its table fails the suite); all 37 writes refuse another site's Origin. CI runs it as its own step, then -m 'not security' (each test once). 5/5 mutations killed (document/asset/job/template ownership, cross-site check).</v>
      </c>
      <c r="H330" s="12" t="str">
        <f>IFERROR(INDEX(MASTER!$I$2:$I$2000,MATCH($A330,MASTER!$A$2:$A$2000,0))&amp;"","")</f>
        <v>backend/tests/test_security_suite.py (106); pytest -m security (433)</v>
      </c>
      <c r="I330" s="19">
        <f>IFERROR(IF(INDEX(MASTER!$O$2:$O$2000,MATCH($A330,MASTER!$A$2:$A$2000,0))="","",INDEX(MASTER!$O$2:$O$2000,MATCH($A330,MASTER!$A$2:$A$2000,0))),"")</f>
        <v>46295.975891203707</v>
      </c>
      <c r="J330" s="12" t="str">
        <f>IFERROR(INDEX(MASTER!$P$2:$P$2000,MATCH($A330,MASTER!$A$2:$A$2000,0))&amp;"","")</f>
        <v>d15574f</v>
      </c>
      <c r="K330" s="12" t="str">
        <f>IFERROR(INDEX(MASTER!$Q$2:$Q$2000,MATCH($A330,MASTER!$A$2:$A$2000,0))&amp;"","")</f>
        <v/>
      </c>
      <c r="L330" s="12" t="str">
        <f>IFERROR(INDEX(MASTER!$R$2:$R$2000,MATCH($A330,MASTER!$A$2:$A$2000,0))&amp;"","")</f>
        <v/>
      </c>
    </row>
    <row r="331" spans="1:12" x14ac:dyDescent="0.25">
      <c r="A331" s="15" t="s">
        <v>1312</v>
      </c>
      <c r="B331" s="12" t="str">
        <f>IFERROR(INDEX(MASTER!$C$2:$C$2000,MATCH($A331,MASTER!$A$2:$A$2000,0))&amp;"","")</f>
        <v>TESTING</v>
      </c>
      <c r="C331" s="16">
        <f>IFERROR(INDEX(MASTER!$B$2:$B$2000,MATCH($A331,MASTER!$A$2:$A$2000,0)),"")</f>
        <v>6</v>
      </c>
      <c r="D331" s="12" t="str">
        <f>IFERROR(INDEX(MASTER!$D$2:$D$2000,MATCH($A331,MASTER!$A$2:$A$2000,0))&amp;"","")</f>
        <v>Concurrency tests on PostgreSQL in CI</v>
      </c>
      <c r="E331" s="12" t="str">
        <f>IFERROR(INDEX(MASTER!$F$2:$F$2000,MATCH($A331,MASTER!$A$2:$A$2000,0))&amp;"","")</f>
        <v>P2</v>
      </c>
      <c r="F331" s="12" t="str">
        <f>IFERROR(INDEX(MASTER!$G$2:$G$2000,MATCH($A331,MASTER!$A$2:$A$2000,0))&amp;"","NOT IN MASTER")</f>
        <v>DONE</v>
      </c>
      <c r="G331" s="12" t="str">
        <f>IFERROR(INDEX(MASTER!$H$2:$H$2000,MATCH($A331,MASTER!$A$2:$A$2000,0))&amp;"","")</f>
        <v>backend/tests/conftest.py postgres_sessions, pytest marker postgres, CI migrations job</v>
      </c>
      <c r="H331" s="12" t="str">
        <f>IFERROR(INDEX(MASTER!$I$2:$I$2000,MATCH($A331,MASTER!$A$2:$A$2000,0))&amp;"","")</f>
        <v>tests/test_plan_limits_atomic.py on SQLite and PostgreSQL</v>
      </c>
      <c r="I331" s="19">
        <f>IFERROR(IF(INDEX(MASTER!$O$2:$O$2000,MATCH($A331,MASTER!$A$2:$A$2000,0))="","",INDEX(MASTER!$O$2:$O$2000,MATCH($A331,MASTER!$A$2:$A$2000,0))),"")</f>
        <v>46301.615254629629</v>
      </c>
      <c r="J331" s="12" t="str">
        <f>IFERROR(INDEX(MASTER!$P$2:$P$2000,MATCH($A331,MASTER!$A$2:$A$2000,0))&amp;"","")</f>
        <v>8966ec7</v>
      </c>
      <c r="K331" s="12" t="str">
        <f>IFERROR(INDEX(MASTER!$Q$2:$Q$2000,MATCH($A331,MASTER!$A$2:$A$2000,0))&amp;"","")</f>
        <v>PLAN-003's hold is a row lock on PostgreSQL; verified here only on SQLite (no PostgreSQL on this machine). CI runs only for pull requests and main.</v>
      </c>
      <c r="L331" s="12" t="str">
        <f>IFERROR(INDEX(MASTER!$R$2:$R$2000,MATCH($A331,MASTER!$A$2:$A$2000,0))&amp;"","")</f>
        <v/>
      </c>
    </row>
    <row r="332" spans="1:12" x14ac:dyDescent="0.25">
      <c r="A332" s="15" t="s">
        <v>1349</v>
      </c>
      <c r="B332" s="12" t="str">
        <f>IFERROR(INDEX(MASTER!$C$2:$C$2000,MATCH($A332,MASTER!$A$2:$A$2000,0))&amp;"","")</f>
        <v>TESTING</v>
      </c>
      <c r="C332" s="16">
        <f>IFERROR(INDEX(MASTER!$B$2:$B$2000,MATCH($A332,MASTER!$A$2:$A$2000,0)),"")</f>
        <v>17</v>
      </c>
      <c r="D332" s="12" t="str">
        <f>IFERROR(INDEX(MASTER!$D$2:$D$2000,MATCH($A332,MASTER!$A$2:$A$2000,0))&amp;"","")</f>
        <v>Playwright workflow coverage</v>
      </c>
      <c r="E332" s="12" t="str">
        <f>IFERROR(INDEX(MASTER!$F$2:$F$2000,MATCH($A332,MASTER!$A$2:$A$2000,0))&amp;"","")</f>
        <v>P0</v>
      </c>
      <c r="F332" s="12" t="str">
        <f>IFERROR(INDEX(MASTER!$G$2:$G$2000,MATCH($A332,MASTER!$A$2:$A$2000,0))&amp;"","NOT IN MASTER")</f>
        <v>DONE</v>
      </c>
      <c r="G332" s="12" t="str">
        <f>IFERROR(INDEX(MASTER!$H$2:$H$2000,MATCH($A332,MASTER!$A$2:$A$2000,0))&amp;"","")</f>
        <v>docs/testing/README.md (the 24 workflows mapped), frontend/e2e/workflows.spec.ts</v>
      </c>
      <c r="H332" s="12" t="str">
        <f>IFERROR(INDEX(MASTER!$I$2:$I$2000,MATCH($A332,MASTER!$A$2:$A$2000,0))&amp;"","")</f>
        <v>frontend/e2e/workflows.spec.ts (4); Playwright 42 passed</v>
      </c>
      <c r="I332" s="19">
        <f>IFERROR(IF(INDEX(MASTER!$O$2:$O$2000,MATCH($A332,MASTER!$A$2:$A$2000,0))="","",INDEX(MASTER!$O$2:$O$2000,MATCH($A332,MASTER!$A$2:$A$2000,0))),"")</f>
        <v>46301.640289351853</v>
      </c>
      <c r="J332" s="12" t="str">
        <f>IFERROR(INDEX(MASTER!$P$2:$P$2000,MATCH($A332,MASTER!$A$2:$A$2000,0))&amp;"","")</f>
        <v>a00632e</v>
      </c>
      <c r="K332" s="12" t="str">
        <f>IFERROR(INDEX(MASTER!$Q$2:$Q$2000,MATCH($A332,MASTER!$A$2:$A$2000,0))&amp;"","")</f>
        <v/>
      </c>
      <c r="L332" s="12" t="str">
        <f>IFERROR(INDEX(MASTER!$R$2:$R$2000,MATCH($A332,MASTER!$A$2:$A$2000,0))&amp;"","")</f>
        <v/>
      </c>
    </row>
    <row r="333" spans="1:12" x14ac:dyDescent="0.25">
      <c r="A333" s="15" t="s">
        <v>1355</v>
      </c>
      <c r="B333" s="12" t="str">
        <f>IFERROR(INDEX(MASTER!$C$2:$C$2000,MATCH($A333,MASTER!$A$2:$A$2000,0))&amp;"","")</f>
        <v>TESTING</v>
      </c>
      <c r="C333" s="16">
        <f>IFERROR(INDEX(MASTER!$B$2:$B$2000,MATCH($A333,MASTER!$A$2:$A$2000,0)),"")</f>
        <v>17</v>
      </c>
      <c r="D333" s="12" t="str">
        <f>IFERROR(INDEX(MASTER!$D$2:$D$2000,MATCH($A333,MASTER!$A$2:$A$2000,0))&amp;"","")</f>
        <v>Performance gates</v>
      </c>
      <c r="E333" s="12" t="str">
        <f>IFERROR(INDEX(MASTER!$F$2:$F$2000,MATCH($A333,MASTER!$A$2:$A$2000,0))&amp;"","")</f>
        <v>P1</v>
      </c>
      <c r="F333" s="12" t="str">
        <f>IFERROR(INDEX(MASTER!$G$2:$G$2000,MATCH($A333,MASTER!$A$2:$A$2000,0))&amp;"","NOT IN MASTER")</f>
        <v>DONE</v>
      </c>
      <c r="G333" s="12" t="str">
        <f>IFERROR(INDEX(MASTER!$H$2:$H$2000,MATCH($A333,MASTER!$A$2:$A$2000,0))&amp;"","")</f>
        <v>backend/scripts/perf_gate.py, docs/performance/gates.json, .github/workflows/ci.yml (Performance gate job), docs/performance/README.md + gate-2026-10-07.md; fix in translation/language.py + export/font_resolver.py</v>
      </c>
      <c r="H333" s="12" t="str">
        <f>IFERROR(INDEX(MASTER!$I$2:$I$2000,MATCH($A333,MASTER!$A$2:$A$2000,0))&amp;"","")</f>
        <v>tests/test_perf_gate.py (7), test_multilingual.py fast path; gate run 23b6c56 vs branch: failed (PDF export 500 blocks +66%), fixed, passed (0.377 vs 0.385 s)</v>
      </c>
      <c r="I333" s="19">
        <f>IFERROR(IF(INDEX(MASTER!$O$2:$O$2000,MATCH($A333,MASTER!$A$2:$A$2000,0))="","",INDEX(MASTER!$O$2:$O$2000,MATCH($A333,MASTER!$A$2:$A$2000,0))),"")</f>
        <v>46302.367442129631</v>
      </c>
      <c r="J333" s="12" t="str">
        <f>IFERROR(INDEX(MASTER!$P$2:$P$2000,MATCH($A333,MASTER!$A$2:$A$2000,0))&amp;"","")</f>
        <v>570a2da</v>
      </c>
      <c r="K333" s="12" t="str">
        <f>IFERROR(INDEX(MASTER!$Q$2:$Q$2000,MATCH($A333,MASTER!$A$2:$A$2000,0))&amp;"","")</f>
        <v>2026-10-07: gates against a same-machine baseline (CI: base and head on one runner); another machine's numbers refused. Found and fixed a real Phase 11 regression.</v>
      </c>
      <c r="L333" s="12" t="str">
        <f>IFERROR(INDEX(MASTER!$R$2:$R$2000,MATCH($A333,MASTER!$A$2:$A$2000,0))&amp;"","")</f>
        <v/>
      </c>
    </row>
    <row r="334" spans="1:12" x14ac:dyDescent="0.25">
      <c r="A334" s="15" t="s">
        <v>1362</v>
      </c>
      <c r="B334" s="12" t="str">
        <f>IFERROR(INDEX(MASTER!$C$2:$C$2000,MATCH($A334,MASTER!$A$2:$A$2000,0))&amp;"","")</f>
        <v>TESTING</v>
      </c>
      <c r="C334" s="16">
        <f>IFERROR(INDEX(MASTER!$B$2:$B$2000,MATCH($A334,MASTER!$A$2:$A$2000,0)),"")</f>
        <v>17</v>
      </c>
      <c r="D334" s="12" t="str">
        <f>IFERROR(INDEX(MASTER!$D$2:$D$2000,MATCH($A334,MASTER!$A$2:$A$2000,0))&amp;"","")</f>
        <v>Browser matrix</v>
      </c>
      <c r="E334" s="12" t="str">
        <f>IFERROR(INDEX(MASTER!$F$2:$F$2000,MATCH($A334,MASTER!$A$2:$A$2000,0))&amp;"","")</f>
        <v>P2</v>
      </c>
      <c r="F334" s="12" t="str">
        <f>IFERROR(INDEX(MASTER!$G$2:$G$2000,MATCH($A334,MASTER!$A$2:$A$2000,0))&amp;"","NOT IN MASTER")</f>
        <v>IMPLEMENTED</v>
      </c>
      <c r="G334" s="12" t="str">
        <f>IFERROR(INDEX(MASTER!$H$2:$H$2000,MATCH($A334,MASTER!$A$2:$A$2000,0))&amp;"","")</f>
        <v>frontend/playwright.config.ts projects from E2E_BROWSERS (chromium|firefox|webkit, unknown refused); .github/workflows/ci.yml e2e matrix [chromium, firefox, webkit], fail-fast off, report artifact per browser; visual baseline Chromium-only (editor-complex-academic-chromium-win32.png)</v>
      </c>
      <c r="H334" s="12" t="str">
        <f>IFERROR(INDEX(MASTER!$I$2:$I$2000,MATCH($A334,MASTER!$A$2:$A$2000,0))&amp;"","")</f>
        <v>npx playwright test (Edge/Chromium): 56 passed, 1 skipped (perf opt-in); --list: 57 tests per browser, 171 with all three. Firefox and WebKit runs await the CI matrix (no local Playwright browsers; downloading them needs Boril's OK)</v>
      </c>
      <c r="I334" s="19" t="str">
        <f>IFERROR(IF(INDEX(MASTER!$O$2:$O$2000,MATCH($A334,MASTER!$A$2:$A$2000,0))="","",INDEX(MASTER!$O$2:$O$2000,MATCH($A334,MASTER!$A$2:$A$2000,0))),"")</f>
        <v/>
      </c>
      <c r="J334" s="12" t="str">
        <f>IFERROR(INDEX(MASTER!$P$2:$P$2000,MATCH($A334,MASTER!$A$2:$A$2000,0))&amp;"","")</f>
        <v>a8cbb18</v>
      </c>
      <c r="K334" s="12" t="str">
        <f>IFERROR(INDEX(MASTER!$Q$2:$Q$2000,MATCH($A334,MASTER!$A$2:$A$2000,0))&amp;"","")</f>
        <v/>
      </c>
      <c r="L334" s="12" t="str">
        <f>IFERROR(INDEX(MASTER!$R$2:$R$2000,MATCH($A334,MASTER!$A$2:$A$2000,0))&amp;"","")</f>
        <v/>
      </c>
    </row>
    <row r="335" spans="1:12" x14ac:dyDescent="0.25">
      <c r="A335" s="15" t="s">
        <v>1368</v>
      </c>
      <c r="B335" s="12" t="str">
        <f>IFERROR(INDEX(MASTER!$C$2:$C$2000,MATCH($A335,MASTER!$A$2:$A$2000,0))&amp;"","")</f>
        <v>TESTING</v>
      </c>
      <c r="C335" s="16">
        <f>IFERROR(INDEX(MASTER!$B$2:$B$2000,MATCH($A335,MASTER!$A$2:$A$2000,0)),"")</f>
        <v>17</v>
      </c>
      <c r="D335" s="12" t="str">
        <f>IFERROR(INDEX(MASTER!$D$2:$D$2000,MATCH($A335,MASTER!$A$2:$A$2000,0))&amp;"","")</f>
        <v>E2E backend removes its temp directory</v>
      </c>
      <c r="E335" s="12" t="str">
        <f>IFERROR(INDEX(MASTER!$F$2:$F$2000,MATCH($A335,MASTER!$A$2:$A$2000,0))&amp;"","")</f>
        <v>P3</v>
      </c>
      <c r="F335" s="12" t="str">
        <f>IFERROR(INDEX(MASTER!$G$2:$G$2000,MATCH($A335,MASTER!$A$2:$A$2000,0))&amp;"","NOT IN MASTER")</f>
        <v>DONE</v>
      </c>
      <c r="G335" s="12" t="str">
        <f>IFERROR(INDEX(MASTER!$H$2:$H$2000,MATCH($A335,MASTER!$A$2:$A$2000,0))&amp;"","")</f>
        <v>backend/scripts/e2e_server.py: sweep(temp, keep, now) at start (prefix smartdoc-e2e-, e2e.db or empty, untouched STALE_HOURS=6, the E2E_OUTBOX_DIR kept, errors skipped), own directory removed in a finally after uvicorn stops; first real run: 'Removed 110 directories earlier end-to-end runs left' (216 -&gt; 107, the rest younger than 6 h); README</v>
      </c>
      <c r="H335" s="12" t="str">
        <f>IFERROR(INDEX(MASTER!$I$2:$I$2000,MATCH($A335,MASTER!$A$2:$A$2000,0))&amp;"","")</f>
        <v>backend tests/test_e2e_server.py (1: old database dir and old empty dir removed; a running one, the outbox with mail, a foreign dir, a non-matching name and a file kept); Playwright auth.spec through the new server: passed</v>
      </c>
      <c r="I335" s="19">
        <f>IFERROR(IF(INDEX(MASTER!$O$2:$O$2000,MATCH($A335,MASTER!$A$2:$A$2000,0))="","",INDEX(MASTER!$O$2:$O$2000,MATCH($A335,MASTER!$A$2:$A$2000,0))),"")</f>
        <v>46303.07099537037</v>
      </c>
      <c r="J335" s="12" t="str">
        <f>IFERROR(INDEX(MASTER!$P$2:$P$2000,MATCH($A335,MASTER!$A$2:$A$2000,0))&amp;"","")</f>
        <v>52849b9</v>
      </c>
      <c r="K335" s="12" t="str">
        <f>IFERROR(INDEX(MASTER!$Q$2:$Q$2000,MATCH($A335,MASTER!$A$2:$A$2000,0))&amp;"","")</f>
        <v/>
      </c>
      <c r="L335" s="12" t="str">
        <f>IFERROR(INDEX(MASTER!$R$2:$R$2000,MATCH($A335,MASTER!$A$2:$A$2000,0))&amp;"","")</f>
        <v/>
      </c>
    </row>
  </sheetData>
  <autoFilter ref="A318:L335" xr:uid="{00000000-0009-0000-0000-00000B000000}"/>
  <conditionalFormatting sqref="C8:C314">
    <cfRule type="cellIs" dxfId="148" priority="1" operator="equal">
      <formula>"PASS"</formula>
    </cfRule>
    <cfRule type="cellIs" dxfId="147" priority="2" operator="equal">
      <formula>"FAIL"</formula>
    </cfRule>
    <cfRule type="cellIs" dxfId="146" priority="3" operator="equal">
      <formula>"PARTIAL"</formula>
    </cfRule>
  </conditionalFormatting>
  <conditionalFormatting sqref="E319:E335">
    <cfRule type="cellIs" dxfId="145" priority="22" operator="equal">
      <formula>"P0"</formula>
    </cfRule>
    <cfRule type="cellIs" dxfId="144" priority="23" operator="equal">
      <formula>"P1"</formula>
    </cfRule>
  </conditionalFormatting>
  <conditionalFormatting sqref="F319:F335">
    <cfRule type="cellIs" dxfId="143" priority="4" operator="equal">
      <formula>"DONE"</formula>
    </cfRule>
    <cfRule type="cellIs" dxfId="142" priority="5" operator="equal">
      <formula>"VERIFIED"</formula>
    </cfRule>
    <cfRule type="cellIs" dxfId="141" priority="6" operator="equal">
      <formula>"IN_PROGRESS"</formula>
    </cfRule>
    <cfRule type="cellIs" dxfId="140" priority="7" operator="equal">
      <formula>"IMPLEMENTED"</formula>
    </cfRule>
    <cfRule type="cellIs" dxfId="139" priority="8" operator="equal">
      <formula>"TESTING"</formula>
    </cfRule>
    <cfRule type="cellIs" dxfId="138" priority="9" operator="equal">
      <formula>"BLOCKED"</formula>
    </cfRule>
    <cfRule type="cellIs" dxfId="137" priority="10" operator="equal">
      <formula>"FAILED"</formula>
    </cfRule>
    <cfRule type="cellIs" dxfId="136" priority="11" operator="equal">
      <formula>"DEFERRED"</formula>
    </cfRule>
    <cfRule type="cellIs" dxfId="135" priority="12" operator="equal">
      <formula>"UNKNOWN"</formula>
    </cfRule>
    <cfRule type="cellIs" dxfId="134" priority="13" operator="equal">
      <formula>"PASS"</formula>
    </cfRule>
    <cfRule type="cellIs" dxfId="133" priority="14" operator="equal">
      <formula>"FAIL"</formula>
    </cfRule>
    <cfRule type="cellIs" dxfId="132" priority="15" operator="equal">
      <formula>"PARTIAL"</formula>
    </cfRule>
    <cfRule type="cellIs" dxfId="131" priority="16" operator="equal">
      <formula>"RESOLVED"</formula>
    </cfRule>
    <cfRule type="cellIs" dxfId="130" priority="17" operator="equal">
      <formula>"OPEN"</formula>
    </cfRule>
    <cfRule type="cellIs" dxfId="129" priority="18" operator="equal">
      <formula>"WITHIN"</formula>
    </cfRule>
    <cfRule type="cellIs" dxfId="128" priority="19" operator="equal">
      <formula>"OVER"</formula>
    </cfRule>
    <cfRule type="cellIs" dxfId="127" priority="20" operator="equal">
      <formula>"NOW"</formula>
    </cfRule>
    <cfRule type="cellIs" dxfId="126" priority="21" operator="equal">
      <formula>"NOT IN MASTER"</formula>
    </cfRule>
  </conditionalFormatting>
  <dataValidations count="1">
    <dataValidation type="list" allowBlank="1" showErrorMessage="1" errorTitle="Invalid result" error="Pick a result from the list." sqref="C8:C314" xr:uid="{00000000-0002-0000-0B00-000000000000}">
      <formula1>"PASS,FAIL,PARTIAL,N/A"</formula1>
    </dataValidation>
  </dataValidations>
  <pageMargins left="0.75" right="0.75" top="1" bottom="1" header="0.5" footer="0.5"/>
  <pageSetup fitToHeight="0" orientation="landscape"/>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pageSetUpPr fitToPage="1"/>
  </sheetPr>
  <dimension ref="A1:L74"/>
  <sheetViews>
    <sheetView workbookViewId="0">
      <pane ySplit="4" topLeftCell="A5" activePane="bottomLeft" state="frozen"/>
      <selection pane="bottomLeft"/>
    </sheetView>
  </sheetViews>
  <sheetFormatPr defaultRowHeight="15" x14ac:dyDescent="0.25"/>
  <cols>
    <col min="1" max="1" width="44" customWidth="1"/>
    <col min="2" max="2" width="19" customWidth="1"/>
    <col min="3" max="3" width="34" customWidth="1"/>
    <col min="4" max="4" width="44" customWidth="1"/>
    <col min="5" max="5" width="12" customWidth="1"/>
    <col min="6" max="6" width="50" customWidth="1"/>
    <col min="7" max="7" width="40" customWidth="1"/>
    <col min="8" max="8" width="34" customWidth="1"/>
    <col min="9" max="9" width="16" customWidth="1"/>
    <col min="10" max="10" width="10" customWidth="1"/>
    <col min="11" max="11" width="40" customWidth="1"/>
    <col min="12" max="12" width="11" customWidth="1"/>
  </cols>
  <sheetData>
    <row r="1" spans="1:8" ht="20.25" x14ac:dyDescent="0.3">
      <c r="A1" s="3" t="s">
        <v>2194</v>
      </c>
    </row>
    <row r="2" spans="1:8" x14ac:dyDescent="0.25">
      <c r="A2" s="4" t="s">
        <v>135</v>
      </c>
    </row>
    <row r="3" spans="1:8" x14ac:dyDescent="0.25">
      <c r="A3" s="6" t="s">
        <v>45</v>
      </c>
      <c r="B3" s="6" t="s">
        <v>46</v>
      </c>
      <c r="C3" s="6" t="s">
        <v>47</v>
      </c>
      <c r="D3" s="6" t="s">
        <v>13</v>
      </c>
      <c r="E3" s="6" t="s">
        <v>16</v>
      </c>
      <c r="F3" s="6" t="s">
        <v>19</v>
      </c>
      <c r="G3" s="6" t="s">
        <v>48</v>
      </c>
      <c r="H3" s="6" t="s">
        <v>33</v>
      </c>
    </row>
    <row r="4" spans="1:8" x14ac:dyDescent="0.25">
      <c r="A4" s="7">
        <f>COUNTIF(MASTER!$C$2:$C$2000,"PRODUCT")</f>
        <v>5</v>
      </c>
      <c r="B4" s="7">
        <f>COUNTIFS(MASTER!$C$2:$C$2000,"PRODUCT",MASTER!$G$2:$G$2000,"DONE")</f>
        <v>5</v>
      </c>
      <c r="C4" s="7">
        <f>COUNTIFS(MASTER!$C$2:$C$2000,"PRODUCT",MASTER!$G$2:$G$2000,"VERIFIED")+B4</f>
        <v>5</v>
      </c>
      <c r="D4" s="7">
        <f>COUNTIFS(MASTER!$C$2:$C$2000,"PRODUCT",MASTER!$G$2:$G$2000,"IN_PROGRESS")+COUNTIFS(MASTER!$C$2:$C$2000,"PRODUCT",MASTER!$G$2:$G$2000,"IMPLEMENTED")+COUNTIFS(MASTER!$C$2:$C$2000,"PRODUCT",MASTER!$G$2:$G$2000,"TESTING")</f>
        <v>0</v>
      </c>
      <c r="E4" s="7">
        <f>COUNTIFS(MASTER!$C$2:$C$2000,"PRODUCT",MASTER!$G$2:$G$2000,"BLOCKED")</f>
        <v>0</v>
      </c>
      <c r="F4" s="7">
        <f>COUNTIFS(MASTER!$C$2:$C$2000,"PRODUCT",MASTER!$G$2:$G$2000,"FAILED")</f>
        <v>0</v>
      </c>
      <c r="G4" s="9">
        <f>IF(A4=0,0,B4/A4)</f>
        <v>1</v>
      </c>
      <c r="H4" s="9">
        <f>IF(A4=0,0,C4/A4)</f>
        <v>1</v>
      </c>
    </row>
    <row r="6" spans="1:8" ht="15.75" x14ac:dyDescent="0.25">
      <c r="A6" s="5" t="s">
        <v>2195</v>
      </c>
    </row>
    <row r="7" spans="1:8" ht="25.5" x14ac:dyDescent="0.25">
      <c r="A7" s="10" t="s">
        <v>2196</v>
      </c>
      <c r="B7" s="10" t="s">
        <v>2197</v>
      </c>
      <c r="C7" s="10" t="s">
        <v>2198</v>
      </c>
      <c r="D7" s="10" t="s">
        <v>2199</v>
      </c>
      <c r="E7" s="10" t="s">
        <v>2200</v>
      </c>
      <c r="F7" s="10" t="s">
        <v>178</v>
      </c>
    </row>
    <row r="8" spans="1:8" x14ac:dyDescent="0.25">
      <c r="A8" s="15" t="s">
        <v>2201</v>
      </c>
      <c r="B8" s="12" t="s">
        <v>2202</v>
      </c>
      <c r="C8" s="18" t="s">
        <v>2203</v>
      </c>
      <c r="D8" s="16">
        <f>SUMPRODUCT(ISNUMBER(SEARCH(","&amp;MASTER!$A$2:$A$2000&amp;",",","&amp;SUBSTITUTE($C8," ","")&amp;","))*((MASTER!$G$2:$G$2000="DONE")))</f>
        <v>3</v>
      </c>
      <c r="E8" s="16">
        <f t="shared" ref="E8:E39" si="0">IF(LEN(SUBSTITUTE($C8," ",""))=0,0,LEN(SUBSTITUTE($C8," ",""))-LEN(SUBSTITUTE(SUBSTITUTE($C8," ",""),",",""))+1)</f>
        <v>3</v>
      </c>
      <c r="F8" s="18" t="s">
        <v>2204</v>
      </c>
    </row>
    <row r="9" spans="1:8" x14ac:dyDescent="0.25">
      <c r="A9" s="15" t="s">
        <v>2205</v>
      </c>
      <c r="B9" s="12" t="s">
        <v>2202</v>
      </c>
      <c r="C9" s="18" t="s">
        <v>2206</v>
      </c>
      <c r="D9" s="16">
        <f>SUMPRODUCT(ISNUMBER(SEARCH(","&amp;MASTER!$A$2:$A$2000&amp;",",","&amp;SUBSTITUTE($C9," ","")&amp;","))*((MASTER!$G$2:$G$2000="DONE")))</f>
        <v>2</v>
      </c>
      <c r="E9" s="16">
        <f t="shared" si="0"/>
        <v>2</v>
      </c>
      <c r="F9" s="18" t="s">
        <v>2207</v>
      </c>
    </row>
    <row r="10" spans="1:8" x14ac:dyDescent="0.25">
      <c r="A10" s="15" t="s">
        <v>2208</v>
      </c>
      <c r="B10" s="12" t="s">
        <v>2202</v>
      </c>
      <c r="C10" s="18" t="s">
        <v>2209</v>
      </c>
      <c r="D10" s="16">
        <f>SUMPRODUCT(ISNUMBER(SEARCH(","&amp;MASTER!$A$2:$A$2000&amp;",",","&amp;SUBSTITUTE($C10," ","")&amp;","))*((MASTER!$G$2:$G$2000="DONE")))</f>
        <v>3</v>
      </c>
      <c r="E10" s="16">
        <f t="shared" si="0"/>
        <v>3</v>
      </c>
      <c r="F10" s="18" t="s">
        <v>2210</v>
      </c>
    </row>
    <row r="11" spans="1:8" x14ac:dyDescent="0.25">
      <c r="A11" s="15" t="s">
        <v>2211</v>
      </c>
      <c r="B11" s="12" t="s">
        <v>2202</v>
      </c>
      <c r="C11" s="18" t="s">
        <v>2212</v>
      </c>
      <c r="D11" s="16">
        <f>SUMPRODUCT(ISNUMBER(SEARCH(","&amp;MASTER!$A$2:$A$2000&amp;",",","&amp;SUBSTITUTE($C11," ","")&amp;","))*((MASTER!$G$2:$G$2000="DONE")))</f>
        <v>3</v>
      </c>
      <c r="E11" s="16">
        <f t="shared" si="0"/>
        <v>3</v>
      </c>
      <c r="F11" s="18" t="s">
        <v>2213</v>
      </c>
    </row>
    <row r="12" spans="1:8" x14ac:dyDescent="0.25">
      <c r="A12" s="15" t="s">
        <v>2214</v>
      </c>
      <c r="B12" s="12" t="s">
        <v>2202</v>
      </c>
      <c r="C12" s="18" t="s">
        <v>2215</v>
      </c>
      <c r="D12" s="16">
        <f>SUMPRODUCT(ISNUMBER(SEARCH(","&amp;MASTER!$A$2:$A$2000&amp;",",","&amp;SUBSTITUTE($C12," ","")&amp;","))*((MASTER!$G$2:$G$2000="DONE")))</f>
        <v>2</v>
      </c>
      <c r="E12" s="16">
        <f t="shared" si="0"/>
        <v>2</v>
      </c>
      <c r="F12" s="18" t="s">
        <v>2216</v>
      </c>
    </row>
    <row r="13" spans="1:8" x14ac:dyDescent="0.25">
      <c r="A13" s="15" t="s">
        <v>77</v>
      </c>
      <c r="B13" s="12" t="s">
        <v>2202</v>
      </c>
      <c r="C13" s="18" t="s">
        <v>2217</v>
      </c>
      <c r="D13" s="16">
        <f>SUMPRODUCT(ISNUMBER(SEARCH(","&amp;MASTER!$A$2:$A$2000&amp;",",","&amp;SUBSTITUTE($C13," ","")&amp;","))*((MASTER!$G$2:$G$2000="DONE")))</f>
        <v>2</v>
      </c>
      <c r="E13" s="16">
        <f t="shared" si="0"/>
        <v>2</v>
      </c>
      <c r="F13" s="18" t="s">
        <v>2218</v>
      </c>
    </row>
    <row r="14" spans="1:8" x14ac:dyDescent="0.25">
      <c r="A14" s="15" t="s">
        <v>1176</v>
      </c>
      <c r="B14" s="12" t="s">
        <v>2202</v>
      </c>
      <c r="C14" s="18" t="s">
        <v>2219</v>
      </c>
      <c r="D14" s="16">
        <f>SUMPRODUCT(ISNUMBER(SEARCH(","&amp;MASTER!$A$2:$A$2000&amp;",",","&amp;SUBSTITUTE($C14," ","")&amp;","))*((MASTER!$G$2:$G$2000="DONE")))</f>
        <v>2</v>
      </c>
      <c r="E14" s="16">
        <f t="shared" si="0"/>
        <v>2</v>
      </c>
      <c r="F14" s="18" t="s">
        <v>2220</v>
      </c>
    </row>
    <row r="15" spans="1:8" x14ac:dyDescent="0.25">
      <c r="A15" s="15" t="s">
        <v>2221</v>
      </c>
      <c r="B15" s="12" t="s">
        <v>2202</v>
      </c>
      <c r="C15" s="18" t="s">
        <v>2222</v>
      </c>
      <c r="D15" s="16">
        <f>SUMPRODUCT(ISNUMBER(SEARCH(","&amp;MASTER!$A$2:$A$2000&amp;",",","&amp;SUBSTITUTE($C15," ","")&amp;","))*((MASTER!$G$2:$G$2000="DONE")))</f>
        <v>2</v>
      </c>
      <c r="E15" s="16">
        <f t="shared" si="0"/>
        <v>2</v>
      </c>
      <c r="F15" s="18" t="s">
        <v>2223</v>
      </c>
    </row>
    <row r="16" spans="1:8" x14ac:dyDescent="0.25">
      <c r="A16" s="15" t="s">
        <v>86</v>
      </c>
      <c r="B16" s="12" t="s">
        <v>2202</v>
      </c>
      <c r="C16" s="18" t="s">
        <v>2224</v>
      </c>
      <c r="D16" s="16">
        <f>SUMPRODUCT(ISNUMBER(SEARCH(","&amp;MASTER!$A$2:$A$2000&amp;",",","&amp;SUBSTITUTE($C16," ","")&amp;","))*((MASTER!$G$2:$G$2000="DONE")))</f>
        <v>2</v>
      </c>
      <c r="E16" s="16">
        <f t="shared" si="0"/>
        <v>2</v>
      </c>
      <c r="F16" s="18" t="s">
        <v>2225</v>
      </c>
    </row>
    <row r="17" spans="1:6" x14ac:dyDescent="0.25">
      <c r="A17" s="15" t="s">
        <v>83</v>
      </c>
      <c r="B17" s="12" t="s">
        <v>2202</v>
      </c>
      <c r="C17" s="18" t="s">
        <v>2226</v>
      </c>
      <c r="D17" s="16">
        <f>SUMPRODUCT(ISNUMBER(SEARCH(","&amp;MASTER!$A$2:$A$2000&amp;",",","&amp;SUBSTITUTE($C17," ","")&amp;","))*((MASTER!$G$2:$G$2000="DONE")))</f>
        <v>3</v>
      </c>
      <c r="E17" s="16">
        <f t="shared" si="0"/>
        <v>3</v>
      </c>
      <c r="F17" s="18" t="s">
        <v>2227</v>
      </c>
    </row>
    <row r="18" spans="1:6" x14ac:dyDescent="0.25">
      <c r="A18" s="15" t="s">
        <v>2228</v>
      </c>
      <c r="B18" s="12" t="s">
        <v>2202</v>
      </c>
      <c r="C18" s="18" t="s">
        <v>1073</v>
      </c>
      <c r="D18" s="16">
        <f>SUMPRODUCT(ISNUMBER(SEARCH(","&amp;MASTER!$A$2:$A$2000&amp;",",","&amp;SUBSTITUTE($C18," ","")&amp;","))*((MASTER!$G$2:$G$2000="DONE")))</f>
        <v>1</v>
      </c>
      <c r="E18" s="16">
        <f t="shared" si="0"/>
        <v>1</v>
      </c>
      <c r="F18" s="18" t="s">
        <v>2229</v>
      </c>
    </row>
    <row r="19" spans="1:6" x14ac:dyDescent="0.25">
      <c r="A19" s="15" t="s">
        <v>2230</v>
      </c>
      <c r="B19" s="12" t="s">
        <v>2202</v>
      </c>
      <c r="C19" s="18" t="s">
        <v>2231</v>
      </c>
      <c r="D19" s="16">
        <f>SUMPRODUCT(ISNUMBER(SEARCH(","&amp;MASTER!$A$2:$A$2000&amp;",",","&amp;SUBSTITUTE($C19," ","")&amp;","))*((MASTER!$G$2:$G$2000="DONE")))</f>
        <v>2</v>
      </c>
      <c r="E19" s="16">
        <f t="shared" si="0"/>
        <v>2</v>
      </c>
      <c r="F19" s="18" t="s">
        <v>2232</v>
      </c>
    </row>
    <row r="20" spans="1:6" x14ac:dyDescent="0.25">
      <c r="A20" s="15" t="s">
        <v>2233</v>
      </c>
      <c r="B20" s="12" t="s">
        <v>2202</v>
      </c>
      <c r="C20" s="18" t="s">
        <v>2234</v>
      </c>
      <c r="D20" s="16">
        <f>SUMPRODUCT(ISNUMBER(SEARCH(","&amp;MASTER!$A$2:$A$2000&amp;",",","&amp;SUBSTITUTE($C20," ","")&amp;","))*((MASTER!$G$2:$G$2000="DONE")))</f>
        <v>2</v>
      </c>
      <c r="E20" s="16">
        <f t="shared" si="0"/>
        <v>2</v>
      </c>
      <c r="F20" s="18" t="s">
        <v>2235</v>
      </c>
    </row>
    <row r="21" spans="1:6" x14ac:dyDescent="0.25">
      <c r="A21" s="15" t="s">
        <v>2236</v>
      </c>
      <c r="B21" s="12" t="s">
        <v>2202</v>
      </c>
      <c r="C21" s="18" t="s">
        <v>1179</v>
      </c>
      <c r="D21" s="16">
        <f>SUMPRODUCT(ISNUMBER(SEARCH(","&amp;MASTER!$A$2:$A$2000&amp;",",","&amp;SUBSTITUTE($C21," ","")&amp;","))*((MASTER!$G$2:$G$2000="DONE")))</f>
        <v>1</v>
      </c>
      <c r="E21" s="16">
        <f t="shared" si="0"/>
        <v>1</v>
      </c>
      <c r="F21" s="18" t="s">
        <v>2235</v>
      </c>
    </row>
    <row r="22" spans="1:6" x14ac:dyDescent="0.25">
      <c r="A22" s="15" t="s">
        <v>2237</v>
      </c>
      <c r="B22" s="12" t="s">
        <v>2202</v>
      </c>
      <c r="C22" s="18" t="s">
        <v>1139</v>
      </c>
      <c r="D22" s="16">
        <f>SUMPRODUCT(ISNUMBER(SEARCH(","&amp;MASTER!$A$2:$A$2000&amp;",",","&amp;SUBSTITUTE($C22," ","")&amp;","))*((MASTER!$G$2:$G$2000="DONE")))</f>
        <v>1</v>
      </c>
      <c r="E22" s="16">
        <f t="shared" si="0"/>
        <v>1</v>
      </c>
      <c r="F22" s="18" t="s">
        <v>2238</v>
      </c>
    </row>
    <row r="23" spans="1:6" x14ac:dyDescent="0.25">
      <c r="A23" s="15" t="s">
        <v>2239</v>
      </c>
      <c r="B23" s="12" t="s">
        <v>2202</v>
      </c>
      <c r="C23" s="18" t="s">
        <v>1139</v>
      </c>
      <c r="D23" s="16">
        <f>SUMPRODUCT(ISNUMBER(SEARCH(","&amp;MASTER!$A$2:$A$2000&amp;",",","&amp;SUBSTITUTE($C23," ","")&amp;","))*((MASTER!$G$2:$G$2000="DONE")))</f>
        <v>1</v>
      </c>
      <c r="E23" s="16">
        <f t="shared" si="0"/>
        <v>1</v>
      </c>
      <c r="F23" s="18" t="s">
        <v>2238</v>
      </c>
    </row>
    <row r="24" spans="1:6" x14ac:dyDescent="0.25">
      <c r="A24" s="15" t="s">
        <v>2240</v>
      </c>
      <c r="B24" s="12" t="s">
        <v>2202</v>
      </c>
      <c r="C24" s="18" t="s">
        <v>630</v>
      </c>
      <c r="D24" s="16">
        <f>SUMPRODUCT(ISNUMBER(SEARCH(","&amp;MASTER!$A$2:$A$2000&amp;",",","&amp;SUBSTITUTE($C24," ","")&amp;","))*((MASTER!$G$2:$G$2000="DONE")))</f>
        <v>1</v>
      </c>
      <c r="E24" s="16">
        <f t="shared" si="0"/>
        <v>1</v>
      </c>
      <c r="F24" s="18" t="s">
        <v>2241</v>
      </c>
    </row>
    <row r="25" spans="1:6" x14ac:dyDescent="0.25">
      <c r="A25" s="15" t="s">
        <v>2242</v>
      </c>
      <c r="B25" s="12" t="s">
        <v>2202</v>
      </c>
      <c r="C25" s="18" t="s">
        <v>630</v>
      </c>
      <c r="D25" s="16">
        <f>SUMPRODUCT(ISNUMBER(SEARCH(","&amp;MASTER!$A$2:$A$2000&amp;",",","&amp;SUBSTITUTE($C25," ","")&amp;","))*((MASTER!$G$2:$G$2000="DONE")))</f>
        <v>1</v>
      </c>
      <c r="E25" s="16">
        <f t="shared" si="0"/>
        <v>1</v>
      </c>
      <c r="F25" s="18" t="s">
        <v>2243</v>
      </c>
    </row>
    <row r="26" spans="1:6" x14ac:dyDescent="0.25">
      <c r="A26" s="15" t="s">
        <v>2244</v>
      </c>
      <c r="B26" s="12" t="s">
        <v>2202</v>
      </c>
      <c r="C26" s="18" t="s">
        <v>668</v>
      </c>
      <c r="D26" s="16">
        <f>SUMPRODUCT(ISNUMBER(SEARCH(","&amp;MASTER!$A$2:$A$2000&amp;",",","&amp;SUBSTITUTE($C26," ","")&amp;","))*((MASTER!$G$2:$G$2000="DONE")))</f>
        <v>1</v>
      </c>
      <c r="E26" s="16">
        <f t="shared" si="0"/>
        <v>1</v>
      </c>
      <c r="F26" s="18" t="s">
        <v>2245</v>
      </c>
    </row>
    <row r="27" spans="1:6" ht="25.5" x14ac:dyDescent="0.25">
      <c r="A27" s="15" t="s">
        <v>2246</v>
      </c>
      <c r="B27" s="12" t="s">
        <v>2202</v>
      </c>
      <c r="C27" s="18" t="s">
        <v>1567</v>
      </c>
      <c r="D27" s="16">
        <f>SUMPRODUCT(ISNUMBER(SEARCH(","&amp;MASTER!$A$2:$A$2000&amp;",",","&amp;SUBSTITUTE($C27," ","")&amp;","))*((MASTER!$G$2:$G$2000="DONE")))</f>
        <v>2</v>
      </c>
      <c r="E27" s="16">
        <f t="shared" si="0"/>
        <v>2</v>
      </c>
      <c r="F27" s="18" t="s">
        <v>2247</v>
      </c>
    </row>
    <row r="28" spans="1:6" x14ac:dyDescent="0.25">
      <c r="A28" s="15" t="s">
        <v>2248</v>
      </c>
      <c r="B28" s="12" t="s">
        <v>2249</v>
      </c>
      <c r="C28" s="18"/>
      <c r="D28" s="16">
        <f>SUMPRODUCT(ISNUMBER(SEARCH(","&amp;MASTER!$A$2:$A$2000&amp;",",","&amp;SUBSTITUTE($C28," ","")&amp;","))*((MASTER!$G$2:$G$2000="DONE")))</f>
        <v>0</v>
      </c>
      <c r="E28" s="16">
        <f t="shared" si="0"/>
        <v>0</v>
      </c>
      <c r="F28" s="18" t="s">
        <v>2250</v>
      </c>
    </row>
    <row r="29" spans="1:6" x14ac:dyDescent="0.25">
      <c r="A29" s="15" t="s">
        <v>2251</v>
      </c>
      <c r="B29" s="12" t="s">
        <v>2249</v>
      </c>
      <c r="C29" s="18"/>
      <c r="D29" s="16">
        <f>SUMPRODUCT(ISNUMBER(SEARCH(","&amp;MASTER!$A$2:$A$2000&amp;",",","&amp;SUBSTITUTE($C29," ","")&amp;","))*((MASTER!$G$2:$G$2000="DONE")))</f>
        <v>0</v>
      </c>
      <c r="E29" s="16">
        <f t="shared" si="0"/>
        <v>0</v>
      </c>
      <c r="F29" s="18"/>
    </row>
    <row r="30" spans="1:6" x14ac:dyDescent="0.25">
      <c r="A30" s="15" t="s">
        <v>1260</v>
      </c>
      <c r="B30" s="12" t="s">
        <v>2249</v>
      </c>
      <c r="C30" s="18" t="s">
        <v>1259</v>
      </c>
      <c r="D30" s="16">
        <f>SUMPRODUCT(ISNUMBER(SEARCH(","&amp;MASTER!$A$2:$A$2000&amp;",",","&amp;SUBSTITUTE($C30," ","")&amp;","))*((MASTER!$G$2:$G$2000="DONE")))</f>
        <v>1</v>
      </c>
      <c r="E30" s="16">
        <f t="shared" si="0"/>
        <v>1</v>
      </c>
      <c r="F30" s="18" t="s">
        <v>2252</v>
      </c>
    </row>
    <row r="31" spans="1:6" x14ac:dyDescent="0.25">
      <c r="A31" s="15" t="s">
        <v>1268</v>
      </c>
      <c r="B31" s="12" t="s">
        <v>2249</v>
      </c>
      <c r="C31" s="18" t="s">
        <v>1267</v>
      </c>
      <c r="D31" s="16">
        <f>SUMPRODUCT(ISNUMBER(SEARCH(","&amp;MASTER!$A$2:$A$2000&amp;",",","&amp;SUBSTITUTE($C31," ","")&amp;","))*((MASTER!$G$2:$G$2000="DONE")))</f>
        <v>1</v>
      </c>
      <c r="E31" s="16">
        <f t="shared" si="0"/>
        <v>1</v>
      </c>
      <c r="F31" s="18" t="s">
        <v>2252</v>
      </c>
    </row>
    <row r="32" spans="1:6" x14ac:dyDescent="0.25">
      <c r="A32" s="15" t="s">
        <v>1275</v>
      </c>
      <c r="B32" s="12" t="s">
        <v>2249</v>
      </c>
      <c r="C32" s="18" t="s">
        <v>1274</v>
      </c>
      <c r="D32" s="16">
        <f>SUMPRODUCT(ISNUMBER(SEARCH(","&amp;MASTER!$A$2:$A$2000&amp;",",","&amp;SUBSTITUTE($C32," ","")&amp;","))*((MASTER!$G$2:$G$2000="DONE")))</f>
        <v>1</v>
      </c>
      <c r="E32" s="16">
        <f t="shared" si="0"/>
        <v>1</v>
      </c>
      <c r="F32" s="18" t="s">
        <v>2253</v>
      </c>
    </row>
    <row r="33" spans="1:6" x14ac:dyDescent="0.25">
      <c r="A33" s="15" t="s">
        <v>1247</v>
      </c>
      <c r="B33" s="12" t="s">
        <v>2249</v>
      </c>
      <c r="C33" s="18" t="s">
        <v>1246</v>
      </c>
      <c r="D33" s="16">
        <f>SUMPRODUCT(ISNUMBER(SEARCH(","&amp;MASTER!$A$2:$A$2000&amp;",",","&amp;SUBSTITUTE($C33," ","")&amp;","))*((MASTER!$G$2:$G$2000="DONE")))</f>
        <v>1</v>
      </c>
      <c r="E33" s="16">
        <f t="shared" si="0"/>
        <v>1</v>
      </c>
      <c r="F33" s="18" t="s">
        <v>2250</v>
      </c>
    </row>
    <row r="34" spans="1:6" x14ac:dyDescent="0.25">
      <c r="A34" s="15" t="s">
        <v>2254</v>
      </c>
      <c r="B34" s="12" t="s">
        <v>2249</v>
      </c>
      <c r="C34" s="18" t="s">
        <v>1246</v>
      </c>
      <c r="D34" s="16">
        <f>SUMPRODUCT(ISNUMBER(SEARCH(","&amp;MASTER!$A$2:$A$2000&amp;",",","&amp;SUBSTITUTE($C34," ","")&amp;","))*((MASTER!$G$2:$G$2000="DONE")))</f>
        <v>1</v>
      </c>
      <c r="E34" s="16">
        <f t="shared" si="0"/>
        <v>1</v>
      </c>
      <c r="F34" s="18"/>
    </row>
    <row r="35" spans="1:6" x14ac:dyDescent="0.25">
      <c r="A35" s="15" t="s">
        <v>2255</v>
      </c>
      <c r="B35" s="12" t="s">
        <v>2249</v>
      </c>
      <c r="C35" s="18" t="s">
        <v>1246</v>
      </c>
      <c r="D35" s="16">
        <f>SUMPRODUCT(ISNUMBER(SEARCH(","&amp;MASTER!$A$2:$A$2000&amp;",",","&amp;SUBSTITUTE($C35," ","")&amp;","))*((MASTER!$G$2:$G$2000="DONE")))</f>
        <v>1</v>
      </c>
      <c r="E35" s="16">
        <f t="shared" si="0"/>
        <v>1</v>
      </c>
      <c r="F35" s="18"/>
    </row>
    <row r="36" spans="1:6" x14ac:dyDescent="0.25">
      <c r="A36" s="15" t="s">
        <v>1281</v>
      </c>
      <c r="B36" s="12" t="s">
        <v>2249</v>
      </c>
      <c r="C36" s="18" t="s">
        <v>1280</v>
      </c>
      <c r="D36" s="16">
        <f>SUMPRODUCT(ISNUMBER(SEARCH(","&amp;MASTER!$A$2:$A$2000&amp;",",","&amp;SUBSTITUTE($C36," ","")&amp;","))*((MASTER!$G$2:$G$2000="DONE")))</f>
        <v>1</v>
      </c>
      <c r="E36" s="16">
        <f t="shared" si="0"/>
        <v>1</v>
      </c>
      <c r="F36" s="18" t="s">
        <v>2256</v>
      </c>
    </row>
    <row r="37" spans="1:6" x14ac:dyDescent="0.25">
      <c r="A37" s="15" t="s">
        <v>2257</v>
      </c>
      <c r="B37" s="12" t="s">
        <v>2249</v>
      </c>
      <c r="C37" s="18" t="s">
        <v>1280</v>
      </c>
      <c r="D37" s="16">
        <f>SUMPRODUCT(ISNUMBER(SEARCH(","&amp;MASTER!$A$2:$A$2000&amp;",",","&amp;SUBSTITUTE($C37," ","")&amp;","))*((MASTER!$G$2:$G$2000="DONE")))</f>
        <v>1</v>
      </c>
      <c r="E37" s="16">
        <f t="shared" si="0"/>
        <v>1</v>
      </c>
      <c r="F37" s="18"/>
    </row>
    <row r="38" spans="1:6" x14ac:dyDescent="0.25">
      <c r="A38" s="15" t="s">
        <v>2258</v>
      </c>
      <c r="B38" s="12" t="s">
        <v>2249</v>
      </c>
      <c r="C38" s="18" t="s">
        <v>1217</v>
      </c>
      <c r="D38" s="16">
        <f>SUMPRODUCT(ISNUMBER(SEARCH(","&amp;MASTER!$A$2:$A$2000&amp;",",","&amp;SUBSTITUTE($C38," ","")&amp;","))*((MASTER!$G$2:$G$2000="DONE")))</f>
        <v>1</v>
      </c>
      <c r="E38" s="16">
        <f t="shared" si="0"/>
        <v>1</v>
      </c>
      <c r="F38" s="18"/>
    </row>
    <row r="39" spans="1:6" x14ac:dyDescent="0.25">
      <c r="A39" s="15" t="s">
        <v>2259</v>
      </c>
      <c r="B39" s="12" t="s">
        <v>2249</v>
      </c>
      <c r="C39" s="18" t="s">
        <v>2260</v>
      </c>
      <c r="D39" s="16">
        <f>SUMPRODUCT(ISNUMBER(SEARCH(","&amp;MASTER!$A$2:$A$2000&amp;",",","&amp;SUBSTITUTE($C39," ","")&amp;","))*((MASTER!$G$2:$G$2000="DONE")))</f>
        <v>2</v>
      </c>
      <c r="E39" s="16">
        <f t="shared" si="0"/>
        <v>2</v>
      </c>
      <c r="F39" s="18"/>
    </row>
    <row r="40" spans="1:6" x14ac:dyDescent="0.25">
      <c r="A40" s="15" t="s">
        <v>2261</v>
      </c>
      <c r="B40" s="12" t="s">
        <v>2249</v>
      </c>
      <c r="C40" s="18"/>
      <c r="D40" s="16">
        <f>SUMPRODUCT(ISNUMBER(SEARCH(","&amp;MASTER!$A$2:$A$2000&amp;",",","&amp;SUBSTITUTE($C40," ","")&amp;","))*((MASTER!$G$2:$G$2000="DONE")))</f>
        <v>0</v>
      </c>
      <c r="E40" s="16">
        <f t="shared" ref="E40:E65" si="1">IF(LEN(SUBSTITUTE($C40," ",""))=0,0,LEN(SUBSTITUTE($C40," ",""))-LEN(SUBSTITUTE(SUBSTITUTE($C40," ",""),",",""))+1)</f>
        <v>0</v>
      </c>
      <c r="F40" s="18"/>
    </row>
    <row r="41" spans="1:6" x14ac:dyDescent="0.25">
      <c r="A41" s="15" t="s">
        <v>2262</v>
      </c>
      <c r="B41" s="12" t="s">
        <v>2249</v>
      </c>
      <c r="C41" s="18"/>
      <c r="D41" s="16">
        <f>SUMPRODUCT(ISNUMBER(SEARCH(","&amp;MASTER!$A$2:$A$2000&amp;",",","&amp;SUBSTITUTE($C41," ","")&amp;","))*((MASTER!$G$2:$G$2000="DONE")))</f>
        <v>0</v>
      </c>
      <c r="E41" s="16">
        <f t="shared" si="1"/>
        <v>0</v>
      </c>
      <c r="F41" s="18"/>
    </row>
    <row r="42" spans="1:6" x14ac:dyDescent="0.25">
      <c r="A42" s="15" t="s">
        <v>2263</v>
      </c>
      <c r="B42" s="12" t="s">
        <v>2249</v>
      </c>
      <c r="C42" s="18"/>
      <c r="D42" s="16">
        <f>SUMPRODUCT(ISNUMBER(SEARCH(","&amp;MASTER!$A$2:$A$2000&amp;",",","&amp;SUBSTITUTE($C42," ","")&amp;","))*((MASTER!$G$2:$G$2000="DONE")))</f>
        <v>0</v>
      </c>
      <c r="E42" s="16">
        <f t="shared" si="1"/>
        <v>0</v>
      </c>
      <c r="F42" s="18"/>
    </row>
    <row r="43" spans="1:6" x14ac:dyDescent="0.25">
      <c r="A43" s="15" t="s">
        <v>1254</v>
      </c>
      <c r="B43" s="12" t="s">
        <v>2249</v>
      </c>
      <c r="C43" s="18" t="s">
        <v>1253</v>
      </c>
      <c r="D43" s="16">
        <f>SUMPRODUCT(ISNUMBER(SEARCH(","&amp;MASTER!$A$2:$A$2000&amp;",",","&amp;SUBSTITUTE($C43," ","")&amp;","))*((MASTER!$G$2:$G$2000="DONE")))</f>
        <v>1</v>
      </c>
      <c r="E43" s="16">
        <f t="shared" si="1"/>
        <v>1</v>
      </c>
      <c r="F43" s="18"/>
    </row>
    <row r="44" spans="1:6" x14ac:dyDescent="0.25">
      <c r="A44" s="15" t="s">
        <v>2264</v>
      </c>
      <c r="B44" s="12" t="s">
        <v>2249</v>
      </c>
      <c r="C44" s="18" t="s">
        <v>1253</v>
      </c>
      <c r="D44" s="16">
        <f>SUMPRODUCT(ISNUMBER(SEARCH(","&amp;MASTER!$A$2:$A$2000&amp;",",","&amp;SUBSTITUTE($C44," ","")&amp;","))*((MASTER!$G$2:$G$2000="DONE")))</f>
        <v>1</v>
      </c>
      <c r="E44" s="16">
        <f t="shared" si="1"/>
        <v>1</v>
      </c>
      <c r="F44" s="18"/>
    </row>
    <row r="45" spans="1:6" x14ac:dyDescent="0.25">
      <c r="A45" s="15" t="s">
        <v>2265</v>
      </c>
      <c r="B45" s="12" t="s">
        <v>2249</v>
      </c>
      <c r="C45" s="18" t="s">
        <v>1197</v>
      </c>
      <c r="D45" s="16">
        <f>SUMPRODUCT(ISNUMBER(SEARCH(","&amp;MASTER!$A$2:$A$2000&amp;",",","&amp;SUBSTITUTE($C45," ","")&amp;","))*((MASTER!$G$2:$G$2000="DONE")))</f>
        <v>1</v>
      </c>
      <c r="E45" s="16">
        <f t="shared" si="1"/>
        <v>1</v>
      </c>
      <c r="F45" s="18"/>
    </row>
    <row r="46" spans="1:6" x14ac:dyDescent="0.25">
      <c r="A46" s="15" t="s">
        <v>2266</v>
      </c>
      <c r="B46" s="12" t="s">
        <v>2249</v>
      </c>
      <c r="C46" s="18" t="s">
        <v>1197</v>
      </c>
      <c r="D46" s="16">
        <f>SUMPRODUCT(ISNUMBER(SEARCH(","&amp;MASTER!$A$2:$A$2000&amp;",",","&amp;SUBSTITUTE($C46," ","")&amp;","))*((MASTER!$G$2:$G$2000="DONE")))</f>
        <v>1</v>
      </c>
      <c r="E46" s="16">
        <f t="shared" si="1"/>
        <v>1</v>
      </c>
      <c r="F46" s="18"/>
    </row>
    <row r="47" spans="1:6" x14ac:dyDescent="0.25">
      <c r="A47" s="15" t="s">
        <v>2267</v>
      </c>
      <c r="B47" s="12" t="s">
        <v>2249</v>
      </c>
      <c r="C47" s="18"/>
      <c r="D47" s="16">
        <f>SUMPRODUCT(ISNUMBER(SEARCH(","&amp;MASTER!$A$2:$A$2000&amp;",",","&amp;SUBSTITUTE($C47," ","")&amp;","))*((MASTER!$G$2:$G$2000="DONE")))</f>
        <v>0</v>
      </c>
      <c r="E47" s="16">
        <f t="shared" si="1"/>
        <v>0</v>
      </c>
      <c r="F47" s="18"/>
    </row>
    <row r="48" spans="1:6" x14ac:dyDescent="0.25">
      <c r="A48" s="15" t="s">
        <v>2268</v>
      </c>
      <c r="B48" s="12" t="s">
        <v>2249</v>
      </c>
      <c r="C48" s="18"/>
      <c r="D48" s="16">
        <f>SUMPRODUCT(ISNUMBER(SEARCH(","&amp;MASTER!$A$2:$A$2000&amp;",",","&amp;SUBSTITUTE($C48," ","")&amp;","))*((MASTER!$G$2:$G$2000="DONE")))</f>
        <v>0</v>
      </c>
      <c r="E48" s="16">
        <f t="shared" si="1"/>
        <v>0</v>
      </c>
      <c r="F48" s="18" t="s">
        <v>2250</v>
      </c>
    </row>
    <row r="49" spans="1:6" x14ac:dyDescent="0.25">
      <c r="A49" s="15" t="s">
        <v>2269</v>
      </c>
      <c r="B49" s="12" t="s">
        <v>2249</v>
      </c>
      <c r="C49" s="18"/>
      <c r="D49" s="16">
        <f>SUMPRODUCT(ISNUMBER(SEARCH(","&amp;MASTER!$A$2:$A$2000&amp;",",","&amp;SUBSTITUTE($C49," ","")&amp;","))*((MASTER!$G$2:$G$2000="DONE")))</f>
        <v>0</v>
      </c>
      <c r="E49" s="16">
        <f t="shared" si="1"/>
        <v>0</v>
      </c>
      <c r="F49" s="18" t="s">
        <v>2250</v>
      </c>
    </row>
    <row r="50" spans="1:6" x14ac:dyDescent="0.25">
      <c r="A50" s="15" t="s">
        <v>2270</v>
      </c>
      <c r="B50" s="12" t="s">
        <v>2249</v>
      </c>
      <c r="C50" s="18"/>
      <c r="D50" s="16">
        <f>SUMPRODUCT(ISNUMBER(SEARCH(","&amp;MASTER!$A$2:$A$2000&amp;",",","&amp;SUBSTITUTE($C50," ","")&amp;","))*((MASTER!$G$2:$G$2000="DONE")))</f>
        <v>0</v>
      </c>
      <c r="E50" s="16">
        <f t="shared" si="1"/>
        <v>0</v>
      </c>
      <c r="F50" s="18" t="s">
        <v>2250</v>
      </c>
    </row>
    <row r="51" spans="1:6" x14ac:dyDescent="0.25">
      <c r="A51" s="15" t="s">
        <v>2271</v>
      </c>
      <c r="B51" s="12" t="s">
        <v>2249</v>
      </c>
      <c r="C51" s="18" t="s">
        <v>1118</v>
      </c>
      <c r="D51" s="16">
        <f>SUMPRODUCT(ISNUMBER(SEARCH(","&amp;MASTER!$A$2:$A$2000&amp;",",","&amp;SUBSTITUTE($C51," ","")&amp;","))*((MASTER!$G$2:$G$2000="DONE")))</f>
        <v>1</v>
      </c>
      <c r="E51" s="16">
        <f t="shared" si="1"/>
        <v>1</v>
      </c>
      <c r="F51" s="18"/>
    </row>
    <row r="52" spans="1:6" x14ac:dyDescent="0.25">
      <c r="A52" s="15" t="s">
        <v>2272</v>
      </c>
      <c r="B52" s="12" t="s">
        <v>2249</v>
      </c>
      <c r="C52" s="18" t="s">
        <v>1118</v>
      </c>
      <c r="D52" s="16">
        <f>SUMPRODUCT(ISNUMBER(SEARCH(","&amp;MASTER!$A$2:$A$2000&amp;",",","&amp;SUBSTITUTE($C52," ","")&amp;","))*((MASTER!$G$2:$G$2000="DONE")))</f>
        <v>1</v>
      </c>
      <c r="E52" s="16">
        <f t="shared" si="1"/>
        <v>1</v>
      </c>
      <c r="F52" s="18"/>
    </row>
    <row r="53" spans="1:6" x14ac:dyDescent="0.25">
      <c r="A53" s="15" t="s">
        <v>2273</v>
      </c>
      <c r="B53" s="12" t="s">
        <v>2249</v>
      </c>
      <c r="C53" s="18" t="s">
        <v>1118</v>
      </c>
      <c r="D53" s="16">
        <f>SUMPRODUCT(ISNUMBER(SEARCH(","&amp;MASTER!$A$2:$A$2000&amp;",",","&amp;SUBSTITUTE($C53," ","")&amp;","))*((MASTER!$G$2:$G$2000="DONE")))</f>
        <v>1</v>
      </c>
      <c r="E53" s="16">
        <f t="shared" si="1"/>
        <v>1</v>
      </c>
      <c r="F53" s="18"/>
    </row>
    <row r="54" spans="1:6" x14ac:dyDescent="0.25">
      <c r="A54" s="15" t="s">
        <v>2274</v>
      </c>
      <c r="B54" s="12" t="s">
        <v>2249</v>
      </c>
      <c r="C54" s="18" t="s">
        <v>1118</v>
      </c>
      <c r="D54" s="16">
        <f>SUMPRODUCT(ISNUMBER(SEARCH(","&amp;MASTER!$A$2:$A$2000&amp;",",","&amp;SUBSTITUTE($C54," ","")&amp;","))*((MASTER!$G$2:$G$2000="DONE")))</f>
        <v>1</v>
      </c>
      <c r="E54" s="16">
        <f t="shared" si="1"/>
        <v>1</v>
      </c>
      <c r="F54" s="18"/>
    </row>
    <row r="55" spans="1:6" x14ac:dyDescent="0.25">
      <c r="A55" s="15" t="s">
        <v>2275</v>
      </c>
      <c r="B55" s="12" t="s">
        <v>2249</v>
      </c>
      <c r="C55" s="18" t="s">
        <v>1118</v>
      </c>
      <c r="D55" s="16">
        <f>SUMPRODUCT(ISNUMBER(SEARCH(","&amp;MASTER!$A$2:$A$2000&amp;",",","&amp;SUBSTITUTE($C55," ","")&amp;","))*((MASTER!$G$2:$G$2000="DONE")))</f>
        <v>1</v>
      </c>
      <c r="E55" s="16">
        <f t="shared" si="1"/>
        <v>1</v>
      </c>
      <c r="F55" s="18"/>
    </row>
    <row r="56" spans="1:6" x14ac:dyDescent="0.25">
      <c r="A56" s="15" t="s">
        <v>2276</v>
      </c>
      <c r="B56" s="12" t="s">
        <v>2277</v>
      </c>
      <c r="C56" s="18"/>
      <c r="D56" s="16">
        <f>SUMPRODUCT(ISNUMBER(SEARCH(","&amp;MASTER!$A$2:$A$2000&amp;",",","&amp;SUBSTITUTE($C56," ","")&amp;","))*((MASTER!$G$2:$G$2000="DONE")))</f>
        <v>0</v>
      </c>
      <c r="E56" s="16">
        <f t="shared" si="1"/>
        <v>0</v>
      </c>
      <c r="F56" s="18"/>
    </row>
    <row r="57" spans="1:6" x14ac:dyDescent="0.25">
      <c r="A57" s="15" t="s">
        <v>2278</v>
      </c>
      <c r="B57" s="12" t="s">
        <v>2277</v>
      </c>
      <c r="C57" s="18"/>
      <c r="D57" s="16">
        <f>SUMPRODUCT(ISNUMBER(SEARCH(","&amp;MASTER!$A$2:$A$2000&amp;",",","&amp;SUBSTITUTE($C57," ","")&amp;","))*((MASTER!$G$2:$G$2000="DONE")))</f>
        <v>0</v>
      </c>
      <c r="E57" s="16">
        <f t="shared" si="1"/>
        <v>0</v>
      </c>
      <c r="F57" s="18"/>
    </row>
    <row r="58" spans="1:6" x14ac:dyDescent="0.25">
      <c r="A58" s="15" t="s">
        <v>2279</v>
      </c>
      <c r="B58" s="12" t="s">
        <v>2277</v>
      </c>
      <c r="C58" s="18"/>
      <c r="D58" s="16">
        <f>SUMPRODUCT(ISNUMBER(SEARCH(","&amp;MASTER!$A$2:$A$2000&amp;",",","&amp;SUBSTITUTE($C58," ","")&amp;","))*((MASTER!$G$2:$G$2000="DONE")))</f>
        <v>0</v>
      </c>
      <c r="E58" s="16">
        <f t="shared" si="1"/>
        <v>0</v>
      </c>
      <c r="F58" s="18"/>
    </row>
    <row r="59" spans="1:6" x14ac:dyDescent="0.25">
      <c r="A59" s="15" t="s">
        <v>2280</v>
      </c>
      <c r="B59" s="12" t="s">
        <v>2277</v>
      </c>
      <c r="C59" s="18"/>
      <c r="D59" s="16">
        <f>SUMPRODUCT(ISNUMBER(SEARCH(","&amp;MASTER!$A$2:$A$2000&amp;",",","&amp;SUBSTITUTE($C59," ","")&amp;","))*((MASTER!$G$2:$G$2000="DONE")))</f>
        <v>0</v>
      </c>
      <c r="E59" s="16">
        <f t="shared" si="1"/>
        <v>0</v>
      </c>
      <c r="F59" s="18" t="s">
        <v>2281</v>
      </c>
    </row>
    <row r="60" spans="1:6" x14ac:dyDescent="0.25">
      <c r="A60" s="15" t="s">
        <v>2282</v>
      </c>
      <c r="B60" s="12" t="s">
        <v>2277</v>
      </c>
      <c r="C60" s="18"/>
      <c r="D60" s="16">
        <f>SUMPRODUCT(ISNUMBER(SEARCH(","&amp;MASTER!$A$2:$A$2000&amp;",",","&amp;SUBSTITUTE($C60," ","")&amp;","))*((MASTER!$G$2:$G$2000="DONE")))</f>
        <v>0</v>
      </c>
      <c r="E60" s="16">
        <f t="shared" si="1"/>
        <v>0</v>
      </c>
      <c r="F60" s="18" t="s">
        <v>2283</v>
      </c>
    </row>
    <row r="61" spans="1:6" x14ac:dyDescent="0.25">
      <c r="A61" s="15" t="s">
        <v>2284</v>
      </c>
      <c r="B61" s="12" t="s">
        <v>2277</v>
      </c>
      <c r="C61" s="18"/>
      <c r="D61" s="16">
        <f>SUMPRODUCT(ISNUMBER(SEARCH(","&amp;MASTER!$A$2:$A$2000&amp;",",","&amp;SUBSTITUTE($C61," ","")&amp;","))*((MASTER!$G$2:$G$2000="DONE")))</f>
        <v>0</v>
      </c>
      <c r="E61" s="16">
        <f t="shared" si="1"/>
        <v>0</v>
      </c>
      <c r="F61" s="18" t="s">
        <v>2285</v>
      </c>
    </row>
    <row r="62" spans="1:6" x14ac:dyDescent="0.25">
      <c r="A62" s="15" t="s">
        <v>2286</v>
      </c>
      <c r="B62" s="12" t="s">
        <v>2277</v>
      </c>
      <c r="C62" s="18"/>
      <c r="D62" s="16">
        <f>SUMPRODUCT(ISNUMBER(SEARCH(","&amp;MASTER!$A$2:$A$2000&amp;",",","&amp;SUBSTITUTE($C62," ","")&amp;","))*((MASTER!$G$2:$G$2000="DONE")))</f>
        <v>0</v>
      </c>
      <c r="E62" s="16">
        <f t="shared" si="1"/>
        <v>0</v>
      </c>
      <c r="F62" s="18" t="s">
        <v>2281</v>
      </c>
    </row>
    <row r="63" spans="1:6" x14ac:dyDescent="0.25">
      <c r="A63" s="15" t="s">
        <v>2287</v>
      </c>
      <c r="B63" s="12" t="s">
        <v>2277</v>
      </c>
      <c r="C63" s="18"/>
      <c r="D63" s="16">
        <f>SUMPRODUCT(ISNUMBER(SEARCH(","&amp;MASTER!$A$2:$A$2000&amp;",",","&amp;SUBSTITUTE($C63," ","")&amp;","))*((MASTER!$G$2:$G$2000="DONE")))</f>
        <v>0</v>
      </c>
      <c r="E63" s="16">
        <f t="shared" si="1"/>
        <v>0</v>
      </c>
      <c r="F63" s="18" t="s">
        <v>2281</v>
      </c>
    </row>
    <row r="64" spans="1:6" x14ac:dyDescent="0.25">
      <c r="A64" s="15" t="s">
        <v>2288</v>
      </c>
      <c r="B64" s="12" t="s">
        <v>2277</v>
      </c>
      <c r="C64" s="18"/>
      <c r="D64" s="16">
        <f>SUMPRODUCT(ISNUMBER(SEARCH(","&amp;MASTER!$A$2:$A$2000&amp;",",","&amp;SUBSTITUTE($C64," ","")&amp;","))*((MASTER!$G$2:$G$2000="DONE")))</f>
        <v>0</v>
      </c>
      <c r="E64" s="16">
        <f t="shared" si="1"/>
        <v>0</v>
      </c>
      <c r="F64" s="18" t="s">
        <v>2281</v>
      </c>
    </row>
    <row r="65" spans="1:12" x14ac:dyDescent="0.25">
      <c r="A65" s="15" t="s">
        <v>2289</v>
      </c>
      <c r="B65" s="12" t="s">
        <v>2290</v>
      </c>
      <c r="C65" s="18" t="s">
        <v>1101</v>
      </c>
      <c r="D65" s="16">
        <f>SUMPRODUCT(ISNUMBER(SEARCH(","&amp;MASTER!$A$2:$A$2000&amp;",",","&amp;SUBSTITUTE($C65," ","")&amp;","))*((MASTER!$G$2:$G$2000="DONE")))</f>
        <v>1</v>
      </c>
      <c r="E65" s="16">
        <f t="shared" si="1"/>
        <v>1</v>
      </c>
      <c r="F65" s="18" t="s">
        <v>2291</v>
      </c>
    </row>
    <row r="68" spans="1:12" ht="15.75" x14ac:dyDescent="0.25">
      <c r="A68" s="5" t="s">
        <v>2292</v>
      </c>
    </row>
    <row r="69" spans="1:12" x14ac:dyDescent="0.25">
      <c r="A69" s="10" t="s">
        <v>166</v>
      </c>
      <c r="B69" s="10" t="s">
        <v>100</v>
      </c>
      <c r="C69" s="10" t="s">
        <v>43</v>
      </c>
      <c r="D69" s="10" t="s">
        <v>167</v>
      </c>
      <c r="E69" s="10" t="s">
        <v>169</v>
      </c>
      <c r="F69" s="10" t="s">
        <v>57</v>
      </c>
      <c r="G69" s="10" t="s">
        <v>170</v>
      </c>
      <c r="H69" s="10" t="s">
        <v>171</v>
      </c>
      <c r="I69" s="10" t="s">
        <v>15</v>
      </c>
      <c r="J69" s="10" t="s">
        <v>177</v>
      </c>
      <c r="K69" s="10" t="s">
        <v>178</v>
      </c>
      <c r="L69" s="10" t="s">
        <v>179</v>
      </c>
    </row>
    <row r="70" spans="1:12" x14ac:dyDescent="0.25">
      <c r="A70" s="15" t="s">
        <v>1259</v>
      </c>
      <c r="B70" s="12" t="str">
        <f>IFERROR(INDEX(MASTER!$C$2:$C$2000,MATCH($A70,MASTER!$A$2:$A$2000,0))&amp;"","")</f>
        <v>PRODUCT</v>
      </c>
      <c r="C70" s="16">
        <f>IFERROR(INDEX(MASTER!$B$2:$B$2000,MATCH($A70,MASTER!$A$2:$A$2000,0)),"")</f>
        <v>15</v>
      </c>
      <c r="D70" s="12" t="str">
        <f>IFERROR(INDEX(MASTER!$D$2:$D$2000,MATCH($A70,MASTER!$A$2:$A$2000,0))&amp;"","")</f>
        <v>Batch formatting</v>
      </c>
      <c r="E70" s="12" t="str">
        <f>IFERROR(INDEX(MASTER!$F$2:$F$2000,MATCH($A70,MASTER!$A$2:$A$2000,0))&amp;"","")</f>
        <v>P2</v>
      </c>
      <c r="F70" s="12" t="str">
        <f>IFERROR(INDEX(MASTER!$G$2:$G$2000,MATCH($A70,MASTER!$A$2:$A$2000,0))&amp;"","NOT IN MASTER")</f>
        <v>DONE</v>
      </c>
      <c r="G70" s="12" t="str">
        <f>IFERROR(INDEX(MASTER!$H$2:$H$2000,MATCH($A70,MASTER!$A$2:$A$2000,0))&amp;"","")</f>
        <v>POST /jobs/batch-format + GET /jobs/batches/{id}: one format job per document under a batch id (template only, no AI); documents + template checked first; maxBatchJobs monthly, batch_jobs usage now counted; documents list checkbox column + BatchBar following the batch. e2e: two documents ticked, template applied to both.</v>
      </c>
      <c r="H70" s="12" t="str">
        <f>IFERROR(INDEX(MASTER!$I$2:$I$2000,MATCH($A70,MASTER!$A$2:$A$2000,0))&amp;"","")</f>
        <v>backend/tests/test_batch_format.py (7; 9/9 mutations); BatchBar.test.tsx (2); e2e batch.spec.ts; security suite; backend 2472/11, Vitest 307, Playwright 56</v>
      </c>
      <c r="I70" s="19">
        <f>IFERROR(IF(INDEX(MASTER!$O$2:$O$2000,MATCH($A70,MASTER!$A$2:$A$2000,0))="","",INDEX(MASTER!$O$2:$O$2000,MATCH($A70,MASTER!$A$2:$A$2000,0))),"")</f>
        <v>46302.856273148151</v>
      </c>
      <c r="J70" s="12" t="str">
        <f>IFERROR(INDEX(MASTER!$P$2:$P$2000,MATCH($A70,MASTER!$A$2:$A$2000,0))&amp;"","")</f>
        <v>fe4a89d</v>
      </c>
      <c r="K70" s="12" t="str">
        <f>IFERROR(INDEX(MASTER!$Q$2:$Q$2000,MATCH($A70,MASTER!$A$2:$A$2000,0))&amp;"","")</f>
        <v>A reference document's look goes into a batch as a template (Format by Example: Save as template). Conflicting documents wait for their own resolution.</v>
      </c>
      <c r="L70" s="12" t="str">
        <f>IFERROR(INDEX(MASTER!$R$2:$R$2000,MATCH($A70,MASTER!$A$2:$A$2000,0))&amp;"","")</f>
        <v/>
      </c>
    </row>
    <row r="71" spans="1:12" x14ac:dyDescent="0.25">
      <c r="A71" s="15" t="s">
        <v>1267</v>
      </c>
      <c r="B71" s="12" t="str">
        <f>IFERROR(INDEX(MASTER!$C$2:$C$2000,MATCH($A71,MASTER!$A$2:$A$2000,0))&amp;"","")</f>
        <v>PRODUCT</v>
      </c>
      <c r="C71" s="16">
        <f>IFERROR(INDEX(MASTER!$B$2:$B$2000,MATCH($A71,MASTER!$A$2:$A$2000,0)),"")</f>
        <v>15</v>
      </c>
      <c r="D71" s="12" t="str">
        <f>IFERROR(INDEX(MASTER!$D$2:$D$2000,MATCH($A71,MASTER!$A$2:$A$2000,0))&amp;"","")</f>
        <v>Batch export</v>
      </c>
      <c r="E71" s="12" t="str">
        <f>IFERROR(INDEX(MASTER!$F$2:$F$2000,MATCH($A71,MASTER!$A$2:$A$2000,0))&amp;"","")</f>
        <v>P2</v>
      </c>
      <c r="F71" s="12" t="str">
        <f>IFERROR(INDEX(MASTER!$G$2:$G$2000,MATCH($A71,MASTER!$A$2:$A$2000,0))&amp;"","NOT IN MASTER")</f>
        <v>DONE</v>
      </c>
      <c r="G71" s="12" t="str">
        <f>IFERROR(INDEX(MASTER!$H$2:$H$2000,MATCH($A71,MASTER!$A$2:$A$2000,0))&amp;"","")</f>
        <v>POST /jobs/batch-export: one export job building each document as a single export (shared _rendered), checked, zipped; result parts (filename, verified, missing); download via /jobs/{id}/file; maxExports per document + one batch job; BatchBar Export as ZIP (Word/PDF) with link and summary; ZIP served as application/zip.</v>
      </c>
      <c r="H71" s="12" t="str">
        <f>IFERROR(INDEX(MASTER!$I$2:$I$2000,MATCH($A71,MASTER!$A$2:$A$2000,0))&amp;"","")</f>
        <v>backend/tests/test_batch_export.py (5; 8/8 mutations); BatchBar.test.tsx (+1); e2e batch.spec.ts; test_jobs/test_storage_retention/test_pdf_pages updated; backend 2479/11, Vitest 308, Playwright 56</v>
      </c>
      <c r="I71" s="19">
        <f>IFERROR(IF(INDEX(MASTER!$O$2:$O$2000,MATCH($A71,MASTER!$A$2:$A$2000,0))="","",INDEX(MASTER!$O$2:$O$2000,MATCH($A71,MASTER!$A$2:$A$2000,0))),"")</f>
        <v>46302.873078703713</v>
      </c>
      <c r="J71" s="12" t="str">
        <f>IFERROR(INDEX(MASTER!$P$2:$P$2000,MATCH($A71,MASTER!$A$2:$A$2000,0))&amp;"","")</f>
        <v>03891a4</v>
      </c>
      <c r="K71" s="12" t="str">
        <f>IFERROR(INDEX(MASTER!$Q$2:$Q$2000,MATCH($A71,MASTER!$A$2:$A$2000,0))&amp;"","")</f>
        <v>The ZIP's job belongs to the first document: deleting it removes the ZIP.</v>
      </c>
      <c r="L71" s="12" t="str">
        <f>IFERROR(INDEX(MASTER!$R$2:$R$2000,MATCH($A71,MASTER!$A$2:$A$2000,0))&amp;"","")</f>
        <v/>
      </c>
    </row>
    <row r="72" spans="1:12" x14ac:dyDescent="0.25">
      <c r="A72" s="15" t="s">
        <v>1274</v>
      </c>
      <c r="B72" s="12" t="str">
        <f>IFERROR(INDEX(MASTER!$C$2:$C$2000,MATCH($A72,MASTER!$A$2:$A$2000,0))&amp;"","")</f>
        <v>PRODUCT</v>
      </c>
      <c r="C72" s="16">
        <f>IFERROR(INDEX(MASTER!$B$2:$B$2000,MATCH($A72,MASTER!$A$2:$A$2000,0)),"")</f>
        <v>15</v>
      </c>
      <c r="D72" s="12" t="str">
        <f>IFERROR(INDEX(MASTER!$D$2:$D$2000,MATCH($A72,MASTER!$A$2:$A$2000,0))&amp;"","")</f>
        <v>Batch translation</v>
      </c>
      <c r="E72" s="12" t="str">
        <f>IFERROR(INDEX(MASTER!$F$2:$F$2000,MATCH($A72,MASTER!$A$2:$A$2000,0))&amp;"","")</f>
        <v>P3</v>
      </c>
      <c r="F72" s="12" t="str">
        <f>IFERROR(INDEX(MASTER!$G$2:$G$2000,MATCH($A72,MASTER!$A$2:$A$2000,0))&amp;"","NOT IN MASTER")</f>
        <v>DONE</v>
      </c>
      <c r="G72" s="12" t="str">
        <f>IFERROR(INDEX(MASTER!$H$2:$H$2000,MATCH($A72,MASTER!$A$2:$A$2000,0))&amp;"","")</f>
        <v>backend/app/api/jobs.py batch_translate (POST /api/v1/jobs/batch-translate: documents checked, BATCH 1, check_new_document(count=N), TRANSLATION characters via translation.service.collect, batch_jobs usage row, TRANSLATE jobs with batchId/batchIndex, audit batch.translate); schemas BatchTranslateRequest; EntitlementsService.check_new_document(count); frontend services/api batchTranslate, BatchBar 'Translate into' + 'Translate N documents', status and links to new documents; README</v>
      </c>
      <c r="H72" s="12" t="str">
        <f>IFERROR(INDEX(MASTER!$I$2:$I$2000,MATCH($A72,MASTER!$A$2:$A$2000,0))&amp;"","")</f>
        <v>backend tests/test_batch_translate.py (3: versions made and originals untouched, every check before queueing incl. 402 batches/documents/characters, 404, 422; someone else's documents 404); full backend 2562 passed/11 skipped; Vitest 359 (BatchBar translate case); Playwright full 59 passed/1 skipped (batch.spec translates both and checks the new document and the untouched original); mutations 6/6</v>
      </c>
      <c r="I72" s="19">
        <f>IFERROR(IF(INDEX(MASTER!$O$2:$O$2000,MATCH($A72,MASTER!$A$2:$A$2000,0))="","",INDEX(MASTER!$O$2:$O$2000,MATCH($A72,MASTER!$A$2:$A$2000,0))),"")</f>
        <v>46303.069062499999</v>
      </c>
      <c r="J72" s="12" t="str">
        <f>IFERROR(INDEX(MASTER!$P$2:$P$2000,MATCH($A72,MASTER!$A$2:$A$2000,0))&amp;"","")</f>
        <v>e9c4922</v>
      </c>
      <c r="K72" s="12" t="str">
        <f>IFERROR(INDEX(MASTER!$Q$2:$Q$2000,MATCH($A72,MASTER!$A$2:$A$2000,0))&amp;"","")</f>
        <v/>
      </c>
      <c r="L72" s="12" t="str">
        <f>IFERROR(INDEX(MASTER!$R$2:$R$2000,MATCH($A72,MASTER!$A$2:$A$2000,0))&amp;"","")</f>
        <v/>
      </c>
    </row>
    <row r="73" spans="1:12" x14ac:dyDescent="0.25">
      <c r="A73" s="15" t="s">
        <v>1280</v>
      </c>
      <c r="B73" s="12" t="str">
        <f>IFERROR(INDEX(MASTER!$C$2:$C$2000,MATCH($A73,MASTER!$A$2:$A$2000,0))&amp;"","")</f>
        <v>PRODUCT</v>
      </c>
      <c r="C73" s="16">
        <f>IFERROR(INDEX(MASTER!$B$2:$B$2000,MATCH($A73,MASTER!$A$2:$A$2000,0)),"")</f>
        <v>16</v>
      </c>
      <c r="D73" s="12" t="str">
        <f>IFERROR(INDEX(MASTER!$D$2:$D$2000,MATCH($A73,MASTER!$A$2:$A$2000,0))&amp;"","")</f>
        <v>Accessibility checker</v>
      </c>
      <c r="E73" s="12" t="str">
        <f>IFERROR(INDEX(MASTER!$F$2:$F$2000,MATCH($A73,MASTER!$A$2:$A$2000,0))&amp;"","")</f>
        <v>P1</v>
      </c>
      <c r="F73" s="12" t="str">
        <f>IFERROR(INDEX(MASTER!$G$2:$G$2000,MATCH($A73,MASTER!$A$2:$A$2000,0))&amp;"","NOT IN MASTER")</f>
        <v>DONE</v>
      </c>
      <c r="G73" s="12" t="str">
        <f>IFERROR(INDEX(MASTER!$H$2:$H$2000,MATCH($A73,MASTER!$A$2:$A$2000,0))&amp;"","")</f>
        <v>backend/app/formatting/accessibility.py, api/documents.py GET .../accessibility; frontend HealthPanel.tsx Accessibility section; README.md</v>
      </c>
      <c r="H73" s="12" t="str">
        <f>IFERROR(INDEX(MASTER!$I$2:$I$2000,MATCH($A73,MASTER!$A$2:$A$2000,0))&amp;"","")</f>
        <v>tests/test_accessibility.py (11), HealthPanel.test.tsx; 11/11 mutations</v>
      </c>
      <c r="I73" s="19">
        <f>IFERROR(IF(INDEX(MASTER!$O$2:$O$2000,MATCH($A73,MASTER!$A$2:$A$2000,0))="","",INDEX(MASTER!$O$2:$O$2000,MATCH($A73,MASTER!$A$2:$A$2000,0))),"")</f>
        <v>46302.366608796299</v>
      </c>
      <c r="J73" s="12" t="str">
        <f>IFERROR(INDEX(MASTER!$P$2:$P$2000,MATCH($A73,MASTER!$A$2:$A$2000,0))&amp;"","")</f>
        <v>21611e8</v>
      </c>
      <c r="K73" s="12" t="str">
        <f>IFERROR(INDEX(MASTER!$Q$2:$Q$2000,MATCH($A73,MASTER!$A$2:$A$2000,0))&amp;"","")</f>
        <v>2026-10-07: heading hierarchy, alt text, link labels (runs joined), table headers, reading order (floating pictures/tables), language set + others marked, WCAG 2.2 AA contrast vs highlights and cell shading. No score, no AI.</v>
      </c>
      <c r="L73" s="12" t="str">
        <f>IFERROR(INDEX(MASTER!$R$2:$R$2000,MATCH($A73,MASTER!$A$2:$A$2000,0))&amp;"","")</f>
        <v/>
      </c>
    </row>
    <row r="74" spans="1:12" x14ac:dyDescent="0.25">
      <c r="A74" s="15" t="s">
        <v>1287</v>
      </c>
      <c r="B74" s="12" t="str">
        <f>IFERROR(INDEX(MASTER!$C$2:$C$2000,MATCH($A74,MASTER!$A$2:$A$2000,0))&amp;"","")</f>
        <v>PRODUCT</v>
      </c>
      <c r="C74" s="16">
        <f>IFERROR(INDEX(MASTER!$B$2:$B$2000,MATCH($A74,MASTER!$A$2:$A$2000,0)),"")</f>
        <v>16</v>
      </c>
      <c r="D74" s="12" t="str">
        <f>IFERROR(INDEX(MASTER!$D$2:$D$2000,MATCH($A74,MASTER!$A$2:$A$2000,0))&amp;"","")</f>
        <v>App accessibility fixes</v>
      </c>
      <c r="E74" s="12" t="str">
        <f>IFERROR(INDEX(MASTER!$F$2:$F$2000,MATCH($A74,MASTER!$A$2:$A$2000,0))&amp;"","")</f>
        <v>P1</v>
      </c>
      <c r="F74" s="12" t="str">
        <f>IFERROR(INDEX(MASTER!$G$2:$G$2000,MATCH($A74,MASTER!$A$2:$A$2000,0))&amp;"","NOT IN MASTER")</f>
        <v>DONE</v>
      </c>
      <c r="G74" s="12" t="str">
        <f>IFERROR(INDEX(MASTER!$H$2:$H$2000,MATCH($A74,MASTER!$A$2:$A$2000,0))&amp;"","")</f>
        <v>frontend e2e/accessibility.spec.ts (axe-core 4.13.0, WCAG 2.x A/AA); fixes in DocumentEditorShell (textbox name), SidePanel (focusable region), Dashboard (&lt;dl&gt;), HealthPanel (no opacity), zinc-400 -&gt; zinc-500 small text, amber-700 buttons</v>
      </c>
      <c r="H74" s="12" t="str">
        <f>IFERROR(INDEX(MASTER!$I$2:$I$2000,MATCH($A74,MASTER!$A$2:$A$2000,0))&amp;"","")</f>
        <v>e2e/accessibility.spec.ts (2): signed-out pages, dashboard, documents, new, templates, account, billing, editor + 4 panels: zero serious/critical</v>
      </c>
      <c r="I74" s="19">
        <f>IFERROR(IF(INDEX(MASTER!$O$2:$O$2000,MATCH($A74,MASTER!$A$2:$A$2000,0))="","",INDEX(MASTER!$O$2:$O$2000,MATCH($A74,MASTER!$A$2:$A$2000,0))),"")</f>
        <v>46302.366666666669</v>
      </c>
      <c r="J74" s="12" t="str">
        <f>IFERROR(INDEX(MASTER!$P$2:$P$2000,MATCH($A74,MASTER!$A$2:$A$2000,0))&amp;"","")</f>
        <v>21611e8</v>
      </c>
      <c r="K74" s="12" t="str">
        <f>IFERROR(INDEX(MASTER!$Q$2:$Q$2000,MATCH($A74,MASTER!$A$2:$A$2000,0))&amp;"","")</f>
        <v>2026-10-07: zero serious or critical axe violations on the main pages and the editor (light theme).</v>
      </c>
      <c r="L74" s="12" t="str">
        <f>IFERROR(INDEX(MASTER!$R$2:$R$2000,MATCH($A74,MASTER!$A$2:$A$2000,0))&amp;"","")</f>
        <v/>
      </c>
    </row>
  </sheetData>
  <autoFilter ref="A69:L74" xr:uid="{00000000-0009-0000-0000-00000C000000}"/>
  <conditionalFormatting sqref="B8:B65">
    <cfRule type="cellIs" dxfId="125" priority="1" operator="equal">
      <formula>"NOW"</formula>
    </cfRule>
  </conditionalFormatting>
  <conditionalFormatting sqref="E70:E74">
    <cfRule type="cellIs" dxfId="124" priority="20" operator="equal">
      <formula>"P0"</formula>
    </cfRule>
    <cfRule type="cellIs" dxfId="123" priority="21" operator="equal">
      <formula>"P1"</formula>
    </cfRule>
  </conditionalFormatting>
  <conditionalFormatting sqref="F70:F74">
    <cfRule type="cellIs" dxfId="122" priority="2" operator="equal">
      <formula>"DONE"</formula>
    </cfRule>
    <cfRule type="cellIs" dxfId="121" priority="3" operator="equal">
      <formula>"VERIFIED"</formula>
    </cfRule>
    <cfRule type="cellIs" dxfId="120" priority="4" operator="equal">
      <formula>"IN_PROGRESS"</formula>
    </cfRule>
    <cfRule type="cellIs" dxfId="119" priority="5" operator="equal">
      <formula>"IMPLEMENTED"</formula>
    </cfRule>
    <cfRule type="cellIs" dxfId="118" priority="6" operator="equal">
      <formula>"TESTING"</formula>
    </cfRule>
    <cfRule type="cellIs" dxfId="117" priority="7" operator="equal">
      <formula>"BLOCKED"</formula>
    </cfRule>
    <cfRule type="cellIs" dxfId="116" priority="8" operator="equal">
      <formula>"FAILED"</formula>
    </cfRule>
    <cfRule type="cellIs" dxfId="115" priority="9" operator="equal">
      <formula>"DEFERRED"</formula>
    </cfRule>
    <cfRule type="cellIs" dxfId="114" priority="10" operator="equal">
      <formula>"UNKNOWN"</formula>
    </cfRule>
    <cfRule type="cellIs" dxfId="113" priority="11" operator="equal">
      <formula>"PASS"</formula>
    </cfRule>
    <cfRule type="cellIs" dxfId="112" priority="12" operator="equal">
      <formula>"FAIL"</formula>
    </cfRule>
    <cfRule type="cellIs" dxfId="111" priority="13" operator="equal">
      <formula>"PARTIAL"</formula>
    </cfRule>
    <cfRule type="cellIs" dxfId="110" priority="14" operator="equal">
      <formula>"RESOLVED"</formula>
    </cfRule>
    <cfRule type="cellIs" dxfId="109" priority="15" operator="equal">
      <formula>"OPEN"</formula>
    </cfRule>
    <cfRule type="cellIs" dxfId="108" priority="16" operator="equal">
      <formula>"WITHIN"</formula>
    </cfRule>
    <cfRule type="cellIs" dxfId="107" priority="17" operator="equal">
      <formula>"OVER"</formula>
    </cfRule>
    <cfRule type="cellIs" dxfId="106" priority="18" operator="equal">
      <formula>"NOW"</formula>
    </cfRule>
    <cfRule type="cellIs" dxfId="105" priority="19" operator="equal">
      <formula>"NOT IN MASTER"</formula>
    </cfRule>
  </conditionalFormatting>
  <dataValidations count="1">
    <dataValidation type="list" allowBlank="1" showErrorMessage="1" errorTitle="Invalid bucket" error="Pick a bucket from the list." sqref="B8:B65" xr:uid="{00000000-0002-0000-0C00-000000000000}">
      <formula1>"NOW,NEXT,LATER,ARCHITECTURE_ONLY"</formula1>
    </dataValidation>
  </dataValidations>
  <pageMargins left="0.75" right="0.75" top="1" bottom="1" header="0.5" footer="0.5"/>
  <pageSetup fitToHeight="0" orientation="landscape"/>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pageSetUpPr fitToPage="1"/>
  </sheetPr>
  <dimension ref="A1:L23"/>
  <sheetViews>
    <sheetView workbookViewId="0">
      <pane ySplit="4" topLeftCell="A5" activePane="bottomLeft" state="frozen"/>
      <selection pane="bottomLeft"/>
    </sheetView>
  </sheetViews>
  <sheetFormatPr defaultRowHeight="15" x14ac:dyDescent="0.25"/>
  <cols>
    <col min="1" max="1" width="12" customWidth="1"/>
    <col min="2" max="2" width="14" customWidth="1"/>
    <col min="3" max="3" width="7" customWidth="1"/>
    <col min="4" max="4" width="44" customWidth="1"/>
    <col min="5" max="5" width="9" customWidth="1"/>
    <col min="6" max="6" width="14" customWidth="1"/>
    <col min="7" max="7" width="40" customWidth="1"/>
    <col min="8" max="8" width="34" customWidth="1"/>
    <col min="9" max="9" width="16" customWidth="1"/>
    <col min="10" max="10" width="10" customWidth="1"/>
    <col min="11" max="11" width="40" customWidth="1"/>
    <col min="12" max="12" width="11" customWidth="1"/>
  </cols>
  <sheetData>
    <row r="1" spans="1:12" ht="20.25" x14ac:dyDescent="0.3">
      <c r="A1" s="3" t="s">
        <v>2293</v>
      </c>
    </row>
    <row r="2" spans="1:12" x14ac:dyDescent="0.25">
      <c r="A2" s="4" t="s">
        <v>2294</v>
      </c>
    </row>
    <row r="3" spans="1:12" x14ac:dyDescent="0.25">
      <c r="A3" s="6" t="s">
        <v>45</v>
      </c>
      <c r="B3" s="6" t="s">
        <v>46</v>
      </c>
      <c r="C3" s="6" t="s">
        <v>47</v>
      </c>
      <c r="D3" s="6" t="s">
        <v>13</v>
      </c>
      <c r="E3" s="6" t="s">
        <v>16</v>
      </c>
      <c r="F3" s="6" t="s">
        <v>19</v>
      </c>
      <c r="G3" s="6" t="s">
        <v>48</v>
      </c>
      <c r="H3" s="6" t="s">
        <v>33</v>
      </c>
    </row>
    <row r="4" spans="1:12" x14ac:dyDescent="0.25">
      <c r="A4" s="7">
        <f>COUNTIF(MASTER!$C$2:$C$2000,"TRANSLATION")+COUNTIF(MASTER!$C$2:$C$2000,"FONT")</f>
        <v>16</v>
      </c>
      <c r="B4" s="7">
        <f>COUNTIFS(MASTER!$C$2:$C$2000,"TRANSLATION",MASTER!$G$2:$G$2000,"DONE")+COUNTIFS(MASTER!$C$2:$C$2000,"FONT",MASTER!$G$2:$G$2000,"DONE")</f>
        <v>16</v>
      </c>
      <c r="C4" s="7">
        <f>COUNTIFS(MASTER!$C$2:$C$2000,"TRANSLATION",MASTER!$G$2:$G$2000,"VERIFIED")+COUNTIFS(MASTER!$C$2:$C$2000,"FONT",MASTER!$G$2:$G$2000,"VERIFIED")+B4</f>
        <v>16</v>
      </c>
      <c r="D4" s="7">
        <f>COUNTIFS(MASTER!$C$2:$C$2000,"TRANSLATION",MASTER!$G$2:$G$2000,"IN_PROGRESS")+COUNTIFS(MASTER!$C$2:$C$2000,"TRANSLATION",MASTER!$G$2:$G$2000,"IMPLEMENTED")+COUNTIFS(MASTER!$C$2:$C$2000,"TRANSLATION",MASTER!$G$2:$G$2000,"TESTING")+COUNTIFS(MASTER!$C$2:$C$2000,"FONT",MASTER!$G$2:$G$2000,"IN_PROGRESS")+COUNTIFS(MASTER!$C$2:$C$2000,"FONT",MASTER!$G$2:$G$2000,"IMPLEMENTED")+COUNTIFS(MASTER!$C$2:$C$2000,"FONT",MASTER!$G$2:$G$2000,"TESTING")</f>
        <v>0</v>
      </c>
      <c r="E4" s="7">
        <f>COUNTIFS(MASTER!$C$2:$C$2000,"TRANSLATION",MASTER!$G$2:$G$2000,"BLOCKED")+COUNTIFS(MASTER!$C$2:$C$2000,"FONT",MASTER!$G$2:$G$2000,"BLOCKED")</f>
        <v>0</v>
      </c>
      <c r="F4" s="7">
        <f>COUNTIFS(MASTER!$C$2:$C$2000,"TRANSLATION",MASTER!$G$2:$G$2000,"FAILED")+COUNTIFS(MASTER!$C$2:$C$2000,"FONT",MASTER!$G$2:$G$2000,"FAILED")</f>
        <v>0</v>
      </c>
      <c r="G4" s="9">
        <f>IF(A4=0,0,B4/A4)</f>
        <v>1</v>
      </c>
      <c r="H4" s="9">
        <f>IF(A4=0,0,C4/A4)</f>
        <v>1</v>
      </c>
    </row>
    <row r="6" spans="1:12" ht="15.75" x14ac:dyDescent="0.25">
      <c r="A6" s="5" t="s">
        <v>1577</v>
      </c>
    </row>
    <row r="7" spans="1:12" x14ac:dyDescent="0.25">
      <c r="A7" s="10" t="s">
        <v>166</v>
      </c>
      <c r="B7" s="10" t="s">
        <v>100</v>
      </c>
      <c r="C7" s="10" t="s">
        <v>43</v>
      </c>
      <c r="D7" s="10" t="s">
        <v>167</v>
      </c>
      <c r="E7" s="10" t="s">
        <v>169</v>
      </c>
      <c r="F7" s="10" t="s">
        <v>57</v>
      </c>
      <c r="G7" s="10" t="s">
        <v>170</v>
      </c>
      <c r="H7" s="10" t="s">
        <v>171</v>
      </c>
      <c r="I7" s="10" t="s">
        <v>15</v>
      </c>
      <c r="J7" s="10" t="s">
        <v>177</v>
      </c>
      <c r="K7" s="10" t="s">
        <v>178</v>
      </c>
      <c r="L7" s="10" t="s">
        <v>179</v>
      </c>
    </row>
    <row r="8" spans="1:12" x14ac:dyDescent="0.25">
      <c r="A8" s="15" t="s">
        <v>1125</v>
      </c>
      <c r="B8" s="12" t="str">
        <f>IFERROR(INDEX(MASTER!$C$2:$C$2000,MATCH($A8,MASTER!$A$2:$A$2000,0))&amp;"","")</f>
        <v>TRANSLATION</v>
      </c>
      <c r="C8" s="16">
        <f>IFERROR(INDEX(MASTER!$B$2:$B$2000,MATCH($A8,MASTER!$A$2:$A$2000,0)),"")</f>
        <v>10</v>
      </c>
      <c r="D8" s="12" t="str">
        <f>IFERROR(INDEX(MASTER!$D$2:$D$2000,MATCH($A8,MASTER!$A$2:$A$2000,0))&amp;"","")</f>
        <v>Segments and tag protocol</v>
      </c>
      <c r="E8" s="12" t="str">
        <f>IFERROR(INDEX(MASTER!$F$2:$F$2000,MATCH($A8,MASTER!$A$2:$A$2000,0))&amp;"","")</f>
        <v>P0</v>
      </c>
      <c r="F8" s="12" t="str">
        <f>IFERROR(INDEX(MASTER!$G$2:$G$2000,MATCH($A8,MASTER!$A$2:$A$2000,0))&amp;"","NOT IN MASTER")</f>
        <v>DONE</v>
      </c>
      <c r="G8" s="12" t="str">
        <f>IFERROR(INDEX(MASTER!$H$2:$H$2000,MATCH($A8,MASTER!$A$2:$A$2000,0))&amp;"","")</f>
        <v>backend/app/translation/{segments,providers,validation}.py</v>
      </c>
      <c r="H8" s="12" t="str">
        <f>IFERROR(INDEX(MASTER!$I$2:$I$2000,MATCH($A8,MASTER!$A$2:$A$2000,0))&amp;"","")</f>
        <v>tests/test_translation_core.py (20); 11/11 mutations</v>
      </c>
      <c r="I8" s="19">
        <f>IFERROR(IF(INDEX(MASTER!$O$2:$O$2000,MATCH($A8,MASTER!$A$2:$A$2000,0))="","",INDEX(MASTER!$O$2:$O$2000,MATCH($A8,MASTER!$A$2:$A$2000,0))),"")</f>
        <v>46301.890613425923</v>
      </c>
      <c r="J8" s="12" t="str">
        <f>IFERROR(INDEX(MASTER!$P$2:$P$2000,MATCH($A8,MASTER!$A$2:$A$2000,0))&amp;"","")</f>
        <v>a5a341c</v>
      </c>
      <c r="K8" s="12" t="str">
        <f>IFERROR(INDEX(MASTER!$Q$2:$Q$2000,MATCH($A8,MASTER!$A$2:$A$2000,0))&amp;"","")</f>
        <v>2026-10-06: core of Phase 10; wired into proposals/versions next (TRAN-005/006).</v>
      </c>
      <c r="L8" s="12" t="str">
        <f>IFERROR(INDEX(MASTER!$R$2:$R$2000,MATCH($A8,MASTER!$A$2:$A$2000,0))&amp;"","")</f>
        <v/>
      </c>
    </row>
    <row r="9" spans="1:12" x14ac:dyDescent="0.25">
      <c r="A9" s="15" t="s">
        <v>1133</v>
      </c>
      <c r="B9" s="12" t="str">
        <f>IFERROR(INDEX(MASTER!$C$2:$C$2000,MATCH($A9,MASTER!$A$2:$A$2000,0))&amp;"","")</f>
        <v>TRANSLATION</v>
      </c>
      <c r="C9" s="16">
        <f>IFERROR(INDEX(MASTER!$B$2:$B$2000,MATCH($A9,MASTER!$A$2:$A$2000,0)),"")</f>
        <v>10</v>
      </c>
      <c r="D9" s="12" t="str">
        <f>IFERROR(INDEX(MASTER!$D$2:$D$2000,MATCH($A9,MASTER!$A$2:$A$2000,0))&amp;"","")</f>
        <v>TranslationProvider abstraction</v>
      </c>
      <c r="E9" s="12" t="str">
        <f>IFERROR(INDEX(MASTER!$F$2:$F$2000,MATCH($A9,MASTER!$A$2:$A$2000,0))&amp;"","")</f>
        <v>P0</v>
      </c>
      <c r="F9" s="12" t="str">
        <f>IFERROR(INDEX(MASTER!$G$2:$G$2000,MATCH($A9,MASTER!$A$2:$A$2000,0))&amp;"","NOT IN MASTER")</f>
        <v>DONE</v>
      </c>
      <c r="G9" s="12" t="str">
        <f>IFERROR(INDEX(MASTER!$H$2:$H$2000,MATCH($A9,MASTER!$A$2:$A$2000,0))&amp;"","")</f>
        <v>backend/app/translation/{segments,providers,validation}.py</v>
      </c>
      <c r="H9" s="12" t="str">
        <f>IFERROR(INDEX(MASTER!$I$2:$I$2000,MATCH($A9,MASTER!$A$2:$A$2000,0))&amp;"","")</f>
        <v>tests/test_translation_core.py (20); 11/11 mutations</v>
      </c>
      <c r="I9" s="19">
        <f>IFERROR(IF(INDEX(MASTER!$O$2:$O$2000,MATCH($A9,MASTER!$A$2:$A$2000,0))="","",INDEX(MASTER!$O$2:$O$2000,MATCH($A9,MASTER!$A$2:$A$2000,0))),"")</f>
        <v>46301.890648148154</v>
      </c>
      <c r="J9" s="12" t="str">
        <f>IFERROR(INDEX(MASTER!$P$2:$P$2000,MATCH($A9,MASTER!$A$2:$A$2000,0))&amp;"","")</f>
        <v>a5a341c</v>
      </c>
      <c r="K9" s="12" t="str">
        <f>IFERROR(INDEX(MASTER!$Q$2:$Q$2000,MATCH($A9,MASTER!$A$2:$A$2000,0))&amp;"","")</f>
        <v>2026-10-06: core of Phase 10; wired into proposals/versions next (TRAN-005/006).</v>
      </c>
      <c r="L9" s="12" t="str">
        <f>IFERROR(INDEX(MASTER!$R$2:$R$2000,MATCH($A9,MASTER!$A$2:$A$2000,0))&amp;"","")</f>
        <v/>
      </c>
    </row>
    <row r="10" spans="1:12" x14ac:dyDescent="0.25">
      <c r="A10" s="15" t="s">
        <v>1136</v>
      </c>
      <c r="B10" s="12" t="str">
        <f>IFERROR(INDEX(MASTER!$C$2:$C$2000,MATCH($A10,MASTER!$A$2:$A$2000,0))&amp;"","")</f>
        <v>TRANSLATION</v>
      </c>
      <c r="C10" s="16">
        <f>IFERROR(INDEX(MASTER!$B$2:$B$2000,MATCH($A10,MASTER!$A$2:$A$2000,0)),"")</f>
        <v>10</v>
      </c>
      <c r="D10" s="12" t="str">
        <f>IFERROR(INDEX(MASTER!$D$2:$D$2000,MATCH($A10,MASTER!$A$2:$A$2000,0))&amp;"","")</f>
        <v>Translation validation</v>
      </c>
      <c r="E10" s="12" t="str">
        <f>IFERROR(INDEX(MASTER!$F$2:$F$2000,MATCH($A10,MASTER!$A$2:$A$2000,0))&amp;"","")</f>
        <v>P0</v>
      </c>
      <c r="F10" s="12" t="str">
        <f>IFERROR(INDEX(MASTER!$G$2:$G$2000,MATCH($A10,MASTER!$A$2:$A$2000,0))&amp;"","NOT IN MASTER")</f>
        <v>DONE</v>
      </c>
      <c r="G10" s="12" t="str">
        <f>IFERROR(INDEX(MASTER!$H$2:$H$2000,MATCH($A10,MASTER!$A$2:$A$2000,0))&amp;"","")</f>
        <v>backend/app/translation/{segments,providers,validation}.py</v>
      </c>
      <c r="H10" s="12" t="str">
        <f>IFERROR(INDEX(MASTER!$I$2:$I$2000,MATCH($A10,MASTER!$A$2:$A$2000,0))&amp;"","")</f>
        <v>tests/test_translation_core.py (20); 11/11 mutations</v>
      </c>
      <c r="I10" s="19">
        <f>IFERROR(IF(INDEX(MASTER!$O$2:$O$2000,MATCH($A10,MASTER!$A$2:$A$2000,0))="","",INDEX(MASTER!$O$2:$O$2000,MATCH($A10,MASTER!$A$2:$A$2000,0))),"")</f>
        <v>46301.890694444453</v>
      </c>
      <c r="J10" s="12" t="str">
        <f>IFERROR(INDEX(MASTER!$P$2:$P$2000,MATCH($A10,MASTER!$A$2:$A$2000,0))&amp;"","")</f>
        <v>a5a341c</v>
      </c>
      <c r="K10" s="12" t="str">
        <f>IFERROR(INDEX(MASTER!$Q$2:$Q$2000,MATCH($A10,MASTER!$A$2:$A$2000,0))&amp;"","")</f>
        <v>2026-10-06: core of Phase 10; wired into proposals/versions next (TRAN-005/006).</v>
      </c>
      <c r="L10" s="12" t="str">
        <f>IFERROR(INDEX(MASTER!$R$2:$R$2000,MATCH($A10,MASTER!$A$2:$A$2000,0))&amp;"","")</f>
        <v/>
      </c>
    </row>
    <row r="11" spans="1:12" x14ac:dyDescent="0.25">
      <c r="A11" s="15" t="s">
        <v>1139</v>
      </c>
      <c r="B11" s="12" t="str">
        <f>IFERROR(INDEX(MASTER!$C$2:$C$2000,MATCH($A11,MASTER!$A$2:$A$2000,0))&amp;"","")</f>
        <v>TRANSLATION</v>
      </c>
      <c r="C11" s="16">
        <f>IFERROR(INDEX(MASTER!$B$2:$B$2000,MATCH($A11,MASTER!$A$2:$A$2000,0)),"")</f>
        <v>10</v>
      </c>
      <c r="D11" s="12" t="str">
        <f>IFERROR(INDEX(MASTER!$D$2:$D$2000,MATCH($A11,MASTER!$A$2:$A$2000,0))&amp;"","")</f>
        <v>Glossary and terminology lock</v>
      </c>
      <c r="E11" s="12" t="str">
        <f>IFERROR(INDEX(MASTER!$F$2:$F$2000,MATCH($A11,MASTER!$A$2:$A$2000,0))&amp;"","")</f>
        <v>P1</v>
      </c>
      <c r="F11" s="12" t="str">
        <f>IFERROR(INDEX(MASTER!$G$2:$G$2000,MATCH($A11,MASTER!$A$2:$A$2000,0))&amp;"","NOT IN MASTER")</f>
        <v>DONE</v>
      </c>
      <c r="G11" s="12" t="str">
        <f>IFERROR(INDEX(MASTER!$H$2:$H$2000,MATCH($A11,MASTER!$A$2:$A$2000,0))&amp;"","")</f>
        <v>backend/app/translation/*, services/translation_service.py, api/documents.py translate/language/glossary, api/jobs.py translate-document, frontend/editor/panels/TranslatePanel.tsx; docs/translation/README.md</v>
      </c>
      <c r="H11" s="12" t="str">
        <f>IFERROR(INDEX(MASTER!$I$2:$I$2000,MATCH($A11,MASTER!$A$2:$A$2000,0))&amp;"","")</f>
        <v>tests/test_translation_api.py (9), test_translation_extra.py (3), test_translation_core.py (20); Vitest TranslatePanel/translationTarget (+11); e2e/translation.spec.ts (2); mutations 11/11 + 9/9</v>
      </c>
      <c r="I11" s="19">
        <f>IFERROR(IF(INDEX(MASTER!$O$2:$O$2000,MATCH($A11,MASTER!$A$2:$A$2000,0))="","",INDEX(MASTER!$O$2:$O$2000,MATCH($A11,MASTER!$A$2:$A$2000,0))),"")</f>
        <v>46301.923171296286</v>
      </c>
      <c r="J11" s="12" t="str">
        <f>IFERROR(INDEX(MASTER!$P$2:$P$2000,MATCH($A11,MASTER!$A$2:$A$2000,0))&amp;"","")</f>
        <v>23b6c56</v>
      </c>
      <c r="K11" s="12" t="str">
        <f>IFERROR(INDEX(MASTER!$Q$2:$Q$2000,MATCH($A11,MASTER!$A$2:$A$2000,0))&amp;"","")</f>
        <v>2026-10-06: see docs/translation/README.md section for this task.</v>
      </c>
      <c r="L11" s="12" t="str">
        <f>IFERROR(INDEX(MASTER!$R$2:$R$2000,MATCH($A11,MASTER!$A$2:$A$2000,0))&amp;"","")</f>
        <v/>
      </c>
    </row>
    <row r="12" spans="1:12" x14ac:dyDescent="0.25">
      <c r="A12" s="15" t="s">
        <v>1147</v>
      </c>
      <c r="B12" s="12" t="str">
        <f>IFERROR(INDEX(MASTER!$C$2:$C$2000,MATCH($A12,MASTER!$A$2:$A$2000,0))&amp;"","")</f>
        <v>TRANSLATION</v>
      </c>
      <c r="C12" s="16">
        <f>IFERROR(INDEX(MASTER!$B$2:$B$2000,MATCH($A12,MASTER!$A$2:$A$2000,0)),"")</f>
        <v>10</v>
      </c>
      <c r="D12" s="12" t="str">
        <f>IFERROR(INDEX(MASTER!$D$2:$D$2000,MATCH($A12,MASTER!$A$2:$A$2000,0))&amp;"","")</f>
        <v>Selection/paragraph/block translation proposals</v>
      </c>
      <c r="E12" s="12" t="str">
        <f>IFERROR(INDEX(MASTER!$F$2:$F$2000,MATCH($A12,MASTER!$A$2:$A$2000,0))&amp;"","")</f>
        <v>P0</v>
      </c>
      <c r="F12" s="12" t="str">
        <f>IFERROR(INDEX(MASTER!$G$2:$G$2000,MATCH($A12,MASTER!$A$2:$A$2000,0))&amp;"","NOT IN MASTER")</f>
        <v>DONE</v>
      </c>
      <c r="G12" s="12" t="str">
        <f>IFERROR(INDEX(MASTER!$H$2:$H$2000,MATCH($A12,MASTER!$A$2:$A$2000,0))&amp;"","")</f>
        <v>backend/app/translation/*, services/translation_service.py, api/documents.py translate/language/glossary, api/jobs.py translate-document, frontend/editor/panels/TranslatePanel.tsx; docs/translation/README.md</v>
      </c>
      <c r="H12" s="12" t="str">
        <f>IFERROR(INDEX(MASTER!$I$2:$I$2000,MATCH($A12,MASTER!$A$2:$A$2000,0))&amp;"","")</f>
        <v>tests/test_translation_api.py (9), test_translation_extra.py (3), test_translation_core.py (20); Vitest TranslatePanel/translationTarget (+11); e2e/translation.spec.ts (2); mutations 11/11 + 9/9</v>
      </c>
      <c r="I12" s="19">
        <f>IFERROR(IF(INDEX(MASTER!$O$2:$O$2000,MATCH($A12,MASTER!$A$2:$A$2000,0))="","",INDEX(MASTER!$O$2:$O$2000,MATCH($A12,MASTER!$A$2:$A$2000,0))),"")</f>
        <v>46301.923217592594</v>
      </c>
      <c r="J12" s="12" t="str">
        <f>IFERROR(INDEX(MASTER!$P$2:$P$2000,MATCH($A12,MASTER!$A$2:$A$2000,0))&amp;"","")</f>
        <v>23b6c56</v>
      </c>
      <c r="K12" s="12" t="str">
        <f>IFERROR(INDEX(MASTER!$Q$2:$Q$2000,MATCH($A12,MASTER!$A$2:$A$2000,0))&amp;"","")</f>
        <v>2026-10-06: see docs/translation/README.md section for this task.</v>
      </c>
      <c r="L12" s="12" t="str">
        <f>IFERROR(INDEX(MASTER!$R$2:$R$2000,MATCH($A12,MASTER!$A$2:$A$2000,0))&amp;"","")</f>
        <v/>
      </c>
    </row>
    <row r="13" spans="1:12" x14ac:dyDescent="0.25">
      <c r="A13" s="15" t="s">
        <v>1151</v>
      </c>
      <c r="B13" s="12" t="str">
        <f>IFERROR(INDEX(MASTER!$C$2:$C$2000,MATCH($A13,MASTER!$A$2:$A$2000,0))&amp;"","")</f>
        <v>TRANSLATION</v>
      </c>
      <c r="C13" s="16">
        <f>IFERROR(INDEX(MASTER!$B$2:$B$2000,MATCH($A13,MASTER!$A$2:$A$2000,0)),"")</f>
        <v>10</v>
      </c>
      <c r="D13" s="12" t="str">
        <f>IFERROR(INDEX(MASTER!$D$2:$D$2000,MATCH($A13,MASTER!$A$2:$A$2000,0))&amp;"","")</f>
        <v>Whole-document translated version</v>
      </c>
      <c r="E13" s="12" t="str">
        <f>IFERROR(INDEX(MASTER!$F$2:$F$2000,MATCH($A13,MASTER!$A$2:$A$2000,0))&amp;"","")</f>
        <v>P0</v>
      </c>
      <c r="F13" s="12" t="str">
        <f>IFERROR(INDEX(MASTER!$G$2:$G$2000,MATCH($A13,MASTER!$A$2:$A$2000,0))&amp;"","NOT IN MASTER")</f>
        <v>DONE</v>
      </c>
      <c r="G13" s="12" t="str">
        <f>IFERROR(INDEX(MASTER!$H$2:$H$2000,MATCH($A13,MASTER!$A$2:$A$2000,0))&amp;"","")</f>
        <v>backend/app/translation/*, services/translation_service.py, api/documents.py translate/language/glossary, api/jobs.py translate-document, frontend/editor/panels/TranslatePanel.tsx; docs/translation/README.md</v>
      </c>
      <c r="H13" s="12" t="str">
        <f>IFERROR(INDEX(MASTER!$I$2:$I$2000,MATCH($A13,MASTER!$A$2:$A$2000,0))&amp;"","")</f>
        <v>tests/test_translation_api.py (9), test_translation_extra.py (3), test_translation_core.py (20); Vitest TranslatePanel/translationTarget (+11); e2e/translation.spec.ts (2); mutations 11/11 + 9/9</v>
      </c>
      <c r="I13" s="19">
        <f>IFERROR(IF(INDEX(MASTER!$O$2:$O$2000,MATCH($A13,MASTER!$A$2:$A$2000,0))="","",INDEX(MASTER!$O$2:$O$2000,MATCH($A13,MASTER!$A$2:$A$2000,0))),"")</f>
        <v>46301.923263888893</v>
      </c>
      <c r="J13" s="12" t="str">
        <f>IFERROR(INDEX(MASTER!$P$2:$P$2000,MATCH($A13,MASTER!$A$2:$A$2000,0))&amp;"","")</f>
        <v>23b6c56</v>
      </c>
      <c r="K13" s="12" t="str">
        <f>IFERROR(INDEX(MASTER!$Q$2:$Q$2000,MATCH($A13,MASTER!$A$2:$A$2000,0))&amp;"","")</f>
        <v>2026-10-06: see docs/translation/README.md section for this task.</v>
      </c>
      <c r="L13" s="12" t="str">
        <f>IFERROR(INDEX(MASTER!$R$2:$R$2000,MATCH($A13,MASTER!$A$2:$A$2000,0))&amp;"","")</f>
        <v/>
      </c>
    </row>
    <row r="14" spans="1:12" x14ac:dyDescent="0.25">
      <c r="A14" s="15" t="s">
        <v>1154</v>
      </c>
      <c r="B14" s="12" t="str">
        <f>IFERROR(INDEX(MASTER!$C$2:$C$2000,MATCH($A14,MASTER!$A$2:$A$2000,0))&amp;"","")</f>
        <v>TRANSLATION</v>
      </c>
      <c r="C14" s="16">
        <f>IFERROR(INDEX(MASTER!$B$2:$B$2000,MATCH($A14,MASTER!$A$2:$A$2000,0)),"")</f>
        <v>10</v>
      </c>
      <c r="D14" s="12" t="str">
        <f>IFERROR(INDEX(MASTER!$D$2:$D$2000,MATCH($A14,MASTER!$A$2:$A$2000,0))&amp;"","")</f>
        <v>Language, script, direction metadata</v>
      </c>
      <c r="E14" s="12" t="str">
        <f>IFERROR(INDEX(MASTER!$F$2:$F$2000,MATCH($A14,MASTER!$A$2:$A$2000,0))&amp;"","")</f>
        <v>P1</v>
      </c>
      <c r="F14" s="12" t="str">
        <f>IFERROR(INDEX(MASTER!$G$2:$G$2000,MATCH($A14,MASTER!$A$2:$A$2000,0))&amp;"","NOT IN MASTER")</f>
        <v>DONE</v>
      </c>
      <c r="G14" s="12" t="str">
        <f>IFERROR(INDEX(MASTER!$H$2:$H$2000,MATCH($A14,MASTER!$A$2:$A$2000,0))&amp;"","")</f>
        <v>backend/app/translation/*, services/translation_service.py, api/documents.py translate/language/glossary, api/jobs.py translate-document, frontend/editor/panels/TranslatePanel.tsx; docs/translation/README.md</v>
      </c>
      <c r="H14" s="12" t="str">
        <f>IFERROR(INDEX(MASTER!$I$2:$I$2000,MATCH($A14,MASTER!$A$2:$A$2000,0))&amp;"","")</f>
        <v>tests/test_translation_api.py (9), test_translation_extra.py (3), test_translation_core.py (20); Vitest TranslatePanel/translationTarget (+11); e2e/translation.spec.ts (2); mutations 11/11 + 9/9</v>
      </c>
      <c r="I14" s="19">
        <f>IFERROR(IF(INDEX(MASTER!$O$2:$O$2000,MATCH($A14,MASTER!$A$2:$A$2000,0))="","",INDEX(MASTER!$O$2:$O$2000,MATCH($A14,MASTER!$A$2:$A$2000,0))),"")</f>
        <v>46301.923310185193</v>
      </c>
      <c r="J14" s="12" t="str">
        <f>IFERROR(INDEX(MASTER!$P$2:$P$2000,MATCH($A14,MASTER!$A$2:$A$2000,0))&amp;"","")</f>
        <v>23b6c56</v>
      </c>
      <c r="K14" s="12" t="str">
        <f>IFERROR(INDEX(MASTER!$Q$2:$Q$2000,MATCH($A14,MASTER!$A$2:$A$2000,0))&amp;"","")</f>
        <v>2026-10-06: see docs/translation/README.md section for this task.</v>
      </c>
      <c r="L14" s="12" t="str">
        <f>IFERROR(INDEX(MASTER!$R$2:$R$2000,MATCH($A14,MASTER!$A$2:$A$2000,0))&amp;"","")</f>
        <v/>
      </c>
    </row>
    <row r="15" spans="1:12" x14ac:dyDescent="0.25">
      <c r="A15" s="15" t="s">
        <v>1157</v>
      </c>
      <c r="B15" s="12" t="str">
        <f>IFERROR(INDEX(MASTER!$C$2:$C$2000,MATCH($A15,MASTER!$A$2:$A$2000,0))&amp;"","")</f>
        <v>TRANSLATION</v>
      </c>
      <c r="C15" s="16">
        <f>IFERROR(INDEX(MASTER!$B$2:$B$2000,MATCH($A15,MASTER!$A$2:$A$2000,0)),"")</f>
        <v>10</v>
      </c>
      <c r="D15" s="12" t="str">
        <f>IFERROR(INDEX(MASTER!$D$2:$D$2000,MATCH($A15,MASTER!$A$2:$A$2000,0))&amp;"","")</f>
        <v>Translation UX</v>
      </c>
      <c r="E15" s="12" t="str">
        <f>IFERROR(INDEX(MASTER!$F$2:$F$2000,MATCH($A15,MASTER!$A$2:$A$2000,0))&amp;"","")</f>
        <v>P0</v>
      </c>
      <c r="F15" s="12" t="str">
        <f>IFERROR(INDEX(MASTER!$G$2:$G$2000,MATCH($A15,MASTER!$A$2:$A$2000,0))&amp;"","NOT IN MASTER")</f>
        <v>DONE</v>
      </c>
      <c r="G15" s="12" t="str">
        <f>IFERROR(INDEX(MASTER!$H$2:$H$2000,MATCH($A15,MASTER!$A$2:$A$2000,0))&amp;"","")</f>
        <v>backend/app/translation/*, services/translation_service.py, api/documents.py translate/language/glossary, api/jobs.py translate-document, frontend/editor/panels/TranslatePanel.tsx; docs/translation/README.md</v>
      </c>
      <c r="H15" s="12" t="str">
        <f>IFERROR(INDEX(MASTER!$I$2:$I$2000,MATCH($A15,MASTER!$A$2:$A$2000,0))&amp;"","")</f>
        <v>tests/test_translation_api.py (9), test_translation_extra.py (3), test_translation_core.py (20); Vitest TranslatePanel/translationTarget (+11); e2e/translation.spec.ts (2); mutations 11/11 + 9/9</v>
      </c>
      <c r="I15" s="19">
        <f>IFERROR(IF(INDEX(MASTER!$O$2:$O$2000,MATCH($A15,MASTER!$A$2:$A$2000,0))="","",INDEX(MASTER!$O$2:$O$2000,MATCH($A15,MASTER!$A$2:$A$2000,0))),"")</f>
        <v>46301.923356481479</v>
      </c>
      <c r="J15" s="12" t="str">
        <f>IFERROR(INDEX(MASTER!$P$2:$P$2000,MATCH($A15,MASTER!$A$2:$A$2000,0))&amp;"","")</f>
        <v>23b6c56</v>
      </c>
      <c r="K15" s="12" t="str">
        <f>IFERROR(INDEX(MASTER!$Q$2:$Q$2000,MATCH($A15,MASTER!$A$2:$A$2000,0))&amp;"","")</f>
        <v>2026-10-06: see docs/translation/README.md section for this task.</v>
      </c>
      <c r="L15" s="12" t="str">
        <f>IFERROR(INDEX(MASTER!$R$2:$R$2000,MATCH($A15,MASTER!$A$2:$A$2000,0))&amp;"","")</f>
        <v/>
      </c>
    </row>
    <row r="16" spans="1:12" x14ac:dyDescent="0.25">
      <c r="A16" s="15" t="s">
        <v>1160</v>
      </c>
      <c r="B16" s="12" t="str">
        <f>IFERROR(INDEX(MASTER!$C$2:$C$2000,MATCH($A16,MASTER!$A$2:$A$2000,0))&amp;"","")</f>
        <v>TRANSLATION</v>
      </c>
      <c r="C16" s="16">
        <f>IFERROR(INDEX(MASTER!$B$2:$B$2000,MATCH($A16,MASTER!$A$2:$A$2000,0)),"")</f>
        <v>10</v>
      </c>
      <c r="D16" s="12" t="str">
        <f>IFERROR(INDEX(MASTER!$D$2:$D$2000,MATCH($A16,MASTER!$A$2:$A$2000,0))&amp;"","")</f>
        <v>Translation metering</v>
      </c>
      <c r="E16" s="12" t="str">
        <f>IFERROR(INDEX(MASTER!$F$2:$F$2000,MATCH($A16,MASTER!$A$2:$A$2000,0))&amp;"","")</f>
        <v>P1</v>
      </c>
      <c r="F16" s="12" t="str">
        <f>IFERROR(INDEX(MASTER!$G$2:$G$2000,MATCH($A16,MASTER!$A$2:$A$2000,0))&amp;"","NOT IN MASTER")</f>
        <v>DONE</v>
      </c>
      <c r="G16" s="12" t="str">
        <f>IFERROR(INDEX(MASTER!$H$2:$H$2000,MATCH($A16,MASTER!$A$2:$A$2000,0))&amp;"","")</f>
        <v>backend/app/translation/*, services/translation_service.py, api/documents.py translate/language/glossary, api/jobs.py translate-document, frontend/editor/panels/TranslatePanel.tsx; docs/translation/README.md</v>
      </c>
      <c r="H16" s="12" t="str">
        <f>IFERROR(INDEX(MASTER!$I$2:$I$2000,MATCH($A16,MASTER!$A$2:$A$2000,0))&amp;"","")</f>
        <v>tests/test_translation_api.py (9), test_translation_extra.py (3), test_translation_core.py (20); Vitest TranslatePanel/translationTarget (+11); e2e/translation.spec.ts (2); mutations 11/11 + 9/9</v>
      </c>
      <c r="I16" s="19">
        <f>IFERROR(IF(INDEX(MASTER!$O$2:$O$2000,MATCH($A16,MASTER!$A$2:$A$2000,0))="","",INDEX(MASTER!$O$2:$O$2000,MATCH($A16,MASTER!$A$2:$A$2000,0))),"")</f>
        <v>46301.923414351862</v>
      </c>
      <c r="J16" s="12" t="str">
        <f>IFERROR(INDEX(MASTER!$P$2:$P$2000,MATCH($A16,MASTER!$A$2:$A$2000,0))&amp;"","")</f>
        <v>23b6c56</v>
      </c>
      <c r="K16" s="12" t="str">
        <f>IFERROR(INDEX(MASTER!$Q$2:$Q$2000,MATCH($A16,MASTER!$A$2:$A$2000,0))&amp;"","")</f>
        <v>2026-10-06: see docs/translation/README.md section for this task.</v>
      </c>
      <c r="L16" s="12" t="str">
        <f>IFERROR(INDEX(MASTER!$R$2:$R$2000,MATCH($A16,MASTER!$A$2:$A$2000,0))&amp;"","")</f>
        <v/>
      </c>
    </row>
    <row r="17" spans="1:12" x14ac:dyDescent="0.25">
      <c r="A17" s="15" t="s">
        <v>1163</v>
      </c>
      <c r="B17" s="12" t="str">
        <f>IFERROR(INDEX(MASTER!$C$2:$C$2000,MATCH($A17,MASTER!$A$2:$A$2000,0))&amp;"","")</f>
        <v>TRANSLATION</v>
      </c>
      <c r="C17" s="16">
        <f>IFERROR(INDEX(MASTER!$B$2:$B$2000,MATCH($A17,MASTER!$A$2:$A$2000,0)),"")</f>
        <v>10</v>
      </c>
      <c r="D17" s="12" t="str">
        <f>IFERROR(INDEX(MASTER!$D$2:$D$2000,MATCH($A17,MASTER!$A$2:$A$2000,0))&amp;"","")</f>
        <v>Translation tests</v>
      </c>
      <c r="E17" s="12" t="str">
        <f>IFERROR(INDEX(MASTER!$F$2:$F$2000,MATCH($A17,MASTER!$A$2:$A$2000,0))&amp;"","")</f>
        <v>P0</v>
      </c>
      <c r="F17" s="12" t="str">
        <f>IFERROR(INDEX(MASTER!$G$2:$G$2000,MATCH($A17,MASTER!$A$2:$A$2000,0))&amp;"","NOT IN MASTER")</f>
        <v>DONE</v>
      </c>
      <c r="G17" s="12" t="str">
        <f>IFERROR(INDEX(MASTER!$H$2:$H$2000,MATCH($A17,MASTER!$A$2:$A$2000,0))&amp;"","")</f>
        <v>backend/app/translation/*, services/translation_service.py, api/documents.py translate/language/glossary, api/jobs.py translate-document, frontend/editor/panels/TranslatePanel.tsx; docs/translation/README.md</v>
      </c>
      <c r="H17" s="12" t="str">
        <f>IFERROR(INDEX(MASTER!$I$2:$I$2000,MATCH($A17,MASTER!$A$2:$A$2000,0))&amp;"","")</f>
        <v>tests/test_translation_api.py (9), test_translation_extra.py (3), test_translation_core.py (20); Vitest TranslatePanel/translationTarget (+11); e2e/translation.spec.ts (2); mutations 11/11 + 9/9</v>
      </c>
      <c r="I17" s="19">
        <f>IFERROR(IF(INDEX(MASTER!$O$2:$O$2000,MATCH($A17,MASTER!$A$2:$A$2000,0))="","",INDEX(MASTER!$O$2:$O$2000,MATCH($A17,MASTER!$A$2:$A$2000,0))),"")</f>
        <v>46301.923460648148</v>
      </c>
      <c r="J17" s="12" t="str">
        <f>IFERROR(INDEX(MASTER!$P$2:$P$2000,MATCH($A17,MASTER!$A$2:$A$2000,0))&amp;"","")</f>
        <v>23b6c56</v>
      </c>
      <c r="K17" s="12" t="str">
        <f>IFERROR(INDEX(MASTER!$Q$2:$Q$2000,MATCH($A17,MASTER!$A$2:$A$2000,0))&amp;"","")</f>
        <v>2026-10-06: see docs/translation/README.md section for this task.</v>
      </c>
      <c r="L17" s="12" t="str">
        <f>IFERROR(INDEX(MASTER!$R$2:$R$2000,MATCH($A17,MASTER!$A$2:$A$2000,0))&amp;"","")</f>
        <v/>
      </c>
    </row>
    <row r="18" spans="1:12" x14ac:dyDescent="0.25">
      <c r="A18" s="15" t="s">
        <v>1166</v>
      </c>
      <c r="B18" s="12" t="str">
        <f>IFERROR(INDEX(MASTER!$C$2:$C$2000,MATCH($A18,MASTER!$A$2:$A$2000,0))&amp;"","")</f>
        <v>FONT</v>
      </c>
      <c r="C18" s="16">
        <f>IFERROR(INDEX(MASTER!$B$2:$B$2000,MATCH($A18,MASTER!$A$2:$A$2000,0)),"")</f>
        <v>11</v>
      </c>
      <c r="D18" s="12" t="str">
        <f>IFERROR(INDEX(MASTER!$D$2:$D$2000,MATCH($A18,MASTER!$A$2:$A$2000,0))&amp;"","")</f>
        <v>Font catalogue with Unicode coverage</v>
      </c>
      <c r="E18" s="12" t="str">
        <f>IFERROR(INDEX(MASTER!$F$2:$F$2000,MATCH($A18,MASTER!$A$2:$A$2000,0))&amp;"","")</f>
        <v>P0</v>
      </c>
      <c r="F18" s="12" t="str">
        <f>IFERROR(INDEX(MASTER!$G$2:$G$2000,MATCH($A18,MASTER!$A$2:$A$2000,0))&amp;"","NOT IN MASTER")</f>
        <v>DONE</v>
      </c>
      <c r="G18" s="12" t="str">
        <f>IFERROR(INDEX(MASTER!$H$2:$H$2000,MATCH($A18,MASTER!$A$2:$A$2000,0))&amp;"","")</f>
        <v>backend/app/export/{font_catalogue,font_resolver,rtl}.py, app/bidi.py, pdf_export.py, docx_export.py, fidelity/exports.py; docs/fonts/README.md</v>
      </c>
      <c r="H18" s="12" t="str">
        <f>IFERROR(INDEX(MASTER!$I$2:$I$2000,MATCH($A18,MASTER!$A$2:$A$2000,0))&amp;"","")</f>
        <v>tests/test_multilingual.py (29), test_export_fidelity.py, expected-loss manifests; 11/11 mutations</v>
      </c>
      <c r="I18" s="19">
        <f>IFERROR(IF(INDEX(MASTER!$O$2:$O$2000,MATCH($A18,MASTER!$A$2:$A$2000,0))="","",INDEX(MASTER!$O$2:$O$2000,MATCH($A18,MASTER!$A$2:$A$2000,0))),"")</f>
        <v>46302.364791666667</v>
      </c>
      <c r="J18" s="12" t="str">
        <f>IFERROR(INDEX(MASTER!$P$2:$P$2000,MATCH($A18,MASTER!$A$2:$A$2000,0))&amp;"","")</f>
        <v>ad6887f</v>
      </c>
      <c r="K18" s="12" t="str">
        <f>IFERROR(INDEX(MASTER!$Q$2:$Q$2000,MATCH($A18,MASTER!$A$2:$A$2000,0))&amp;"","")</f>
        <v>2026-10-07: fontTools catalogue -- coverage by script, metrics, embeddability (fsType 2 never embedded).</v>
      </c>
      <c r="L18" s="12" t="str">
        <f>IFERROR(INDEX(MASTER!$R$2:$R$2000,MATCH($A18,MASTER!$A$2:$A$2000,0))&amp;"","")</f>
        <v/>
      </c>
    </row>
    <row r="19" spans="1:12" x14ac:dyDescent="0.25">
      <c r="A19" s="15" t="s">
        <v>1175</v>
      </c>
      <c r="B19" s="12" t="str">
        <f>IFERROR(INDEX(MASTER!$C$2:$C$2000,MATCH($A19,MASTER!$A$2:$A$2000,0))&amp;"","")</f>
        <v>FONT</v>
      </c>
      <c r="C19" s="16">
        <f>IFERROR(INDEX(MASTER!$B$2:$B$2000,MATCH($A19,MASTER!$A$2:$A$2000,0)),"")</f>
        <v>11</v>
      </c>
      <c r="D19" s="12" t="str">
        <f>IFERROR(INDEX(MASTER!$D$2:$D$2000,MATCH($A19,MASTER!$A$2:$A$2000,0))&amp;"","")</f>
        <v>FontResolver</v>
      </c>
      <c r="E19" s="12" t="str">
        <f>IFERROR(INDEX(MASTER!$F$2:$F$2000,MATCH($A19,MASTER!$A$2:$A$2000,0))&amp;"","")</f>
        <v>P0</v>
      </c>
      <c r="F19" s="12" t="str">
        <f>IFERROR(INDEX(MASTER!$G$2:$G$2000,MATCH($A19,MASTER!$A$2:$A$2000,0))&amp;"","NOT IN MASTER")</f>
        <v>DONE</v>
      </c>
      <c r="G19" s="12" t="str">
        <f>IFERROR(INDEX(MASTER!$H$2:$H$2000,MATCH($A19,MASTER!$A$2:$A$2000,0))&amp;"","")</f>
        <v>backend/app/export/{font_catalogue,font_resolver,rtl}.py, app/bidi.py, pdf_export.py, docx_export.py, fidelity/exports.py; docs/fonts/README.md</v>
      </c>
      <c r="H19" s="12" t="str">
        <f>IFERROR(INDEX(MASTER!$I$2:$I$2000,MATCH($A19,MASTER!$A$2:$A$2000,0))&amp;"","")</f>
        <v>tests/test_multilingual.py (29), test_export_fidelity.py, expected-loss manifests; 11/11 mutations</v>
      </c>
      <c r="I19" s="19">
        <f>IFERROR(IF(INDEX(MASTER!$O$2:$O$2000,MATCH($A19,MASTER!$A$2:$A$2000,0))="","",INDEX(MASTER!$O$2:$O$2000,MATCH($A19,MASTER!$A$2:$A$2000,0))),"")</f>
        <v>46302.364837962959</v>
      </c>
      <c r="J19" s="12" t="str">
        <f>IFERROR(INDEX(MASTER!$P$2:$P$2000,MATCH($A19,MASTER!$A$2:$A$2000,0))&amp;"","")</f>
        <v>ad6887f</v>
      </c>
      <c r="K19" s="12" t="str">
        <f>IFERROR(INDEX(MASTER!$Q$2:$Q$2000,MATCH($A19,MASTER!$A$2:$A$2000,0))&amp;"","")</f>
        <v>2026-10-07: deterministic resolver (no AI): script runs, the paragraph's font by letters, script chains, symbol fallback, missing named.</v>
      </c>
      <c r="L19" s="12" t="str">
        <f>IFERROR(INDEX(MASTER!$R$2:$R$2000,MATCH($A19,MASTER!$A$2:$A$2000,0))&amp;"","")</f>
        <v>FONT-001</v>
      </c>
    </row>
    <row r="20" spans="1:12" x14ac:dyDescent="0.25">
      <c r="A20" s="15" t="s">
        <v>1179</v>
      </c>
      <c r="B20" s="12" t="str">
        <f>IFERROR(INDEX(MASTER!$C$2:$C$2000,MATCH($A20,MASTER!$A$2:$A$2000,0))&amp;"","")</f>
        <v>FONT</v>
      </c>
      <c r="C20" s="16">
        <f>IFERROR(INDEX(MASTER!$B$2:$B$2000,MATCH($A20,MASTER!$A$2:$A$2000,0)),"")</f>
        <v>11</v>
      </c>
      <c r="D20" s="12" t="str">
        <f>IFERROR(INDEX(MASTER!$D$2:$D$2000,MATCH($A20,MASTER!$A$2:$A$2000,0))&amp;"","")</f>
        <v>Multilingual PDF rendering</v>
      </c>
      <c r="E20" s="12" t="str">
        <f>IFERROR(INDEX(MASTER!$F$2:$F$2000,MATCH($A20,MASTER!$A$2:$A$2000,0))&amp;"","")</f>
        <v>P0</v>
      </c>
      <c r="F20" s="12" t="str">
        <f>IFERROR(INDEX(MASTER!$G$2:$G$2000,MATCH($A20,MASTER!$A$2:$A$2000,0))&amp;"","NOT IN MASTER")</f>
        <v>DONE</v>
      </c>
      <c r="G20" s="12" t="str">
        <f>IFERROR(INDEX(MASTER!$H$2:$H$2000,MATCH($A20,MASTER!$A$2:$A$2000,0))&amp;"","")</f>
        <v>backend/app/export/{font_catalogue,font_resolver,rtl}.py, app/bidi.py, pdf_export.py, docx_export.py, fidelity/exports.py; docs/fonts/README.md</v>
      </c>
      <c r="H20" s="12" t="str">
        <f>IFERROR(INDEX(MASTER!$I$2:$I$2000,MATCH($A20,MASTER!$A$2:$A$2000,0))&amp;"","")</f>
        <v>tests/test_multilingual.py (29), test_export_fidelity.py, expected-loss manifests; 11/11 mutations</v>
      </c>
      <c r="I20" s="19">
        <f>IFERROR(IF(INDEX(MASTER!$O$2:$O$2000,MATCH($A20,MASTER!$A$2:$A$2000,0))="","",INDEX(MASTER!$O$2:$O$2000,MATCH($A20,MASTER!$A$2:$A$2000,0))),"")</f>
        <v>46302.364884259259</v>
      </c>
      <c r="J20" s="12" t="str">
        <f>IFERROR(INDEX(MASTER!$P$2:$P$2000,MATCH($A20,MASTER!$A$2:$A$2000,0))&amp;"","")</f>
        <v>ad6887f</v>
      </c>
      <c r="K20" s="12" t="str">
        <f>IFERROR(INDEX(MASTER!$Q$2:$Q$2000,MATCH($A20,MASTER!$A$2:$A$2000,0))&amp;"","")</f>
        <v>2026-10-07: HarfBuzz shaping; own UAX#9 bidi as reportlab's rlbidi; RtlParagraph orders lines right to left; notes for undrawable characters and Devanagari/Thai text layer; read-back via pdfminer for RTL documents.</v>
      </c>
      <c r="L20" s="12" t="str">
        <f>IFERROR(INDEX(MASTER!$R$2:$R$2000,MATCH($A20,MASTER!$A$2:$A$2000,0))&amp;"","")</f>
        <v>FONT-002</v>
      </c>
    </row>
    <row r="21" spans="1:12" x14ac:dyDescent="0.25">
      <c r="A21" s="15" t="s">
        <v>1183</v>
      </c>
      <c r="B21" s="12" t="str">
        <f>IFERROR(INDEX(MASTER!$C$2:$C$2000,MATCH($A21,MASTER!$A$2:$A$2000,0))&amp;"","")</f>
        <v>FONT</v>
      </c>
      <c r="C21" s="16">
        <f>IFERROR(INDEX(MASTER!$B$2:$B$2000,MATCH($A21,MASTER!$A$2:$A$2000,0)),"")</f>
        <v>11</v>
      </c>
      <c r="D21" s="12" t="str">
        <f>IFERROR(INDEX(MASTER!$D$2:$D$2000,MATCH($A21,MASTER!$A$2:$A$2000,0))&amp;"","")</f>
        <v>DOCX per-script fonts</v>
      </c>
      <c r="E21" s="12" t="str">
        <f>IFERROR(INDEX(MASTER!$F$2:$F$2000,MATCH($A21,MASTER!$A$2:$A$2000,0))&amp;"","")</f>
        <v>P1</v>
      </c>
      <c r="F21" s="12" t="str">
        <f>IFERROR(INDEX(MASTER!$G$2:$G$2000,MATCH($A21,MASTER!$A$2:$A$2000,0))&amp;"","NOT IN MASTER")</f>
        <v>DONE</v>
      </c>
      <c r="G21" s="12" t="str">
        <f>IFERROR(INDEX(MASTER!$H$2:$H$2000,MATCH($A21,MASTER!$A$2:$A$2000,0))&amp;"","")</f>
        <v>backend/app/export/{font_catalogue,font_resolver,rtl}.py, app/bidi.py, pdf_export.py, docx_export.py, fidelity/exports.py; docs/fonts/README.md</v>
      </c>
      <c r="H21" s="12" t="str">
        <f>IFERROR(INDEX(MASTER!$I$2:$I$2000,MATCH($A21,MASTER!$A$2:$A$2000,0))&amp;"","")</f>
        <v>tests/test_multilingual.py (29), test_export_fidelity.py, expected-loss manifests; 11/11 mutations</v>
      </c>
      <c r="I21" s="19">
        <f>IFERROR(IF(INDEX(MASTER!$O$2:$O$2000,MATCH($A21,MASTER!$A$2:$A$2000,0))="","",INDEX(MASTER!$O$2:$O$2000,MATCH($A21,MASTER!$A$2:$A$2000,0))),"")</f>
        <v>46302.364930555559</v>
      </c>
      <c r="J21" s="12" t="str">
        <f>IFERROR(INDEX(MASTER!$P$2:$P$2000,MATCH($A21,MASTER!$A$2:$A$2000,0))&amp;"","")</f>
        <v>ad6887f</v>
      </c>
      <c r="K21" s="12" t="str">
        <f>IFERROR(INDEX(MASTER!$Q$2:$Q$2000,MATCH($A21,MASTER!$A$2:$A$2000,0))&amp;"","")</f>
        <v>2026-10-07: w:rFonts eastAsia/cs, w:lang eastAsia/bidi, w:rtl, w:bCs/w:iCs, w:bidi on RTL-led paragraphs.</v>
      </c>
      <c r="L21" s="12" t="str">
        <f>IFERROR(INDEX(MASTER!$R$2:$R$2000,MATCH($A21,MASTER!$A$2:$A$2000,0))&amp;"","")</f>
        <v>FONT-002</v>
      </c>
    </row>
    <row r="22" spans="1:12" x14ac:dyDescent="0.25">
      <c r="A22" s="15" t="s">
        <v>1187</v>
      </c>
      <c r="B22" s="12" t="str">
        <f>IFERROR(INDEX(MASTER!$C$2:$C$2000,MATCH($A22,MASTER!$A$2:$A$2000,0))&amp;"","")</f>
        <v>FONT</v>
      </c>
      <c r="C22" s="16">
        <f>IFERROR(INDEX(MASTER!$B$2:$B$2000,MATCH($A22,MASTER!$A$2:$A$2000,0)),"")</f>
        <v>11</v>
      </c>
      <c r="D22" s="12" t="str">
        <f>IFERROR(INDEX(MASTER!$D$2:$D$2000,MATCH($A22,MASTER!$A$2:$A$2000,0))&amp;"","")</f>
        <v>Editor fallback stacks</v>
      </c>
      <c r="E22" s="12" t="str">
        <f>IFERROR(INDEX(MASTER!$F$2:$F$2000,MATCH($A22,MASTER!$A$2:$A$2000,0))&amp;"","")</f>
        <v>P2</v>
      </c>
      <c r="F22" s="12" t="str">
        <f>IFERROR(INDEX(MASTER!$G$2:$G$2000,MATCH($A22,MASTER!$A$2:$A$2000,0))&amp;"","NOT IN MASTER")</f>
        <v>DONE</v>
      </c>
      <c r="G22" s="12" t="str">
        <f>IFERROR(INDEX(MASTER!$H$2:$H$2000,MATCH($A22,MASTER!$A$2:$A$2000,0))&amp;"","")</f>
        <v>fonts.py METRIC_COMPATIBLE + fallback_stack (resolver tries metric-compatible stand-ins before kind fallbacks; Constantia serif); editor cssFontStack = same list from fontFallbacks.json (export_font_fallbacks script, currency test) + generic. Renders unchanged on this machine; missing Calibri -&gt; Carlito before Arial in editor and PDF.</v>
      </c>
      <c r="H22" s="12" t="str">
        <f>IFERROR(INDEX(MASTER!$I$2:$I$2000,MATCH($A22,MASTER!$A$2:$A$2000,0))&amp;"","")</f>
        <v>backend/tests/test_font_fallbacks.py (4); frontend/editor/fontStack.test.ts (3); e2e templates.spec.ts updated; backend 2434/11, Vitest 299, Playwright 53</v>
      </c>
      <c r="I22" s="19">
        <f>IFERROR(IF(INDEX(MASTER!$O$2:$O$2000,MATCH($A22,MASTER!$A$2:$A$2000,0))="","",INDEX(MASTER!$O$2:$O$2000,MATCH($A22,MASTER!$A$2:$A$2000,0))),"")</f>
        <v>46302.690972222219</v>
      </c>
      <c r="J22" s="12" t="str">
        <f>IFERROR(INDEX(MASTER!$P$2:$P$2000,MATCH($A22,MASTER!$A$2:$A$2000,0))&amp;"","")</f>
        <v>c304ee5</v>
      </c>
      <c r="K22" s="12" t="str">
        <f>IFERROR(INDEX(MASTER!$Q$2:$Q$2000,MATCH($A22,MASTER!$A$2:$A$2000,0))&amp;"","")</f>
        <v/>
      </c>
      <c r="L22" s="12" t="str">
        <f>IFERROR(INDEX(MASTER!$R$2:$R$2000,MATCH($A22,MASTER!$A$2:$A$2000,0))&amp;"","")</f>
        <v>FONT-002</v>
      </c>
    </row>
    <row r="23" spans="1:12" x14ac:dyDescent="0.25">
      <c r="A23" s="15" t="s">
        <v>1193</v>
      </c>
      <c r="B23" s="12" t="str">
        <f>IFERROR(INDEX(MASTER!$C$2:$C$2000,MATCH($A23,MASTER!$A$2:$A$2000,0))&amp;"","")</f>
        <v>FONT</v>
      </c>
      <c r="C23" s="16">
        <f>IFERROR(INDEX(MASTER!$B$2:$B$2000,MATCH($A23,MASTER!$A$2:$A$2000,0)),"")</f>
        <v>11</v>
      </c>
      <c r="D23" s="12" t="str">
        <f>IFERROR(INDEX(MASTER!$D$2:$D$2000,MATCH($A23,MASTER!$A$2:$A$2000,0))&amp;"","")</f>
        <v>Multilingual tests</v>
      </c>
      <c r="E23" s="12" t="str">
        <f>IFERROR(INDEX(MASTER!$F$2:$F$2000,MATCH($A23,MASTER!$A$2:$A$2000,0))&amp;"","")</f>
        <v>P0</v>
      </c>
      <c r="F23" s="12" t="str">
        <f>IFERROR(INDEX(MASTER!$G$2:$G$2000,MATCH($A23,MASTER!$A$2:$A$2000,0))&amp;"","NOT IN MASTER")</f>
        <v>DONE</v>
      </c>
      <c r="G23" s="12" t="str">
        <f>IFERROR(INDEX(MASTER!$H$2:$H$2000,MATCH($A23,MASTER!$A$2:$A$2000,0))&amp;"","")</f>
        <v>backend/app/export/{font_catalogue,font_resolver,rtl}.py, app/bidi.py, pdf_export.py, docx_export.py, fidelity/exports.py; docs/fonts/README.md</v>
      </c>
      <c r="H23" s="12" t="str">
        <f>IFERROR(INDEX(MASTER!$I$2:$I$2000,MATCH($A23,MASTER!$A$2:$A$2000,0))&amp;"","")</f>
        <v>tests/test_multilingual.py (29), test_export_fidelity.py, expected-loss manifests; 11/11 mutations</v>
      </c>
      <c r="I23" s="19">
        <f>IFERROR(IF(INDEX(MASTER!$O$2:$O$2000,MATCH($A23,MASTER!$A$2:$A$2000,0))="","",INDEX(MASTER!$O$2:$O$2000,MATCH($A23,MASTER!$A$2:$A$2000,0))),"")</f>
        <v>46302.364976851852</v>
      </c>
      <c r="J23" s="12" t="str">
        <f>IFERROR(INDEX(MASTER!$P$2:$P$2000,MATCH($A23,MASTER!$A$2:$A$2000,0))&amp;"","")</f>
        <v>ad6887f</v>
      </c>
      <c r="K23" s="12" t="str">
        <f>IFERROR(INDEX(MASTER!$Q$2:$Q$2000,MATCH($A23,MASTER!$A$2:$A$2000,0))&amp;"","")</f>
        <v>2026-10-07: script matrix x PDF (on the machine's fonts; uncovered scripts expected to be reported) and Word XML; bidi checked against python-bidi.</v>
      </c>
      <c r="L23" s="12" t="str">
        <f>IFERROR(INDEX(MASTER!$R$2:$R$2000,MATCH($A23,MASTER!$A$2:$A$2000,0))&amp;"","")</f>
        <v>FONT-003</v>
      </c>
    </row>
  </sheetData>
  <autoFilter ref="A7:L23" xr:uid="{00000000-0009-0000-0000-00000D000000}"/>
  <conditionalFormatting sqref="E8:E23">
    <cfRule type="cellIs" dxfId="104" priority="19" operator="equal">
      <formula>"P0"</formula>
    </cfRule>
    <cfRule type="cellIs" dxfId="103" priority="20" operator="equal">
      <formula>"P1"</formula>
    </cfRule>
  </conditionalFormatting>
  <conditionalFormatting sqref="F8:F23">
    <cfRule type="cellIs" dxfId="102" priority="1" operator="equal">
      <formula>"DONE"</formula>
    </cfRule>
    <cfRule type="cellIs" dxfId="101" priority="2" operator="equal">
      <formula>"VERIFIED"</formula>
    </cfRule>
    <cfRule type="cellIs" dxfId="100" priority="3" operator="equal">
      <formula>"IN_PROGRESS"</formula>
    </cfRule>
    <cfRule type="cellIs" dxfId="99" priority="4" operator="equal">
      <formula>"IMPLEMENTED"</formula>
    </cfRule>
    <cfRule type="cellIs" dxfId="98" priority="5" operator="equal">
      <formula>"TESTING"</formula>
    </cfRule>
    <cfRule type="cellIs" dxfId="97" priority="6" operator="equal">
      <formula>"BLOCKED"</formula>
    </cfRule>
    <cfRule type="cellIs" dxfId="96" priority="7" operator="equal">
      <formula>"FAILED"</formula>
    </cfRule>
    <cfRule type="cellIs" dxfId="95" priority="8" operator="equal">
      <formula>"DEFERRED"</formula>
    </cfRule>
    <cfRule type="cellIs" dxfId="94" priority="9" operator="equal">
      <formula>"UNKNOWN"</formula>
    </cfRule>
    <cfRule type="cellIs" dxfId="93" priority="10" operator="equal">
      <formula>"PASS"</formula>
    </cfRule>
    <cfRule type="cellIs" dxfId="92" priority="11" operator="equal">
      <formula>"FAIL"</formula>
    </cfRule>
    <cfRule type="cellIs" dxfId="91" priority="12" operator="equal">
      <formula>"PARTIAL"</formula>
    </cfRule>
    <cfRule type="cellIs" dxfId="90" priority="13" operator="equal">
      <formula>"RESOLVED"</formula>
    </cfRule>
    <cfRule type="cellIs" dxfId="89" priority="14" operator="equal">
      <formula>"OPEN"</formula>
    </cfRule>
    <cfRule type="cellIs" dxfId="88" priority="15" operator="equal">
      <formula>"WITHIN"</formula>
    </cfRule>
    <cfRule type="cellIs" dxfId="87" priority="16" operator="equal">
      <formula>"OVER"</formula>
    </cfRule>
    <cfRule type="cellIs" dxfId="86" priority="17" operator="equal">
      <formula>"NOW"</formula>
    </cfRule>
    <cfRule type="cellIs" dxfId="85" priority="18" operator="equal">
      <formula>"NOT IN MASTER"</formula>
    </cfRule>
  </conditionalFormatting>
  <pageMargins left="0.75" right="0.75" top="1" bottom="1" header="0.5" footer="0.5"/>
  <pageSetup fitToHeight="0" orientation="landscape"/>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pageSetUpPr fitToPage="1"/>
  </sheetPr>
  <dimension ref="A1:L18"/>
  <sheetViews>
    <sheetView workbookViewId="0">
      <pane ySplit="4" topLeftCell="A5" activePane="bottomLeft" state="frozen"/>
      <selection pane="bottomLeft"/>
    </sheetView>
  </sheetViews>
  <sheetFormatPr defaultRowHeight="15" x14ac:dyDescent="0.25"/>
  <cols>
    <col min="1" max="1" width="12" customWidth="1"/>
    <col min="2" max="2" width="14" customWidth="1"/>
    <col min="3" max="3" width="7" customWidth="1"/>
    <col min="4" max="4" width="44" customWidth="1"/>
    <col min="5" max="5" width="9" customWidth="1"/>
    <col min="6" max="6" width="14" customWidth="1"/>
    <col min="7" max="7" width="40" customWidth="1"/>
    <col min="8" max="8" width="34" customWidth="1"/>
    <col min="9" max="9" width="16" customWidth="1"/>
    <col min="10" max="10" width="10" customWidth="1"/>
    <col min="11" max="11" width="40" customWidth="1"/>
    <col min="12" max="12" width="11" customWidth="1"/>
  </cols>
  <sheetData>
    <row r="1" spans="1:12" ht="20.25" x14ac:dyDescent="0.3">
      <c r="A1" s="3" t="s">
        <v>2295</v>
      </c>
    </row>
    <row r="2" spans="1:12" x14ac:dyDescent="0.25">
      <c r="A2" s="4" t="s">
        <v>2296</v>
      </c>
    </row>
    <row r="3" spans="1:12" x14ac:dyDescent="0.25">
      <c r="A3" s="6" t="s">
        <v>45</v>
      </c>
      <c r="B3" s="6" t="s">
        <v>46</v>
      </c>
      <c r="C3" s="6" t="s">
        <v>47</v>
      </c>
      <c r="D3" s="6" t="s">
        <v>13</v>
      </c>
      <c r="E3" s="6" t="s">
        <v>16</v>
      </c>
      <c r="F3" s="6" t="s">
        <v>19</v>
      </c>
      <c r="G3" s="6" t="s">
        <v>48</v>
      </c>
      <c r="H3" s="6" t="s">
        <v>33</v>
      </c>
    </row>
    <row r="4" spans="1:12" x14ac:dyDescent="0.25">
      <c r="A4" s="7">
        <f>COUNTIF(MASTER!$C$2:$C$2000,"P2E")</f>
        <v>11</v>
      </c>
      <c r="B4" s="7">
        <f>COUNTIFS(MASTER!$C$2:$C$2000,"P2E",MASTER!$G$2:$G$2000,"DONE")</f>
        <v>10</v>
      </c>
      <c r="C4" s="7">
        <f>COUNTIFS(MASTER!$C$2:$C$2000,"P2E",MASTER!$G$2:$G$2000,"VERIFIED")+B4</f>
        <v>10</v>
      </c>
      <c r="D4" s="7">
        <f>COUNTIFS(MASTER!$C$2:$C$2000,"P2E",MASTER!$G$2:$G$2000,"IN_PROGRESS")+COUNTIFS(MASTER!$C$2:$C$2000,"P2E",MASTER!$G$2:$G$2000,"IMPLEMENTED")+COUNTIFS(MASTER!$C$2:$C$2000,"P2E",MASTER!$G$2:$G$2000,"TESTING")</f>
        <v>0</v>
      </c>
      <c r="E4" s="7">
        <f>COUNTIFS(MASTER!$C$2:$C$2000,"P2E",MASTER!$G$2:$G$2000,"BLOCKED")</f>
        <v>0</v>
      </c>
      <c r="F4" s="7">
        <f>COUNTIFS(MASTER!$C$2:$C$2000,"P2E",MASTER!$G$2:$G$2000,"FAILED")</f>
        <v>0</v>
      </c>
      <c r="G4" s="9">
        <f>IF(A4=0,0,B4/A4)</f>
        <v>0.90909090909090906</v>
      </c>
      <c r="H4" s="9">
        <f>IF(A4=0,0,C4/A4)</f>
        <v>0.90909090909090906</v>
      </c>
    </row>
    <row r="6" spans="1:12" ht="15.75" x14ac:dyDescent="0.25">
      <c r="A6" s="5" t="s">
        <v>1577</v>
      </c>
    </row>
    <row r="7" spans="1:12" x14ac:dyDescent="0.25">
      <c r="A7" s="10" t="s">
        <v>166</v>
      </c>
      <c r="B7" s="10" t="s">
        <v>100</v>
      </c>
      <c r="C7" s="10" t="s">
        <v>43</v>
      </c>
      <c r="D7" s="10" t="s">
        <v>167</v>
      </c>
      <c r="E7" s="10" t="s">
        <v>169</v>
      </c>
      <c r="F7" s="10" t="s">
        <v>57</v>
      </c>
      <c r="G7" s="10" t="s">
        <v>170</v>
      </c>
      <c r="H7" s="10" t="s">
        <v>171</v>
      </c>
      <c r="I7" s="10" t="s">
        <v>15</v>
      </c>
      <c r="J7" s="10" t="s">
        <v>177</v>
      </c>
      <c r="K7" s="10" t="s">
        <v>178</v>
      </c>
      <c r="L7" s="10" t="s">
        <v>179</v>
      </c>
    </row>
    <row r="8" spans="1:12" x14ac:dyDescent="0.25">
      <c r="A8" s="15" t="s">
        <v>1038</v>
      </c>
      <c r="B8" s="12" t="str">
        <f>IFERROR(INDEX(MASTER!$C$2:$C$2000,MATCH($A8,MASTER!$A$2:$A$2000,0))&amp;"","")</f>
        <v>P2E</v>
      </c>
      <c r="C8" s="16">
        <f>IFERROR(INDEX(MASTER!$B$2:$B$2000,MATCH($A8,MASTER!$A$2:$A$2000,0)),"")</f>
        <v>8</v>
      </c>
      <c r="D8" s="12" t="str">
        <f>IFERROR(INDEX(MASTER!$D$2:$D$2000,MATCH($A8,MASTER!$A$2:$A$2000,0))&amp;"","")</f>
        <v>Layout primitives where PDF needs them</v>
      </c>
      <c r="E8" s="12" t="str">
        <f>IFERROR(INDEX(MASTER!$F$2:$F$2000,MATCH($A8,MASTER!$A$2:$A$2000,0))&amp;"","")</f>
        <v>P0</v>
      </c>
      <c r="F8" s="12" t="str">
        <f>IFERROR(INDEX(MASTER!$G$2:$G$2000,MATCH($A8,MASTER!$A$2:$A$2000,0))&amp;"","NOT IN MASTER")</f>
        <v>DONE</v>
      </c>
      <c r="G8" s="12" t="str">
        <f>IFERROR(INDEX(MASTER!$H$2:$H$2000,MATCH($A8,MASTER!$A$2:$A$2000,0))&amp;"","")</f>
        <v>backend/app/models/document.py ElementLayout + Element.layout; export/provenance.py keep_provenance keeps it; docs/document-model/README.md</v>
      </c>
      <c r="H8" s="12" t="str">
        <f>IFERROR(INDEX(MASTER!$I$2:$I$2000,MATCH($A8,MASTER!$A$2:$A$2000,0))&amp;"","")</f>
        <v>tests/test_pdf_structure.py::test_the_layout_is_kept_through_saves_and_never_taken_from_the_editor, ::test_a_layout_is_only_what_a_page_can_be, ::test_word_markdown_and_text_documents_carry_no_layout</v>
      </c>
      <c r="I8" s="19">
        <f>IFERROR(IF(INDEX(MASTER!$O$2:$O$2000,MATCH($A8,MASTER!$A$2:$A$2000,0))="","",INDEX(MASTER!$O$2:$O$2000,MATCH($A8,MASTER!$A$2:$A$2000,0))),"")</f>
        <v>46301.819004629629</v>
      </c>
      <c r="J8" s="12" t="str">
        <f>IFERROR(INDEX(MASTER!$P$2:$P$2000,MATCH($A8,MASTER!$A$2:$A$2000,0))&amp;"","")</f>
        <v>4d67979</v>
      </c>
      <c r="K8" s="12" t="str">
        <f>IFERROR(INDEX(MASTER!$Q$2:$Q$2000,MATCH($A8,MASTER!$A$2:$A$2000,0))&amp;"","")</f>
        <v>2026-10-06: layout primitives only where a PDF import needs them (page, box, rotation, lastPage, column, lines, source); the page itself is pdfInspection's page; confidence is Element.confidence. Server-owned like sourceBlocks.</v>
      </c>
      <c r="L8" s="12" t="str">
        <f>IFERROR(INDEX(MASTER!$R$2:$R$2000,MATCH($A8,MASTER!$A$2:$A$2000,0))&amp;"","")</f>
        <v/>
      </c>
    </row>
    <row r="9" spans="1:12" x14ac:dyDescent="0.25">
      <c r="A9" s="15" t="s">
        <v>1045</v>
      </c>
      <c r="B9" s="12" t="str">
        <f>IFERROR(INDEX(MASTER!$C$2:$C$2000,MATCH($A9,MASTER!$A$2:$A$2000,0))&amp;"","")</f>
        <v>P2E</v>
      </c>
      <c r="C9" s="16">
        <f>IFERROR(INDEX(MASTER!$B$2:$B$2000,MATCH($A9,MASTER!$A$2:$A$2000,0)),"")</f>
        <v>8</v>
      </c>
      <c r="D9" s="12" t="str">
        <f>IFERROR(INDEX(MASTER!$D$2:$D$2000,MATCH($A9,MASTER!$A$2:$A$2000,0))&amp;"","")</f>
        <v>Structure reconstruction</v>
      </c>
      <c r="E9" s="12" t="str">
        <f>IFERROR(INDEX(MASTER!$F$2:$F$2000,MATCH($A9,MASTER!$A$2:$A$2000,0))&amp;"","")</f>
        <v>P0</v>
      </c>
      <c r="F9" s="12" t="str">
        <f>IFERROR(INDEX(MASTER!$G$2:$G$2000,MATCH($A9,MASTER!$A$2:$A$2000,0))&amp;"","NOT IN MASTER")</f>
        <v>DONE</v>
      </c>
      <c r="G9" s="12" t="str">
        <f>IFERROR(INDEX(MASTER!$H$2:$H$2000,MATCH($A9,MASTER!$A$2:$A$2000,0))&amp;"","")</f>
        <v>backend/app/parsers/pdf_structure.py; services/ingestion_service.py _read_pdf_layout/_rebuilt; docs/architecture/fidelity.md 'The PDF -&gt; editable reconstruction'; capability pdf.import_structure</v>
      </c>
      <c r="H9" s="12" t="str">
        <f>IFERROR(INDEX(MASTER!$I$2:$I$2000,MATCH($A9,MASTER!$A$2:$A$2000,0))&amp;"","")</f>
        <v>tests/test_pdf_structure.py (29), tests/test_pdf_inspection.py, e2e/workflows.spec.ts PDF import; 10/10 mutations</v>
      </c>
      <c r="I9" s="19">
        <f>IFERROR(IF(INDEX(MASTER!$O$2:$O$2000,MATCH($A9,MASTER!$A$2:$A$2000,0))="","",INDEX(MASTER!$O$2:$O$2000,MATCH($A9,MASTER!$A$2:$A$2000,0))),"")</f>
        <v>46301.819050925929</v>
      </c>
      <c r="J9" s="12" t="str">
        <f>IFERROR(INDEX(MASTER!$P$2:$P$2000,MATCH($A9,MASTER!$A$2:$A$2000,0))&amp;"","")</f>
        <v>4d67979</v>
      </c>
      <c r="K9" s="12" t="str">
        <f>IFERROR(INDEX(MASTER!$Q$2:$Q$2000,MATCH($A9,MASTER!$A$2:$A$2000,0))&amp;"","")</f>
        <v>2026-10-06: deterministic, one geometry read. XY cut with column test; paragraphs, headings (size/bold), lists (bullets/numbers/indent, numbering checked), captions, running header/footer/page numbers -&gt; settings, links/colours/bold/italic. Fallback to the text read when pages are missing or &gt;5% of its words aren't found. Tables stay a row a paragraph until P2E-004; pictures P2E-003.</v>
      </c>
      <c r="L9" s="12" t="str">
        <f>IFERROR(INDEX(MASTER!$R$2:$R$2000,MATCH($A9,MASTER!$A$2:$A$2000,0))&amp;"","")</f>
        <v/>
      </c>
    </row>
    <row r="10" spans="1:12" x14ac:dyDescent="0.25">
      <c r="A10" s="15" t="s">
        <v>1052</v>
      </c>
      <c r="B10" s="12" t="str">
        <f>IFERROR(INDEX(MASTER!$C$2:$C$2000,MATCH($A10,MASTER!$A$2:$A$2000,0))&amp;"","")</f>
        <v>P2E</v>
      </c>
      <c r="C10" s="16">
        <f>IFERROR(INDEX(MASTER!$B$2:$B$2000,MATCH($A10,MASTER!$A$2:$A$2000,0)),"")</f>
        <v>8</v>
      </c>
      <c r="D10" s="12" t="str">
        <f>IFERROR(INDEX(MASTER!$D$2:$D$2000,MATCH($A10,MASTER!$A$2:$A$2000,0))&amp;"","")</f>
        <v>Images with position</v>
      </c>
      <c r="E10" s="12" t="str">
        <f>IFERROR(INDEX(MASTER!$F$2:$F$2000,MATCH($A10,MASTER!$A$2:$A$2000,0))&amp;"","")</f>
        <v>P1</v>
      </c>
      <c r="F10" s="12" t="str">
        <f>IFERROR(INDEX(MASTER!$G$2:$G$2000,MATCH($A10,MASTER!$A$2:$A$2000,0))&amp;"","NOT IN MASTER")</f>
        <v>DONE</v>
      </c>
      <c r="G10" s="12" t="str">
        <f>IFERROR(INDEX(MASTER!$H$2:$H$2000,MATCH($A10,MASTER!$A$2:$A$2000,0))&amp;"","")</f>
        <v>backend/app/parsers/pdf_pictures.py; pdf_structure.py picture_plan/_place/_picture_element; pdf_geometry.py PdfImage.name; capability pdf.import_images; docs/architecture/fidelity.md</v>
      </c>
      <c r="H10" s="12" t="str">
        <f>IFERROR(INDEX(MASTER!$I$2:$I$2000,MATCH($A10,MASTER!$A$2:$A$2000,0))&amp;"","")</f>
        <v>tests/test_pdf_pictures.py (7); test_pdf_structure.py; test_malformed_pdfs.py::test_a_pdf_whose_pictures_cant_be_read_says_so; 9/9 mutations</v>
      </c>
      <c r="I10" s="19">
        <f>IFERROR(IF(INDEX(MASTER!$O$2:$O$2000,MATCH($A10,MASTER!$A$2:$A$2000,0))="","",INDEX(MASTER!$O$2:$O$2000,MATCH($A10,MASTER!$A$2:$A$2000,0))),"")</f>
        <v>46301.847650462973</v>
      </c>
      <c r="J10" s="12" t="str">
        <f>IFERROR(INDEX(MASTER!$P$2:$P$2000,MATCH($A10,MASTER!$A$2:$A$2000,0))&amp;"","")</f>
        <v>e4d00f9</v>
      </c>
      <c r="K10" s="12" t="str">
        <f>IFERROR(INDEX(MASTER!$Q$2:$Q$2000,MATCH($A10,MASTER!$A$2:$A$2000,0))&amp;"","")</f>
        <v>2026-10-06: pictures paired by XObject name, decoded within caps (25 MP each, 150 MP, 300, 30 s), JPEG kept, others PNG, SEC-012 judged; placed in reading order, no wider than the text, assets at create; logos/scan backgrounds/rules/limits reported.</v>
      </c>
      <c r="L10" s="12" t="str">
        <f>IFERROR(INDEX(MASTER!$R$2:$R$2000,MATCH($A10,MASTER!$A$2:$A$2000,0))&amp;"","")</f>
        <v/>
      </c>
    </row>
    <row r="11" spans="1:12" x14ac:dyDescent="0.25">
      <c r="A11" s="15" t="s">
        <v>1059</v>
      </c>
      <c r="B11" s="12" t="str">
        <f>IFERROR(INDEX(MASTER!$C$2:$C$2000,MATCH($A11,MASTER!$A$2:$A$2000,0))&amp;"","")</f>
        <v>P2E</v>
      </c>
      <c r="C11" s="16">
        <f>IFERROR(INDEX(MASTER!$B$2:$B$2000,MATCH($A11,MASTER!$A$2:$A$2000,0)),"")</f>
        <v>8</v>
      </c>
      <c r="D11" s="12" t="str">
        <f>IFERROR(INDEX(MASTER!$D$2:$D$2000,MATCH($A11,MASTER!$A$2:$A$2000,0))&amp;"","")</f>
        <v>Tables from PDF</v>
      </c>
      <c r="E11" s="12" t="str">
        <f>IFERROR(INDEX(MASTER!$F$2:$F$2000,MATCH($A11,MASTER!$A$2:$A$2000,0))&amp;"","")</f>
        <v>P1</v>
      </c>
      <c r="F11" s="12" t="str">
        <f>IFERROR(INDEX(MASTER!$G$2:$G$2000,MATCH($A11,MASTER!$A$2:$A$2000,0))&amp;"","NOT IN MASTER")</f>
        <v>DONE</v>
      </c>
      <c r="G11" s="12" t="str">
        <f>IFERROR(INDEX(MASTER!$H$2:$H$2000,MATCH($A11,MASTER!$A$2:$A$2000,0))&amp;"","")</f>
        <v>backend/app/parsers/pdf_tables.py; pdf_structure.py _fill_tables/_table_element; docs/architecture/fidelity.md Tables; capability pdf.import_structure</v>
      </c>
      <c r="H11" s="12" t="str">
        <f>IFERROR(INDEX(MASTER!$I$2:$I$2000,MATCH($A11,MASTER!$A$2:$A$2000,0))&amp;"","")</f>
        <v>tests/test_pdf_tables.py (7); test_pdf_structure.py::test_a_ruled_table_is_a_table; 10/10 mutations</v>
      </c>
      <c r="I11" s="19">
        <f>IFERROR(IF(INDEX(MASTER!$O$2:$O$2000,MATCH($A11,MASTER!$A$2:$A$2000,0))="","",INDEX(MASTER!$O$2:$O$2000,MATCH($A11,MASTER!$A$2:$A$2000,0))),"")</f>
        <v>46301.857673611114</v>
      </c>
      <c r="J11" s="12" t="str">
        <f>IFERROR(INDEX(MASTER!$P$2:$P$2000,MATCH($A11,MASTER!$A$2:$A$2000,0))&amp;"","")</f>
        <v>b26e13c</v>
      </c>
      <c r="K11" s="12" t="str">
        <f>IFERROR(INDEX(MASTER!$Q$2:$Q$2000,MATCH($A11,MASTER!$A$2:$A$2000,0))&amp;"","")</f>
        <v>2026-10-06: ruled grids (lines, thin rects, outlined boxes), merged cells from missing edges, shading, header by shade/bold, placed in reading order with column widths. Not tables: empty grids, lone boxes, turned pages. Space-only columns stay a paragraph a row, reported (pdf.unruled_tables) -- alignment-only tables are a follow-up.</v>
      </c>
      <c r="L11" s="12" t="str">
        <f>IFERROR(INDEX(MASTER!$R$2:$R$2000,MATCH($A11,MASTER!$A$2:$A$2000,0))&amp;"","")</f>
        <v/>
      </c>
    </row>
    <row r="12" spans="1:12" x14ac:dyDescent="0.25">
      <c r="A12" s="15" t="s">
        <v>1066</v>
      </c>
      <c r="B12" s="12" t="str">
        <f>IFERROR(INDEX(MASTER!$C$2:$C$2000,MATCH($A12,MASTER!$A$2:$A$2000,0))&amp;"","")</f>
        <v>P2E</v>
      </c>
      <c r="C12" s="16">
        <f>IFERROR(INDEX(MASTER!$B$2:$B$2000,MATCH($A12,MASTER!$A$2:$A$2000,0)),"")</f>
        <v>8</v>
      </c>
      <c r="D12" s="12" t="str">
        <f>IFERROR(INDEX(MASTER!$D$2:$D$2000,MATCH($A12,MASTER!$A$2:$A$2000,0))&amp;"","")</f>
        <v>Confidence and conversion report</v>
      </c>
      <c r="E12" s="12" t="str">
        <f>IFERROR(INDEX(MASTER!$F$2:$F$2000,MATCH($A12,MASTER!$A$2:$A$2000,0))&amp;"","")</f>
        <v>P0</v>
      </c>
      <c r="F12" s="12" t="str">
        <f>IFERROR(INDEX(MASTER!$G$2:$G$2000,MATCH($A12,MASTER!$A$2:$A$2000,0))&amp;"","NOT IN MASTER")</f>
        <v>DONE</v>
      </c>
      <c r="G12" s="12" t="str">
        <f>IFERROR(INDEX(MASTER!$H$2:$H$2000,MATCH($A12,MASTER!$A$2:$A$2000,0))&amp;"","")</f>
        <v>backend/app/fidelity/pdf_conversion.py; models/pdf_inspection.py PdfConversion/PdfAspectConfidence; Document.pdfConversion; docs/architecture/fidelity.md 'The PDF conversion's confidence and report'; capabilities pdf.conversion_confidence, pdf.import_extras</v>
      </c>
      <c r="H12" s="12" t="str">
        <f>IFERROR(INDEX(MASTER!$I$2:$I$2000,MATCH($A12,MASTER!$A$2:$A$2000,0))&amp;"","")</f>
        <v>tests/test_pdf_conversion.py (8); 6/6 mutations</v>
      </c>
      <c r="I12" s="19">
        <f>IFERROR(IF(INDEX(MASTER!$O$2:$O$2000,MATCH($A12,MASTER!$A$2:$A$2000,0))="","",INDEX(MASTER!$O$2:$O$2000,MATCH($A12,MASTER!$A$2:$A$2000,0))),"")</f>
        <v>46301.832280092603</v>
      </c>
      <c r="J12" s="12" t="str">
        <f>IFERROR(INDEX(MASTER!$P$2:$P$2000,MATCH($A12,MASTER!$A$2:$A$2000,0))&amp;"","")</f>
        <v>33c0e4b</v>
      </c>
      <c r="K12" s="12" t="str">
        <f>IFERROR(INDEX(MASTER!$Q$2:$Q$2000,MATCH($A12,MASTER!$A$2:$A$2000,0))&amp;"","")</f>
        <v>2026-10-06: per-element confidence (Element.confidence, P2E-002) + per-aspect and overall conversion confidence; report items for annotations, form fields, outline, links; nothing dropped silently. Shown in the UI with P2E-007.</v>
      </c>
      <c r="L12" s="12" t="str">
        <f>IFERROR(INDEX(MASTER!$R$2:$R$2000,MATCH($A12,MASTER!$A$2:$A$2000,0))&amp;"","")</f>
        <v/>
      </c>
    </row>
    <row r="13" spans="1:12" x14ac:dyDescent="0.25">
      <c r="A13" s="15" t="s">
        <v>1073</v>
      </c>
      <c r="B13" s="12" t="str">
        <f>IFERROR(INDEX(MASTER!$C$2:$C$2000,MATCH($A13,MASTER!$A$2:$A$2000,0))&amp;"","")</f>
        <v>P2E</v>
      </c>
      <c r="C13" s="16">
        <f>IFERROR(INDEX(MASTER!$B$2:$B$2000,MATCH($A13,MASTER!$A$2:$A$2000,0)),"")</f>
        <v>8</v>
      </c>
      <c r="D13" s="12" t="str">
        <f>IFERROR(INDEX(MASTER!$D$2:$D$2000,MATCH($A13,MASTER!$A$2:$A$2000,0))&amp;"","")</f>
        <v>OCR provider abstraction</v>
      </c>
      <c r="E13" s="12" t="str">
        <f>IFERROR(INDEX(MASTER!$F$2:$F$2000,MATCH($A13,MASTER!$A$2:$A$2000,0))&amp;"","")</f>
        <v>P1</v>
      </c>
      <c r="F13" s="12" t="str">
        <f>IFERROR(INDEX(MASTER!$G$2:$G$2000,MATCH($A13,MASTER!$A$2:$A$2000,0))&amp;"","NOT IN MASTER")</f>
        <v>DONE</v>
      </c>
      <c r="G13" s="12" t="str">
        <f>IFERROR(INDEX(MASTER!$H$2:$H$2000,MATCH($A13,MASTER!$A$2:$A$2000,0))&amp;"","")</f>
        <v>backend/app/ocr/{base,results,factory}.py; config.ocr_provider; ingestion_service._read_scans; docs/architecture/fidelity.md OCR; capability pdf.ocr</v>
      </c>
      <c r="H13" s="12" t="str">
        <f>IFERROR(INDEX(MASTER!$I$2:$I$2000,MATCH($A13,MASTER!$A$2:$A$2000,0))&amp;"","")</f>
        <v>tests/test_ocr.py (8, fake engine); 7/7 mutations</v>
      </c>
      <c r="I13" s="19">
        <f>IFERROR(IF(INDEX(MASTER!$O$2:$O$2000,MATCH($A13,MASTER!$A$2:$A$2000,0))="","",INDEX(MASTER!$O$2:$O$2000,MATCH($A13,MASTER!$A$2:$A$2000,0))),"")</f>
        <v>46301.868402777778</v>
      </c>
      <c r="J13" s="12" t="str">
        <f>IFERROR(INDEX(MASTER!$P$2:$P$2000,MATCH($A13,MASTER!$A$2:$A$2000,0))&amp;"","")</f>
        <v>c18d162</v>
      </c>
      <c r="K13" s="12" t="str">
        <f>IFERROR(INDEX(MASTER!$Q$2:$Q$2000,MATCH($A13,MASTER!$A$2:$A$2000,0))&amp;"","")</f>
        <v>2026-10-06: interface + null provider + full integration tested with a fake engine. A real engine (local Tesseract vs a cloud service) is Boril's decision -- OCR_PROVIDER stays 'none' until then.</v>
      </c>
      <c r="L13" s="12" t="str">
        <f>IFERROR(INDEX(MASTER!$R$2:$R$2000,MATCH($A13,MASTER!$A$2:$A$2000,0))&amp;"","")</f>
        <v/>
      </c>
    </row>
    <row r="14" spans="1:12" x14ac:dyDescent="0.25">
      <c r="A14" s="15" t="s">
        <v>1081</v>
      </c>
      <c r="B14" s="12" t="str">
        <f>IFERROR(INDEX(MASTER!$C$2:$C$2000,MATCH($A14,MASTER!$A$2:$A$2000,0))&amp;"","")</f>
        <v>P2E</v>
      </c>
      <c r="C14" s="16">
        <f>IFERROR(INDEX(MASTER!$B$2:$B$2000,MATCH($A14,MASTER!$A$2:$A$2000,0)),"")</f>
        <v>8</v>
      </c>
      <c r="D14" s="12" t="str">
        <f>IFERROR(INDEX(MASTER!$D$2:$D$2000,MATCH($A14,MASTER!$A$2:$A$2000,0))&amp;"","")</f>
        <v>Imported-from-PDF version and UX</v>
      </c>
      <c r="E14" s="12" t="str">
        <f>IFERROR(INDEX(MASTER!$F$2:$F$2000,MATCH($A14,MASTER!$A$2:$A$2000,0))&amp;"","")</f>
        <v>P1</v>
      </c>
      <c r="F14" s="12" t="str">
        <f>IFERROR(INDEX(MASTER!$G$2:$G$2000,MATCH($A14,MASTER!$A$2:$A$2000,0))&amp;"","NOT IN MASTER")</f>
        <v>DONE</v>
      </c>
      <c r="G14" s="12" t="str">
        <f>IFERROR(INDEX(MASTER!$H$2:$H$2000,MATCH($A14,MASTER!$A$2:$A$2000,0))&amp;"","")</f>
        <v>frontend/components/CreateDocumentWizard.tsx PdfModeChoice; services/api/jobs.ts pdfMode; editor/panels/FidelityPanel.tsx PdfConversionSummary; backend pdf_mode on upload + import job; pdf_structure layout mode; PdfConversion.mode; capability pdf.import_layout</v>
      </c>
      <c r="H14" s="12" t="str">
        <f>IFERROR(INDEX(MASTER!$I$2:$I$2000,MATCH($A14,MASTER!$A$2:$A$2000,0))&amp;"","")</f>
        <v>tests/test_pdf_import_modes.py (4); FidelityPanel.test.tsx, jobs.test.ts (+3); e2e/workflows.spec.ts layout-focused; 7/7 mutations</v>
      </c>
      <c r="I14" s="19">
        <f>IFERROR(IF(INDEX(MASTER!$O$2:$O$2000,MATCH($A14,MASTER!$A$2:$A$2000,0))="","",INDEX(MASTER!$O$2:$O$2000,MATCH($A14,MASTER!$A$2:$A$2000,0))),"")</f>
        <v>46301.883750000001</v>
      </c>
      <c r="J14" s="12" t="str">
        <f>IFERROR(INDEX(MASTER!$P$2:$P$2000,MATCH($A14,MASTER!$A$2:$A$2000,0))&amp;"","")</f>
        <v>b113092</v>
      </c>
      <c r="K14" s="12" t="str">
        <f>IFERROR(INDEX(MASTER!$Q$2:$Q$2000,MATCH($A14,MASTER!$A$2:$A$2000,0))&amp;"","")</f>
        <v>2026-10-06: brief §93 choice + §88 'Imported from PDF' with confidence and problems. Layout-focused keeps pages and fonts/sizes; exact positions are P2E-020 (frames).</v>
      </c>
      <c r="L14" s="12" t="str">
        <f>IFERROR(INDEX(MASTER!$R$2:$R$2000,MATCH($A14,MASTER!$A$2:$A$2000,0))&amp;"","")</f>
        <v/>
      </c>
    </row>
    <row r="15" spans="1:12" x14ac:dyDescent="0.25">
      <c r="A15" s="15" t="s">
        <v>1089</v>
      </c>
      <c r="B15" s="12" t="str">
        <f>IFERROR(INDEX(MASTER!$C$2:$C$2000,MATCH($A15,MASTER!$A$2:$A$2000,0))&amp;"","")</f>
        <v>P2E</v>
      </c>
      <c r="C15" s="16">
        <f>IFERROR(INDEX(MASTER!$B$2:$B$2000,MATCH($A15,MASTER!$A$2:$A$2000,0)),"")</f>
        <v>8</v>
      </c>
      <c r="D15" s="12" t="str">
        <f>IFERROR(INDEX(MASTER!$D$2:$D$2000,MATCH($A15,MASTER!$A$2:$A$2000,0))&amp;"","")</f>
        <v>PDF fixtures and tests</v>
      </c>
      <c r="E15" s="12" t="str">
        <f>IFERROR(INDEX(MASTER!$F$2:$F$2000,MATCH($A15,MASTER!$A$2:$A$2000,0))&amp;"","")</f>
        <v>P0</v>
      </c>
      <c r="F15" s="12" t="str">
        <f>IFERROR(INDEX(MASTER!$G$2:$G$2000,MATCH($A15,MASTER!$A$2:$A$2000,0))&amp;"","NOT IN MASTER")</f>
        <v>DONE</v>
      </c>
      <c r="G15" s="12" t="str">
        <f>IFERROR(INDEX(MASTER!$H$2:$H$2000,MATCH($A15,MASTER!$A$2:$A$2000,0))&amp;"","")</f>
        <v>structure.pdf (lists, nesting, numbered from 3, running header, page numbers, caption, paragraph across pages)</v>
      </c>
      <c r="H15" s="12" t="str">
        <f>IFERROR(INDEX(MASTER!$I$2:$I$2000,MATCH($A15,MASTER!$A$2:$A$2000,0))&amp;"","")</f>
        <v>tests/test_pdf_structure.py: expected structure of every fixture</v>
      </c>
      <c r="I15" s="19">
        <f>IFERROR(IF(INDEX(MASTER!$O$2:$O$2000,MATCH($A15,MASTER!$A$2:$A$2000,0))="","",INDEX(MASTER!$O$2:$O$2000,MATCH($A15,MASTER!$A$2:$A$2000,0))),"")</f>
        <v>46301.819097222222</v>
      </c>
      <c r="J15" s="12" t="str">
        <f>IFERROR(INDEX(MASTER!$P$2:$P$2000,MATCH($A15,MASTER!$A$2:$A$2000,0))&amp;"","")</f>
        <v>4d67979</v>
      </c>
      <c r="K15" s="12" t="str">
        <f>IFERROR(INDEX(MASTER!$Q$2:$Q$2000,MATCH($A15,MASTER!$A$2:$A$2000,0))&amp;"","")</f>
        <v>2026-10-06: fixtures (text, columns, table, pictures, scanned, hybrid, rotated, multilingual) and their builder from PDF-010..012 (68940e6); the reconstruction tests come with P2E-002.; 2026-10-06: every fixture's expected structure tested; the table fixture's as a table comes with P2E-004.</v>
      </c>
      <c r="L15" s="12" t="str">
        <f>IFERROR(INDEX(MASTER!$R$2:$R$2000,MATCH($A15,MASTER!$A$2:$A$2000,0))&amp;"","")</f>
        <v/>
      </c>
    </row>
    <row r="16" spans="1:12" x14ac:dyDescent="0.25">
      <c r="A16" s="15" t="s">
        <v>1101</v>
      </c>
      <c r="B16" s="12" t="str">
        <f>IFERROR(INDEX(MASTER!$C$2:$C$2000,MATCH($A16,MASTER!$A$2:$A$2000,0))&amp;"","")</f>
        <v>P2E</v>
      </c>
      <c r="C16" s="16">
        <f>IFERROR(INDEX(MASTER!$B$2:$B$2000,MATCH($A16,MASTER!$A$2:$A$2000,0)),"")</f>
        <v>9</v>
      </c>
      <c r="D16" s="12" t="str">
        <f>IFERROR(INDEX(MASTER!$D$2:$D$2000,MATCH($A16,MASTER!$A$2:$A$2000,0))&amp;"","")</f>
        <v>Layout-preserving architecture</v>
      </c>
      <c r="E16" s="12" t="str">
        <f>IFERROR(INDEX(MASTER!$F$2:$F$2000,MATCH($A16,MASTER!$A$2:$A$2000,0))&amp;"","")</f>
        <v>P2</v>
      </c>
      <c r="F16" s="12" t="str">
        <f>IFERROR(INDEX(MASTER!$G$2:$G$2000,MATCH($A16,MASTER!$A$2:$A$2000,0))&amp;"","NOT IN MASTER")</f>
        <v>DONE</v>
      </c>
      <c r="G16" s="12" t="str">
        <f>IFERROR(INDEX(MASTER!$H$2:$H$2000,MATCH($A16,MASTER!$A$2:$A$2000,0))&amp;"","")</f>
        <v>app/formatting/frames.py: Frame/FramePosition (points), frame_of/frames derive a block's frame from ImagePlacement (picture, text box) or ElementLayout in a layout-focused PDF import; none otherwise; nothing stored. docs/architecture/layout-preserving.md: current model, the hook, target drawing (PDF export first, editor positioned layer, moving frames, anchoring rules, tests), not-now list. Follow-up P2E-021.</v>
      </c>
      <c r="H16" s="12" t="str">
        <f>IFERROR(INDEX(MASTER!$I$2:$I$2000,MATCH($A16,MASTER!$A$2:$A$2000,0))&amp;"","")</f>
        <v>backend/tests/test_frames.py (5); 5/5 mutations caught</v>
      </c>
      <c r="I16" s="19">
        <f>IFERROR(IF(INDEX(MASTER!$O$2:$O$2000,MATCH($A16,MASTER!$A$2:$A$2000,0))="","",INDEX(MASTER!$O$2:$O$2000,MATCH($A16,MASTER!$A$2:$A$2000,0))),"")</f>
        <v>46302.680891203701</v>
      </c>
      <c r="J16" s="12" t="str">
        <f>IFERROR(INDEX(MASTER!$P$2:$P$2000,MATCH($A16,MASTER!$A$2:$A$2000,0))&amp;"","")</f>
        <v>8602607</v>
      </c>
      <c r="K16" s="12" t="str">
        <f>IFERROR(INDEX(MASTER!$Q$2:$Q$2000,MATCH($A16,MASTER!$A$2:$A$2000,0))&amp;"","")</f>
        <v/>
      </c>
      <c r="L16" s="12" t="str">
        <f>IFERROR(INDEX(MASTER!$R$2:$R$2000,MATCH($A16,MASTER!$A$2:$A$2000,0))&amp;"","")</f>
        <v/>
      </c>
    </row>
    <row r="17" spans="1:12" x14ac:dyDescent="0.25">
      <c r="A17" s="15" t="s">
        <v>1108</v>
      </c>
      <c r="B17" s="12" t="str">
        <f>IFERROR(INDEX(MASTER!$C$2:$C$2000,MATCH($A17,MASTER!$A$2:$A$2000,0))&amp;"","")</f>
        <v>P2E</v>
      </c>
      <c r="C17" s="16">
        <f>IFERROR(INDEX(MASTER!$B$2:$B$2000,MATCH($A17,MASTER!$A$2:$A$2000,0)),"")</f>
        <v>9</v>
      </c>
      <c r="D17" s="12" t="str">
        <f>IFERROR(INDEX(MASTER!$D$2:$D$2000,MATCH($A17,MASTER!$A$2:$A$2000,0))&amp;"","")</f>
        <v>PDF export honours frames</v>
      </c>
      <c r="E17" s="12" t="str">
        <f>IFERROR(INDEX(MASTER!$F$2:$F$2000,MATCH($A17,MASTER!$A$2:$A$2000,0))&amp;"","")</f>
        <v>P3</v>
      </c>
      <c r="F17" s="12" t="str">
        <f>IFERROR(INDEX(MASTER!$G$2:$G$2000,MATCH($A17,MASTER!$A$2:$A$2000,0))&amp;"","NOT IN MASTER")</f>
        <v>DONE</v>
      </c>
      <c r="G17" s="12" t="str">
        <f>IFERROR(INDEX(MASTER!$H$2:$H$2000,MATCH($A17,MASTER!$A$2:$A$2000,0))&amp;"","")</f>
        <v>backend/app/export/pdf_layout.py (is_layout_document, _pages, _with_overflow, _draw_block with 0/90/180/270 turns, build_layout_pdf) used by pdf_export._build_pdf for layout-focused imports; pdf_export._Anchored/_anchor_across/_anchor_down/_anchored for Word pictures and text boxes behind/in front of the text; import notes, capabilities (pdf.import_layout, docx.image_layout), frames.py docstring, docs/architecture/layout-preserving.md 'Done: the PDF export'</v>
      </c>
      <c r="H17" s="12" t="str">
        <f>IFERROR(INDEX(MASTER!$I$2:$I$2000,MATCH($A17,MASTER!$A$2:$A$2000,0))&amp;"","")</f>
        <v>backend tests/test_pdf_frames.py (6: structure.pdf blocks within 3 pt across / 8 pt down of their boxes on their pages and the picture within 3 pt; columns side by side; rotated pages and text; added blocks under the one before and overflow onto an added page; editable import flows; behind (page offsets) and in front (margin right/top) drawn at place with the text unmoved); full backend 2557 passed/11 skipped; mutations 10/11 (the survivor unobservable: the fallback x equals the fixture's)</v>
      </c>
      <c r="I17" s="19">
        <f>IFERROR(IF(INDEX(MASTER!$O$2:$O$2000,MATCH($A17,MASTER!$A$2:$A$2000,0))="","",INDEX(MASTER!$O$2:$O$2000,MATCH($A17,MASTER!$A$2:$A$2000,0))),"")</f>
        <v>46303.055833333332</v>
      </c>
      <c r="J17" s="12" t="str">
        <f>IFERROR(INDEX(MASTER!$P$2:$P$2000,MATCH($A17,MASTER!$A$2:$A$2000,0))&amp;"","")</f>
        <v>3193d78</v>
      </c>
      <c r="K17" s="12" t="str">
        <f>IFERROR(INDEX(MASTER!$Q$2:$Q$2000,MATCH($A17,MASTER!$A$2:$A$2000,0))&amp;"","")</f>
        <v>The editor's positioned layer and moving frames split to P2E-022. Top-and-bottom and centred floats stay in line.</v>
      </c>
      <c r="L17" s="12" t="str">
        <f>IFERROR(INDEX(MASTER!$R$2:$R$2000,MATCH($A17,MASTER!$A$2:$A$2000,0))&amp;"","")</f>
        <v>P2E-020</v>
      </c>
    </row>
    <row r="18" spans="1:12" x14ac:dyDescent="0.25">
      <c r="A18" s="15" t="s">
        <v>1115</v>
      </c>
      <c r="B18" s="12" t="str">
        <f>IFERROR(INDEX(MASTER!$C$2:$C$2000,MATCH($A18,MASTER!$A$2:$A$2000,0))&amp;"","")</f>
        <v>P2E</v>
      </c>
      <c r="C18" s="16">
        <f>IFERROR(INDEX(MASTER!$B$2:$B$2000,MATCH($A18,MASTER!$A$2:$A$2000,0)),"")</f>
        <v>9</v>
      </c>
      <c r="D18" s="12" t="str">
        <f>IFERROR(INDEX(MASTER!$D$2:$D$2000,MATCH($A18,MASTER!$A$2:$A$2000,0))&amp;"","")</f>
        <v>Frames on the editor's pages, and moving them</v>
      </c>
      <c r="E18" s="12" t="str">
        <f>IFERROR(INDEX(MASTER!$F$2:$F$2000,MATCH($A18,MASTER!$A$2:$A$2000,0))&amp;"","")</f>
        <v>P3</v>
      </c>
      <c r="F18" s="12" t="str">
        <f>IFERROR(INDEX(MASTER!$G$2:$G$2000,MATCH($A18,MASTER!$A$2:$A$2000,0))&amp;"","NOT IN MASTER")</f>
        <v>NOT_STARTED</v>
      </c>
      <c r="G18" s="12" t="str">
        <f>IFERROR(INDEX(MASTER!$H$2:$H$2000,MATCH($A18,MASTER!$A$2:$A$2000,0))&amp;"","")</f>
        <v/>
      </c>
      <c r="H18" s="12" t="str">
        <f>IFERROR(INDEX(MASTER!$I$2:$I$2000,MATCH($A18,MASTER!$A$2:$A$2000,0))&amp;"","")</f>
        <v/>
      </c>
      <c r="I18" s="19" t="str">
        <f>IFERROR(IF(INDEX(MASTER!$O$2:$O$2000,MATCH($A18,MASTER!$A$2:$A$2000,0))="","",INDEX(MASTER!$O$2:$O$2000,MATCH($A18,MASTER!$A$2:$A$2000,0))),"")</f>
        <v/>
      </c>
      <c r="J18" s="12" t="str">
        <f>IFERROR(INDEX(MASTER!$P$2:$P$2000,MATCH($A18,MASTER!$A$2:$A$2000,0))&amp;"","")</f>
        <v/>
      </c>
      <c r="K18" s="12" t="str">
        <f>IFERROR(INDEX(MASTER!$Q$2:$Q$2000,MATCH($A18,MASTER!$A$2:$A$2000,0))&amp;"","")</f>
        <v/>
      </c>
      <c r="L18" s="12" t="str">
        <f>IFERROR(INDEX(MASTER!$R$2:$R$2000,MATCH($A18,MASTER!$A$2:$A$2000,0))&amp;"","")</f>
        <v>P2E-021</v>
      </c>
    </row>
  </sheetData>
  <autoFilter ref="A7:L18" xr:uid="{00000000-0009-0000-0000-00000E000000}"/>
  <conditionalFormatting sqref="E8:E18">
    <cfRule type="cellIs" dxfId="84" priority="19" operator="equal">
      <formula>"P0"</formula>
    </cfRule>
    <cfRule type="cellIs" dxfId="83" priority="20" operator="equal">
      <formula>"P1"</formula>
    </cfRule>
  </conditionalFormatting>
  <conditionalFormatting sqref="F8:F18">
    <cfRule type="cellIs" dxfId="82" priority="1" operator="equal">
      <formula>"DONE"</formula>
    </cfRule>
    <cfRule type="cellIs" dxfId="81" priority="2" operator="equal">
      <formula>"VERIFIED"</formula>
    </cfRule>
    <cfRule type="cellIs" dxfId="80" priority="3" operator="equal">
      <formula>"IN_PROGRESS"</formula>
    </cfRule>
    <cfRule type="cellIs" dxfId="79" priority="4" operator="equal">
      <formula>"IMPLEMENTED"</formula>
    </cfRule>
    <cfRule type="cellIs" dxfId="78" priority="5" operator="equal">
      <formula>"TESTING"</formula>
    </cfRule>
    <cfRule type="cellIs" dxfId="77" priority="6" operator="equal">
      <formula>"BLOCKED"</formula>
    </cfRule>
    <cfRule type="cellIs" dxfId="76" priority="7" operator="equal">
      <formula>"FAILED"</formula>
    </cfRule>
    <cfRule type="cellIs" dxfId="75" priority="8" operator="equal">
      <formula>"DEFERRED"</formula>
    </cfRule>
    <cfRule type="cellIs" dxfId="74" priority="9" operator="equal">
      <formula>"UNKNOWN"</formula>
    </cfRule>
    <cfRule type="cellIs" dxfId="73" priority="10" operator="equal">
      <formula>"PASS"</formula>
    </cfRule>
    <cfRule type="cellIs" dxfId="72" priority="11" operator="equal">
      <formula>"FAIL"</formula>
    </cfRule>
    <cfRule type="cellIs" dxfId="71" priority="12" operator="equal">
      <formula>"PARTIAL"</formula>
    </cfRule>
    <cfRule type="cellIs" dxfId="70" priority="13" operator="equal">
      <formula>"RESOLVED"</formula>
    </cfRule>
    <cfRule type="cellIs" dxfId="69" priority="14" operator="equal">
      <formula>"OPEN"</formula>
    </cfRule>
    <cfRule type="cellIs" dxfId="68" priority="15" operator="equal">
      <formula>"WITHIN"</formula>
    </cfRule>
    <cfRule type="cellIs" dxfId="67" priority="16" operator="equal">
      <formula>"OVER"</formula>
    </cfRule>
    <cfRule type="cellIs" dxfId="66" priority="17" operator="equal">
      <formula>"NOW"</formula>
    </cfRule>
    <cfRule type="cellIs" dxfId="65" priority="18" operator="equal">
      <formula>"NOT IN MASTER"</formula>
    </cfRule>
  </conditionalFormatting>
  <pageMargins left="0.75" right="0.75" top="1" bottom="1" header="0.5" footer="0.5"/>
  <pageSetup fitToHeight="0" orientation="landscape"/>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pageSetUpPr fitToPage="1"/>
  </sheetPr>
  <dimension ref="A1:L30"/>
  <sheetViews>
    <sheetView workbookViewId="0">
      <pane ySplit="4" topLeftCell="A5" activePane="bottomLeft" state="frozen"/>
      <selection pane="bottomLeft"/>
    </sheetView>
  </sheetViews>
  <sheetFormatPr defaultRowHeight="15" x14ac:dyDescent="0.25"/>
  <cols>
    <col min="1" max="1" width="34" customWidth="1"/>
    <col min="2" max="2" width="16" customWidth="1"/>
    <col min="3" max="3" width="20" customWidth="1"/>
    <col min="4" max="4" width="44" customWidth="1"/>
    <col min="5" max="5" width="40" customWidth="1"/>
    <col min="6" max="6" width="14" customWidth="1"/>
    <col min="7" max="7" width="40" customWidth="1"/>
    <col min="8" max="8" width="34" customWidth="1"/>
    <col min="9" max="9" width="16" customWidth="1"/>
    <col min="10" max="10" width="10" customWidth="1"/>
    <col min="11" max="11" width="40" customWidth="1"/>
    <col min="12" max="12" width="11" customWidth="1"/>
  </cols>
  <sheetData>
    <row r="1" spans="1:8" ht="20.25" x14ac:dyDescent="0.3">
      <c r="A1" s="3" t="s">
        <v>2297</v>
      </c>
    </row>
    <row r="2" spans="1:8" x14ac:dyDescent="0.25">
      <c r="A2" s="4" t="s">
        <v>143</v>
      </c>
    </row>
    <row r="3" spans="1:8" x14ac:dyDescent="0.25">
      <c r="A3" s="6" t="s">
        <v>45</v>
      </c>
      <c r="B3" s="6" t="s">
        <v>46</v>
      </c>
      <c r="C3" s="6" t="s">
        <v>47</v>
      </c>
      <c r="D3" s="6" t="s">
        <v>13</v>
      </c>
      <c r="E3" s="6" t="s">
        <v>16</v>
      </c>
      <c r="F3" s="6" t="s">
        <v>19</v>
      </c>
      <c r="G3" s="6" t="s">
        <v>48</v>
      </c>
      <c r="H3" s="6" t="s">
        <v>33</v>
      </c>
    </row>
    <row r="4" spans="1:8" x14ac:dyDescent="0.25">
      <c r="A4" s="7">
        <f>COUNTIF(MASTER!$C$2:$C$2000,"BILLING")</f>
        <v>5</v>
      </c>
      <c r="B4" s="7">
        <f>COUNTIFS(MASTER!$C$2:$C$2000,"BILLING",MASTER!$G$2:$G$2000,"DONE")</f>
        <v>5</v>
      </c>
      <c r="C4" s="7">
        <f>COUNTIFS(MASTER!$C$2:$C$2000,"BILLING",MASTER!$G$2:$G$2000,"VERIFIED")+B4</f>
        <v>5</v>
      </c>
      <c r="D4" s="7">
        <f>COUNTIFS(MASTER!$C$2:$C$2000,"BILLING",MASTER!$G$2:$G$2000,"IN_PROGRESS")+COUNTIFS(MASTER!$C$2:$C$2000,"BILLING",MASTER!$G$2:$G$2000,"IMPLEMENTED")+COUNTIFS(MASTER!$C$2:$C$2000,"BILLING",MASTER!$G$2:$G$2000,"TESTING")</f>
        <v>0</v>
      </c>
      <c r="E4" s="7">
        <f>COUNTIFS(MASTER!$C$2:$C$2000,"BILLING",MASTER!$G$2:$G$2000,"BLOCKED")</f>
        <v>0</v>
      </c>
      <c r="F4" s="7">
        <f>COUNTIFS(MASTER!$C$2:$C$2000,"BILLING",MASTER!$G$2:$G$2000,"FAILED")</f>
        <v>0</v>
      </c>
      <c r="G4" s="9">
        <f>IF(A4=0,0,B4/A4)</f>
        <v>1</v>
      </c>
      <c r="H4" s="9">
        <f>IF(A4=0,0,C4/A4)</f>
        <v>1</v>
      </c>
    </row>
    <row r="6" spans="1:8" ht="15.75" x14ac:dyDescent="0.25">
      <c r="A6" s="5" t="s">
        <v>2298</v>
      </c>
    </row>
    <row r="7" spans="1:8" x14ac:dyDescent="0.25">
      <c r="A7" s="10" t="s">
        <v>2299</v>
      </c>
      <c r="B7" s="10" t="s">
        <v>2300</v>
      </c>
      <c r="C7" s="10" t="s">
        <v>2301</v>
      </c>
      <c r="D7" s="10" t="s">
        <v>2302</v>
      </c>
      <c r="E7" s="10" t="s">
        <v>178</v>
      </c>
    </row>
    <row r="8" spans="1:8" x14ac:dyDescent="0.25">
      <c r="A8" s="15" t="s">
        <v>2303</v>
      </c>
      <c r="B8" s="20">
        <v>5</v>
      </c>
      <c r="C8" s="20">
        <v>100</v>
      </c>
      <c r="D8" s="20">
        <v>1000</v>
      </c>
      <c r="E8" s="18" t="s">
        <v>2304</v>
      </c>
    </row>
    <row r="9" spans="1:8" x14ac:dyDescent="0.25">
      <c r="A9" s="15" t="s">
        <v>2305</v>
      </c>
      <c r="B9" s="20">
        <v>20</v>
      </c>
      <c r="C9" s="20">
        <v>500</v>
      </c>
      <c r="D9" s="20">
        <v>5000</v>
      </c>
      <c r="E9" s="18"/>
    </row>
    <row r="10" spans="1:8" x14ac:dyDescent="0.25">
      <c r="A10" s="15" t="s">
        <v>2306</v>
      </c>
      <c r="B10" s="20">
        <v>5</v>
      </c>
      <c r="C10" s="20">
        <v>100</v>
      </c>
      <c r="D10" s="20">
        <v>1000</v>
      </c>
      <c r="E10" s="18"/>
    </row>
    <row r="11" spans="1:8" x14ac:dyDescent="0.25">
      <c r="A11" s="15" t="s">
        <v>2307</v>
      </c>
      <c r="B11" s="20">
        <v>10000</v>
      </c>
      <c r="C11" s="20">
        <v>500000</v>
      </c>
      <c r="D11" s="20">
        <v>5000000</v>
      </c>
      <c r="E11" s="18"/>
    </row>
    <row r="12" spans="1:8" x14ac:dyDescent="0.25">
      <c r="A12" s="15" t="s">
        <v>2308</v>
      </c>
      <c r="B12" s="20">
        <v>10</v>
      </c>
      <c r="C12" s="20">
        <v>300</v>
      </c>
      <c r="D12" s="20">
        <v>2000</v>
      </c>
      <c r="E12" s="18"/>
    </row>
    <row r="13" spans="1:8" ht="25.5" x14ac:dyDescent="0.25">
      <c r="A13" s="15" t="s">
        <v>2309</v>
      </c>
      <c r="B13" s="20">
        <v>25</v>
      </c>
      <c r="C13" s="20">
        <v>500</v>
      </c>
      <c r="D13" s="21" t="s">
        <v>2310</v>
      </c>
      <c r="E13" s="18" t="s">
        <v>2311</v>
      </c>
    </row>
    <row r="14" spans="1:8" x14ac:dyDescent="0.25">
      <c r="A14" s="15" t="s">
        <v>2312</v>
      </c>
      <c r="B14" s="21" t="s">
        <v>2313</v>
      </c>
      <c r="C14" s="21" t="s">
        <v>2314</v>
      </c>
      <c r="D14" s="21" t="s">
        <v>2315</v>
      </c>
      <c r="E14" s="18"/>
    </row>
    <row r="15" spans="1:8" x14ac:dyDescent="0.25">
      <c r="A15" s="15" t="s">
        <v>2316</v>
      </c>
      <c r="B15" s="21" t="s">
        <v>2313</v>
      </c>
      <c r="C15" s="21" t="s">
        <v>2317</v>
      </c>
      <c r="D15" s="21" t="s">
        <v>2318</v>
      </c>
      <c r="E15" s="18"/>
    </row>
    <row r="16" spans="1:8" x14ac:dyDescent="0.25">
      <c r="A16" s="15" t="s">
        <v>2319</v>
      </c>
      <c r="B16" s="21" t="s">
        <v>2318</v>
      </c>
      <c r="C16" s="21" t="s">
        <v>2320</v>
      </c>
      <c r="D16" s="21" t="s">
        <v>2318</v>
      </c>
      <c r="E16" s="18"/>
    </row>
    <row r="17" spans="1:12" x14ac:dyDescent="0.25">
      <c r="A17" s="15" t="s">
        <v>2321</v>
      </c>
      <c r="B17" s="21" t="s">
        <v>2318</v>
      </c>
      <c r="C17" s="21" t="s">
        <v>2320</v>
      </c>
      <c r="D17" s="21" t="s">
        <v>2318</v>
      </c>
      <c r="E17" s="18"/>
    </row>
    <row r="18" spans="1:12" x14ac:dyDescent="0.25">
      <c r="A18" s="15" t="s">
        <v>90</v>
      </c>
      <c r="B18" s="21" t="s">
        <v>2322</v>
      </c>
      <c r="C18" s="21" t="s">
        <v>2323</v>
      </c>
      <c r="D18" s="21" t="s">
        <v>2320</v>
      </c>
      <c r="E18" s="18"/>
    </row>
    <row r="19" spans="1:12" x14ac:dyDescent="0.25">
      <c r="A19" s="15" t="s">
        <v>2324</v>
      </c>
      <c r="B19" s="21" t="s">
        <v>2322</v>
      </c>
      <c r="C19" s="21" t="s">
        <v>2318</v>
      </c>
      <c r="D19" s="21" t="s">
        <v>2320</v>
      </c>
      <c r="E19" s="18"/>
    </row>
    <row r="20" spans="1:12" x14ac:dyDescent="0.25">
      <c r="A20" s="15" t="s">
        <v>2325</v>
      </c>
      <c r="B20" s="21" t="s">
        <v>2318</v>
      </c>
      <c r="C20" s="21" t="s">
        <v>2318</v>
      </c>
      <c r="D20" s="21" t="s">
        <v>2320</v>
      </c>
      <c r="E20" s="18"/>
    </row>
    <row r="21" spans="1:12" x14ac:dyDescent="0.25">
      <c r="A21" s="15" t="s">
        <v>2326</v>
      </c>
      <c r="B21" s="21" t="s">
        <v>2318</v>
      </c>
      <c r="C21" s="21" t="s">
        <v>2318</v>
      </c>
      <c r="D21" s="21" t="s">
        <v>2320</v>
      </c>
      <c r="E21" s="18"/>
    </row>
    <row r="24" spans="1:12" ht="15.75" x14ac:dyDescent="0.25">
      <c r="A24" s="5" t="s">
        <v>2327</v>
      </c>
    </row>
    <row r="25" spans="1:12" x14ac:dyDescent="0.25">
      <c r="A25" s="10" t="s">
        <v>166</v>
      </c>
      <c r="B25" s="10" t="s">
        <v>100</v>
      </c>
      <c r="C25" s="10" t="s">
        <v>43</v>
      </c>
      <c r="D25" s="10" t="s">
        <v>167</v>
      </c>
      <c r="E25" s="10" t="s">
        <v>169</v>
      </c>
      <c r="F25" s="10" t="s">
        <v>57</v>
      </c>
      <c r="G25" s="10" t="s">
        <v>170</v>
      </c>
      <c r="H25" s="10" t="s">
        <v>171</v>
      </c>
      <c r="I25" s="10" t="s">
        <v>15</v>
      </c>
      <c r="J25" s="10" t="s">
        <v>177</v>
      </c>
      <c r="K25" s="10" t="s">
        <v>178</v>
      </c>
      <c r="L25" s="10" t="s">
        <v>179</v>
      </c>
    </row>
    <row r="26" spans="1:12" x14ac:dyDescent="0.25">
      <c r="A26" s="15" t="s">
        <v>991</v>
      </c>
      <c r="B26" s="12" t="str">
        <f>IFERROR(INDEX(MASTER!$C$2:$C$2000,MATCH($A26,MASTER!$A$2:$A$2000,0))&amp;"","")</f>
        <v>BILLING</v>
      </c>
      <c r="C26" s="16">
        <f>IFERROR(INDEX(MASTER!$B$2:$B$2000,MATCH($A26,MASTER!$A$2:$A$2000,0)),"")</f>
        <v>6</v>
      </c>
      <c r="D26" s="12" t="str">
        <f>IFERROR(INDEX(MASTER!$D$2:$D$2000,MATCH($A26,MASTER!$A$2:$A$2000,0))&amp;"","")</f>
        <v>Usage units</v>
      </c>
      <c r="E26" s="12" t="str">
        <f>IFERROR(INDEX(MASTER!$F$2:$F$2000,MATCH($A26,MASTER!$A$2:$A$2000,0))&amp;"","")</f>
        <v>P0</v>
      </c>
      <c r="F26" s="12" t="str">
        <f>IFERROR(INDEX(MASTER!$G$2:$G$2000,MATCH($A26,MASTER!$A$2:$A$2000,0))&amp;"","NOT IN MASTER")</f>
        <v>DONE</v>
      </c>
      <c r="G26" s="12" t="str">
        <f>IFERROR(INDEX(MASTER!$H$2:$H$2000,MATCH($A26,MASTER!$A$2:$A$2000,0))&amp;"","")</f>
        <v>backend/app/billing/units.py, usage API, billing page units</v>
      </c>
      <c r="H26" s="12" t="str">
        <f>IFERROR(INDEX(MASTER!$I$2:$I$2000,MATCH($A26,MASTER!$A$2:$A$2000,0))&amp;"","")</f>
        <v>backend/tests/test_usage_units.py, BillingPage.test.tsx</v>
      </c>
      <c r="I26" s="19">
        <f>IFERROR(IF(INDEX(MASTER!$O$2:$O$2000,MATCH($A26,MASTER!$A$2:$A$2000,0))="","",INDEX(MASTER!$O$2:$O$2000,MATCH($A26,MASTER!$A$2:$A$2000,0))),"")</f>
        <v>46301.615335648137</v>
      </c>
      <c r="J26" s="12" t="str">
        <f>IFERROR(INDEX(MASTER!$P$2:$P$2000,MATCH($A26,MASTER!$A$2:$A$2000,0))&amp;"","")</f>
        <v>d7682c0</v>
      </c>
      <c r="K26" s="12" t="str">
        <f>IFERROR(INDEX(MASTER!$Q$2:$Q$2000,MATCH($A26,MASTER!$A$2:$A$2000,0))&amp;"","")</f>
        <v/>
      </c>
      <c r="L26" s="12" t="str">
        <f>IFERROR(INDEX(MASTER!$R$2:$R$2000,MATCH($A26,MASTER!$A$2:$A$2000,0))&amp;"","")</f>
        <v/>
      </c>
    </row>
    <row r="27" spans="1:12" x14ac:dyDescent="0.25">
      <c r="A27" s="15" t="s">
        <v>999</v>
      </c>
      <c r="B27" s="12" t="str">
        <f>IFERROR(INDEX(MASTER!$C$2:$C$2000,MATCH($A27,MASTER!$A$2:$A$2000,0))&amp;"","")</f>
        <v>BILLING</v>
      </c>
      <c r="C27" s="16">
        <f>IFERROR(INDEX(MASTER!$B$2:$B$2000,MATCH($A27,MASTER!$A$2:$A$2000,0)),"")</f>
        <v>6</v>
      </c>
      <c r="D27" s="12" t="str">
        <f>IFERROR(INDEX(MASTER!$D$2:$D$2000,MATCH($A27,MASTER!$A$2:$A$2000,0))&amp;"","")</f>
        <v>Configurable plan defaults</v>
      </c>
      <c r="E27" s="12" t="str">
        <f>IFERROR(INDEX(MASTER!$F$2:$F$2000,MATCH($A27,MASTER!$A$2:$A$2000,0))&amp;"","")</f>
        <v>P1</v>
      </c>
      <c r="F27" s="12" t="str">
        <f>IFERROR(INDEX(MASTER!$G$2:$G$2000,MATCH($A27,MASTER!$A$2:$A$2000,0))&amp;"","NOT IN MASTER")</f>
        <v>DONE</v>
      </c>
      <c r="G27" s="12" t="str">
        <f>IFERROR(INDEX(MASTER!$H$2:$H$2000,MATCH($A27,MASTER!$A$2:$A$2000,0))&amp;"","")</f>
        <v>backend/app/billing/plans.json (every limit), DEFAULT_PLAN</v>
      </c>
      <c r="H27" s="12" t="str">
        <f>IFERROR(INDEX(MASTER!$I$2:$I$2000,MATCH($A27,MASTER!$A$2:$A$2000,0))&amp;"","")</f>
        <v>test_usage_units.py::test_no_code_compares_a_plans_name and the entitlements-defined test</v>
      </c>
      <c r="I27" s="19">
        <f>IFERROR(IF(INDEX(MASTER!$O$2:$O$2000,MATCH($A27,MASTER!$A$2:$A$2000,0))="","",INDEX(MASTER!$O$2:$O$2000,MATCH($A27,MASTER!$A$2:$A$2000,0))),"")</f>
        <v>46301.615381944437</v>
      </c>
      <c r="J27" s="12" t="str">
        <f>IFERROR(INDEX(MASTER!$P$2:$P$2000,MATCH($A27,MASTER!$A$2:$A$2000,0))&amp;"","")</f>
        <v>d7682c0</v>
      </c>
      <c r="K27" s="12" t="str">
        <f>IFERROR(INDEX(MASTER!$Q$2:$Q$2000,MATCH($A27,MASTER!$A$2:$A$2000,0))&amp;"","")</f>
        <v/>
      </c>
      <c r="L27" s="12" t="str">
        <f>IFERROR(INDEX(MASTER!$R$2:$R$2000,MATCH($A27,MASTER!$A$2:$A$2000,0))&amp;"","")</f>
        <v/>
      </c>
    </row>
    <row r="28" spans="1:12" x14ac:dyDescent="0.25">
      <c r="A28" s="15" t="s">
        <v>1004</v>
      </c>
      <c r="B28" s="12" t="str">
        <f>IFERROR(INDEX(MASTER!$C$2:$C$2000,MATCH($A28,MASTER!$A$2:$A$2000,0))&amp;"","")</f>
        <v>BILLING</v>
      </c>
      <c r="C28" s="16">
        <f>IFERROR(INDEX(MASTER!$B$2:$B$2000,MATCH($A28,MASTER!$A$2:$A$2000,0)),"")</f>
        <v>6</v>
      </c>
      <c r="D28" s="12" t="str">
        <f>IFERROR(INDEX(MASTER!$D$2:$D$2000,MATCH($A28,MASTER!$A$2:$A$2000,0))&amp;"","")</f>
        <v>Atomic entitlement checks</v>
      </c>
      <c r="E28" s="12" t="str">
        <f>IFERROR(INDEX(MASTER!$F$2:$F$2000,MATCH($A28,MASTER!$A$2:$A$2000,0))&amp;"","")</f>
        <v>P0</v>
      </c>
      <c r="F28" s="12" t="str">
        <f>IFERROR(INDEX(MASTER!$G$2:$G$2000,MATCH($A28,MASTER!$A$2:$A$2000,0))&amp;"","NOT IN MASTER")</f>
        <v>DONE</v>
      </c>
      <c r="G28" s="12" t="str">
        <f>IFERROR(INDEX(MASTER!$H$2:$H$2000,MATCH($A28,MASTER!$A$2:$A$2000,0))&amp;"","")</f>
        <v>backend/app/services/entitlements_service.py (UsageReservations), app/jobs/runner.py, app/api/deps.py, docs/cloud-reports/PLAN-001-005.md</v>
      </c>
      <c r="H28" s="12" t="str">
        <f>IFERROR(INDEX(MASTER!$I$2:$I$2000,MATCH($A28,MASTER!$A$2:$A$2000,0))&amp;"","")</f>
        <v>backend/tests/test_usage_reservations.py, test_plan_limits_atomic.py</v>
      </c>
      <c r="I28" s="19">
        <f>IFERROR(IF(INDEX(MASTER!$O$2:$O$2000,MATCH($A28,MASTER!$A$2:$A$2000,0))="","",INDEX(MASTER!$O$2:$O$2000,MATCH($A28,MASTER!$A$2:$A$2000,0))),"")</f>
        <v>46301.615300925929</v>
      </c>
      <c r="J28" s="12" t="str">
        <f>IFERROR(INDEX(MASTER!$P$2:$P$2000,MATCH($A28,MASTER!$A$2:$A$2000,0))&amp;"","")</f>
        <v>d7682c0</v>
      </c>
      <c r="K28" s="12" t="str">
        <f>IFERROR(INDEX(MASTER!$Q$2:$Q$2000,MATCH($A28,MASTER!$A$2:$A$2000,0))&amp;"","")</f>
        <v>2026-10-01: documents, templates and storage held (b165cea): the check right before the use holds the workspace row until the use is committed; a second request waits and counts it. Remaining: AI operations (a reservation per call, released on failure, consistent with JOB-001's retries and timeouts) after the cloud's JOB-001 merges. PostgreSQL run: TEST-031.</v>
      </c>
      <c r="L28" s="12" t="str">
        <f>IFERROR(INDEX(MASTER!$R$2:$R$2000,MATCH($A28,MASTER!$A$2:$A$2000,0))&amp;"","")</f>
        <v/>
      </c>
    </row>
    <row r="29" spans="1:12" x14ac:dyDescent="0.25">
      <c r="A29" s="15" t="s">
        <v>1010</v>
      </c>
      <c r="B29" s="12" t="str">
        <f>IFERROR(INDEX(MASTER!$C$2:$C$2000,MATCH($A29,MASTER!$A$2:$A$2000,0))&amp;"","")</f>
        <v>BILLING</v>
      </c>
      <c r="C29" s="16">
        <f>IFERROR(INDEX(MASTER!$B$2:$B$2000,MATCH($A29,MASTER!$A$2:$A$2000,0)),"")</f>
        <v>6</v>
      </c>
      <c r="D29" s="12" t="str">
        <f>IFERROR(INDEX(MASTER!$D$2:$D$2000,MATCH($A29,MASTER!$A$2:$A$2000,0))&amp;"","")</f>
        <v>Stripe flows review</v>
      </c>
      <c r="E29" s="12" t="str">
        <f>IFERROR(INDEX(MASTER!$F$2:$F$2000,MATCH($A29,MASTER!$A$2:$A$2000,0))&amp;"","")</f>
        <v>P1</v>
      </c>
      <c r="F29" s="12" t="str">
        <f>IFERROR(INDEX(MASTER!$G$2:$G$2000,MATCH($A29,MASTER!$A$2:$A$2000,0))&amp;"","NOT IN MASTER")</f>
        <v>DONE</v>
      </c>
      <c r="G29" s="12" t="str">
        <f>IFERROR(INDEX(MASTER!$H$2:$H$2000,MATCH($A29,MASTER!$A$2:$A$2000,0))&amp;"","")</f>
        <v>backend/app/services/billing_service.py, billing/stripe_gateway.py, migration d41f7a60c9e2 (re-parented onto b4b303454a89, applied to Supabase), docs/billing/README.md, docs/cloud-reports/PLAN-004.md</v>
      </c>
      <c r="H29" s="12" t="str">
        <f>IFERROR(INDEX(MASTER!$I$2:$I$2000,MATCH($A29,MASTER!$A$2:$A$2000,0))&amp;"","")</f>
        <v>backend/tests/test_billing.py (51), test_billing_webhook_race.py</v>
      </c>
      <c r="I29" s="19">
        <f>IFERROR(IF(INDEX(MASTER!$O$2:$O$2000,MATCH($A29,MASTER!$A$2:$A$2000,0))="","",INDEX(MASTER!$O$2:$O$2000,MATCH($A29,MASTER!$A$2:$A$2000,0))),"")</f>
        <v>46301.615474537037</v>
      </c>
      <c r="J29" s="12" t="str">
        <f>IFERROR(INDEX(MASTER!$P$2:$P$2000,MATCH($A29,MASTER!$A$2:$A$2000,0))&amp;"","")</f>
        <v>2f5ce25</v>
      </c>
      <c r="K29" s="12" t="str">
        <f>IFERROR(INDEX(MASTER!$Q$2:$Q$2000,MATCH($A29,MASTER!$A$2:$A$2000,0))&amp;"","")</f>
        <v/>
      </c>
      <c r="L29" s="12" t="str">
        <f>IFERROR(INDEX(MASTER!$R$2:$R$2000,MATCH($A29,MASTER!$A$2:$A$2000,0))&amp;"","")</f>
        <v/>
      </c>
    </row>
    <row r="30" spans="1:12" x14ac:dyDescent="0.25">
      <c r="A30" s="15" t="s">
        <v>1016</v>
      </c>
      <c r="B30" s="12" t="str">
        <f>IFERROR(INDEX(MASTER!$C$2:$C$2000,MATCH($A30,MASTER!$A$2:$A$2000,0))&amp;"","")</f>
        <v>BILLING</v>
      </c>
      <c r="C30" s="16">
        <f>IFERROR(INDEX(MASTER!$B$2:$B$2000,MATCH($A30,MASTER!$A$2:$A$2000,0)),"")</f>
        <v>6</v>
      </c>
      <c r="D30" s="12" t="str">
        <f>IFERROR(INDEX(MASTER!$D$2:$D$2000,MATCH($A30,MASTER!$A$2:$A$2000,0))&amp;"","")</f>
        <v>Storage metering including history</v>
      </c>
      <c r="E30" s="12" t="str">
        <f>IFERROR(INDEX(MASTER!$F$2:$F$2000,MATCH($A30,MASTER!$A$2:$A$2000,0))&amp;"","")</f>
        <v>P1</v>
      </c>
      <c r="F30" s="12" t="str">
        <f>IFERROR(INDEX(MASTER!$G$2:$G$2000,MATCH($A30,MASTER!$A$2:$A$2000,0))&amp;"","NOT IN MASTER")</f>
        <v>DONE</v>
      </c>
      <c r="G30" s="12" t="str">
        <f>IFERROR(INDEX(MASTER!$H$2:$H$2000,MATCH($A30,MASTER!$A$2:$A$2000,0))&amp;"","")</f>
        <v>backend/app/services/usage_service.py storage_bytes (versions, pictures, originals)</v>
      </c>
      <c r="H30" s="12" t="str">
        <f>IFERROR(INDEX(MASTER!$I$2:$I$2000,MATCH($A30,MASTER!$A$2:$A$2000,0))&amp;"","")</f>
        <v>backend/tests/test_storage_metering.py</v>
      </c>
      <c r="I30" s="19">
        <f>IFERROR(IF(INDEX(MASTER!$O$2:$O$2000,MATCH($A30,MASTER!$A$2:$A$2000,0))="","",INDEX(MASTER!$O$2:$O$2000,MATCH($A30,MASTER!$A$2:$A$2000,0))),"")</f>
        <v>46301.615428240737</v>
      </c>
      <c r="J30" s="12" t="str">
        <f>IFERROR(INDEX(MASTER!$P$2:$P$2000,MATCH($A30,MASTER!$A$2:$A$2000,0))&amp;"","")</f>
        <v>d7682c0</v>
      </c>
      <c r="K30" s="12" t="str">
        <f>IFERROR(INDEX(MASTER!$Q$2:$Q$2000,MATCH($A30,MASTER!$A$2:$A$2000,0))&amp;"","")</f>
        <v/>
      </c>
      <c r="L30" s="12" t="str">
        <f>IFERROR(INDEX(MASTER!$R$2:$R$2000,MATCH($A30,MASTER!$A$2:$A$2000,0))&amp;"","")</f>
        <v/>
      </c>
    </row>
  </sheetData>
  <autoFilter ref="A25:L30" xr:uid="{00000000-0009-0000-0000-00000F000000}"/>
  <conditionalFormatting sqref="E26:E30">
    <cfRule type="cellIs" dxfId="64" priority="19" operator="equal">
      <formula>"P0"</formula>
    </cfRule>
    <cfRule type="cellIs" dxfId="63" priority="20" operator="equal">
      <formula>"P1"</formula>
    </cfRule>
  </conditionalFormatting>
  <conditionalFormatting sqref="F26:F30">
    <cfRule type="cellIs" dxfId="62" priority="1" operator="equal">
      <formula>"DONE"</formula>
    </cfRule>
    <cfRule type="cellIs" dxfId="61" priority="2" operator="equal">
      <formula>"VERIFIED"</formula>
    </cfRule>
    <cfRule type="cellIs" dxfId="60" priority="3" operator="equal">
      <formula>"IN_PROGRESS"</formula>
    </cfRule>
    <cfRule type="cellIs" dxfId="59" priority="4" operator="equal">
      <formula>"IMPLEMENTED"</formula>
    </cfRule>
    <cfRule type="cellIs" dxfId="58" priority="5" operator="equal">
      <formula>"TESTING"</formula>
    </cfRule>
    <cfRule type="cellIs" dxfId="57" priority="6" operator="equal">
      <formula>"BLOCKED"</formula>
    </cfRule>
    <cfRule type="cellIs" dxfId="56" priority="7" operator="equal">
      <formula>"FAILED"</formula>
    </cfRule>
    <cfRule type="cellIs" dxfId="55" priority="8" operator="equal">
      <formula>"DEFERRED"</formula>
    </cfRule>
    <cfRule type="cellIs" dxfId="54" priority="9" operator="equal">
      <formula>"UNKNOWN"</formula>
    </cfRule>
    <cfRule type="cellIs" dxfId="53" priority="10" operator="equal">
      <formula>"PASS"</formula>
    </cfRule>
    <cfRule type="cellIs" dxfId="52" priority="11" operator="equal">
      <formula>"FAIL"</formula>
    </cfRule>
    <cfRule type="cellIs" dxfId="51" priority="12" operator="equal">
      <formula>"PARTIAL"</formula>
    </cfRule>
    <cfRule type="cellIs" dxfId="50" priority="13" operator="equal">
      <formula>"RESOLVED"</formula>
    </cfRule>
    <cfRule type="cellIs" dxfId="49" priority="14" operator="equal">
      <formula>"OPEN"</formula>
    </cfRule>
    <cfRule type="cellIs" dxfId="48" priority="15" operator="equal">
      <formula>"WITHIN"</formula>
    </cfRule>
    <cfRule type="cellIs" dxfId="47" priority="16" operator="equal">
      <formula>"OVER"</formula>
    </cfRule>
    <cfRule type="cellIs" dxfId="46" priority="17" operator="equal">
      <formula>"NOW"</formula>
    </cfRule>
    <cfRule type="cellIs" dxfId="45" priority="18" operator="equal">
      <formula>"NOT IN MASTER"</formula>
    </cfRule>
  </conditionalFormatting>
  <pageMargins left="0.75" right="0.75" top="1" bottom="1" header="0.5" footer="0.5"/>
  <pageSetup fitToHeight="0" orientation="landscape"/>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pageSetUpPr fitToPage="1"/>
  </sheetPr>
  <dimension ref="A1:L22"/>
  <sheetViews>
    <sheetView workbookViewId="0">
      <pane ySplit="4" topLeftCell="A5" activePane="bottomLeft" state="frozen"/>
      <selection pane="bottomLeft"/>
    </sheetView>
  </sheetViews>
  <sheetFormatPr defaultRowHeight="15" x14ac:dyDescent="0.25"/>
  <cols>
    <col min="1" max="1" width="12" customWidth="1"/>
    <col min="2" max="2" width="14" customWidth="1"/>
    <col min="3" max="3" width="7" customWidth="1"/>
    <col min="4" max="4" width="44" customWidth="1"/>
    <col min="5" max="5" width="9" customWidth="1"/>
    <col min="6" max="6" width="14" customWidth="1"/>
    <col min="7" max="7" width="40" customWidth="1"/>
    <col min="8" max="8" width="34" customWidth="1"/>
    <col min="9" max="9" width="16" customWidth="1"/>
    <col min="10" max="10" width="10" customWidth="1"/>
    <col min="11" max="11" width="40" customWidth="1"/>
    <col min="12" max="12" width="11" customWidth="1"/>
  </cols>
  <sheetData>
    <row r="1" spans="1:12" ht="20.25" x14ac:dyDescent="0.3">
      <c r="A1" s="3" t="s">
        <v>2328</v>
      </c>
    </row>
    <row r="2" spans="1:12" x14ac:dyDescent="0.25">
      <c r="A2" s="4" t="s">
        <v>2329</v>
      </c>
    </row>
    <row r="3" spans="1:12" x14ac:dyDescent="0.25">
      <c r="A3" s="6" t="s">
        <v>45</v>
      </c>
      <c r="B3" s="6" t="s">
        <v>46</v>
      </c>
      <c r="C3" s="6" t="s">
        <v>47</v>
      </c>
      <c r="D3" s="6" t="s">
        <v>13</v>
      </c>
      <c r="E3" s="6" t="s">
        <v>16</v>
      </c>
      <c r="F3" s="6" t="s">
        <v>19</v>
      </c>
      <c r="G3" s="6" t="s">
        <v>48</v>
      </c>
      <c r="H3" s="6" t="s">
        <v>33</v>
      </c>
    </row>
    <row r="4" spans="1:12" x14ac:dyDescent="0.25">
      <c r="A4" s="7">
        <f>COUNTIF(MASTER!$C$2:$C$2000,"INFRA")+COUNTIF(MASTER!$C$2:$C$2000,"JOBS")+COUNTIF(MASTER!$C$2:$C$2000,"STORAGE")+COUNTIF(MASTER!$C$2:$C$2000,"OBSERVABILITY")+COUNTIF(MASTER!$C$2:$C$2000,"DOCS")</f>
        <v>15</v>
      </c>
      <c r="B4" s="7">
        <f>COUNTIFS(MASTER!$C$2:$C$2000,"INFRA",MASTER!$G$2:$G$2000,"DONE")+COUNTIFS(MASTER!$C$2:$C$2000,"JOBS",MASTER!$G$2:$G$2000,"DONE")+COUNTIFS(MASTER!$C$2:$C$2000,"STORAGE",MASTER!$G$2:$G$2000,"DONE")+COUNTIFS(MASTER!$C$2:$C$2000,"OBSERVABILITY",MASTER!$G$2:$G$2000,"DONE")+COUNTIFS(MASTER!$C$2:$C$2000,"DOCS",MASTER!$G$2:$G$2000,"DONE")</f>
        <v>14</v>
      </c>
      <c r="C4" s="7">
        <f>COUNTIFS(MASTER!$C$2:$C$2000,"INFRA",MASTER!$G$2:$G$2000,"VERIFIED")+COUNTIFS(MASTER!$C$2:$C$2000,"JOBS",MASTER!$G$2:$G$2000,"VERIFIED")+COUNTIFS(MASTER!$C$2:$C$2000,"STORAGE",MASTER!$G$2:$G$2000,"VERIFIED")+COUNTIFS(MASTER!$C$2:$C$2000,"OBSERVABILITY",MASTER!$G$2:$G$2000,"VERIFIED")+COUNTIFS(MASTER!$C$2:$C$2000,"DOCS",MASTER!$G$2:$G$2000,"VERIFIED")+B4</f>
        <v>14</v>
      </c>
      <c r="D4" s="7">
        <f>COUNTIFS(MASTER!$C$2:$C$2000,"INFRA",MASTER!$G$2:$G$2000,"IN_PROGRESS")+COUNTIFS(MASTER!$C$2:$C$2000,"INFRA",MASTER!$G$2:$G$2000,"IMPLEMENTED")+COUNTIFS(MASTER!$C$2:$C$2000,"INFRA",MASTER!$G$2:$G$2000,"TESTING")+COUNTIFS(MASTER!$C$2:$C$2000,"JOBS",MASTER!$G$2:$G$2000,"IN_PROGRESS")+COUNTIFS(MASTER!$C$2:$C$2000,"JOBS",MASTER!$G$2:$G$2000,"IMPLEMENTED")+COUNTIFS(MASTER!$C$2:$C$2000,"JOBS",MASTER!$G$2:$G$2000,"TESTING")+COUNTIFS(MASTER!$C$2:$C$2000,"STORAGE",MASTER!$G$2:$G$2000,"IN_PROGRESS")+COUNTIFS(MASTER!$C$2:$C$2000,"STORAGE",MASTER!$G$2:$G$2000,"IMPLEMENTED")+COUNTIFS(MASTER!$C$2:$C$2000,"STORAGE",MASTER!$G$2:$G$2000,"TESTING")+COUNTIFS(MASTER!$C$2:$C$2000,"OBSERVABILITY",MASTER!$G$2:$G$2000,"IN_PROGRESS")+COUNTIFS(MASTER!$C$2:$C$2000,"OBSERVABILITY",MASTER!$G$2:$G$2000,"IMPLEMENTED")+COUNTIFS(MASTER!$C$2:$C$2000,"OBSERVABILITY",MASTER!$G$2:$G$2000,"TESTING")+COUNTIFS(MASTER!$C$2:$C$2000,"DOCS",MASTER!$G$2:$G$2000,"IN_PROGRESS")+COUNTIFS(MASTER!$C$2:$C$2000,"DOCS",MASTER!$G$2:$G$2000,"IMPLEMENTED")+COUNTIFS(MASTER!$C$2:$C$2000,"DOCS",MASTER!$G$2:$G$2000,"TESTING")</f>
        <v>0</v>
      </c>
      <c r="E4" s="7">
        <f>COUNTIFS(MASTER!$C$2:$C$2000,"INFRA",MASTER!$G$2:$G$2000,"BLOCKED")+COUNTIFS(MASTER!$C$2:$C$2000,"JOBS",MASTER!$G$2:$G$2000,"BLOCKED")+COUNTIFS(MASTER!$C$2:$C$2000,"STORAGE",MASTER!$G$2:$G$2000,"BLOCKED")+COUNTIFS(MASTER!$C$2:$C$2000,"OBSERVABILITY",MASTER!$G$2:$G$2000,"BLOCKED")+COUNTIFS(MASTER!$C$2:$C$2000,"DOCS",MASTER!$G$2:$G$2000,"BLOCKED")</f>
        <v>1</v>
      </c>
      <c r="F4" s="7">
        <f>COUNTIFS(MASTER!$C$2:$C$2000,"INFRA",MASTER!$G$2:$G$2000,"FAILED")+COUNTIFS(MASTER!$C$2:$C$2000,"JOBS",MASTER!$G$2:$G$2000,"FAILED")+COUNTIFS(MASTER!$C$2:$C$2000,"STORAGE",MASTER!$G$2:$G$2000,"FAILED")+COUNTIFS(MASTER!$C$2:$C$2000,"OBSERVABILITY",MASTER!$G$2:$G$2000,"FAILED")+COUNTIFS(MASTER!$C$2:$C$2000,"DOCS",MASTER!$G$2:$G$2000,"FAILED")</f>
        <v>0</v>
      </c>
      <c r="G4" s="9">
        <f>IF(A4=0,0,B4/A4)</f>
        <v>0.93333333333333335</v>
      </c>
      <c r="H4" s="9">
        <f>IF(A4=0,0,C4/A4)</f>
        <v>0.93333333333333335</v>
      </c>
    </row>
    <row r="6" spans="1:12" ht="15.75" x14ac:dyDescent="0.25">
      <c r="A6" s="5" t="s">
        <v>1577</v>
      </c>
    </row>
    <row r="7" spans="1:12" x14ac:dyDescent="0.25">
      <c r="A7" s="10" t="s">
        <v>166</v>
      </c>
      <c r="B7" s="10" t="s">
        <v>100</v>
      </c>
      <c r="C7" s="10" t="s">
        <v>43</v>
      </c>
      <c r="D7" s="10" t="s">
        <v>167</v>
      </c>
      <c r="E7" s="10" t="s">
        <v>169</v>
      </c>
      <c r="F7" s="10" t="s">
        <v>57</v>
      </c>
      <c r="G7" s="10" t="s">
        <v>170</v>
      </c>
      <c r="H7" s="10" t="s">
        <v>171</v>
      </c>
      <c r="I7" s="10" t="s">
        <v>15</v>
      </c>
      <c r="J7" s="10" t="s">
        <v>177</v>
      </c>
      <c r="K7" s="10" t="s">
        <v>178</v>
      </c>
      <c r="L7" s="10" t="s">
        <v>179</v>
      </c>
    </row>
    <row r="8" spans="1:12" x14ac:dyDescent="0.25">
      <c r="A8" s="15" t="s">
        <v>181</v>
      </c>
      <c r="B8" s="12" t="str">
        <f>IFERROR(INDEX(MASTER!$C$2:$C$2000,MATCH($A8,MASTER!$A$2:$A$2000,0))&amp;"","")</f>
        <v>INFRA</v>
      </c>
      <c r="C8" s="16">
        <f>IFERROR(INDEX(MASTER!$B$2:$B$2000,MATCH($A8,MASTER!$A$2:$A$2000,0)),"")</f>
        <v>0</v>
      </c>
      <c r="D8" s="12" t="str">
        <f>IFERROR(INDEX(MASTER!$D$2:$D$2000,MATCH($A8,MASTER!$A$2:$A$2000,0))&amp;"","")</f>
        <v>Excel control centre</v>
      </c>
      <c r="E8" s="12" t="str">
        <f>IFERROR(INDEX(MASTER!$F$2:$F$2000,MATCH($A8,MASTER!$A$2:$A$2000,0))&amp;"","")</f>
        <v>P0</v>
      </c>
      <c r="F8" s="12" t="str">
        <f>IFERROR(INDEX(MASTER!$G$2:$G$2000,MATCH($A8,MASTER!$A$2:$A$2000,0))&amp;"","NOT IN MASTER")</f>
        <v>DONE</v>
      </c>
      <c r="G8" s="12" t="str">
        <f>IFERROR(INDEX(MASTER!$H$2:$H$2000,MATCH($A8,MASTER!$A$2:$A$2000,0))&amp;"","")</f>
        <v>SmartDoc_Master_Implementation_Tracker.xlsx: 20 sheets (19 required + DASHBOARD), 3,340 formulas, status/priority/risk/category/phase validation, conditional formatting; tools/tracker/tracker.py, seed.py, excel_recalc.py, selftest.py, README.md</v>
      </c>
      <c r="H8" s="12" t="str">
        <f>IFERROR(INDEX(MASTER!$I$2:$I$2000,MATCH($A8,MASTER!$A$2:$A$2000,0))&amp;"","")</f>
        <v>python tools/tracker/selftest.py -&gt; PASS; tools/tracker/excel_recalc.py -&gt; 0 formula errors, 0 value mismatches (also on a scratch copy covering every status)</v>
      </c>
      <c r="I8" s="19">
        <f>IFERROR(IF(INDEX(MASTER!$O$2:$O$2000,MATCH($A8,MASTER!$A$2:$A$2000,0))="","",INDEX(MASTER!$O$2:$O$2000,MATCH($A8,MASTER!$A$2:$A$2000,0))),"")</f>
        <v>46292.171400462961</v>
      </c>
      <c r="J8" s="12" t="str">
        <f>IFERROR(INDEX(MASTER!$P$2:$P$2000,MATCH($A8,MASTER!$A$2:$A$2000,0))&amp;"","")</f>
        <v>4da4ecb</v>
      </c>
      <c r="K8" s="12" t="str">
        <f>IFERROR(INDEX(MASTER!$Q$2:$Q$2000,MATCH($A8,MASTER!$A$2:$A$2000,0))&amp;"","")</f>
        <v/>
      </c>
      <c r="L8" s="12" t="str">
        <f>IFERROR(INDEX(MASTER!$R$2:$R$2000,MATCH($A8,MASTER!$A$2:$A$2000,0))&amp;"","")</f>
        <v/>
      </c>
    </row>
    <row r="9" spans="1:12" x14ac:dyDescent="0.25">
      <c r="A9" s="15" t="s">
        <v>190</v>
      </c>
      <c r="B9" s="12" t="str">
        <f>IFERROR(INDEX(MASTER!$C$2:$C$2000,MATCH($A9,MASTER!$A$2:$A$2000,0))&amp;"","")</f>
        <v>INFRA</v>
      </c>
      <c r="C9" s="16">
        <f>IFERROR(INDEX(MASTER!$B$2:$B$2000,MATCH($A9,MASTER!$A$2:$A$2000,0)),"")</f>
        <v>0</v>
      </c>
      <c r="D9" s="12" t="str">
        <f>IFERROR(INDEX(MASTER!$D$2:$D$2000,MATCH($A9,MASTER!$A$2:$A$2000,0))&amp;"","")</f>
        <v>Continuation system</v>
      </c>
      <c r="E9" s="12" t="str">
        <f>IFERROR(INDEX(MASTER!$F$2:$F$2000,MATCH($A9,MASTER!$A$2:$A$2000,0))&amp;"","")</f>
        <v>P0</v>
      </c>
      <c r="F9" s="12" t="str">
        <f>IFERROR(INDEX(MASTER!$G$2:$G$2000,MATCH($A9,MASTER!$A$2:$A$2000,0))&amp;"","NOT IN MASTER")</f>
        <v>DONE</v>
      </c>
      <c r="G9" s="12" t="str">
        <f>IFERROR(INDEX(MASTER!$H$2:$H$2000,MATCH($A9,MASTER!$A$2:$A$2000,0))&amp;"","")</f>
        <v>docs/AI-CONTINUATION.md (8 required sections), docs/session-state.json (all 19 fields of brief §11), SESSION_STATE sheet (14 fields of brief §110 + Excel Status), docs/implementation-brief.md</v>
      </c>
      <c r="H9" s="12" t="str">
        <f>IFERROR(INDEX(MASTER!$I$2:$I$2000,MATCH($A9,MASTER!$A$2:$A$2000,0))&amp;"","")</f>
        <v>tracker.py state --touch synced JSON -&gt; SESSION_STATE and wrote current_excel_status back; selftest covers the state command</v>
      </c>
      <c r="I9" s="19">
        <f>IFERROR(IF(INDEX(MASTER!$O$2:$O$2000,MATCH($A9,MASTER!$A$2:$A$2000,0))="","",INDEX(MASTER!$O$2:$O$2000,MATCH($A9,MASTER!$A$2:$A$2000,0))),"")</f>
        <v>46292.171435185177</v>
      </c>
      <c r="J9" s="12" t="str">
        <f>IFERROR(INDEX(MASTER!$P$2:$P$2000,MATCH($A9,MASTER!$A$2:$A$2000,0))&amp;"","")</f>
        <v>4da4ecb</v>
      </c>
      <c r="K9" s="12" t="str">
        <f>IFERROR(INDEX(MASTER!$Q$2:$Q$2000,MATCH($A9,MASTER!$A$2:$A$2000,0))&amp;"","")</f>
        <v/>
      </c>
      <c r="L9" s="12" t="str">
        <f>IFERROR(INDEX(MASTER!$R$2:$R$2000,MATCH($A9,MASTER!$A$2:$A$2000,0))&amp;"","")</f>
        <v/>
      </c>
    </row>
    <row r="10" spans="1:12" x14ac:dyDescent="0.25">
      <c r="A10" s="15" t="s">
        <v>196</v>
      </c>
      <c r="B10" s="12" t="str">
        <f>IFERROR(INDEX(MASTER!$C$2:$C$2000,MATCH($A10,MASTER!$A$2:$A$2000,0))&amp;"","")</f>
        <v>INFRA</v>
      </c>
      <c r="C10" s="16">
        <f>IFERROR(INDEX(MASTER!$B$2:$B$2000,MATCH($A10,MASTER!$A$2:$A$2000,0)),"")</f>
        <v>0</v>
      </c>
      <c r="D10" s="12" t="str">
        <f>IFERROR(INDEX(MASTER!$D$2:$D$2000,MATCH($A10,MASTER!$A$2:$A$2000,0))&amp;"","")</f>
        <v>Resume reminder</v>
      </c>
      <c r="E10" s="12" t="str">
        <f>IFERROR(INDEX(MASTER!$F$2:$F$2000,MATCH($A10,MASTER!$A$2:$A$2000,0))&amp;"","")</f>
        <v>P1</v>
      </c>
      <c r="F10" s="12" t="str">
        <f>IFERROR(INDEX(MASTER!$G$2:$G$2000,MATCH($A10,MASTER!$A$2:$A$2000,0))&amp;"","NOT IN MASTER")</f>
        <v>DONE</v>
      </c>
      <c r="G10" s="12" t="str">
        <f>IFERROR(INDEX(MASTER!$H$2:$H$2000,MATCH($A10,MASTER!$A$2:$A$2000,0))&amp;"","")</f>
        <v>Session cron job 2a28a683 (hourly at :23, session-only, auto-expires after 7 days) with the resume prompt</v>
      </c>
      <c r="H10" s="12" t="str">
        <f>IFERROR(INDEX(MASTER!$I$2:$I$2000,MATCH($A10,MASTER!$A$2:$A$2000,0))&amp;"","")</f>
        <v>Fired on 2026-09-27 and resumed this session from the continuation prompt</v>
      </c>
      <c r="I10" s="19">
        <f>IFERROR(IF(INDEX(MASTER!$O$2:$O$2000,MATCH($A10,MASTER!$A$2:$A$2000,0))="","",INDEX(MASTER!$O$2:$O$2000,MATCH($A10,MASTER!$A$2:$A$2000,0))),"")</f>
        <v>46292.171469907407</v>
      </c>
      <c r="J10" s="12" t="str">
        <f>IFERROR(INDEX(MASTER!$P$2:$P$2000,MATCH($A10,MASTER!$A$2:$A$2000,0))&amp;"","")</f>
        <v>4da4ecb</v>
      </c>
      <c r="K10" s="12" t="str">
        <f>IFERROR(INDEX(MASTER!$Q$2:$Q$2000,MATCH($A10,MASTER!$A$2:$A$2000,0))&amp;"","")</f>
        <v/>
      </c>
      <c r="L10" s="12" t="str">
        <f>IFERROR(INDEX(MASTER!$R$2:$R$2000,MATCH($A10,MASTER!$A$2:$A$2000,0))&amp;"","")</f>
        <v/>
      </c>
    </row>
    <row r="11" spans="1:12" x14ac:dyDescent="0.25">
      <c r="A11" s="15" t="s">
        <v>233</v>
      </c>
      <c r="B11" s="12" t="str">
        <f>IFERROR(INDEX(MASTER!$C$2:$C$2000,MATCH($A11,MASTER!$A$2:$A$2000,0))&amp;"","")</f>
        <v>INFRA</v>
      </c>
      <c r="C11" s="16">
        <f>IFERROR(INDEX(MASTER!$B$2:$B$2000,MATCH($A11,MASTER!$A$2:$A$2000,0)),"")</f>
        <v>0</v>
      </c>
      <c r="D11" s="12" t="str">
        <f>IFERROR(INDEX(MASTER!$D$2:$D$2000,MATCH($A11,MASTER!$A$2:$A$2000,0))&amp;"","")</f>
        <v>Baseline: Docker, worker, storage</v>
      </c>
      <c r="E11" s="12" t="str">
        <f>IFERROR(INDEX(MASTER!$F$2:$F$2000,MATCH($A11,MASTER!$A$2:$A$2000,0))&amp;"","")</f>
        <v>P1</v>
      </c>
      <c r="F11" s="12" t="str">
        <f>IFERROR(INDEX(MASTER!$G$2:$G$2000,MATCH($A11,MASTER!$A$2:$A$2000,0))&amp;"","NOT IN MASTER")</f>
        <v>DONE</v>
      </c>
      <c r="G11" s="12" t="str">
        <f>IFERROR(INDEX(MASTER!$H$2:$H$2000,MATCH($A11,MASTER!$A$2:$A$2000,0))&amp;"","")</f>
        <v>docs/architecture/current-baseline.md; TESTING RUN-0011</v>
      </c>
      <c r="H11" s="12" t="str">
        <f>IFERROR(INDEX(MASTER!$I$2:$I$2000,MATCH($A11,MASTER!$A$2:$A$2000,0))&amp;"","")</f>
        <v>docker compose config --quiet (valid, 8 services); worker (arq app.worker.WorkerSettings) and storage (local / S3 providers) inspected</v>
      </c>
      <c r="I11" s="19">
        <f>IFERROR(IF(INDEX(MASTER!$O$2:$O$2000,MATCH($A11,MASTER!$A$2:$A$2000,0))="","",INDEX(MASTER!$O$2:$O$2000,MATCH($A11,MASTER!$A$2:$A$2000,0))),"")</f>
        <v>46292.171736111108</v>
      </c>
      <c r="J11" s="12" t="str">
        <f>IFERROR(INDEX(MASTER!$P$2:$P$2000,MATCH($A11,MASTER!$A$2:$A$2000,0))&amp;"","")</f>
        <v>4da4ecb</v>
      </c>
      <c r="K11" s="12" t="str">
        <f>IFERROR(INDEX(MASTER!$Q$2:$Q$2000,MATCH($A11,MASTER!$A$2:$A$2000,0))&amp;"","")</f>
        <v>Images not built: Docker daemon not running here; image build + start is INFRA-010 (phase 17).</v>
      </c>
      <c r="L11" s="12" t="str">
        <f>IFERROR(INDEX(MASTER!$R$2:$R$2000,MATCH($A11,MASTER!$A$2:$A$2000,0))&amp;"","")</f>
        <v/>
      </c>
    </row>
    <row r="12" spans="1:12" x14ac:dyDescent="0.25">
      <c r="A12" s="15" t="s">
        <v>246</v>
      </c>
      <c r="B12" s="12" t="str">
        <f>IFERROR(INDEX(MASTER!$C$2:$C$2000,MATCH($A12,MASTER!$A$2:$A$2000,0))&amp;"","")</f>
        <v>DOCS</v>
      </c>
      <c r="C12" s="16">
        <f>IFERROR(INDEX(MASTER!$B$2:$B$2000,MATCH($A12,MASTER!$A$2:$A$2000,0)),"")</f>
        <v>0</v>
      </c>
      <c r="D12" s="12" t="str">
        <f>IFERROR(INDEX(MASTER!$D$2:$D$2000,MATCH($A12,MASTER!$A$2:$A$2000,0))&amp;"","")</f>
        <v>current-baseline.md</v>
      </c>
      <c r="E12" s="12" t="str">
        <f>IFERROR(INDEX(MASTER!$F$2:$F$2000,MATCH($A12,MASTER!$A$2:$A$2000,0))&amp;"","")</f>
        <v>P0</v>
      </c>
      <c r="F12" s="12" t="str">
        <f>IFERROR(INDEX(MASTER!$G$2:$G$2000,MATCH($A12,MASTER!$A$2:$A$2000,0))&amp;"","NOT IN MASTER")</f>
        <v>DONE</v>
      </c>
      <c r="G12" s="12" t="str">
        <f>IFERROR(INDEX(MASTER!$H$2:$H$2000,MATCH($A12,MASTER!$A$2:$A$2000,0))&amp;"","")</f>
        <v>docs/architecture/current-baseline.md</v>
      </c>
      <c r="H12" s="12" t="str">
        <f>IFERROR(INDEX(MASTER!$I$2:$I$2000,MATCH($A12,MASTER!$A$2:$A$2000,0))&amp;"","")</f>
        <v>Every figure taken from RUN-0001..RUN-0011 logs, Supabase MCP output and the audit's perf logs</v>
      </c>
      <c r="I12" s="19">
        <f>IFERROR(IF(INDEX(MASTER!$O$2:$O$2000,MATCH($A12,MASTER!$A$2:$A$2000,0))="","",INDEX(MASTER!$O$2:$O$2000,MATCH($A12,MASTER!$A$2:$A$2000,0))),"")</f>
        <v>46292.171770833331</v>
      </c>
      <c r="J12" s="12" t="str">
        <f>IFERROR(INDEX(MASTER!$P$2:$P$2000,MATCH($A12,MASTER!$A$2:$A$2000,0))&amp;"","")</f>
        <v>4da4ecb</v>
      </c>
      <c r="K12" s="12" t="str">
        <f>IFERROR(INDEX(MASTER!$Q$2:$Q$2000,MATCH($A12,MASTER!$A$2:$A$2000,0))&amp;"","")</f>
        <v/>
      </c>
      <c r="L12" s="12" t="str">
        <f>IFERROR(INDEX(MASTER!$R$2:$R$2000,MATCH($A12,MASTER!$A$2:$A$2000,0))&amp;"","")</f>
        <v/>
      </c>
    </row>
    <row r="13" spans="1:12" x14ac:dyDescent="0.25">
      <c r="A13" s="15" t="s">
        <v>400</v>
      </c>
      <c r="B13" s="12" t="str">
        <f>IFERROR(INDEX(MASTER!$C$2:$C$2000,MATCH($A13,MASTER!$A$2:$A$2000,0))&amp;"","")</f>
        <v>INFRA</v>
      </c>
      <c r="C13" s="16">
        <f>IFERROR(INDEX(MASTER!$B$2:$B$2000,MATCH($A13,MASTER!$A$2:$A$2000,0)),"")</f>
        <v>1</v>
      </c>
      <c r="D13" s="12" t="str">
        <f>IFERROR(INDEX(MASTER!$D$2:$D$2000,MATCH($A13,MASTER!$A$2:$A$2000,0))&amp;"","")</f>
        <v>Throwaway preview stack for browser checks</v>
      </c>
      <c r="E13" s="12" t="str">
        <f>IFERROR(INDEX(MASTER!$F$2:$F$2000,MATCH($A13,MASTER!$A$2:$A$2000,0))&amp;"","")</f>
        <v>P2</v>
      </c>
      <c r="F13" s="12" t="str">
        <f>IFERROR(INDEX(MASTER!$G$2:$G$2000,MATCH($A13,MASTER!$A$2:$A$2000,0))&amp;"","NOT IN MASTER")</f>
        <v>DONE</v>
      </c>
      <c r="G13" s="12" t="str">
        <f>IFERROR(INDEX(MASTER!$H$2:$H$2000,MATCH($A13,MASTER!$A$2:$A$2000,0))&amp;"","")</f>
        <v>tools/dev/throwaway-*.ps1, .claude/launch.json backend-throwaway/frontend-throwaway, frontend/.gitignore + eslint/vitest ignore .next-preview</v>
      </c>
      <c r="H13" s="12" t="str">
        <f>IFERROR(INDEX(MASTER!$I$2:$I$2000,MATCH($A13,MASTER!$A$2:$A$2000,0))&amp;"","")</f>
        <v>Used for the FID-004 browser check (a03/a05 uploads)</v>
      </c>
      <c r="I13" s="19">
        <f>IFERROR(IF(INDEX(MASTER!$O$2:$O$2000,MATCH($A13,MASTER!$A$2:$A$2000,0))="","",INDEX(MASTER!$O$2:$O$2000,MATCH($A13,MASTER!$A$2:$A$2000,0))),"")</f>
        <v>46292.219386574077</v>
      </c>
      <c r="J13" s="12" t="str">
        <f>IFERROR(INDEX(MASTER!$P$2:$P$2000,MATCH($A13,MASTER!$A$2:$A$2000,0))&amp;"","")</f>
        <v>8a330be</v>
      </c>
      <c r="K13" s="12" t="str">
        <f>IFERROR(INDEX(MASTER!$Q$2:$Q$2000,MATCH($A13,MASTER!$A$2:$A$2000,0))&amp;"","")</f>
        <v/>
      </c>
      <c r="L13" s="12" t="str">
        <f>IFERROR(INDEX(MASTER!$R$2:$R$2000,MATCH($A13,MASTER!$A$2:$A$2000,0))&amp;"","")</f>
        <v/>
      </c>
    </row>
    <row r="14" spans="1:12" x14ac:dyDescent="0.25">
      <c r="A14" s="15" t="s">
        <v>1293</v>
      </c>
      <c r="B14" s="12" t="str">
        <f>IFERROR(INDEX(MASTER!$C$2:$C$2000,MATCH($A14,MASTER!$A$2:$A$2000,0))&amp;"","")</f>
        <v>JOBS</v>
      </c>
      <c r="C14" s="16">
        <f>IFERROR(INDEX(MASTER!$B$2:$B$2000,MATCH($A14,MASTER!$A$2:$A$2000,0)),"")</f>
        <v>5</v>
      </c>
      <c r="D14" s="12" t="str">
        <f>IFERROR(INDEX(MASTER!$D$2:$D$2000,MATCH($A14,MASTER!$A$2:$A$2000,0))&amp;"","")</f>
        <v>Job safety</v>
      </c>
      <c r="E14" s="12" t="str">
        <f>IFERROR(INDEX(MASTER!$F$2:$F$2000,MATCH($A14,MASTER!$A$2:$A$2000,0))&amp;"","")</f>
        <v>P1</v>
      </c>
      <c r="F14" s="12" t="str">
        <f>IFERROR(INDEX(MASTER!$G$2:$G$2000,MATCH($A14,MASTER!$A$2:$A$2000,0))&amp;"","NOT IN MASTER")</f>
        <v>DONE</v>
      </c>
      <c r="G14" s="12" t="str">
        <f>IFERROR(INDEX(MASTER!$H$2:$H$2000,MATCH($A14,MASTER!$A$2:$A$2000,0))&amp;"","")</f>
        <v>backend/app/jobs/ (idempotency, retries with backoff, timeouts, cancel, stuck detection, dead-letter), migration c3a91f7d2b64 (applied to Supabase), docs/cloud-reports/JOB-001.md</v>
      </c>
      <c r="H14" s="12" t="str">
        <f>IFERROR(INDEX(MASTER!$I$2:$I$2000,MATCH($A14,MASTER!$A$2:$A$2000,0))&amp;"","")</f>
        <v>job safety tests; security suite cancel route</v>
      </c>
      <c r="I14" s="19">
        <f>IFERROR(IF(INDEX(MASTER!$O$2:$O$2000,MATCH($A14,MASTER!$A$2:$A$2000,0))="","",INDEX(MASTER!$O$2:$O$2000,MATCH($A14,MASTER!$A$2:$A$2000,0))),"")</f>
        <v>46301.615115740737</v>
      </c>
      <c r="J14" s="12" t="str">
        <f>IFERROR(INDEX(MASTER!$P$2:$P$2000,MATCH($A14,MASTER!$A$2:$A$2000,0))&amp;"","")</f>
        <v>8966ec7</v>
      </c>
      <c r="K14" s="12" t="str">
        <f>IFERROR(INDEX(MASTER!$Q$2:$Q$2000,MATCH($A14,MASTER!$A$2:$A$2000,0))&amp;"","")</f>
        <v>2026-10-01: delegated to a cloud session (branch cloud/..., report docs/cloud-reports/JOB-001.md); to be reviewed, verified and merged locally.</v>
      </c>
      <c r="L14" s="12" t="str">
        <f>IFERROR(INDEX(MASTER!$R$2:$R$2000,MATCH($A14,MASTER!$A$2:$A$2000,0))&amp;"","")</f>
        <v/>
      </c>
    </row>
    <row r="15" spans="1:12" x14ac:dyDescent="0.25">
      <c r="A15" s="15" t="s">
        <v>1307</v>
      </c>
      <c r="B15" s="12" t="str">
        <f>IFERROR(INDEX(MASTER!$C$2:$C$2000,MATCH($A15,MASTER!$A$2:$A$2000,0))&amp;"","")</f>
        <v>STORAGE</v>
      </c>
      <c r="C15" s="16">
        <f>IFERROR(INDEX(MASTER!$B$2:$B$2000,MATCH($A15,MASTER!$A$2:$A$2000,0)),"")</f>
        <v>6</v>
      </c>
      <c r="D15" s="12" t="str">
        <f>IFERROR(INDEX(MASTER!$D$2:$D$2000,MATCH($A15,MASTER!$A$2:$A$2000,0))&amp;"","")</f>
        <v>Storage retention and deletion</v>
      </c>
      <c r="E15" s="12" t="str">
        <f>IFERROR(INDEX(MASTER!$F$2:$F$2000,MATCH($A15,MASTER!$A$2:$A$2000,0))&amp;"","")</f>
        <v>P1</v>
      </c>
      <c r="F15" s="12" t="str">
        <f>IFERROR(INDEX(MASTER!$G$2:$G$2000,MATCH($A15,MASTER!$A$2:$A$2000,0))&amp;"","NOT IN MASTER")</f>
        <v>DONE</v>
      </c>
      <c r="G15" s="12" t="str">
        <f>IFERROR(INDEX(MASTER!$H$2:$H$2000,MATCH($A15,MASTER!$A$2:$A$2000,0))&amp;"","")</f>
        <v>storage retention table in docs/security/README.md, KEPT_ORIGINAL_RETENTION_DAYS</v>
      </c>
      <c r="H15" s="12" t="str">
        <f>IFERROR(INDEX(MASTER!$I$2:$I$2000,MATCH($A15,MASTER!$A$2:$A$2000,0))&amp;"","")</f>
        <v>backend/tests/test_storage_retention.py (23)</v>
      </c>
      <c r="I15" s="19">
        <f>IFERROR(IF(INDEX(MASTER!$O$2:$O$2000,MATCH($A15,MASTER!$A$2:$A$2000,0))="","",INDEX(MASTER!$O$2:$O$2000,MATCH($A15,MASTER!$A$2:$A$2000,0))),"")</f>
        <v>46301.615844907406</v>
      </c>
      <c r="J15" s="12" t="str">
        <f>IFERROR(INDEX(MASTER!$P$2:$P$2000,MATCH($A15,MASTER!$A$2:$A$2000,0))&amp;"","")</f>
        <v>0dc4c96</v>
      </c>
      <c r="K15" s="12" t="str">
        <f>IFERROR(INDEX(MASTER!$Q$2:$Q$2000,MATCH($A15,MASTER!$A$2:$A$2000,0))&amp;"","")</f>
        <v/>
      </c>
      <c r="L15" s="12" t="str">
        <f>IFERROR(INDEX(MASTER!$R$2:$R$2000,MATCH($A15,MASTER!$A$2:$A$2000,0))&amp;"","")</f>
        <v/>
      </c>
    </row>
    <row r="16" spans="1:12" x14ac:dyDescent="0.25">
      <c r="A16" s="15" t="s">
        <v>1319</v>
      </c>
      <c r="B16" s="12" t="str">
        <f>IFERROR(INDEX(MASTER!$C$2:$C$2000,MATCH($A16,MASTER!$A$2:$A$2000,0))&amp;"","")</f>
        <v>OBSERVABILITY</v>
      </c>
      <c r="C16" s="16">
        <f>IFERROR(INDEX(MASTER!$B$2:$B$2000,MATCH($A16,MASTER!$A$2:$A$2000,0)),"")</f>
        <v>16</v>
      </c>
      <c r="D16" s="12" t="str">
        <f>IFERROR(INDEX(MASTER!$D$2:$D$2000,MATCH($A16,MASTER!$A$2:$A$2000,0))&amp;"","")</f>
        <v>Metrics</v>
      </c>
      <c r="E16" s="12" t="str">
        <f>IFERROR(INDEX(MASTER!$F$2:$F$2000,MATCH($A16,MASTER!$A$2:$A$2000,0))&amp;"","")</f>
        <v>P1</v>
      </c>
      <c r="F16" s="12" t="str">
        <f>IFERROR(INDEX(MASTER!$G$2:$G$2000,MATCH($A16,MASTER!$A$2:$A$2000,0))&amp;"","NOT IN MASTER")</f>
        <v>DONE</v>
      </c>
      <c r="G16" s="12" t="str">
        <f>IFERROR(INDEX(MASTER!$H$2:$H$2000,MATCH($A16,MASTER!$A$2:$A$2000,0))&amp;"","")</f>
        <v>backend/app/observability.py, main.py (/api/metrics, middleware), logging_setup.py, jobs/runner.py, services/job_service.py, ai/budget.py; docs/operations/README.md</v>
      </c>
      <c r="H16" s="12" t="str">
        <f>IFERROR(INDEX(MASTER!$I$2:$I$2000,MATCH($A16,MASTER!$A$2:$A$2000,0))&amp;"","")</f>
        <v>tests/test_metrics.py (5), test_jobs.py; 11/11 mutations</v>
      </c>
      <c r="I16" s="19">
        <f>IFERROR(IF(INDEX(MASTER!$O$2:$O$2000,MATCH($A16,MASTER!$A$2:$A$2000,0))="","",INDEX(MASTER!$O$2:$O$2000,MATCH($A16,MASTER!$A$2:$A$2000,0))),"")</f>
        <v>46302.367025462961</v>
      </c>
      <c r="J16" s="12" t="str">
        <f>IFERROR(INDEX(MASTER!$P$2:$P$2000,MATCH($A16,MASTER!$A$2:$A$2000,0))&amp;"","")</f>
        <v>59cea2a</v>
      </c>
      <c r="K16" s="12" t="str">
        <f>IFERROR(INDEX(MASTER!$Q$2:$Q$2000,MATCH($A16,MASTER!$A$2:$A$2000,0))&amp;"","")</f>
        <v>2026-10-07: Prometheus text at GET /api/metrics (METRICS_TOKEN bearer only; 404 unset): HTTP requests/latency by route template and status class, jobs by type/outcome + duration, AI calls by outcome + latency, exports by format/path/outcome. No ids, paths or text in labels.</v>
      </c>
      <c r="L16" s="12" t="str">
        <f>IFERROR(INDEX(MASTER!$R$2:$R$2000,MATCH($A16,MASTER!$A$2:$A$2000,0))&amp;"","")</f>
        <v/>
      </c>
    </row>
    <row r="17" spans="1:12" x14ac:dyDescent="0.25">
      <c r="A17" s="15" t="s">
        <v>1327</v>
      </c>
      <c r="B17" s="12" t="str">
        <f>IFERROR(INDEX(MASTER!$C$2:$C$2000,MATCH($A17,MASTER!$A$2:$A$2000,0))&amp;"","")</f>
        <v>OBSERVABILITY</v>
      </c>
      <c r="C17" s="16">
        <f>IFERROR(INDEX(MASTER!$B$2:$B$2000,MATCH($A17,MASTER!$A$2:$A$2000,0)),"")</f>
        <v>16</v>
      </c>
      <c r="D17" s="12" t="str">
        <f>IFERROR(INDEX(MASTER!$D$2:$D$2000,MATCH($A17,MASTER!$A$2:$A$2000,0))&amp;"","")</f>
        <v>Operation and job IDs in logs</v>
      </c>
      <c r="E17" s="12" t="str">
        <f>IFERROR(INDEX(MASTER!$F$2:$F$2000,MATCH($A17,MASTER!$A$2:$A$2000,0))&amp;"","")</f>
        <v>P1</v>
      </c>
      <c r="F17" s="12" t="str">
        <f>IFERROR(INDEX(MASTER!$G$2:$G$2000,MATCH($A17,MASTER!$A$2:$A$2000,0))&amp;"","NOT IN MASTER")</f>
        <v>DONE</v>
      </c>
      <c r="G17" s="12" t="str">
        <f>IFERROR(INDEX(MASTER!$H$2:$H$2000,MATCH($A17,MASTER!$A$2:$A$2000,0))&amp;"","")</f>
        <v>backend/app/observability.py, main.py (/api/metrics, middleware), logging_setup.py, jobs/runner.py, services/job_service.py, ai/budget.py; docs/operations/README.md</v>
      </c>
      <c r="H17" s="12" t="str">
        <f>IFERROR(INDEX(MASTER!$I$2:$I$2000,MATCH($A17,MASTER!$A$2:$A$2000,0))&amp;"","")</f>
        <v>tests/test_metrics.py (5), test_jobs.py; 11/11 mutations</v>
      </c>
      <c r="I17" s="19">
        <f>IFERROR(IF(INDEX(MASTER!$O$2:$O$2000,MATCH($A17,MASTER!$A$2:$A$2000,0))="","",INDEX(MASTER!$O$2:$O$2000,MATCH($A17,MASTER!$A$2:$A$2000,0))),"")</f>
        <v>46302.367071759261</v>
      </c>
      <c r="J17" s="12" t="str">
        <f>IFERROR(INDEX(MASTER!$P$2:$P$2000,MATCH($A17,MASTER!$A$2:$A$2000,0))&amp;"","")</f>
        <v>59cea2a</v>
      </c>
      <c r="K17" s="12" t="str">
        <f>IFERROR(INDEX(MASTER!$Q$2:$Q$2000,MATCH($A17,MASTER!$A$2:$A$2000,0))&amp;"","")</f>
        <v>2026-10-07: request_id, operation_id (the request that started it, carried by its jobs via payload.operationId) and job_id on every log line (ContextFilter).</v>
      </c>
      <c r="L17" s="12" t="str">
        <f>IFERROR(INDEX(MASTER!$R$2:$R$2000,MATCH($A17,MASTER!$A$2:$A$2000,0))&amp;"","")</f>
        <v/>
      </c>
    </row>
    <row r="18" spans="1:12" x14ac:dyDescent="0.25">
      <c r="A18" s="15" t="s">
        <v>1331</v>
      </c>
      <c r="B18" s="12" t="str">
        <f>IFERROR(INDEX(MASTER!$C$2:$C$2000,MATCH($A18,MASTER!$A$2:$A$2000,0))&amp;"","")</f>
        <v>OBSERVABILITY</v>
      </c>
      <c r="C18" s="16">
        <f>IFERROR(INDEX(MASTER!$B$2:$B$2000,MATCH($A18,MASTER!$A$2:$A$2000,0)),"")</f>
        <v>16</v>
      </c>
      <c r="D18" s="12" t="str">
        <f>IFERROR(INDEX(MASTER!$D$2:$D$2000,MATCH($A18,MASTER!$A$2:$A$2000,0))&amp;"","")</f>
        <v>Operations data</v>
      </c>
      <c r="E18" s="12" t="str">
        <f>IFERROR(INDEX(MASTER!$F$2:$F$2000,MATCH($A18,MASTER!$A$2:$A$2000,0))&amp;"","")</f>
        <v>P2</v>
      </c>
      <c r="F18" s="12" t="str">
        <f>IFERROR(INDEX(MASTER!$G$2:$G$2000,MATCH($A18,MASTER!$A$2:$A$2000,0))&amp;"","NOT IN MASTER")</f>
        <v>DONE</v>
      </c>
      <c r="G18" s="12" t="str">
        <f>IFERROR(INDEX(MASTER!$H$2:$H$2000,MATCH($A18,MASTER!$A$2:$A$2000,0))&amp;"","")</f>
        <v>backend/app/api/admin.py (GET /api/v1/admin/operations, ADMIN_TOKEN bearer, 404 unset / 401 wrong + counted); backend/app/services/operations_service.py (jobs by type+status, failed by type+code, dead letters, stuck ids, oldest pending, 20 latest failures; processing/export failure counts; usage spikes &gt;=3x previous window and &gt;=20; storage by workspace; new accounts, busiest workspaces; refusals); observability.SECURITY_EVENTS + audit() counting *_failed/*_refused events by scope/entitlement; docs/operations/README.md section</v>
      </c>
      <c r="H18" s="12" t="str">
        <f>IFERROR(INDEX(MASTER!$I$2:$I$2000,MATCH($A18,MASTER!$A$2:$A$2000,0))&amp;"","")</f>
        <v>backend/tests/test_operations_admin.py (4): token guard, failures/stuck/spikes/storage/busy workspaces with nothing of a document or account in the answer, refusals counted, labels never free text; 12/12 mutations caught</v>
      </c>
      <c r="I18" s="19">
        <f>IFERROR(IF(INDEX(MASTER!$O$2:$O$2000,MATCH($A18,MASTER!$A$2:$A$2000,0))="","",INDEX(MASTER!$O$2:$O$2000,MATCH($A18,MASTER!$A$2:$A$2000,0))),"")</f>
        <v>46302.894976851851</v>
      </c>
      <c r="J18" s="12" t="str">
        <f>IFERROR(INDEX(MASTER!$P$2:$P$2000,MATCH($A18,MASTER!$A$2:$A$2000,0))&amp;"","")</f>
        <v>baf66da</v>
      </c>
      <c r="K18" s="12" t="str">
        <f>IFERROR(INDEX(MASTER!$Q$2:$Q$2000,MATCH($A18,MASTER!$A$2:$A$2000,0))&amp;"","")</f>
        <v/>
      </c>
      <c r="L18" s="12" t="str">
        <f>IFERROR(INDEX(MASTER!$R$2:$R$2000,MATCH($A18,MASTER!$A$2:$A$2000,0))&amp;"","")</f>
        <v/>
      </c>
    </row>
    <row r="19" spans="1:12" x14ac:dyDescent="0.25">
      <c r="A19" s="15" t="s">
        <v>1337</v>
      </c>
      <c r="B19" s="12" t="str">
        <f>IFERROR(INDEX(MASTER!$C$2:$C$2000,MATCH($A19,MASTER!$A$2:$A$2000,0))&amp;"","")</f>
        <v>INFRA</v>
      </c>
      <c r="C19" s="16">
        <f>IFERROR(INDEX(MASTER!$B$2:$B$2000,MATCH($A19,MASTER!$A$2:$A$2000,0)),"")</f>
        <v>17</v>
      </c>
      <c r="D19" s="12" t="str">
        <f>IFERROR(INDEX(MASTER!$D$2:$D$2000,MATCH($A19,MASTER!$A$2:$A$2000,0))&amp;"","")</f>
        <v>Deployment verified</v>
      </c>
      <c r="E19" s="12" t="str">
        <f>IFERROR(INDEX(MASTER!$F$2:$F$2000,MATCH($A19,MASTER!$A$2:$A$2000,0))&amp;"","")</f>
        <v>P1</v>
      </c>
      <c r="F19" s="12" t="str">
        <f>IFERROR(INDEX(MASTER!$G$2:$G$2000,MATCH($A19,MASTER!$A$2:$A$2000,0))&amp;"","NOT IN MASTER")</f>
        <v>BLOCKED</v>
      </c>
      <c r="G19" s="12" t="str">
        <f>IFERROR(INDEX(MASTER!$H$2:$H$2000,MATCH($A19,MASTER!$A$2:$A$2000,0))&amp;"","")</f>
        <v/>
      </c>
      <c r="H19" s="12" t="str">
        <f>IFERROR(INDEX(MASTER!$I$2:$I$2000,MATCH($A19,MASTER!$A$2:$A$2000,0))&amp;"","")</f>
        <v/>
      </c>
      <c r="I19" s="19" t="str">
        <f>IFERROR(IF(INDEX(MASTER!$O$2:$O$2000,MATCH($A19,MASTER!$A$2:$A$2000,0))="","",INDEX(MASTER!$O$2:$O$2000,MATCH($A19,MASTER!$A$2:$A$2000,0))),"")</f>
        <v/>
      </c>
      <c r="J19" s="12" t="str">
        <f>IFERROR(INDEX(MASTER!$P$2:$P$2000,MATCH($A19,MASTER!$A$2:$A$2000,0))&amp;"","")</f>
        <v/>
      </c>
      <c r="K19" s="12" t="str">
        <f>IFERROR(INDEX(MASTER!$Q$2:$Q$2000,MATCH($A19,MASTER!$A$2:$A$2000,0))&amp;"","")</f>
        <v>2026-10-07: images and the compose stack can't be built or started here (no Docker: virtualization off in this machine's BIOS); CI builds both images on main. A deployment needs Boril's hosting target and accounts. docs/deployment/README.md lists the checks to run on a machine with Docker.</v>
      </c>
      <c r="L19" s="12" t="str">
        <f>IFERROR(INDEX(MASTER!$R$2:$R$2000,MATCH($A19,MASTER!$A$2:$A$2000,0))&amp;"","")</f>
        <v/>
      </c>
    </row>
    <row r="20" spans="1:12" x14ac:dyDescent="0.25">
      <c r="A20" s="15" t="s">
        <v>1342</v>
      </c>
      <c r="B20" s="12" t="str">
        <f>IFERROR(INDEX(MASTER!$C$2:$C$2000,MATCH($A20,MASTER!$A$2:$A$2000,0))&amp;"","")</f>
        <v>INFRA</v>
      </c>
      <c r="C20" s="16">
        <f>IFERROR(INDEX(MASTER!$B$2:$B$2000,MATCH($A20,MASTER!$A$2:$A$2000,0)),"")</f>
        <v>17</v>
      </c>
      <c r="D20" s="12" t="str">
        <f>IFERROR(INDEX(MASTER!$D$2:$D$2000,MATCH($A20,MASTER!$A$2:$A$2000,0))&amp;"","")</f>
        <v>CI gates</v>
      </c>
      <c r="E20" s="12" t="str">
        <f>IFERROR(INDEX(MASTER!$F$2:$F$2000,MATCH($A20,MASTER!$A$2:$A$2000,0))&amp;"","")</f>
        <v>P0</v>
      </c>
      <c r="F20" s="12" t="str">
        <f>IFERROR(INDEX(MASTER!$G$2:$G$2000,MATCH($A20,MASTER!$A$2:$A$2000,0))&amp;"","NOT IN MASTER")</f>
        <v>DONE</v>
      </c>
      <c r="G20" s="12" t="str">
        <f>IFERROR(INDEX(MASTER!$H$2:$H$2000,MATCH($A20,MASTER!$A$2:$A$2000,0))&amp;"","")</f>
        <v>.github/workflows/ci.yml (next typegen, audit job, PostgreSQL tests), docs/cloud-reports/INTEGRATION.md</v>
      </c>
      <c r="H20" s="12" t="str">
        <f>IFERROR(INDEX(MASTER!$I$2:$I$2000,MATCH($A20,MASTER!$A$2:$A$2000,0))&amp;"","")</f>
        <v>CI green on PR #8 (backend, migrations + postgres, frontend, e2e, audit)</v>
      </c>
      <c r="I20" s="19">
        <f>IFERROR(IF(INDEX(MASTER!$O$2:$O$2000,MATCH($A20,MASTER!$A$2:$A$2000,0))="","",INDEX(MASTER!$O$2:$O$2000,MATCH($A20,MASTER!$A$2:$A$2000,0))),"")</f>
        <v>46301.615208333344</v>
      </c>
      <c r="J20" s="12" t="str">
        <f>IFERROR(INDEX(MASTER!$P$2:$P$2000,MATCH($A20,MASTER!$A$2:$A$2000,0))&amp;"","")</f>
        <v>8966ec7</v>
      </c>
      <c r="K20" s="12" t="str">
        <f>IFERROR(INDEX(MASTER!$Q$2:$Q$2000,MATCH($A20,MASTER!$A$2:$A$2000,0))&amp;"","")</f>
        <v/>
      </c>
      <c r="L20" s="12" t="str">
        <f>IFERROR(INDEX(MASTER!$R$2:$R$2000,MATCH($A20,MASTER!$A$2:$A$2000,0))&amp;"","")</f>
        <v/>
      </c>
    </row>
    <row r="21" spans="1:12" x14ac:dyDescent="0.25">
      <c r="A21" s="15" t="s">
        <v>1375</v>
      </c>
      <c r="B21" s="12" t="str">
        <f>IFERROR(INDEX(MASTER!$C$2:$C$2000,MATCH($A21,MASTER!$A$2:$A$2000,0))&amp;"","")</f>
        <v>DOCS</v>
      </c>
      <c r="C21" s="16">
        <f>IFERROR(INDEX(MASTER!$B$2:$B$2000,MATCH($A21,MASTER!$A$2:$A$2000,0)),"")</f>
        <v>18</v>
      </c>
      <c r="D21" s="12" t="str">
        <f>IFERROR(INDEX(MASTER!$D$2:$D$2000,MATCH($A21,MASTER!$A$2:$A$2000,0))&amp;"","")</f>
        <v>final-production-readiness.md</v>
      </c>
      <c r="E21" s="12" t="str">
        <f>IFERROR(INDEX(MASTER!$F$2:$F$2000,MATCH($A21,MASTER!$A$2:$A$2000,0))&amp;"","")</f>
        <v>P0</v>
      </c>
      <c r="F21" s="12" t="str">
        <f>IFERROR(INDEX(MASTER!$G$2:$G$2000,MATCH($A21,MASTER!$A$2:$A$2000,0))&amp;"","NOT IN MASTER")</f>
        <v>DONE</v>
      </c>
      <c r="G21" s="12" t="str">
        <f>IFERROR(INDEX(MASTER!$H$2:$H$2000,MATCH($A21,MASTER!$A$2:$A$2000,0))&amp;"","")</f>
        <v>docs/final-production-readiness.md (the 16 sections of brief §112), linked from README.md and docs/README.md</v>
      </c>
      <c r="H21" s="12" t="str">
        <f>IFERROR(INDEX(MASTER!$I$2:$I$2000,MATCH($A21,MASTER!$A$2:$A$2000,0))&amp;"","")</f>
        <v>claims checked against the code (capability matrix counts, plans.json, skip reasons, limits) and today's runs: backend 2344/11, Vitest 277, Playwright 49</v>
      </c>
      <c r="I21" s="19">
        <f>IFERROR(IF(INDEX(MASTER!$O$2:$O$2000,MATCH($A21,MASTER!$A$2:$A$2000,0))="","",INDEX(MASTER!$O$2:$O$2000,MATCH($A21,MASTER!$A$2:$A$2000,0))),"")</f>
        <v>46302.367800925917</v>
      </c>
      <c r="J21" s="12" t="str">
        <f>IFERROR(INDEX(MASTER!$P$2:$P$2000,MATCH($A21,MASTER!$A$2:$A$2000,0))&amp;"","")</f>
        <v>95873d8</v>
      </c>
      <c r="K21" s="12" t="str">
        <f>IFERROR(INDEX(MASTER!$Q$2:$Q$2000,MATCH($A21,MASTER!$A$2:$A$2000,0))&amp;"","")</f>
        <v>2026-10-07: verdict -- code complete for P0/P1; launch needs the owner's decisions and the first Docker start. Release gates: evidence listed per gate; set PASS only from Phase 18's verification run.</v>
      </c>
      <c r="L21" s="12" t="str">
        <f>IFERROR(INDEX(MASTER!$R$2:$R$2000,MATCH($A21,MASTER!$A$2:$A$2000,0))&amp;"","")</f>
        <v/>
      </c>
    </row>
    <row r="22" spans="1:12" x14ac:dyDescent="0.25">
      <c r="A22" s="15" t="s">
        <v>1382</v>
      </c>
      <c r="B22" s="12" t="str">
        <f>IFERROR(INDEX(MASTER!$C$2:$C$2000,MATCH($A22,MASTER!$A$2:$A$2000,0))&amp;"","")</f>
        <v>DOCS</v>
      </c>
      <c r="C22" s="16">
        <f>IFERROR(INDEX(MASTER!$B$2:$B$2000,MATCH($A22,MASTER!$A$2:$A$2000,0)),"")</f>
        <v>18</v>
      </c>
      <c r="D22" s="12" t="str">
        <f>IFERROR(INDEX(MASTER!$D$2:$D$2000,MATCH($A22,MASTER!$A$2:$A$2000,0))&amp;"","")</f>
        <v>Documentation tree</v>
      </c>
      <c r="E22" s="12" t="str">
        <f>IFERROR(INDEX(MASTER!$F$2:$F$2000,MATCH($A22,MASTER!$A$2:$A$2000,0))&amp;"","")</f>
        <v>P1</v>
      </c>
      <c r="F22" s="12" t="str">
        <f>IFERROR(INDEX(MASTER!$G$2:$G$2000,MATCH($A22,MASTER!$A$2:$A$2000,0))&amp;"","NOT IN MASTER")</f>
        <v>DONE</v>
      </c>
      <c r="G22" s="12" t="str">
        <f>IFERROR(INDEX(MASTER!$H$2:$H$2000,MATCH($A22,MASTER!$A$2:$A$2000,0))&amp;"","")</f>
        <v>docs/README.md index; docs/{architecture,document-model,docx,pdf,fonts,translation,ai,formatting,security,testing,performance,deployment,billing,operations}</v>
      </c>
      <c r="H22" s="12" t="str">
        <f>IFERROR(INDEX(MASTER!$I$2:$I$2000,MATCH($A22,MASTER!$A$2:$A$2000,0))&amp;"","")</f>
        <v>every index link checked to exist</v>
      </c>
      <c r="I22" s="19">
        <f>IFERROR(IF(INDEX(MASTER!$O$2:$O$2000,MATCH($A22,MASTER!$A$2:$A$2000,0))="","",INDEX(MASTER!$O$2:$O$2000,MATCH($A22,MASTER!$A$2:$A$2000,0))),"")</f>
        <v>46302.3675</v>
      </c>
      <c r="J22" s="12" t="str">
        <f>IFERROR(INDEX(MASTER!$P$2:$P$2000,MATCH($A22,MASTER!$A$2:$A$2000,0))&amp;"","")</f>
        <v>88f66f3</v>
      </c>
      <c r="K22" s="12" t="str">
        <f>IFERROR(INDEX(MASTER!$Q$2:$Q$2000,MATCH($A22,MASTER!$A$2:$A$2000,0))&amp;"","")</f>
        <v>2026-10-07: added docs/pdf, docs/deployment, docs/operations (16b) and the index.</v>
      </c>
      <c r="L22" s="12" t="str">
        <f>IFERROR(INDEX(MASTER!$R$2:$R$2000,MATCH($A22,MASTER!$A$2:$A$2000,0))&amp;"","")</f>
        <v/>
      </c>
    </row>
  </sheetData>
  <autoFilter ref="A7:L22" xr:uid="{00000000-0009-0000-0000-000010000000}"/>
  <conditionalFormatting sqref="E8:E22">
    <cfRule type="cellIs" dxfId="44" priority="19" operator="equal">
      <formula>"P0"</formula>
    </cfRule>
    <cfRule type="cellIs" dxfId="43" priority="20" operator="equal">
      <formula>"P1"</formula>
    </cfRule>
  </conditionalFormatting>
  <conditionalFormatting sqref="F8:F22">
    <cfRule type="cellIs" dxfId="42" priority="1" operator="equal">
      <formula>"DONE"</formula>
    </cfRule>
    <cfRule type="cellIs" dxfId="41" priority="2" operator="equal">
      <formula>"VERIFIED"</formula>
    </cfRule>
    <cfRule type="cellIs" dxfId="40" priority="3" operator="equal">
      <formula>"IN_PROGRESS"</formula>
    </cfRule>
    <cfRule type="cellIs" dxfId="39" priority="4" operator="equal">
      <formula>"IMPLEMENTED"</formula>
    </cfRule>
    <cfRule type="cellIs" dxfId="38" priority="5" operator="equal">
      <formula>"TESTING"</formula>
    </cfRule>
    <cfRule type="cellIs" dxfId="37" priority="6" operator="equal">
      <formula>"BLOCKED"</formula>
    </cfRule>
    <cfRule type="cellIs" dxfId="36" priority="7" operator="equal">
      <formula>"FAILED"</formula>
    </cfRule>
    <cfRule type="cellIs" dxfId="35" priority="8" operator="equal">
      <formula>"DEFERRED"</formula>
    </cfRule>
    <cfRule type="cellIs" dxfId="34" priority="9" operator="equal">
      <formula>"UNKNOWN"</formula>
    </cfRule>
    <cfRule type="cellIs" dxfId="33" priority="10" operator="equal">
      <formula>"PASS"</formula>
    </cfRule>
    <cfRule type="cellIs" dxfId="32" priority="11" operator="equal">
      <formula>"FAIL"</formula>
    </cfRule>
    <cfRule type="cellIs" dxfId="31" priority="12" operator="equal">
      <formula>"PARTIAL"</formula>
    </cfRule>
    <cfRule type="cellIs" dxfId="30" priority="13" operator="equal">
      <formula>"RESOLVED"</formula>
    </cfRule>
    <cfRule type="cellIs" dxfId="29" priority="14" operator="equal">
      <formula>"OPEN"</formula>
    </cfRule>
    <cfRule type="cellIs" dxfId="28" priority="15" operator="equal">
      <formula>"WITHIN"</formula>
    </cfRule>
    <cfRule type="cellIs" dxfId="27" priority="16" operator="equal">
      <formula>"OVER"</formula>
    </cfRule>
    <cfRule type="cellIs" dxfId="26" priority="17" operator="equal">
      <formula>"NOW"</formula>
    </cfRule>
    <cfRule type="cellIs" dxfId="25" priority="18" operator="equal">
      <formula>"NOT IN MASTER"</formula>
    </cfRule>
  </conditionalFormatting>
  <pageMargins left="0.75" right="0.75" top="1" bottom="1" header="0.5" footer="0.5"/>
  <pageSetup fitToHeight="0" orientation="landscape"/>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pageSetUpPr fitToPage="1"/>
  </sheetPr>
  <dimension ref="A1:L31"/>
  <sheetViews>
    <sheetView workbookViewId="0">
      <pane ySplit="4" topLeftCell="A5" activePane="bottomLeft" state="frozen"/>
      <selection pane="bottomLeft"/>
    </sheetView>
  </sheetViews>
  <sheetFormatPr defaultRowHeight="15" x14ac:dyDescent="0.25"/>
  <cols>
    <col min="1" max="1" width="12" customWidth="1"/>
    <col min="2" max="2" width="14" customWidth="1"/>
    <col min="3" max="3" width="7" customWidth="1"/>
    <col min="4" max="4" width="44" customWidth="1"/>
    <col min="5" max="5" width="9" customWidth="1"/>
    <col min="6" max="6" width="14" customWidth="1"/>
    <col min="7" max="7" width="40" customWidth="1"/>
    <col min="8" max="8" width="34" customWidth="1"/>
    <col min="9" max="9" width="16" customWidth="1"/>
    <col min="10" max="10" width="10" customWidth="1"/>
    <col min="11" max="11" width="40" customWidth="1"/>
    <col min="12" max="12" width="11" customWidth="1"/>
  </cols>
  <sheetData>
    <row r="1" spans="1:12" ht="20.25" x14ac:dyDescent="0.3">
      <c r="A1" s="3" t="s">
        <v>2330</v>
      </c>
    </row>
    <row r="2" spans="1:12" x14ac:dyDescent="0.25">
      <c r="A2" s="4" t="s">
        <v>2331</v>
      </c>
    </row>
    <row r="3" spans="1:12" x14ac:dyDescent="0.25">
      <c r="A3" s="6" t="s">
        <v>45</v>
      </c>
      <c r="B3" s="6" t="s">
        <v>46</v>
      </c>
      <c r="C3" s="6" t="s">
        <v>47</v>
      </c>
      <c r="D3" s="6" t="s">
        <v>13</v>
      </c>
      <c r="E3" s="6" t="s">
        <v>16</v>
      </c>
      <c r="F3" s="6" t="s">
        <v>19</v>
      </c>
      <c r="G3" s="6" t="s">
        <v>48</v>
      </c>
      <c r="H3" s="6" t="s">
        <v>33</v>
      </c>
    </row>
    <row r="4" spans="1:12" x14ac:dyDescent="0.25">
      <c r="A4" s="7">
        <f>COUNTIF(MASTER!$C$2:$C$2000,"RELEASE")</f>
        <v>24</v>
      </c>
      <c r="B4" s="7">
        <f>COUNTIFS(MASTER!$C$2:$C$2000,"RELEASE",MASTER!$G$2:$G$2000,"DONE")</f>
        <v>3</v>
      </c>
      <c r="C4" s="7">
        <f>COUNTIFS(MASTER!$C$2:$C$2000,"RELEASE",MASTER!$G$2:$G$2000,"VERIFIED")+B4</f>
        <v>3</v>
      </c>
      <c r="D4" s="7">
        <f>COUNTIFS(MASTER!$C$2:$C$2000,"RELEASE",MASTER!$G$2:$G$2000,"IN_PROGRESS")+COUNTIFS(MASTER!$C$2:$C$2000,"RELEASE",MASTER!$G$2:$G$2000,"IMPLEMENTED")+COUNTIFS(MASTER!$C$2:$C$2000,"RELEASE",MASTER!$G$2:$G$2000,"TESTING")</f>
        <v>7</v>
      </c>
      <c r="E4" s="7">
        <f>COUNTIFS(MASTER!$C$2:$C$2000,"RELEASE",MASTER!$G$2:$G$2000,"BLOCKED")</f>
        <v>2</v>
      </c>
      <c r="F4" s="7">
        <f>COUNTIFS(MASTER!$C$2:$C$2000,"RELEASE",MASTER!$G$2:$G$2000,"FAILED")</f>
        <v>0</v>
      </c>
      <c r="G4" s="9">
        <f>IF(A4=0,0,B4/A4)</f>
        <v>0.125</v>
      </c>
      <c r="H4" s="9">
        <f>IF(A4=0,0,C4/A4)</f>
        <v>0.125</v>
      </c>
    </row>
    <row r="6" spans="1:12" ht="15.75" x14ac:dyDescent="0.25">
      <c r="A6" s="5" t="s">
        <v>1577</v>
      </c>
    </row>
    <row r="7" spans="1:12" x14ac:dyDescent="0.25">
      <c r="A7" s="10" t="s">
        <v>166</v>
      </c>
      <c r="B7" s="10" t="s">
        <v>100</v>
      </c>
      <c r="C7" s="10" t="s">
        <v>43</v>
      </c>
      <c r="D7" s="10" t="s">
        <v>167</v>
      </c>
      <c r="E7" s="10" t="s">
        <v>169</v>
      </c>
      <c r="F7" s="10" t="s">
        <v>57</v>
      </c>
      <c r="G7" s="10" t="s">
        <v>170</v>
      </c>
      <c r="H7" s="10" t="s">
        <v>171</v>
      </c>
      <c r="I7" s="10" t="s">
        <v>15</v>
      </c>
      <c r="J7" s="10" t="s">
        <v>177</v>
      </c>
      <c r="K7" s="10" t="s">
        <v>178</v>
      </c>
      <c r="L7" s="10" t="s">
        <v>179</v>
      </c>
    </row>
    <row r="8" spans="1:12" x14ac:dyDescent="0.25">
      <c r="A8" s="15" t="s">
        <v>1389</v>
      </c>
      <c r="B8" s="12" t="str">
        <f>IFERROR(INDEX(MASTER!$C$2:$C$2000,MATCH($A8,MASTER!$A$2:$A$2000,0))&amp;"","")</f>
        <v>RELEASE</v>
      </c>
      <c r="C8" s="16">
        <f>IFERROR(INDEX(MASTER!$B$2:$B$2000,MATCH($A8,MASTER!$A$2:$A$2000,0)),"")</f>
        <v>19</v>
      </c>
      <c r="D8" s="12" t="str">
        <f>IFERROR(INDEX(MASTER!$D$2:$D$2000,MATCH($A8,MASTER!$A$2:$A$2000,0))&amp;"","")</f>
        <v>Release scope and feature freeze</v>
      </c>
      <c r="E8" s="12" t="str">
        <f>IFERROR(INDEX(MASTER!$F$2:$F$2000,MATCH($A8,MASTER!$A$2:$A$2000,0))&amp;"","")</f>
        <v>P0</v>
      </c>
      <c r="F8" s="12" t="str">
        <f>IFERROR(INDEX(MASTER!$G$2:$G$2000,MATCH($A8,MASTER!$A$2:$A$2000,0))&amp;"","NOT IN MASTER")</f>
        <v>DONE</v>
      </c>
      <c r="G8" s="12" t="str">
        <f>IFERROR(INDEX(MASTER!$H$2:$H$2000,MATCH($A8,MASTER!$A$2:$A$2000,0))&amp;"","")</f>
        <v>Scope agreed with the owner in chat on 2026-10-13 (Vercel Hobby; billing off; no e-mail domain; uploads/downloads under 4.5 MB) and written down in docs/deployment/vercel.md 'Limits of this release'.</v>
      </c>
      <c r="H8" s="12" t="str">
        <f>IFERROR(INDEX(MASTER!$I$2:$I$2000,MATCH($A8,MASTER!$A$2:$A$2000,0))&amp;"","")</f>
        <v>Owner's answers recorded 2026-10-13; docs/deployment/vercel.md committed in 68a89a9.</v>
      </c>
      <c r="I8" s="19">
        <f>IFERROR(IF(INDEX(MASTER!$O$2:$O$2000,MATCH($A8,MASTER!$A$2:$A$2000,0))="","",INDEX(MASTER!$O$2:$O$2000,MATCH($A8,MASTER!$A$2:$A$2000,0))),"")</f>
        <v>46308.595995370371</v>
      </c>
      <c r="J8" s="12" t="str">
        <f>IFERROR(INDEX(MASTER!$P$2:$P$2000,MATCH($A8,MASTER!$A$2:$A$2000,0))&amp;"","")</f>
        <v>68a89a9</v>
      </c>
      <c r="K8" s="12" t="str">
        <f>IFERROR(INDEX(MASTER!$Q$2:$Q$2000,MATCH($A8,MASTER!$A$2:$A$2000,0))&amp;"","")</f>
        <v>Mandatory before launch: yes. Owner approved: Vercel Hobby, billing off, no e-mail domain, 4.5 MB limit (2026-10-13).</v>
      </c>
      <c r="L8" s="12" t="str">
        <f>IFERROR(INDEX(MASTER!$R$2:$R$2000,MATCH($A8,MASTER!$A$2:$A$2000,0))&amp;"","")</f>
        <v/>
      </c>
    </row>
    <row r="9" spans="1:12" x14ac:dyDescent="0.25">
      <c r="A9" s="15" t="s">
        <v>1397</v>
      </c>
      <c r="B9" s="12" t="str">
        <f>IFERROR(INDEX(MASTER!$C$2:$C$2000,MATCH($A9,MASTER!$A$2:$A$2000,0))&amp;"","")</f>
        <v>RELEASE</v>
      </c>
      <c r="C9" s="16">
        <f>IFERROR(INDEX(MASTER!$B$2:$B$2000,MATCH($A9,MASTER!$A$2:$A$2000,0)),"")</f>
        <v>19</v>
      </c>
      <c r="D9" s="12" t="str">
        <f>IFERROR(INDEX(MASTER!$D$2:$D$2000,MATCH($A9,MASTER!$A$2:$A$2000,0))&amp;"","")</f>
        <v>Vercel project with frontend + backend services</v>
      </c>
      <c r="E9" s="12" t="str">
        <f>IFERROR(INDEX(MASTER!$F$2:$F$2000,MATCH($A9,MASTER!$A$2:$A$2000,0))&amp;"","")</f>
        <v>P0</v>
      </c>
      <c r="F9" s="12" t="str">
        <f>IFERROR(INDEX(MASTER!$G$2:$G$2000,MATCH($A9,MASTER!$A$2:$A$2000,0))&amp;"","NOT IN MASTER")</f>
        <v>DONE</v>
      </c>
      <c r="G9" s="12" t="str">
        <f>IFERROR(INDEX(MASTER!$H$2:$H$2000,MATCH($A9,MASTER!$A$2:$A$2000,0))&amp;"","")</f>
        <v>Vercel project smartdoc (prj_ObL3...) under team drajeto: framework services, GitHub Drajeto07/claude, production branch main (deployments of the feature branch promoted to production by the owner); production aliases smartdoc-peach.vercel.app; deployments READY (CLI, the owner's login, read-only, 2026-10-13). The owner: /api/ready = ready, database ok; sign-up and the dashboard work on production.</v>
      </c>
      <c r="H9" s="12" t="str">
        <f>IFERROR(INDEX(MASTER!$I$2:$I$2000,MATCH($A9,MASTER!$A$2:$A$2000,0))&amp;"","")</f>
        <v>vercel api /v9/projects and /v6/deployments (read-only); the owner's checks on the production URL 2026-10-13.</v>
      </c>
      <c r="I9" s="19">
        <f>IFERROR(IF(INDEX(MASTER!$O$2:$O$2000,MATCH($A9,MASTER!$A$2:$A$2000,0))="","",INDEX(MASTER!$O$2:$O$2000,MATCH($A9,MASTER!$A$2:$A$2000,0))),"")</f>
        <v>46308.71770833333</v>
      </c>
      <c r="J9" s="12" t="str">
        <f>IFERROR(INDEX(MASTER!$P$2:$P$2000,MATCH($A9,MASTER!$A$2:$A$2000,0))&amp;"","")</f>
        <v>4c8fdca</v>
      </c>
      <c r="K9" s="12" t="str">
        <f>IFERROR(INDEX(MASTER!$Q$2:$Q$2000,MATCH($A9,MASTER!$A$2:$A$2000,0))&amp;"","")</f>
        <v>Mandatory before launch: yes. BLOCKED 2026-10-13: the Vercel connector's token is not authorized for the account's team scope 'drajeto' (403 on list/create project). Owner: re-authorize the Vercel connector for that scope, or import Drajeto07/claude in the Vercel dashboard (framework Services from vercel.json).</v>
      </c>
      <c r="L9" s="12" t="str">
        <f>IFERROR(INDEX(MASTER!$R$2:$R$2000,MATCH($A9,MASTER!$A$2:$A$2000,0))&amp;"","")</f>
        <v/>
      </c>
    </row>
    <row r="10" spans="1:12" x14ac:dyDescent="0.25">
      <c r="A10" s="15" t="s">
        <v>1405</v>
      </c>
      <c r="B10" s="12" t="str">
        <f>IFERROR(INDEX(MASTER!$C$2:$C$2000,MATCH($A10,MASTER!$A$2:$A$2000,0))&amp;"","")</f>
        <v>RELEASE</v>
      </c>
      <c r="C10" s="16">
        <f>IFERROR(INDEX(MASTER!$B$2:$B$2000,MATCH($A10,MASTER!$A$2:$A$2000,0)),"")</f>
        <v>19</v>
      </c>
      <c r="D10" s="12" t="str">
        <f>IFERROR(INDEX(MASTER!$D$2:$D$2000,MATCH($A10,MASTER!$A$2:$A$2000,0))&amp;"","")</f>
        <v>Production settings and secrets in Vercel</v>
      </c>
      <c r="E10" s="12" t="str">
        <f>IFERROR(INDEX(MASTER!$F$2:$F$2000,MATCH($A10,MASTER!$A$2:$A$2000,0))&amp;"","")</f>
        <v>P0</v>
      </c>
      <c r="F10" s="12" t="str">
        <f>IFERROR(INDEX(MASTER!$G$2:$G$2000,MATCH($A10,MASTER!$A$2:$A$2000,0))&amp;"","NOT IN MASTER")</f>
        <v>BLOCKED</v>
      </c>
      <c r="G10" s="12" t="str">
        <f>IFERROR(INDEX(MASTER!$H$2:$H$2000,MATCH($A10,MASTER!$A$2:$A$2000,0))&amp;"","")</f>
        <v>Production has: DATABASE_URL, S3_ACCESS_KEY_ID, S3_SECRET_ACCESS_KEY, DATABASE_POOLER, JOB_BACKEND, NEXT_PUBLIC_API_BASE_URL, PORT (names only, 2026-10-13). Missing in Production: STORAGE_BACKEND, S3_BUCKET, S3_ENDPOINT_URL, S3_REGION, MAX_UPLOAD_SIZE_MB, MAX_REQUEST_SIZE_MB, LOG_FORMAT, LOG_REQUESTS, SENTRY_DSN, CORS_ORIGINS, FRONTEND_URL. Preview also lacks DATABASE_POOLER and JOB_BACKEND (the image defaults them since 2490e5d).</v>
      </c>
      <c r="H10" s="12" t="str">
        <f>IFERROR(INDEX(MASTER!$I$2:$I$2000,MATCH($A10,MASTER!$A$2:$A$2000,0))&amp;"","")</f>
        <v/>
      </c>
      <c r="I10" s="19" t="str">
        <f>IFERROR(IF(INDEX(MASTER!$O$2:$O$2000,MATCH($A10,MASTER!$A$2:$A$2000,0))="","",INDEX(MASTER!$O$2:$O$2000,MATCH($A10,MASTER!$A$2:$A$2000,0))),"")</f>
        <v/>
      </c>
      <c r="J10" s="12" t="str">
        <f>IFERROR(INDEX(MASTER!$P$2:$P$2000,MATCH($A10,MASTER!$A$2:$A$2000,0))&amp;"","")</f>
        <v/>
      </c>
      <c r="K10" s="12" t="str">
        <f>IFERROR(INDEX(MASTER!$Q$2:$Q$2000,MATCH($A10,MASTER!$A$2:$A$2000,0))&amp;"","")</f>
        <v>Mandatory before launch: yes. BLOCKED 2026-10-13 on the owner's approval to set the missing plain settings in Production (a storage/infrastructure change) -- values in docs/deployment/vercel.md; no secret among them except SENTRY_DSN's key, which is a public client key.</v>
      </c>
      <c r="L10" s="12" t="str">
        <f>IFERROR(INDEX(MASTER!$R$2:$R$2000,MATCH($A10,MASTER!$A$2:$A$2000,0))&amp;"","")</f>
        <v/>
      </c>
    </row>
    <row r="11" spans="1:12" x14ac:dyDescent="0.25">
      <c r="A11" s="15" t="s">
        <v>1410</v>
      </c>
      <c r="B11" s="12" t="str">
        <f>IFERROR(INDEX(MASTER!$C$2:$C$2000,MATCH($A11,MASTER!$A$2:$A$2000,0))&amp;"","")</f>
        <v>RELEASE</v>
      </c>
      <c r="C11" s="16">
        <f>IFERROR(INDEX(MASTER!$B$2:$B$2000,MATCH($A11,MASTER!$A$2:$A$2000,0)),"")</f>
        <v>19</v>
      </c>
      <c r="D11" s="12" t="str">
        <f>IFERROR(INDEX(MASTER!$D$2:$D$2000,MATCH($A11,MASTER!$A$2:$A$2000,0))&amp;"","")</f>
        <v>Production database: restored, schema current, RLS on</v>
      </c>
      <c r="E11" s="12" t="str">
        <f>IFERROR(INDEX(MASTER!$F$2:$F$2000,MATCH($A11,MASTER!$A$2:$A$2000,0))&amp;"","")</f>
        <v>P0</v>
      </c>
      <c r="F11" s="12" t="str">
        <f>IFERROR(INDEX(MASTER!$G$2:$G$2000,MATCH($A11,MASTER!$A$2:$A$2000,0))&amp;"","NOT IN MASTER")</f>
        <v>DONE</v>
      </c>
      <c r="G11" s="12" t="str">
        <f>IFERROR(INDEX(MASTER!$H$2:$H$2000,MATCH($A11,MASTER!$A$2:$A$2000,0))&amp;"","")</f>
        <v>Supabase connector: restore_project -&gt; ACTIVE_HEALTHY (eu-central-1, Postgres 17); SQL: alembic_version = d41f7a60c9e2 = `alembic heads` of the code; list_migrations: 14 applied, the last d41f7a60c9e2; security advisors: only rls_enabled_no_policy (INFO) on all 16 public tables (RLS on, no policies by design: the API connects as owner). Holds 1 account and 8 documents from development (REL-020).</v>
      </c>
      <c r="H11" s="12" t="str">
        <f>IFERROR(INDEX(MASTER!$I$2:$I$2000,MATCH($A11,MASTER!$A$2:$A$2000,0))&amp;"","")</f>
        <v>Supabase get_project, execute_sql (alembic_version), list_migrations, get_advisors(security) on 2026-10-13.</v>
      </c>
      <c r="I11" s="19">
        <f>IFERROR(IF(INDEX(MASTER!$O$2:$O$2000,MATCH($A11,MASTER!$A$2:$A$2000,0))="","",INDEX(MASTER!$O$2:$O$2000,MATCH($A11,MASTER!$A$2:$A$2000,0))),"")</f>
        <v>46308.596041666657</v>
      </c>
      <c r="J11" s="12" t="str">
        <f>IFERROR(INDEX(MASTER!$P$2:$P$2000,MATCH($A11,MASTER!$A$2:$A$2000,0))&amp;"","")</f>
        <v>68a89a9</v>
      </c>
      <c r="K11" s="12" t="str">
        <f>IFERROR(INDEX(MASTER!$Q$2:$Q$2000,MATCH($A11,MASTER!$A$2:$A$2000,0))&amp;"","")</f>
        <v>Mandatory before launch: yes. Restored from paused 2026-10-13 with the owner's approval.</v>
      </c>
      <c r="L11" s="12" t="str">
        <f>IFERROR(INDEX(MASTER!$R$2:$R$2000,MATCH($A11,MASTER!$A$2:$A$2000,0))&amp;"","")</f>
        <v/>
      </c>
    </row>
    <row r="12" spans="1:12" x14ac:dyDescent="0.25">
      <c r="A12" s="15" t="s">
        <v>1417</v>
      </c>
      <c r="B12" s="12" t="str">
        <f>IFERROR(INDEX(MASTER!$C$2:$C$2000,MATCH($A12,MASTER!$A$2:$A$2000,0))&amp;"","")</f>
        <v>RELEASE</v>
      </c>
      <c r="C12" s="16">
        <f>IFERROR(INDEX(MASTER!$B$2:$B$2000,MATCH($A12,MASTER!$A$2:$A$2000,0)),"")</f>
        <v>19</v>
      </c>
      <c r="D12" s="12" t="str">
        <f>IFERROR(INDEX(MASTER!$D$2:$D$2000,MATCH($A12,MASTER!$A$2:$A$2000,0))&amp;"","")</f>
        <v>File storage: private Supabase Storage bucket over S3</v>
      </c>
      <c r="E12" s="12" t="str">
        <f>IFERROR(INDEX(MASTER!$F$2:$F$2000,MATCH($A12,MASTER!$A$2:$A$2000,0))&amp;"","")</f>
        <v>P0</v>
      </c>
      <c r="F12" s="12" t="str">
        <f>IFERROR(INDEX(MASTER!$G$2:$G$2000,MATCH($A12,MASTER!$A$2:$A$2000,0))&amp;"","NOT IN MASTER")</f>
        <v>BLOCKED</v>
      </c>
      <c r="G12" s="12" t="str">
        <f>IFERROR(INDEX(MASTER!$H$2:$H$2000,MATCH($A12,MASTER!$A$2:$A$2000,0))&amp;"","")</f>
        <v>Private bucket smartdoc-files created in Supabase Storage (storage.buckets public=false) on 2026-10-13. Waiting: an S3 access key pair created by the owner (Supabase -&gt; Storage -&gt; S3 Connection) and entered in Vercel.</v>
      </c>
      <c r="H12" s="12" t="str">
        <f>IFERROR(INDEX(MASTER!$I$2:$I$2000,MATCH($A12,MASTER!$A$2:$A$2000,0))&amp;"","")</f>
        <v/>
      </c>
      <c r="I12" s="19" t="str">
        <f>IFERROR(IF(INDEX(MASTER!$O$2:$O$2000,MATCH($A12,MASTER!$A$2:$A$2000,0))="","",INDEX(MASTER!$O$2:$O$2000,MATCH($A12,MASTER!$A$2:$A$2000,0))),"")</f>
        <v/>
      </c>
      <c r="J12" s="12" t="str">
        <f>IFERROR(INDEX(MASTER!$P$2:$P$2000,MATCH($A12,MASTER!$A$2:$A$2000,0))&amp;"","")</f>
        <v/>
      </c>
      <c r="K12" s="12" t="str">
        <f>IFERROR(INDEX(MASTER!$Q$2:$Q$2000,MATCH($A12,MASTER!$A$2:$A$2000,0))&amp;"","")</f>
        <v>Mandatory before launch: yes. CRITICAL 2026-10-13: STORAGE_BACKEND isn't set in Production, so it is 'local': uploaded pictures and export files are written inside the container and lost when the instance stops (5 minutes idle) or another instance answers. S3 keys are in place; STORAGE_BACKEND=s3, S3_BUCKET, S3_ENDPOINT_URL, S3_REGION wait for the owner's approval (REL-003).</v>
      </c>
      <c r="L12" s="12" t="str">
        <f>IFERROR(INDEX(MASTER!$R$2:$R$2000,MATCH($A12,MASTER!$A$2:$A$2000,0))&amp;"","")</f>
        <v/>
      </c>
    </row>
    <row r="13" spans="1:12" x14ac:dyDescent="0.25">
      <c r="A13" s="15" t="s">
        <v>1422</v>
      </c>
      <c r="B13" s="12" t="str">
        <f>IFERROR(INDEX(MASTER!$C$2:$C$2000,MATCH($A13,MASTER!$A$2:$A$2000,0))&amp;"","")</f>
        <v>RELEASE</v>
      </c>
      <c r="C13" s="16">
        <f>IFERROR(INDEX(MASTER!$B$2:$B$2000,MATCH($A13,MASTER!$A$2:$A$2000,0)),"")</f>
        <v>19</v>
      </c>
      <c r="D13" s="12" t="str">
        <f>IFERROR(INDEX(MASTER!$D$2:$D$2000,MATCH($A13,MASTER!$A$2:$A$2000,0))&amp;"","")</f>
        <v>Serverless-ready configuration in code</v>
      </c>
      <c r="E13" s="12" t="str">
        <f>IFERROR(INDEX(MASTER!$F$2:$F$2000,MATCH($A13,MASTER!$A$2:$A$2000,0))&amp;"","")</f>
        <v>P0</v>
      </c>
      <c r="F13" s="12" t="str">
        <f>IFERROR(INDEX(MASTER!$G$2:$G$2000,MATCH($A13,MASTER!$A$2:$A$2000,0))&amp;"","NOT IN MASTER")</f>
        <v>IMPLEMENTED</v>
      </c>
      <c r="G13" s="12" t="str">
        <f>IFERROR(INDEX(MASTER!$H$2:$H$2000,MATCH($A13,MASTER!$A$2:$A$2000,0))&amp;"","")</f>
        <v>On production the code's defaults were in force at first (DATABASE_POOLER=session, JOB_BACKEND=background): the exported runtime log of dpl_4r5f... shows asyncpg's numbered statements (__asyncpg_stmt_a__ ...) colliding in the pooler and fail_interrupted_jobs at start. Fixed in settings by the owner (Production) and in code (2490e5d: Dockerfile.vercel defaults; SQLAlchemy's statement cache off too). The owner: /api/ready = ready after the settings.</v>
      </c>
      <c r="H13" s="12" t="str">
        <f>IFERROR(INDEX(MASTER!$I$2:$I$2000,MATCH($A13,MASTER!$A$2:$A$2000,0))&amp;"","")</f>
        <v>tests/test_release_config.py (7); backend 2580 passed, 11 skipped; preview of 2490e5d READY. Pending: 2490e5d promoted to production and checked.</v>
      </c>
      <c r="I13" s="19" t="str">
        <f>IFERROR(IF(INDEX(MASTER!$O$2:$O$2000,MATCH($A13,MASTER!$A$2:$A$2000,0))="","",INDEX(MASTER!$O$2:$O$2000,MATCH($A13,MASTER!$A$2:$A$2000,0))),"")</f>
        <v/>
      </c>
      <c r="J13" s="12" t="str">
        <f>IFERROR(INDEX(MASTER!$P$2:$P$2000,MATCH($A13,MASTER!$A$2:$A$2000,0))&amp;"","")</f>
        <v>2490e5d</v>
      </c>
      <c r="K13" s="12" t="str">
        <f>IFERROR(INDEX(MASTER!$Q$2:$Q$2000,MATCH($A13,MASTER!$A$2:$A$2000,0))&amp;"","")</f>
        <v>Mandatory before launch: yes.</v>
      </c>
      <c r="L13" s="12" t="str">
        <f>IFERROR(INDEX(MASTER!$R$2:$R$2000,MATCH($A13,MASTER!$A$2:$A$2000,0))&amp;"","")</f>
        <v/>
      </c>
    </row>
    <row r="14" spans="1:12" x14ac:dyDescent="0.25">
      <c r="A14" s="15" t="s">
        <v>1430</v>
      </c>
      <c r="B14" s="12" t="str">
        <f>IFERROR(INDEX(MASTER!$C$2:$C$2000,MATCH($A14,MASTER!$A$2:$A$2000,0))&amp;"","")</f>
        <v>RELEASE</v>
      </c>
      <c r="C14" s="16">
        <f>IFERROR(INDEX(MASTER!$B$2:$B$2000,MATCH($A14,MASTER!$A$2:$A$2000,0)),"")</f>
        <v>19</v>
      </c>
      <c r="D14" s="12" t="str">
        <f>IFERROR(INDEX(MASTER!$D$2:$D$2000,MATCH($A14,MASTER!$A$2:$A$2000,0))&amp;"","")</f>
        <v>Error monitoring (Sentry, backend)</v>
      </c>
      <c r="E14" s="12" t="str">
        <f>IFERROR(INDEX(MASTER!$F$2:$F$2000,MATCH($A14,MASTER!$A$2:$A$2000,0))&amp;"","")</f>
        <v>P0</v>
      </c>
      <c r="F14" s="12" t="str">
        <f>IFERROR(INDEX(MASTER!$G$2:$G$2000,MATCH($A14,MASTER!$A$2:$A$2000,0))&amp;"","NOT IN MASTER")</f>
        <v>IMPLEMENTED</v>
      </c>
      <c r="G14" s="12" t="str">
        <f>IFERROR(INDEX(MASTER!$H$2:$H$2000,MATCH($A14,MASTER!$A$2:$A$2000,0))&amp;"","")</f>
        <v>backend/app/monitoring.py (init_monitoring, scrub) called from app/main.py; settings SENTRY_DSN, SENTRY_ENVIRONMENT, SENTRY_TRACES_SAMPLE_RATE; sentry-sdk 2.70.0 direct dependency; Sentry project drajeto/smartdoc-backend created (EU, python-fastapi) with a DSN.</v>
      </c>
      <c r="H14" s="12" t="str">
        <f>IFERROR(INDEX(MASTER!$I$2:$I$2000,MATCH($A14,MASTER!$A$2:$A$2000,0))&amp;"","")</f>
        <v>backend tests/test_monitoring.py (3: off without DSN; real SDK with a captured transport: the error and request id reported, the body/cookie/Authorization/query/local variable not; scrub unit test). Pending: SENTRY_DSN in Vercel and a test event from the deployment.</v>
      </c>
      <c r="I14" s="19" t="str">
        <f>IFERROR(IF(INDEX(MASTER!$O$2:$O$2000,MATCH($A14,MASTER!$A$2:$A$2000,0))="","",INDEX(MASTER!$O$2:$O$2000,MATCH($A14,MASTER!$A$2:$A$2000,0))),"")</f>
        <v/>
      </c>
      <c r="J14" s="12" t="str">
        <f>IFERROR(INDEX(MASTER!$P$2:$P$2000,MATCH($A14,MASTER!$A$2:$A$2000,0))&amp;"","")</f>
        <v>c25b124</v>
      </c>
      <c r="K14" s="12" t="str">
        <f>IFERROR(INDEX(MASTER!$Q$2:$Q$2000,MATCH($A14,MASTER!$A$2:$A$2000,0))&amp;"","")</f>
        <v>Mandatory before launch: yes. Project created 2026-10-13 (EU region).</v>
      </c>
      <c r="L14" s="12" t="str">
        <f>IFERROR(INDEX(MASTER!$R$2:$R$2000,MATCH($A14,MASTER!$A$2:$A$2000,0))&amp;"","")</f>
        <v/>
      </c>
    </row>
    <row r="15" spans="1:12" x14ac:dyDescent="0.25">
      <c r="A15" s="15" t="s">
        <v>1438</v>
      </c>
      <c r="B15" s="12" t="str">
        <f>IFERROR(INDEX(MASTER!$C$2:$C$2000,MATCH($A15,MASTER!$A$2:$A$2000,0))&amp;"","")</f>
        <v>RELEASE</v>
      </c>
      <c r="C15" s="16">
        <f>IFERROR(INDEX(MASTER!$B$2:$B$2000,MATCH($A15,MASTER!$A$2:$A$2000,0)),"")</f>
        <v>19</v>
      </c>
      <c r="D15" s="12" t="str">
        <f>IFERROR(INDEX(MASTER!$D$2:$D$2000,MATCH($A15,MASTER!$A$2:$A$2000,0))&amp;"","")</f>
        <v>Uptime monitor on the public URL</v>
      </c>
      <c r="E15" s="12" t="str">
        <f>IFERROR(INDEX(MASTER!$F$2:$F$2000,MATCH($A15,MASTER!$A$2:$A$2000,0))&amp;"","")</f>
        <v>P1</v>
      </c>
      <c r="F15" s="12" t="str">
        <f>IFERROR(INDEX(MASTER!$G$2:$G$2000,MATCH($A15,MASTER!$A$2:$A$2000,0))&amp;"","NOT IN MASTER")</f>
        <v>NOT_STARTED</v>
      </c>
      <c r="G15" s="12" t="str">
        <f>IFERROR(INDEX(MASTER!$H$2:$H$2000,MATCH($A15,MASTER!$A$2:$A$2000,0))&amp;"","")</f>
        <v/>
      </c>
      <c r="H15" s="12" t="str">
        <f>IFERROR(INDEX(MASTER!$I$2:$I$2000,MATCH($A15,MASTER!$A$2:$A$2000,0))&amp;"","")</f>
        <v/>
      </c>
      <c r="I15" s="19" t="str">
        <f>IFERROR(IF(INDEX(MASTER!$O$2:$O$2000,MATCH($A15,MASTER!$A$2:$A$2000,0))="","",INDEX(MASTER!$O$2:$O$2000,MATCH($A15,MASTER!$A$2:$A$2000,0))),"")</f>
        <v/>
      </c>
      <c r="J15" s="12" t="str">
        <f>IFERROR(INDEX(MASTER!$P$2:$P$2000,MATCH($A15,MASTER!$A$2:$A$2000,0))&amp;"","")</f>
        <v/>
      </c>
      <c r="K15" s="12" t="str">
        <f>IFERROR(INDEX(MASTER!$Q$2:$Q$2000,MATCH($A15,MASTER!$A$2:$A$2000,0))&amp;"","")</f>
        <v>Mandatory before launch: yes (basic alert).</v>
      </c>
      <c r="L15" s="12" t="str">
        <f>IFERROR(INDEX(MASTER!$R$2:$R$2000,MATCH($A15,MASTER!$A$2:$A$2000,0))&amp;"","")</f>
        <v/>
      </c>
    </row>
    <row r="16" spans="1:12" x14ac:dyDescent="0.25">
      <c r="A16" s="15" t="s">
        <v>1443</v>
      </c>
      <c r="B16" s="12" t="str">
        <f>IFERROR(INDEX(MASTER!$C$2:$C$2000,MATCH($A16,MASTER!$A$2:$A$2000,0))&amp;"","")</f>
        <v>RELEASE</v>
      </c>
      <c r="C16" s="16">
        <f>IFERROR(INDEX(MASTER!$B$2:$B$2000,MATCH($A16,MASTER!$A$2:$A$2000,0)),"")</f>
        <v>19</v>
      </c>
      <c r="D16" s="12" t="str">
        <f>IFERROR(INDEX(MASTER!$D$2:$D$2000,MATCH($A16,MASTER!$A$2:$A$2000,0))&amp;"","")</f>
        <v>Preview deployment and smoke test</v>
      </c>
      <c r="E16" s="12" t="str">
        <f>IFERROR(INDEX(MASTER!$F$2:$F$2000,MATCH($A16,MASTER!$A$2:$A$2000,0))&amp;"","")</f>
        <v>P0</v>
      </c>
      <c r="F16" s="12" t="str">
        <f>IFERROR(INDEX(MASTER!$G$2:$G$2000,MATCH($A16,MASTER!$A$2:$A$2000,0))&amp;"","NOT IN MASTER")</f>
        <v>IN_PROGRESS</v>
      </c>
      <c r="G16" s="12" t="str">
        <f>IFERROR(INDEX(MASTER!$H$2:$H$2000,MATCH($A16,MASTER!$A$2:$A$2000,0))&amp;"","")</f>
        <v>Preview deployments build: 2490e5d READY (smartdoc-q5vlxmv36-drajeto.vercel.app); ad60739 pushed. The smoke test itself can't run: every deployment is behind Vercel Authentication and no tool has a way in (REL-022).</v>
      </c>
      <c r="H16" s="12" t="str">
        <f>IFERROR(INDEX(MASTER!$I$2:$I$2000,MATCH($A16,MASTER!$A$2:$A$2000,0))&amp;"","")</f>
        <v/>
      </c>
      <c r="I16" s="19" t="str">
        <f>IFERROR(IF(INDEX(MASTER!$O$2:$O$2000,MATCH($A16,MASTER!$A$2:$A$2000,0))="","",INDEX(MASTER!$O$2:$O$2000,MATCH($A16,MASTER!$A$2:$A$2000,0))),"")</f>
        <v/>
      </c>
      <c r="J16" s="12" t="str">
        <f>IFERROR(INDEX(MASTER!$P$2:$P$2000,MATCH($A16,MASTER!$A$2:$A$2000,0))&amp;"","")</f>
        <v/>
      </c>
      <c r="K16" s="12" t="str">
        <f>IFERROR(INDEX(MASTER!$Q$2:$Q$2000,MATCH($A16,MASTER!$A$2:$A$2000,0))&amp;"","")</f>
        <v>Mandatory before launch: yes.</v>
      </c>
      <c r="L16" s="12" t="str">
        <f>IFERROR(INDEX(MASTER!$R$2:$R$2000,MATCH($A16,MASTER!$A$2:$A$2000,0))&amp;"","")</f>
        <v/>
      </c>
    </row>
    <row r="17" spans="1:12" x14ac:dyDescent="0.25">
      <c r="A17" s="15" t="s">
        <v>1441</v>
      </c>
      <c r="B17" s="12" t="str">
        <f>IFERROR(INDEX(MASTER!$C$2:$C$2000,MATCH($A17,MASTER!$A$2:$A$2000,0))&amp;"","")</f>
        <v>RELEASE</v>
      </c>
      <c r="C17" s="16">
        <f>IFERROR(INDEX(MASTER!$B$2:$B$2000,MATCH($A17,MASTER!$A$2:$A$2000,0)),"")</f>
        <v>19</v>
      </c>
      <c r="D17" s="12" t="str">
        <f>IFERROR(INDEX(MASTER!$D$2:$D$2000,MATCH($A17,MASTER!$A$2:$A$2000,0))&amp;"","")</f>
        <v>Production deployment and live acceptance</v>
      </c>
      <c r="E17" s="12" t="str">
        <f>IFERROR(INDEX(MASTER!$F$2:$F$2000,MATCH($A17,MASTER!$A$2:$A$2000,0))&amp;"","")</f>
        <v>P0</v>
      </c>
      <c r="F17" s="12" t="str">
        <f>IFERROR(INDEX(MASTER!$G$2:$G$2000,MATCH($A17,MASTER!$A$2:$A$2000,0))&amp;"","NOT IN MASTER")</f>
        <v>NOT_STARTED</v>
      </c>
      <c r="G17" s="12" t="str">
        <f>IFERROR(INDEX(MASTER!$H$2:$H$2000,MATCH($A17,MASTER!$A$2:$A$2000,0))&amp;"","")</f>
        <v/>
      </c>
      <c r="H17" s="12" t="str">
        <f>IFERROR(INDEX(MASTER!$I$2:$I$2000,MATCH($A17,MASTER!$A$2:$A$2000,0))&amp;"","")</f>
        <v/>
      </c>
      <c r="I17" s="19" t="str">
        <f>IFERROR(IF(INDEX(MASTER!$O$2:$O$2000,MATCH($A17,MASTER!$A$2:$A$2000,0))="","",INDEX(MASTER!$O$2:$O$2000,MATCH($A17,MASTER!$A$2:$A$2000,0))),"")</f>
        <v/>
      </c>
      <c r="J17" s="12" t="str">
        <f>IFERROR(INDEX(MASTER!$P$2:$P$2000,MATCH($A17,MASTER!$A$2:$A$2000,0))&amp;"","")</f>
        <v/>
      </c>
      <c r="K17" s="12" t="str">
        <f>IFERROR(INDEX(MASTER!$Q$2:$Q$2000,MATCH($A17,MASTER!$A$2:$A$2000,0))&amp;"","")</f>
        <v>Mandatory before launch: yes. Needs the owner's go-ahead (public).</v>
      </c>
      <c r="L17" s="12" t="str">
        <f>IFERROR(INDEX(MASTER!$R$2:$R$2000,MATCH($A17,MASTER!$A$2:$A$2000,0))&amp;"","")</f>
        <v/>
      </c>
    </row>
    <row r="18" spans="1:12" x14ac:dyDescent="0.25">
      <c r="A18" s="15" t="s">
        <v>1451</v>
      </c>
      <c r="B18" s="12" t="str">
        <f>IFERROR(INDEX(MASTER!$C$2:$C$2000,MATCH($A18,MASTER!$A$2:$A$2000,0))&amp;"","")</f>
        <v>RELEASE</v>
      </c>
      <c r="C18" s="16">
        <f>IFERROR(INDEX(MASTER!$B$2:$B$2000,MATCH($A18,MASTER!$A$2:$A$2000,0)),"")</f>
        <v>19</v>
      </c>
      <c r="D18" s="12" t="str">
        <f>IFERROR(INDEX(MASTER!$D$2:$D$2000,MATCH($A18,MASTER!$A$2:$A$2000,0))&amp;"","")</f>
        <v>Cross-user isolation on the live deployment</v>
      </c>
      <c r="E18" s="12" t="str">
        <f>IFERROR(INDEX(MASTER!$F$2:$F$2000,MATCH($A18,MASTER!$A$2:$A$2000,0))&amp;"","")</f>
        <v>P0</v>
      </c>
      <c r="F18" s="12" t="str">
        <f>IFERROR(INDEX(MASTER!$G$2:$G$2000,MATCH($A18,MASTER!$A$2:$A$2000,0))&amp;"","NOT IN MASTER")</f>
        <v>IN_PROGRESS</v>
      </c>
      <c r="G18" s="12" t="str">
        <f>IFERROR(INDEX(MASTER!$H$2:$H$2000,MATCH($A18,MASTER!$A$2:$A$2000,0))&amp;"","")</f>
        <v>Code: every document, asset, job and export route goes authenticate -&gt; authorize -&gt; fetch (404 across accounts). Local proof: the security suite (pytest -m security, part of the backend run 2588 passed) has the cross-account IDOR checks; Playwright 59 passed. Live: needs two test accounts on the deployment, which only the owner may create (Claude doesn't create accounts or sign in on a non-local site), and a way through Vercel Authentication (REL-022).</v>
      </c>
      <c r="H18" s="12" t="str">
        <f>IFERROR(INDEX(MASTER!$I$2:$I$2000,MATCH($A18,MASTER!$A$2:$A$2000,0))&amp;"","")</f>
        <v/>
      </c>
      <c r="I18" s="19" t="str">
        <f>IFERROR(IF(INDEX(MASTER!$O$2:$O$2000,MATCH($A18,MASTER!$A$2:$A$2000,0))="","",INDEX(MASTER!$O$2:$O$2000,MATCH($A18,MASTER!$A$2:$A$2000,0))),"")</f>
        <v/>
      </c>
      <c r="J18" s="12" t="str">
        <f>IFERROR(INDEX(MASTER!$P$2:$P$2000,MATCH($A18,MASTER!$A$2:$A$2000,0))&amp;"","")</f>
        <v/>
      </c>
      <c r="K18" s="12" t="str">
        <f>IFERROR(INDEX(MASTER!$Q$2:$Q$2000,MATCH($A18,MASTER!$A$2:$A$2000,0))&amp;"","")</f>
        <v>Mandatory before launch: yes. The live check is the owner's: two test accounts; the steps are in AI-CONTINUATION.</v>
      </c>
      <c r="L18" s="12" t="str">
        <f>IFERROR(INDEX(MASTER!$R$2:$R$2000,MATCH($A18,MASTER!$A$2:$A$2000,0))&amp;"","")</f>
        <v/>
      </c>
    </row>
    <row r="19" spans="1:12" x14ac:dyDescent="0.25">
      <c r="A19" s="15" t="s">
        <v>1457</v>
      </c>
      <c r="B19" s="12" t="str">
        <f>IFERROR(INDEX(MASTER!$C$2:$C$2000,MATCH($A19,MASTER!$A$2:$A$2000,0))&amp;"","")</f>
        <v>RELEASE</v>
      </c>
      <c r="C19" s="16">
        <f>IFERROR(INDEX(MASTER!$B$2:$B$2000,MATCH($A19,MASTER!$A$2:$A$2000,0)),"")</f>
        <v>19</v>
      </c>
      <c r="D19" s="12" t="str">
        <f>IFERROR(INDEX(MASTER!$D$2:$D$2000,MATCH($A19,MASTER!$A$2:$A$2000,0))&amp;"","")</f>
        <v>Rollback readiness</v>
      </c>
      <c r="E19" s="12" t="str">
        <f>IFERROR(INDEX(MASTER!$F$2:$F$2000,MATCH($A19,MASTER!$A$2:$A$2000,0))&amp;"","")</f>
        <v>P1</v>
      </c>
      <c r="F19" s="12" t="str">
        <f>IFERROR(INDEX(MASTER!$G$2:$G$2000,MATCH($A19,MASTER!$A$2:$A$2000,0))&amp;"","NOT IN MASTER")</f>
        <v>IN_PROGRESS</v>
      </c>
      <c r="G19" s="12" t="str">
        <f>IFERROR(INDEX(MASTER!$H$2:$H$2000,MATCH($A19,MASTER!$A$2:$A$2000,0))&amp;"","")</f>
        <v>Rollback = Vercel Instant Rollback (docs/deployment/vercel.md). Production rollback candidates (CLI, read-only, 2026-10-13): dpl_HxSobnp5... (4c8fdca, the current production, built with DATABASE_POOLER/JOB_BACKEND set) and dpl_4r5fQJMN... (4c8fdca, built before those settings: it would bring the prepared-statement errors back -- not a safe target). No schema change in this release.</v>
      </c>
      <c r="H19" s="12" t="str">
        <f>IFERROR(INDEX(MASTER!$I$2:$I$2000,MATCH($A19,MASTER!$A$2:$A$2000,0))&amp;"","")</f>
        <v/>
      </c>
      <c r="I19" s="19" t="str">
        <f>IFERROR(IF(INDEX(MASTER!$O$2:$O$2000,MATCH($A19,MASTER!$A$2:$A$2000,0))="","",INDEX(MASTER!$O$2:$O$2000,MATCH($A19,MASTER!$A$2:$A$2000,0))),"")</f>
        <v/>
      </c>
      <c r="J19" s="12" t="str">
        <f>IFERROR(INDEX(MASTER!$P$2:$P$2000,MATCH($A19,MASTER!$A$2:$A$2000,0))&amp;"","")</f>
        <v/>
      </c>
      <c r="K19" s="12" t="str">
        <f>IFERROR(INDEX(MASTER!$Q$2:$Q$2000,MATCH($A19,MASTER!$A$2:$A$2000,0))&amp;"","")</f>
        <v>Mandatory before launch: yes (documented). After the next promotion the safe target is dpl_HxSobnp5...; a deployment keeps the settings it was built with.</v>
      </c>
      <c r="L19" s="12" t="str">
        <f>IFERROR(INDEX(MASTER!$R$2:$R$2000,MATCH($A19,MASTER!$A$2:$A$2000,0))&amp;"","")</f>
        <v/>
      </c>
    </row>
    <row r="20" spans="1:12" x14ac:dyDescent="0.25">
      <c r="A20" s="15" t="s">
        <v>1462</v>
      </c>
      <c r="B20" s="12" t="str">
        <f>IFERROR(INDEX(MASTER!$C$2:$C$2000,MATCH($A20,MASTER!$A$2:$A$2000,0))&amp;"","")</f>
        <v>RELEASE</v>
      </c>
      <c r="C20" s="16">
        <f>IFERROR(INDEX(MASTER!$B$2:$B$2000,MATCH($A20,MASTER!$A$2:$A$2000,0)),"")</f>
        <v>19</v>
      </c>
      <c r="D20" s="12" t="str">
        <f>IFERROR(INDEX(MASTER!$D$2:$D$2000,MATCH($A20,MASTER!$A$2:$A$2000,0))&amp;"","")</f>
        <v>Known limitations stated to users</v>
      </c>
      <c r="E20" s="12" t="str">
        <f>IFERROR(INDEX(MASTER!$F$2:$F$2000,MATCH($A20,MASTER!$A$2:$A$2000,0))&amp;"","")</f>
        <v>P1</v>
      </c>
      <c r="F20" s="12" t="str">
        <f>IFERROR(INDEX(MASTER!$G$2:$G$2000,MATCH($A20,MASTER!$A$2:$A$2000,0))&amp;"","NOT IN MASTER")</f>
        <v>IMPLEMENTED</v>
      </c>
      <c r="G20" s="12" t="str">
        <f>IFERROR(INDEX(MASTER!$H$2:$H$2000,MATCH($A20,MASTER!$A$2:$A$2000,0))&amp;"","")</f>
        <v>The upload screen names the smaller of the plan's limit and MAX_UPLOAD_SIZE_MB (CreateDocumentWizard, entitlements_service.effective); the Vercel image now defaults MAX_UPLOAD_SIZE_MB=4, MAX_REQUEST_SIZE_MB=5 (e94afca). README 'The first public release' and docs/deployment/vercel.md 'Limits' list what v1 doesn't do (4 MB files, no e-mail, no payments, 300 s). The forgot-password page says resetting isn't available (ad60739).</v>
      </c>
      <c r="H20" s="12" t="str">
        <f>IFERROR(INDEX(MASTER!$I$2:$I$2000,MATCH($A20,MASTER!$A$2:$A$2000,0))&amp;"","")</f>
        <v>tests/test_release_config.py::test_the_vercel_image_keeps_bodies_under_vercels_limit; test_email_disabled.py. Pending: the page text on the live URL (REL-022).</v>
      </c>
      <c r="I20" s="19" t="str">
        <f>IFERROR(IF(INDEX(MASTER!$O$2:$O$2000,MATCH($A20,MASTER!$A$2:$A$2000,0))="","",INDEX(MASTER!$O$2:$O$2000,MATCH($A20,MASTER!$A$2:$A$2000,0))),"")</f>
        <v/>
      </c>
      <c r="J20" s="12" t="str">
        <f>IFERROR(INDEX(MASTER!$P$2:$P$2000,MATCH($A20,MASTER!$A$2:$A$2000,0))&amp;"","")</f>
        <v>e94afca</v>
      </c>
      <c r="K20" s="12" t="str">
        <f>IFERROR(INDEX(MASTER!$Q$2:$Q$2000,MATCH($A20,MASTER!$A$2:$A$2000,0))&amp;"","")</f>
        <v>Mandatory before launch: yes.</v>
      </c>
      <c r="L20" s="12" t="str">
        <f>IFERROR(INDEX(MASTER!$R$2:$R$2000,MATCH($A20,MASTER!$A$2:$A$2000,0))&amp;"","")</f>
        <v/>
      </c>
    </row>
    <row r="21" spans="1:12" x14ac:dyDescent="0.25">
      <c r="A21" s="15" t="s">
        <v>1469</v>
      </c>
      <c r="B21" s="12" t="str">
        <f>IFERROR(INDEX(MASTER!$C$2:$C$2000,MATCH($A21,MASTER!$A$2:$A$2000,0))&amp;"","")</f>
        <v>RELEASE</v>
      </c>
      <c r="C21" s="16">
        <f>IFERROR(INDEX(MASTER!$B$2:$B$2000,MATCH($A21,MASTER!$A$2:$A$2000,0)),"")</f>
        <v>19</v>
      </c>
      <c r="D21" s="12" t="str">
        <f>IFERROR(INDEX(MASTER!$D$2:$D$2000,MATCH($A21,MASTER!$A$2:$A$2000,0))&amp;"","")</f>
        <v>Post-launch: scheduled sweep and stuck-job recovery</v>
      </c>
      <c r="E21" s="12" t="str">
        <f>IFERROR(INDEX(MASTER!$F$2:$F$2000,MATCH($A21,MASTER!$A$2:$A$2000,0))&amp;"","")</f>
        <v>P2</v>
      </c>
      <c r="F21" s="12" t="str">
        <f>IFERROR(INDEX(MASTER!$G$2:$G$2000,MATCH($A21,MASTER!$A$2:$A$2000,0))&amp;"","NOT IN MASTER")</f>
        <v>NOT_STARTED</v>
      </c>
      <c r="G21" s="12" t="str">
        <f>IFERROR(INDEX(MASTER!$H$2:$H$2000,MATCH($A21,MASTER!$A$2:$A$2000,0))&amp;"","")</f>
        <v/>
      </c>
      <c r="H21" s="12" t="str">
        <f>IFERROR(INDEX(MASTER!$I$2:$I$2000,MATCH($A21,MASTER!$A$2:$A$2000,0))&amp;"","")</f>
        <v/>
      </c>
      <c r="I21" s="19" t="str">
        <f>IFERROR(IF(INDEX(MASTER!$O$2:$O$2000,MATCH($A21,MASTER!$A$2:$A$2000,0))="","",INDEX(MASTER!$O$2:$O$2000,MATCH($A21,MASTER!$A$2:$A$2000,0))),"")</f>
        <v/>
      </c>
      <c r="J21" s="12" t="str">
        <f>IFERROR(INDEX(MASTER!$P$2:$P$2000,MATCH($A21,MASTER!$A$2:$A$2000,0))&amp;"","")</f>
        <v/>
      </c>
      <c r="K21" s="12" t="str">
        <f>IFERROR(INDEX(MASTER!$Q$2:$Q$2000,MATCH($A21,MASTER!$A$2:$A$2000,0))&amp;"","")</f>
        <v>Mandatory before launch: no (post-launch).</v>
      </c>
      <c r="L21" s="12" t="str">
        <f>IFERROR(INDEX(MASTER!$R$2:$R$2000,MATCH($A21,MASTER!$A$2:$A$2000,0))&amp;"","")</f>
        <v/>
      </c>
    </row>
    <row r="22" spans="1:12" x14ac:dyDescent="0.25">
      <c r="A22" s="15" t="s">
        <v>1474</v>
      </c>
      <c r="B22" s="12" t="str">
        <f>IFERROR(INDEX(MASTER!$C$2:$C$2000,MATCH($A22,MASTER!$A$2:$A$2000,0))&amp;"","")</f>
        <v>RELEASE</v>
      </c>
      <c r="C22" s="16">
        <f>IFERROR(INDEX(MASTER!$B$2:$B$2000,MATCH($A22,MASTER!$A$2:$A$2000,0)),"")</f>
        <v>19</v>
      </c>
      <c r="D22" s="12" t="str">
        <f>IFERROR(INDEX(MASTER!$D$2:$D$2000,MATCH($A22,MASTER!$A$2:$A$2000,0))&amp;"","")</f>
        <v>Post-launch: frontend error monitoring and product analytics</v>
      </c>
      <c r="E22" s="12" t="str">
        <f>IFERROR(INDEX(MASTER!$F$2:$F$2000,MATCH($A22,MASTER!$A$2:$A$2000,0))&amp;"","")</f>
        <v>P2</v>
      </c>
      <c r="F22" s="12" t="str">
        <f>IFERROR(INDEX(MASTER!$G$2:$G$2000,MATCH($A22,MASTER!$A$2:$A$2000,0))&amp;"","NOT IN MASTER")</f>
        <v>NOT_STARTED</v>
      </c>
      <c r="G22" s="12" t="str">
        <f>IFERROR(INDEX(MASTER!$H$2:$H$2000,MATCH($A22,MASTER!$A$2:$A$2000,0))&amp;"","")</f>
        <v/>
      </c>
      <c r="H22" s="12" t="str">
        <f>IFERROR(INDEX(MASTER!$I$2:$I$2000,MATCH($A22,MASTER!$A$2:$A$2000,0))&amp;"","")</f>
        <v/>
      </c>
      <c r="I22" s="19" t="str">
        <f>IFERROR(IF(INDEX(MASTER!$O$2:$O$2000,MATCH($A22,MASTER!$A$2:$A$2000,0))="","",INDEX(MASTER!$O$2:$O$2000,MATCH($A22,MASTER!$A$2:$A$2000,0))),"")</f>
        <v/>
      </c>
      <c r="J22" s="12" t="str">
        <f>IFERROR(INDEX(MASTER!$P$2:$P$2000,MATCH($A22,MASTER!$A$2:$A$2000,0))&amp;"","")</f>
        <v/>
      </c>
      <c r="K22" s="12" t="str">
        <f>IFERROR(INDEX(MASTER!$Q$2:$Q$2000,MATCH($A22,MASTER!$A$2:$A$2000,0))&amp;"","")</f>
        <v>Mandatory before launch: no.</v>
      </c>
      <c r="L22" s="12" t="str">
        <f>IFERROR(INDEX(MASTER!$R$2:$R$2000,MATCH($A22,MASTER!$A$2:$A$2000,0))&amp;"","")</f>
        <v/>
      </c>
    </row>
    <row r="23" spans="1:12" x14ac:dyDescent="0.25">
      <c r="A23" s="15" t="s">
        <v>1478</v>
      </c>
      <c r="B23" s="12" t="str">
        <f>IFERROR(INDEX(MASTER!$C$2:$C$2000,MATCH($A23,MASTER!$A$2:$A$2000,0))&amp;"","")</f>
        <v>RELEASE</v>
      </c>
      <c r="C23" s="16">
        <f>IFERROR(INDEX(MASTER!$B$2:$B$2000,MATCH($A23,MASTER!$A$2:$A$2000,0)),"")</f>
        <v>19</v>
      </c>
      <c r="D23" s="12" t="str">
        <f>IFERROR(INDEX(MASTER!$D$2:$D$2000,MATCH($A23,MASTER!$A$2:$A$2000,0))&amp;"","")</f>
        <v>Post-launch: transactional e-mail</v>
      </c>
      <c r="E23" s="12" t="str">
        <f>IFERROR(INDEX(MASTER!$F$2:$F$2000,MATCH($A23,MASTER!$A$2:$A$2000,0))&amp;"","")</f>
        <v>P2</v>
      </c>
      <c r="F23" s="12" t="str">
        <f>IFERROR(INDEX(MASTER!$G$2:$G$2000,MATCH($A23,MASTER!$A$2:$A$2000,0))&amp;"","NOT IN MASTER")</f>
        <v>NOT_STARTED</v>
      </c>
      <c r="G23" s="12" t="str">
        <f>IFERROR(INDEX(MASTER!$H$2:$H$2000,MATCH($A23,MASTER!$A$2:$A$2000,0))&amp;"","")</f>
        <v/>
      </c>
      <c r="H23" s="12" t="str">
        <f>IFERROR(INDEX(MASTER!$I$2:$I$2000,MATCH($A23,MASTER!$A$2:$A$2000,0))&amp;"","")</f>
        <v/>
      </c>
      <c r="I23" s="19" t="str">
        <f>IFERROR(IF(INDEX(MASTER!$O$2:$O$2000,MATCH($A23,MASTER!$A$2:$A$2000,0))="","",INDEX(MASTER!$O$2:$O$2000,MATCH($A23,MASTER!$A$2:$A$2000,0))),"")</f>
        <v/>
      </c>
      <c r="J23" s="12" t="str">
        <f>IFERROR(INDEX(MASTER!$P$2:$P$2000,MATCH($A23,MASTER!$A$2:$A$2000,0))&amp;"","")</f>
        <v/>
      </c>
      <c r="K23" s="12" t="str">
        <f>IFERROR(INDEX(MASTER!$Q$2:$Q$2000,MATCH($A23,MASTER!$A$2:$A$2000,0))&amp;"","")</f>
        <v>Mandatory before launch: no. Needs a domain the owner owns.</v>
      </c>
      <c r="L23" s="12" t="str">
        <f>IFERROR(INDEX(MASTER!$R$2:$R$2000,MATCH($A23,MASTER!$A$2:$A$2000,0))&amp;"","")</f>
        <v/>
      </c>
    </row>
    <row r="24" spans="1:12" x14ac:dyDescent="0.25">
      <c r="A24" s="15" t="s">
        <v>1483</v>
      </c>
      <c r="B24" s="12" t="str">
        <f>IFERROR(INDEX(MASTER!$C$2:$C$2000,MATCH($A24,MASTER!$A$2:$A$2000,0))&amp;"","")</f>
        <v>RELEASE</v>
      </c>
      <c r="C24" s="16">
        <f>IFERROR(INDEX(MASTER!$B$2:$B$2000,MATCH($A24,MASTER!$A$2:$A$2000,0)),"")</f>
        <v>19</v>
      </c>
      <c r="D24" s="12" t="str">
        <f>IFERROR(INDEX(MASTER!$D$2:$D$2000,MATCH($A24,MASTER!$A$2:$A$2000,0))&amp;"","")</f>
        <v>Post-launch: shared rate limits and a job worker</v>
      </c>
      <c r="E24" s="12" t="str">
        <f>IFERROR(INDEX(MASTER!$F$2:$F$2000,MATCH($A24,MASTER!$A$2:$A$2000,0))&amp;"","")</f>
        <v>P2</v>
      </c>
      <c r="F24" s="12" t="str">
        <f>IFERROR(INDEX(MASTER!$G$2:$G$2000,MATCH($A24,MASTER!$A$2:$A$2000,0))&amp;"","NOT IN MASTER")</f>
        <v>NOT_STARTED</v>
      </c>
      <c r="G24" s="12" t="str">
        <f>IFERROR(INDEX(MASTER!$H$2:$H$2000,MATCH($A24,MASTER!$A$2:$A$2000,0))&amp;"","")</f>
        <v/>
      </c>
      <c r="H24" s="12" t="str">
        <f>IFERROR(INDEX(MASTER!$I$2:$I$2000,MATCH($A24,MASTER!$A$2:$A$2000,0))&amp;"","")</f>
        <v/>
      </c>
      <c r="I24" s="19" t="str">
        <f>IFERROR(IF(INDEX(MASTER!$O$2:$O$2000,MATCH($A24,MASTER!$A$2:$A$2000,0))="","",INDEX(MASTER!$O$2:$O$2000,MATCH($A24,MASTER!$A$2:$A$2000,0))),"")</f>
        <v/>
      </c>
      <c r="J24" s="12" t="str">
        <f>IFERROR(INDEX(MASTER!$P$2:$P$2000,MATCH($A24,MASTER!$A$2:$A$2000,0))&amp;"","")</f>
        <v/>
      </c>
      <c r="K24" s="12" t="str">
        <f>IFERROR(INDEX(MASTER!$Q$2:$Q$2000,MATCH($A24,MASTER!$A$2:$A$2000,0))&amp;"","")</f>
        <v>Mandatory before launch: no.</v>
      </c>
      <c r="L24" s="12" t="str">
        <f>IFERROR(INDEX(MASTER!$R$2:$R$2000,MATCH($A24,MASTER!$A$2:$A$2000,0))&amp;"","")</f>
        <v/>
      </c>
    </row>
    <row r="25" spans="1:12" x14ac:dyDescent="0.25">
      <c r="A25" s="15" t="s">
        <v>1487</v>
      </c>
      <c r="B25" s="12" t="str">
        <f>IFERROR(INDEX(MASTER!$C$2:$C$2000,MATCH($A25,MASTER!$A$2:$A$2000,0))&amp;"","")</f>
        <v>RELEASE</v>
      </c>
      <c r="C25" s="16">
        <f>IFERROR(INDEX(MASTER!$B$2:$B$2000,MATCH($A25,MASTER!$A$2:$A$2000,0)),"")</f>
        <v>19</v>
      </c>
      <c r="D25" s="12" t="str">
        <f>IFERROR(INDEX(MASTER!$D$2:$D$2000,MATCH($A25,MASTER!$A$2:$A$2000,0))&amp;"","")</f>
        <v>Post-launch: commercial plan before charging</v>
      </c>
      <c r="E25" s="12" t="str">
        <f>IFERROR(INDEX(MASTER!$F$2:$F$2000,MATCH($A25,MASTER!$A$2:$A$2000,0))&amp;"","")</f>
        <v>P2</v>
      </c>
      <c r="F25" s="12" t="str">
        <f>IFERROR(INDEX(MASTER!$G$2:$G$2000,MATCH($A25,MASTER!$A$2:$A$2000,0))&amp;"","NOT IN MASTER")</f>
        <v>NOT_STARTED</v>
      </c>
      <c r="G25" s="12" t="str">
        <f>IFERROR(INDEX(MASTER!$H$2:$H$2000,MATCH($A25,MASTER!$A$2:$A$2000,0))&amp;"","")</f>
        <v/>
      </c>
      <c r="H25" s="12" t="str">
        <f>IFERROR(INDEX(MASTER!$I$2:$I$2000,MATCH($A25,MASTER!$A$2:$A$2000,0))&amp;"","")</f>
        <v/>
      </c>
      <c r="I25" s="19" t="str">
        <f>IFERROR(IF(INDEX(MASTER!$O$2:$O$2000,MATCH($A25,MASTER!$A$2:$A$2000,0))="","",INDEX(MASTER!$O$2:$O$2000,MATCH($A25,MASTER!$A$2:$A$2000,0))),"")</f>
        <v/>
      </c>
      <c r="J25" s="12" t="str">
        <f>IFERROR(INDEX(MASTER!$P$2:$P$2000,MATCH($A25,MASTER!$A$2:$A$2000,0))&amp;"","")</f>
        <v/>
      </c>
      <c r="K25" s="12" t="str">
        <f>IFERROR(INDEX(MASTER!$Q$2:$Q$2000,MATCH($A25,MASTER!$A$2:$A$2000,0))&amp;"","")</f>
        <v>Mandatory before launch: no. Owner decisions.</v>
      </c>
      <c r="L25" s="12" t="str">
        <f>IFERROR(INDEX(MASTER!$R$2:$R$2000,MATCH($A25,MASTER!$A$2:$A$2000,0))&amp;"","")</f>
        <v/>
      </c>
    </row>
    <row r="26" spans="1:12" x14ac:dyDescent="0.25">
      <c r="A26" s="15" t="s">
        <v>1492</v>
      </c>
      <c r="B26" s="12" t="str">
        <f>IFERROR(INDEX(MASTER!$C$2:$C$2000,MATCH($A26,MASTER!$A$2:$A$2000,0))&amp;"","")</f>
        <v>RELEASE</v>
      </c>
      <c r="C26" s="16">
        <f>IFERROR(INDEX(MASTER!$B$2:$B$2000,MATCH($A26,MASTER!$A$2:$A$2000,0)),"")</f>
        <v>19</v>
      </c>
      <c r="D26" s="12" t="str">
        <f>IFERROR(INDEX(MASTER!$D$2:$D$2000,MATCH($A26,MASTER!$A$2:$A$2000,0))&amp;"","")</f>
        <v>Post-launch audit of untested and unverified capabilities</v>
      </c>
      <c r="E26" s="12" t="str">
        <f>IFERROR(INDEX(MASTER!$F$2:$F$2000,MATCH($A26,MASTER!$A$2:$A$2000,0))&amp;"","")</f>
        <v>P1</v>
      </c>
      <c r="F26" s="12" t="str">
        <f>IFERROR(INDEX(MASTER!$G$2:$G$2000,MATCH($A26,MASTER!$A$2:$A$2000,0))&amp;"","NOT IN MASTER")</f>
        <v>NOT_STARTED</v>
      </c>
      <c r="G26" s="12" t="str">
        <f>IFERROR(INDEX(MASTER!$H$2:$H$2000,MATCH($A26,MASTER!$A$2:$A$2000,0))&amp;"","")</f>
        <v/>
      </c>
      <c r="H26" s="12" t="str">
        <f>IFERROR(INDEX(MASTER!$I$2:$I$2000,MATCH($A26,MASTER!$A$2:$A$2000,0))&amp;"","")</f>
        <v/>
      </c>
      <c r="I26" s="19" t="str">
        <f>IFERROR(IF(INDEX(MASTER!$O$2:$O$2000,MATCH($A26,MASTER!$A$2:$A$2000,0))="","",INDEX(MASTER!$O$2:$O$2000,MATCH($A26,MASTER!$A$2:$A$2000,0))),"")</f>
        <v/>
      </c>
      <c r="J26" s="12" t="str">
        <f>IFERROR(INDEX(MASTER!$P$2:$P$2000,MATCH($A26,MASTER!$A$2:$A$2000,0))&amp;"","")</f>
        <v/>
      </c>
      <c r="K26" s="12" t="str">
        <f>IFERROR(INDEX(MASTER!$Q$2:$Q$2000,MATCH($A26,MASTER!$A$2:$A$2000,0))&amp;"","")</f>
        <v>Mandatory before launch: no (release blockers found are fixed before).</v>
      </c>
      <c r="L26" s="12" t="str">
        <f>IFERROR(INDEX(MASTER!$R$2:$R$2000,MATCH($A26,MASTER!$A$2:$A$2000,0))&amp;"","")</f>
        <v/>
      </c>
    </row>
    <row r="27" spans="1:12" x14ac:dyDescent="0.25">
      <c r="A27" s="15" t="s">
        <v>1496</v>
      </c>
      <c r="B27" s="12" t="str">
        <f>IFERROR(INDEX(MASTER!$C$2:$C$2000,MATCH($A27,MASTER!$A$2:$A$2000,0))&amp;"","")</f>
        <v>RELEASE</v>
      </c>
      <c r="C27" s="16">
        <f>IFERROR(INDEX(MASTER!$B$2:$B$2000,MATCH($A27,MASTER!$A$2:$A$2000,0)),"")</f>
        <v>19</v>
      </c>
      <c r="D27" s="12" t="str">
        <f>IFERROR(INDEX(MASTER!$D$2:$D$2000,MATCH($A27,MASTER!$A$2:$A$2000,0))&amp;"","")</f>
        <v>Development data in the production database</v>
      </c>
      <c r="E27" s="12" t="str">
        <f>IFERROR(INDEX(MASTER!$F$2:$F$2000,MATCH($A27,MASTER!$A$2:$A$2000,0))&amp;"","")</f>
        <v>P1</v>
      </c>
      <c r="F27" s="12" t="str">
        <f>IFERROR(INDEX(MASTER!$G$2:$G$2000,MATCH($A27,MASTER!$A$2:$A$2000,0))&amp;"","NOT IN MASTER")</f>
        <v>NOT_STARTED</v>
      </c>
      <c r="G27" s="12" t="str">
        <f>IFERROR(INDEX(MASTER!$H$2:$H$2000,MATCH($A27,MASTER!$A$2:$A$2000,0))&amp;"","")</f>
        <v/>
      </c>
      <c r="H27" s="12" t="str">
        <f>IFERROR(INDEX(MASTER!$I$2:$I$2000,MATCH($A27,MASTER!$A$2:$A$2000,0))&amp;"","")</f>
        <v/>
      </c>
      <c r="I27" s="19" t="str">
        <f>IFERROR(IF(INDEX(MASTER!$O$2:$O$2000,MATCH($A27,MASTER!$A$2:$A$2000,0))="","",INDEX(MASTER!$O$2:$O$2000,MATCH($A27,MASTER!$A$2:$A$2000,0))),"")</f>
        <v/>
      </c>
      <c r="J27" s="12" t="str">
        <f>IFERROR(INDEX(MASTER!$P$2:$P$2000,MATCH($A27,MASTER!$A$2:$A$2000,0))&amp;"","")</f>
        <v/>
      </c>
      <c r="K27" s="12" t="str">
        <f>IFERROR(INDEX(MASTER!$Q$2:$Q$2000,MATCH($A27,MASTER!$A$2:$A$2000,0))&amp;"","")</f>
        <v>Mandatory before launch: yes (decision only). Never deleted without the owner's explicit approval.</v>
      </c>
      <c r="L27" s="12" t="str">
        <f>IFERROR(INDEX(MASTER!$R$2:$R$2000,MATCH($A27,MASTER!$A$2:$A$2000,0))&amp;"","")</f>
        <v/>
      </c>
    </row>
    <row r="28" spans="1:12" x14ac:dyDescent="0.25">
      <c r="A28" s="15" t="s">
        <v>1500</v>
      </c>
      <c r="B28" s="12" t="str">
        <f>IFERROR(INDEX(MASTER!$C$2:$C$2000,MATCH($A28,MASTER!$A$2:$A$2000,0))&amp;"","")</f>
        <v>RELEASE</v>
      </c>
      <c r="C28" s="16">
        <f>IFERROR(INDEX(MASTER!$B$2:$B$2000,MATCH($A28,MASTER!$A$2:$A$2000,0)),"")</f>
        <v>19</v>
      </c>
      <c r="D28" s="12" t="str">
        <f>IFERROR(INDEX(MASTER!$D$2:$D$2000,MATCH($A28,MASTER!$A$2:$A$2000,0))&amp;"","")</f>
        <v>E-mail off is said plainly: no false 'link sent'</v>
      </c>
      <c r="E28" s="12" t="str">
        <f>IFERROR(INDEX(MASTER!$F$2:$F$2000,MATCH($A28,MASTER!$A$2:$A$2000,0))&amp;"","")</f>
        <v>P0</v>
      </c>
      <c r="F28" s="12" t="str">
        <f>IFERROR(INDEX(MASTER!$G$2:$G$2000,MATCH($A28,MASTER!$A$2:$A$2000,0))&amp;"","NOT IN MASTER")</f>
        <v>IMPLEMENTED</v>
      </c>
      <c r="G28" s="12" t="str">
        <f>IFERROR(INDEX(MASTER!$H$2:$H$2000,MATCH($A28,MASTER!$A$2:$A$2000,0))&amp;"","")</f>
        <v>EMAIL_BACKEND=disabled (config, DisabledSender, Dockerfile.vercel default); GET /api/v1/auth/email-delivery; 503 for password-reset and verify-email while off; VerifyEmailBanner, ForgotPasswordForm and the account-deleted notice follow it. Seen on a throwaway local server with e-mail off (scripts/e2e_server.py E2E_EMAIL_BACKEND=disabled): the forgot-password page says it isn't available, the dashboard shows no banner.</v>
      </c>
      <c r="H28" s="12" t="str">
        <f>IFERROR(INDEX(MASTER!$I$2:$I$2000,MATCH($A28,MASTER!$A$2:$A$2000,0))&amp;"","")</f>
        <v>tests/test_email_disabled.py (7); VerifyEmail.test.tsx + PasswordResetForms.test.tsx (11); backend full run; Vitest 368; tsc, next build. Pending: the deployment.</v>
      </c>
      <c r="I28" s="19" t="str">
        <f>IFERROR(IF(INDEX(MASTER!$O$2:$O$2000,MATCH($A28,MASTER!$A$2:$A$2000,0))="","",INDEX(MASTER!$O$2:$O$2000,MATCH($A28,MASTER!$A$2:$A$2000,0))),"")</f>
        <v/>
      </c>
      <c r="J28" s="12" t="str">
        <f>IFERROR(INDEX(MASTER!$P$2:$P$2000,MATCH($A28,MASTER!$A$2:$A$2000,0))&amp;"","")</f>
        <v>ad60739</v>
      </c>
      <c r="K28" s="12" t="str">
        <f>IFERROR(INDEX(MASTER!$Q$2:$Q$2000,MATCH($A28,MASTER!$A$2:$A$2000,0))&amp;"","")</f>
        <v>Mandatory before launch: yes. Found 2026-10-13: the owner pressed 'Send the link again', was told a link was sent, and none came (EMAIL_BACKEND defaulted to outbox: a file in the container).</v>
      </c>
      <c r="L28" s="12" t="str">
        <f>IFERROR(INDEX(MASTER!$R$2:$R$2000,MATCH($A28,MASTER!$A$2:$A$2000,0))&amp;"","")</f>
        <v/>
      </c>
    </row>
    <row r="29" spans="1:12" x14ac:dyDescent="0.25">
      <c r="A29" s="15" t="s">
        <v>1507</v>
      </c>
      <c r="B29" s="12" t="str">
        <f>IFERROR(INDEX(MASTER!$C$2:$C$2000,MATCH($A29,MASTER!$A$2:$A$2000,0))&amp;"","")</f>
        <v>RELEASE</v>
      </c>
      <c r="C29" s="16">
        <f>IFERROR(INDEX(MASTER!$B$2:$B$2000,MATCH($A29,MASTER!$A$2:$A$2000,0)),"")</f>
        <v>19</v>
      </c>
      <c r="D29" s="12" t="str">
        <f>IFERROR(INDEX(MASTER!$D$2:$D$2000,MATCH($A29,MASTER!$A$2:$A$2000,0))&amp;"","")</f>
        <v>Automated checks can reach the protected deployments</v>
      </c>
      <c r="E29" s="12" t="str">
        <f>IFERROR(INDEX(MASTER!$F$2:$F$2000,MATCH($A29,MASTER!$A$2:$A$2000,0))&amp;"","")</f>
        <v>P1</v>
      </c>
      <c r="F29" s="12" t="str">
        <f>IFERROR(INDEX(MASTER!$G$2:$G$2000,MATCH($A29,MASTER!$A$2:$A$2000,0))&amp;"","NOT IN MASTER")</f>
        <v>NOT_STARTED</v>
      </c>
      <c r="G29" s="12" t="str">
        <f>IFERROR(INDEX(MASTER!$H$2:$H$2000,MATCH($A29,MASTER!$A$2:$A$2000,0))&amp;"","")</f>
        <v/>
      </c>
      <c r="H29" s="12" t="str">
        <f>IFERROR(INDEX(MASTER!$I$2:$I$2000,MATCH($A29,MASTER!$A$2:$A$2000,0))&amp;"","")</f>
        <v/>
      </c>
      <c r="I29" s="19" t="str">
        <f>IFERROR(IF(INDEX(MASTER!$O$2:$O$2000,MATCH($A29,MASTER!$A$2:$A$2000,0))="","",INDEX(MASTER!$O$2:$O$2000,MATCH($A29,MASTER!$A$2:$A$2000,0))),"")</f>
        <v/>
      </c>
      <c r="J29" s="12" t="str">
        <f>IFERROR(INDEX(MASTER!$P$2:$P$2000,MATCH($A29,MASTER!$A$2:$A$2000,0))&amp;"","")</f>
        <v/>
      </c>
      <c r="K29" s="12" t="str">
        <f>IFERROR(INDEX(MASTER!$Q$2:$Q$2000,MATCH($A29,MASTER!$A$2:$A$2000,0))&amp;"","")</f>
        <v>Mandatory before launch: yes (or the owner runs the checks by hand). `vercel curl` would create the bypass secret itself (PATCH /protection-bypass), a change to the project's protection: not done without the owner's approval. The Vercel connector still gets 403 for scope drajeto.</v>
      </c>
      <c r="L29" s="12" t="str">
        <f>IFERROR(INDEX(MASTER!$R$2:$R$2000,MATCH($A29,MASTER!$A$2:$A$2000,0))&amp;"","")</f>
        <v/>
      </c>
    </row>
    <row r="30" spans="1:12" x14ac:dyDescent="0.25">
      <c r="A30" s="15" t="s">
        <v>1511</v>
      </c>
      <c r="B30" s="12" t="str">
        <f>IFERROR(INDEX(MASTER!$C$2:$C$2000,MATCH($A30,MASTER!$A$2:$A$2000,0))&amp;"","")</f>
        <v>RELEASE</v>
      </c>
      <c r="C30" s="16">
        <f>IFERROR(INDEX(MASTER!$B$2:$B$2000,MATCH($A30,MASTER!$A$2:$A$2000,0)),"")</f>
        <v>19</v>
      </c>
      <c r="D30" s="12" t="str">
        <f>IFERROR(INDEX(MASTER!$D$2:$D$2000,MATCH($A30,MASTER!$A$2:$A$2000,0))&amp;"","")</f>
        <v>Free public sign-up only with real e-mail and password reset</v>
      </c>
      <c r="E30" s="12" t="str">
        <f>IFERROR(INDEX(MASTER!$F$2:$F$2000,MATCH($A30,MASTER!$A$2:$A$2000,0))&amp;"","")</f>
        <v>P0</v>
      </c>
      <c r="F30" s="12" t="str">
        <f>IFERROR(INDEX(MASTER!$G$2:$G$2000,MATCH($A30,MASTER!$A$2:$A$2000,0))&amp;"","NOT IN MASTER")</f>
        <v>NOT_STARTED</v>
      </c>
      <c r="G30" s="12" t="str">
        <f>IFERROR(INDEX(MASTER!$H$2:$H$2000,MATCH($A30,MASTER!$A$2:$A$2000,0))&amp;"","")</f>
        <v/>
      </c>
      <c r="H30" s="12" t="str">
        <f>IFERROR(INDEX(MASTER!$I$2:$I$2000,MATCH($A30,MASTER!$A$2:$A$2000,0))&amp;"","")</f>
        <v/>
      </c>
      <c r="I30" s="19" t="str">
        <f>IFERROR(IF(INDEX(MASTER!$O$2:$O$2000,MATCH($A30,MASTER!$A$2:$A$2000,0))="","",INDEX(MASTER!$O$2:$O$2000,MATCH($A30,MASTER!$A$2:$A$2000,0))),"")</f>
        <v/>
      </c>
      <c r="J30" s="12" t="str">
        <f>IFERROR(INDEX(MASTER!$P$2:$P$2000,MATCH($A30,MASTER!$A$2:$A$2000,0))&amp;"","")</f>
        <v/>
      </c>
      <c r="K30" s="12" t="str">
        <f>IFERROR(INDEX(MASTER!$Q$2:$Q$2000,MATCH($A30,MASTER!$A$2:$A$2000,0))&amp;"","")</f>
        <v>Mandatory before public sign-up: yes. Until then only people the owner lets through Vercel Authentication reach the app.</v>
      </c>
      <c r="L30" s="12" t="str">
        <f>IFERROR(INDEX(MASTER!$R$2:$R$2000,MATCH($A30,MASTER!$A$2:$A$2000,0))&amp;"","")</f>
        <v/>
      </c>
    </row>
    <row r="31" spans="1:12" x14ac:dyDescent="0.25">
      <c r="A31" s="15" t="s">
        <v>1516</v>
      </c>
      <c r="B31" s="12" t="str">
        <f>IFERROR(INDEX(MASTER!$C$2:$C$2000,MATCH($A31,MASTER!$A$2:$A$2000,0))&amp;"","")</f>
        <v>RELEASE</v>
      </c>
      <c r="C31" s="16">
        <f>IFERROR(INDEX(MASTER!$B$2:$B$2000,MATCH($A31,MASTER!$A$2:$A$2000,0)),"")</f>
        <v>19</v>
      </c>
      <c r="D31" s="12" t="str">
        <f>IFERROR(INDEX(MASTER!$D$2:$D$2000,MATCH($A31,MASTER!$A$2:$A$2000,0))&amp;"","")</f>
        <v>FRONTEND_URL and CORS_ORIGINS name the production URL</v>
      </c>
      <c r="E31" s="12" t="str">
        <f>IFERROR(INDEX(MASTER!$F$2:$F$2000,MATCH($A31,MASTER!$A$2:$A$2000,0))&amp;"","")</f>
        <v>P2</v>
      </c>
      <c r="F31" s="12" t="str">
        <f>IFERROR(INDEX(MASTER!$G$2:$G$2000,MATCH($A31,MASTER!$A$2:$A$2000,0))&amp;"","NOT IN MASTER")</f>
        <v>NOT_STARTED</v>
      </c>
      <c r="G31" s="12" t="str">
        <f>IFERROR(INDEX(MASTER!$H$2:$H$2000,MATCH($A31,MASTER!$A$2:$A$2000,0))&amp;"","")</f>
        <v/>
      </c>
      <c r="H31" s="12" t="str">
        <f>IFERROR(INDEX(MASTER!$I$2:$I$2000,MATCH($A31,MASTER!$A$2:$A$2000,0))&amp;"","")</f>
        <v/>
      </c>
      <c r="I31" s="19" t="str">
        <f>IFERROR(IF(INDEX(MASTER!$O$2:$O$2000,MATCH($A31,MASTER!$A$2:$A$2000,0))="","",INDEX(MASTER!$O$2:$O$2000,MATCH($A31,MASTER!$A$2:$A$2000,0))),"")</f>
        <v/>
      </c>
      <c r="J31" s="12" t="str">
        <f>IFERROR(INDEX(MASTER!$P$2:$P$2000,MATCH($A31,MASTER!$A$2:$A$2000,0))&amp;"","")</f>
        <v/>
      </c>
      <c r="K31" s="12" t="str">
        <f>IFERROR(INDEX(MASTER!$Q$2:$Q$2000,MATCH($A31,MASTER!$A$2:$A$2000,0))&amp;"","")</f>
        <v>Mandatory before launch: no; before e-mail (REL-016) or billing (REL-018): yes.</v>
      </c>
      <c r="L31" s="12" t="str">
        <f>IFERROR(INDEX(MASTER!$R$2:$R$2000,MATCH($A31,MASTER!$A$2:$A$2000,0))&amp;"","")</f>
        <v/>
      </c>
    </row>
  </sheetData>
  <autoFilter ref="A7:L31" xr:uid="{00000000-0009-0000-0000-000011000000}"/>
  <conditionalFormatting sqref="E8:E31">
    <cfRule type="cellIs" dxfId="24" priority="19" operator="equal">
      <formula>"P0"</formula>
    </cfRule>
    <cfRule type="cellIs" dxfId="23" priority="20" operator="equal">
      <formula>"P1"</formula>
    </cfRule>
  </conditionalFormatting>
  <conditionalFormatting sqref="F8:F31">
    <cfRule type="cellIs" dxfId="22" priority="1" operator="equal">
      <formula>"DONE"</formula>
    </cfRule>
    <cfRule type="cellIs" dxfId="21" priority="2" operator="equal">
      <formula>"VERIFIED"</formula>
    </cfRule>
    <cfRule type="cellIs" dxfId="20" priority="3" operator="equal">
      <formula>"IN_PROGRESS"</formula>
    </cfRule>
    <cfRule type="cellIs" dxfId="19" priority="4" operator="equal">
      <formula>"IMPLEMENTED"</formula>
    </cfRule>
    <cfRule type="cellIs" dxfId="18" priority="5" operator="equal">
      <formula>"TESTING"</formula>
    </cfRule>
    <cfRule type="cellIs" dxfId="17" priority="6" operator="equal">
      <formula>"BLOCKED"</formula>
    </cfRule>
    <cfRule type="cellIs" dxfId="16" priority="7" operator="equal">
      <formula>"FAILED"</formula>
    </cfRule>
    <cfRule type="cellIs" dxfId="15" priority="8" operator="equal">
      <formula>"DEFERRED"</formula>
    </cfRule>
    <cfRule type="cellIs" dxfId="14" priority="9" operator="equal">
      <formula>"UNKNOWN"</formula>
    </cfRule>
    <cfRule type="cellIs" dxfId="13" priority="10" operator="equal">
      <formula>"PASS"</formula>
    </cfRule>
    <cfRule type="cellIs" dxfId="12" priority="11" operator="equal">
      <formula>"FAIL"</formula>
    </cfRule>
    <cfRule type="cellIs" dxfId="11" priority="12" operator="equal">
      <formula>"PARTIAL"</formula>
    </cfRule>
    <cfRule type="cellIs" dxfId="10" priority="13" operator="equal">
      <formula>"RESOLVED"</formula>
    </cfRule>
    <cfRule type="cellIs" dxfId="9" priority="14" operator="equal">
      <formula>"OPEN"</formula>
    </cfRule>
    <cfRule type="cellIs" dxfId="8" priority="15" operator="equal">
      <formula>"WITHIN"</formula>
    </cfRule>
    <cfRule type="cellIs" dxfId="7" priority="16" operator="equal">
      <formula>"OVER"</formula>
    </cfRule>
    <cfRule type="cellIs" dxfId="6" priority="17" operator="equal">
      <formula>"NOW"</formula>
    </cfRule>
    <cfRule type="cellIs" dxfId="5" priority="18" operator="equal">
      <formula>"NOT IN MASTER"</formula>
    </cfRule>
  </conditionalFormatting>
  <pageMargins left="0.75" right="0.75" top="1" bottom="1" header="0.5" footer="0.5"/>
  <pageSetup fitToHeight="0" orientation="landscape"/>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rgb="FF7F7F7F"/>
    <pageSetUpPr fitToPage="1"/>
  </sheetPr>
  <dimension ref="A1:I218"/>
  <sheetViews>
    <sheetView workbookViewId="0">
      <pane ySplit="1" topLeftCell="A2" activePane="bottomLeft" state="frozen"/>
      <selection pane="bottomLeft"/>
    </sheetView>
  </sheetViews>
  <sheetFormatPr defaultRowHeight="15" x14ac:dyDescent="0.25"/>
  <cols>
    <col min="1" max="1" width="17" customWidth="1"/>
    <col min="2" max="2" width="16" customWidth="1"/>
    <col min="3" max="3" width="7" customWidth="1"/>
    <col min="4" max="4" width="70" customWidth="1"/>
    <col min="5" max="5" width="45" customWidth="1"/>
    <col min="6" max="6" width="40" customWidth="1"/>
    <col min="7" max="7" width="9" customWidth="1"/>
    <col min="8" max="8" width="10" customWidth="1"/>
    <col min="9" max="9" width="40" customWidth="1"/>
  </cols>
  <sheetData>
    <row r="1" spans="1:9" x14ac:dyDescent="0.25">
      <c r="A1" s="10" t="s">
        <v>2332</v>
      </c>
      <c r="B1" s="10" t="s">
        <v>2333</v>
      </c>
      <c r="C1" s="10" t="s">
        <v>43</v>
      </c>
      <c r="D1" s="10" t="s">
        <v>2334</v>
      </c>
      <c r="E1" s="10" t="s">
        <v>2335</v>
      </c>
      <c r="F1" s="10" t="s">
        <v>171</v>
      </c>
      <c r="G1" s="10" t="s">
        <v>94</v>
      </c>
      <c r="H1" s="10" t="s">
        <v>177</v>
      </c>
      <c r="I1" s="10" t="s">
        <v>178</v>
      </c>
    </row>
    <row r="2" spans="1:9" ht="25.5" x14ac:dyDescent="0.25">
      <c r="A2" s="19">
        <v>46292.158703703702</v>
      </c>
      <c r="B2" s="12" t="s">
        <v>181</v>
      </c>
      <c r="C2" s="12">
        <v>0</v>
      </c>
      <c r="D2" s="18" t="s">
        <v>2336</v>
      </c>
      <c r="E2" s="18" t="s">
        <v>2337</v>
      </c>
      <c r="F2" s="18"/>
      <c r="G2" s="12" t="s">
        <v>2338</v>
      </c>
      <c r="H2" s="12"/>
      <c r="I2" s="18"/>
    </row>
    <row r="3" spans="1:9" ht="76.5" x14ac:dyDescent="0.25">
      <c r="A3" s="19">
        <v>46292.160995370366</v>
      </c>
      <c r="B3" s="12" t="s">
        <v>181</v>
      </c>
      <c r="C3" s="12">
        <v>0</v>
      </c>
      <c r="D3" s="18" t="s">
        <v>2339</v>
      </c>
      <c r="E3" s="18" t="s">
        <v>2340</v>
      </c>
      <c r="F3" s="18" t="s">
        <v>186</v>
      </c>
      <c r="G3" s="12" t="s">
        <v>1657</v>
      </c>
      <c r="H3" s="12"/>
      <c r="I3" s="18"/>
    </row>
    <row r="4" spans="1:9" ht="38.25" x14ac:dyDescent="0.25">
      <c r="A4" s="19">
        <v>46292.161030092589</v>
      </c>
      <c r="B4" s="12" t="s">
        <v>196</v>
      </c>
      <c r="C4" s="12">
        <v>0</v>
      </c>
      <c r="D4" s="18" t="s">
        <v>2341</v>
      </c>
      <c r="E4" s="18"/>
      <c r="F4" s="18" t="s">
        <v>201</v>
      </c>
      <c r="G4" s="12" t="s">
        <v>1657</v>
      </c>
      <c r="H4" s="12"/>
      <c r="I4" s="18"/>
    </row>
    <row r="5" spans="1:9" ht="63.75" x14ac:dyDescent="0.25">
      <c r="A5" s="19">
        <v>46292.161874999998</v>
      </c>
      <c r="B5" s="12" t="s">
        <v>190</v>
      </c>
      <c r="C5" s="12">
        <v>0</v>
      </c>
      <c r="D5" s="18" t="s">
        <v>2342</v>
      </c>
      <c r="E5" s="18" t="s">
        <v>2343</v>
      </c>
      <c r="F5" s="18" t="s">
        <v>194</v>
      </c>
      <c r="G5" s="12" t="s">
        <v>1657</v>
      </c>
      <c r="H5" s="12"/>
      <c r="I5" s="18"/>
    </row>
    <row r="6" spans="1:9" ht="25.5" x14ac:dyDescent="0.25">
      <c r="A6" s="19">
        <v>46292.167349537027</v>
      </c>
      <c r="B6" s="12" t="s">
        <v>203</v>
      </c>
      <c r="C6" s="12">
        <v>0</v>
      </c>
      <c r="D6" s="18" t="s">
        <v>2344</v>
      </c>
      <c r="E6" s="18" t="s">
        <v>249</v>
      </c>
      <c r="F6" s="18" t="s">
        <v>207</v>
      </c>
      <c r="G6" s="12" t="s">
        <v>1657</v>
      </c>
      <c r="H6" s="12"/>
      <c r="I6" s="18"/>
    </row>
    <row r="7" spans="1:9" ht="25.5" x14ac:dyDescent="0.25">
      <c r="A7" s="19">
        <v>46292.167395833327</v>
      </c>
      <c r="B7" s="12" t="s">
        <v>209</v>
      </c>
      <c r="C7" s="12">
        <v>0</v>
      </c>
      <c r="D7" s="18" t="s">
        <v>2345</v>
      </c>
      <c r="E7" s="18" t="s">
        <v>249</v>
      </c>
      <c r="F7" s="18" t="s">
        <v>213</v>
      </c>
      <c r="G7" s="12" t="s">
        <v>1657</v>
      </c>
      <c r="H7" s="12"/>
      <c r="I7" s="18"/>
    </row>
    <row r="8" spans="1:9" ht="38.25" x14ac:dyDescent="0.25">
      <c r="A8" s="19">
        <v>46292.167430555557</v>
      </c>
      <c r="B8" s="12" t="s">
        <v>215</v>
      </c>
      <c r="C8" s="12">
        <v>0</v>
      </c>
      <c r="D8" s="18" t="s">
        <v>2346</v>
      </c>
      <c r="E8" s="18" t="s">
        <v>249</v>
      </c>
      <c r="F8" s="18" t="s">
        <v>219</v>
      </c>
      <c r="G8" s="12" t="s">
        <v>1657</v>
      </c>
      <c r="H8" s="12"/>
      <c r="I8" s="18"/>
    </row>
    <row r="9" spans="1:9" ht="38.25" x14ac:dyDescent="0.25">
      <c r="A9" s="19">
        <v>46292.16746527778</v>
      </c>
      <c r="B9" s="12" t="s">
        <v>221</v>
      </c>
      <c r="C9" s="12">
        <v>0</v>
      </c>
      <c r="D9" s="18" t="s">
        <v>2347</v>
      </c>
      <c r="E9" s="18" t="s">
        <v>249</v>
      </c>
      <c r="F9" s="18" t="s">
        <v>225</v>
      </c>
      <c r="G9" s="12" t="s">
        <v>1657</v>
      </c>
      <c r="H9" s="12"/>
      <c r="I9" s="18"/>
    </row>
    <row r="10" spans="1:9" ht="38.25" x14ac:dyDescent="0.25">
      <c r="A10" s="19">
        <v>46292.167500000003</v>
      </c>
      <c r="B10" s="12" t="s">
        <v>227</v>
      </c>
      <c r="C10" s="12">
        <v>0</v>
      </c>
      <c r="D10" s="18" t="s">
        <v>2348</v>
      </c>
      <c r="E10" s="18" t="s">
        <v>249</v>
      </c>
      <c r="F10" s="18" t="s">
        <v>231</v>
      </c>
      <c r="G10" s="12" t="s">
        <v>1657</v>
      </c>
      <c r="H10" s="12"/>
      <c r="I10" s="18"/>
    </row>
    <row r="11" spans="1:9" ht="51" x14ac:dyDescent="0.25">
      <c r="A11" s="19">
        <v>46292.167534722219</v>
      </c>
      <c r="B11" s="12" t="s">
        <v>233</v>
      </c>
      <c r="C11" s="12">
        <v>0</v>
      </c>
      <c r="D11" s="18" t="s">
        <v>2349</v>
      </c>
      <c r="E11" s="18" t="s">
        <v>249</v>
      </c>
      <c r="F11" s="18" t="s">
        <v>237</v>
      </c>
      <c r="G11" s="12" t="s">
        <v>1657</v>
      </c>
      <c r="H11" s="12"/>
      <c r="I11" s="18"/>
    </row>
    <row r="12" spans="1:9" ht="38.25" x14ac:dyDescent="0.25">
      <c r="A12" s="19">
        <v>46292.167569444442</v>
      </c>
      <c r="B12" s="12" t="s">
        <v>240</v>
      </c>
      <c r="C12" s="12">
        <v>0</v>
      </c>
      <c r="D12" s="18" t="s">
        <v>2350</v>
      </c>
      <c r="E12" s="18" t="s">
        <v>249</v>
      </c>
      <c r="F12" s="18" t="s">
        <v>244</v>
      </c>
      <c r="G12" s="12" t="s">
        <v>1657</v>
      </c>
      <c r="H12" s="12"/>
      <c r="I12" s="18"/>
    </row>
    <row r="13" spans="1:9" ht="51" x14ac:dyDescent="0.25">
      <c r="A13" s="19">
        <v>46292.16815972222</v>
      </c>
      <c r="B13" s="12" t="s">
        <v>246</v>
      </c>
      <c r="C13" s="12">
        <v>0</v>
      </c>
      <c r="D13" s="18" t="s">
        <v>2351</v>
      </c>
      <c r="E13" s="18" t="s">
        <v>249</v>
      </c>
      <c r="F13" s="18" t="s">
        <v>250</v>
      </c>
      <c r="G13" s="12" t="s">
        <v>1657</v>
      </c>
      <c r="H13" s="12"/>
      <c r="I13" s="18"/>
    </row>
    <row r="14" spans="1:9" ht="38.25" x14ac:dyDescent="0.25">
      <c r="A14" s="19">
        <v>46292.171805555547</v>
      </c>
      <c r="B14" s="12" t="s">
        <v>2352</v>
      </c>
      <c r="C14" s="12">
        <v>0</v>
      </c>
      <c r="D14" s="18" t="s">
        <v>2353</v>
      </c>
      <c r="E14" s="18" t="s">
        <v>2354</v>
      </c>
      <c r="F14" s="18"/>
      <c r="G14" s="12" t="s">
        <v>1657</v>
      </c>
      <c r="H14" s="12" t="s">
        <v>189</v>
      </c>
      <c r="I14" s="18"/>
    </row>
    <row r="15" spans="1:9" ht="51" x14ac:dyDescent="0.25">
      <c r="A15" s="19">
        <v>46292.189722222232</v>
      </c>
      <c r="B15" s="12" t="s">
        <v>252</v>
      </c>
      <c r="C15" s="12">
        <v>1</v>
      </c>
      <c r="D15" s="18" t="s">
        <v>2355</v>
      </c>
      <c r="E15" s="18" t="s">
        <v>2356</v>
      </c>
      <c r="F15" s="18" t="s">
        <v>256</v>
      </c>
      <c r="G15" s="12" t="s">
        <v>1657</v>
      </c>
      <c r="H15" s="12"/>
      <c r="I15" s="18"/>
    </row>
    <row r="16" spans="1:9" ht="25.5" x14ac:dyDescent="0.25">
      <c r="A16" s="19">
        <v>46292.189768518518</v>
      </c>
      <c r="B16" s="12" t="s">
        <v>262</v>
      </c>
      <c r="C16" s="12">
        <v>1</v>
      </c>
      <c r="D16" s="18" t="s">
        <v>2357</v>
      </c>
      <c r="E16" s="18" t="s">
        <v>2358</v>
      </c>
      <c r="F16" s="18" t="s">
        <v>266</v>
      </c>
      <c r="G16" s="12" t="s">
        <v>1657</v>
      </c>
      <c r="H16" s="12"/>
      <c r="I16" s="18"/>
    </row>
    <row r="17" spans="1:9" ht="51" x14ac:dyDescent="0.25">
      <c r="A17" s="19">
        <v>46292.189803240741</v>
      </c>
      <c r="B17" s="12" t="s">
        <v>270</v>
      </c>
      <c r="C17" s="12">
        <v>1</v>
      </c>
      <c r="D17" s="18" t="s">
        <v>2359</v>
      </c>
      <c r="E17" s="18" t="s">
        <v>2360</v>
      </c>
      <c r="F17" s="18" t="s">
        <v>274</v>
      </c>
      <c r="G17" s="12" t="s">
        <v>1657</v>
      </c>
      <c r="H17" s="12"/>
      <c r="I17" s="18"/>
    </row>
    <row r="18" spans="1:9" ht="63.75" x14ac:dyDescent="0.25">
      <c r="A18" s="19">
        <v>46292.189837962957</v>
      </c>
      <c r="B18" s="12" t="s">
        <v>341</v>
      </c>
      <c r="C18" s="12">
        <v>1</v>
      </c>
      <c r="D18" s="18" t="s">
        <v>2361</v>
      </c>
      <c r="E18" s="18" t="s">
        <v>2362</v>
      </c>
      <c r="F18" s="18" t="s">
        <v>345</v>
      </c>
      <c r="G18" s="12" t="s">
        <v>1657</v>
      </c>
      <c r="H18" s="12"/>
      <c r="I18" s="18"/>
    </row>
    <row r="19" spans="1:9" ht="38.25" x14ac:dyDescent="0.25">
      <c r="A19" s="19">
        <v>46292.189872685187</v>
      </c>
      <c r="B19" s="12" t="s">
        <v>347</v>
      </c>
      <c r="C19" s="12">
        <v>1</v>
      </c>
      <c r="D19" s="18" t="s">
        <v>2363</v>
      </c>
      <c r="E19" s="18" t="s">
        <v>2364</v>
      </c>
      <c r="F19" s="18" t="s">
        <v>351</v>
      </c>
      <c r="G19" s="12" t="s">
        <v>1657</v>
      </c>
      <c r="H19" s="12"/>
      <c r="I19" s="18"/>
    </row>
    <row r="20" spans="1:9" ht="51" x14ac:dyDescent="0.25">
      <c r="A20" s="19">
        <v>46292.190057870372</v>
      </c>
      <c r="B20" s="12" t="s">
        <v>292</v>
      </c>
      <c r="C20" s="12">
        <v>1</v>
      </c>
      <c r="D20" s="18" t="s">
        <v>2365</v>
      </c>
      <c r="E20" s="18" t="s">
        <v>2366</v>
      </c>
      <c r="F20" s="18" t="s">
        <v>2367</v>
      </c>
      <c r="G20" s="12" t="s">
        <v>2338</v>
      </c>
      <c r="H20" s="12"/>
      <c r="I20" s="18"/>
    </row>
    <row r="21" spans="1:9" ht="38.25" x14ac:dyDescent="0.25">
      <c r="A21" s="19">
        <v>46292.193043981482</v>
      </c>
      <c r="B21" s="12" t="s">
        <v>330</v>
      </c>
      <c r="C21" s="12">
        <v>1</v>
      </c>
      <c r="D21" s="18" t="s">
        <v>2368</v>
      </c>
      <c r="E21" s="18" t="s">
        <v>2369</v>
      </c>
      <c r="F21" s="18" t="s">
        <v>334</v>
      </c>
      <c r="G21" s="12" t="s">
        <v>1657</v>
      </c>
      <c r="H21" s="12"/>
      <c r="I21" s="18"/>
    </row>
    <row r="22" spans="1:9" ht="38.25" x14ac:dyDescent="0.25">
      <c r="A22" s="19">
        <v>46292.196898148148</v>
      </c>
      <c r="B22" s="12" t="s">
        <v>2370</v>
      </c>
      <c r="C22" s="12">
        <v>1</v>
      </c>
      <c r="D22" s="18" t="s">
        <v>2371</v>
      </c>
      <c r="E22" s="18"/>
      <c r="F22" s="18"/>
      <c r="G22" s="12" t="s">
        <v>1657</v>
      </c>
      <c r="H22" s="12" t="s">
        <v>259</v>
      </c>
      <c r="I22" s="18"/>
    </row>
    <row r="23" spans="1:9" ht="63.75" x14ac:dyDescent="0.25">
      <c r="A23" s="19">
        <v>46292.217905092592</v>
      </c>
      <c r="B23" s="12" t="s">
        <v>352</v>
      </c>
      <c r="C23" s="12">
        <v>1</v>
      </c>
      <c r="D23" s="18" t="s">
        <v>2372</v>
      </c>
      <c r="E23" s="18" t="s">
        <v>2373</v>
      </c>
      <c r="F23" s="18" t="s">
        <v>356</v>
      </c>
      <c r="G23" s="12" t="s">
        <v>1657</v>
      </c>
      <c r="H23" s="12"/>
      <c r="I23" s="18"/>
    </row>
    <row r="24" spans="1:9" ht="25.5" x14ac:dyDescent="0.25">
      <c r="A24" s="19">
        <v>46292.217939814807</v>
      </c>
      <c r="B24" s="12" t="s">
        <v>379</v>
      </c>
      <c r="C24" s="12">
        <v>1</v>
      </c>
      <c r="D24" s="18" t="s">
        <v>2374</v>
      </c>
      <c r="E24" s="18"/>
      <c r="F24" s="18" t="s">
        <v>383</v>
      </c>
      <c r="G24" s="12" t="s">
        <v>1657</v>
      </c>
      <c r="H24" s="12"/>
      <c r="I24" s="18"/>
    </row>
    <row r="25" spans="1:9" ht="51" x14ac:dyDescent="0.25">
      <c r="A25" s="19">
        <v>46292.217986111107</v>
      </c>
      <c r="B25" s="12" t="s">
        <v>374</v>
      </c>
      <c r="C25" s="12">
        <v>1</v>
      </c>
      <c r="D25" s="18" t="s">
        <v>2375</v>
      </c>
      <c r="E25" s="18" t="s">
        <v>2376</v>
      </c>
      <c r="F25" s="18" t="s">
        <v>378</v>
      </c>
      <c r="G25" s="12" t="s">
        <v>1657</v>
      </c>
      <c r="H25" s="12"/>
      <c r="I25" s="18"/>
    </row>
    <row r="26" spans="1:9" ht="38.25" x14ac:dyDescent="0.25">
      <c r="A26" s="19">
        <v>46292.219421296293</v>
      </c>
      <c r="B26" s="12" t="s">
        <v>2377</v>
      </c>
      <c r="C26" s="12">
        <v>1</v>
      </c>
      <c r="D26" s="18" t="s">
        <v>2378</v>
      </c>
      <c r="E26" s="18"/>
      <c r="F26" s="18"/>
      <c r="G26" s="12" t="s">
        <v>1657</v>
      </c>
      <c r="H26" s="12" t="s">
        <v>357</v>
      </c>
      <c r="I26" s="18"/>
    </row>
    <row r="27" spans="1:9" ht="89.25" x14ac:dyDescent="0.25">
      <c r="A27" s="19">
        <v>46292.350648148153</v>
      </c>
      <c r="B27" s="12" t="s">
        <v>367</v>
      </c>
      <c r="C27" s="12">
        <v>1</v>
      </c>
      <c r="D27" s="18" t="s">
        <v>2379</v>
      </c>
      <c r="E27" s="18"/>
      <c r="F27" s="18" t="s">
        <v>371</v>
      </c>
      <c r="G27" s="12" t="s">
        <v>1657</v>
      </c>
      <c r="H27" s="12"/>
      <c r="I27" s="18"/>
    </row>
    <row r="28" spans="1:9" ht="25.5" x14ac:dyDescent="0.25">
      <c r="A28" s="19">
        <v>46292.351168981477</v>
      </c>
      <c r="B28" s="12" t="s">
        <v>367</v>
      </c>
      <c r="C28" s="12">
        <v>1</v>
      </c>
      <c r="D28" s="18" t="s">
        <v>2380</v>
      </c>
      <c r="E28" s="18"/>
      <c r="F28" s="18"/>
      <c r="G28" s="12" t="s">
        <v>1657</v>
      </c>
      <c r="H28" s="12" t="s">
        <v>372</v>
      </c>
      <c r="I28" s="18"/>
    </row>
    <row r="29" spans="1:9" ht="63.75" x14ac:dyDescent="0.25">
      <c r="A29" s="19">
        <v>46292.356574074067</v>
      </c>
      <c r="B29" s="12" t="s">
        <v>384</v>
      </c>
      <c r="C29" s="12">
        <v>1</v>
      </c>
      <c r="D29" s="18" t="s">
        <v>2381</v>
      </c>
      <c r="E29" s="18" t="s">
        <v>2382</v>
      </c>
      <c r="F29" s="18" t="s">
        <v>388</v>
      </c>
      <c r="G29" s="12" t="s">
        <v>1657</v>
      </c>
      <c r="H29" s="12"/>
      <c r="I29" s="18"/>
    </row>
    <row r="30" spans="1:9" x14ac:dyDescent="0.25">
      <c r="A30" s="19">
        <v>46292.357893518521</v>
      </c>
      <c r="B30" s="12" t="s">
        <v>384</v>
      </c>
      <c r="C30" s="12">
        <v>1</v>
      </c>
      <c r="D30" s="18" t="s">
        <v>2383</v>
      </c>
      <c r="E30" s="18"/>
      <c r="F30" s="18"/>
      <c r="G30" s="12" t="s">
        <v>1657</v>
      </c>
      <c r="H30" s="12" t="s">
        <v>390</v>
      </c>
      <c r="I30" s="18"/>
    </row>
    <row r="31" spans="1:9" ht="76.5" x14ac:dyDescent="0.25">
      <c r="A31" s="19">
        <v>46292.373900462961</v>
      </c>
      <c r="B31" s="12" t="s">
        <v>358</v>
      </c>
      <c r="C31" s="12">
        <v>1</v>
      </c>
      <c r="D31" s="18" t="s">
        <v>2384</v>
      </c>
      <c r="E31" s="18" t="s">
        <v>2385</v>
      </c>
      <c r="F31" s="18" t="s">
        <v>362</v>
      </c>
      <c r="G31" s="12" t="s">
        <v>1657</v>
      </c>
      <c r="H31" s="12"/>
      <c r="I31" s="18"/>
    </row>
    <row r="32" spans="1:9" ht="38.25" x14ac:dyDescent="0.25">
      <c r="A32" s="19">
        <v>46292.373935185176</v>
      </c>
      <c r="B32" s="12" t="s">
        <v>514</v>
      </c>
      <c r="C32" s="12">
        <v>3</v>
      </c>
      <c r="D32" s="18" t="s">
        <v>2386</v>
      </c>
      <c r="E32" s="18"/>
      <c r="F32" s="18" t="s">
        <v>2387</v>
      </c>
      <c r="G32" s="12" t="s">
        <v>1657</v>
      </c>
      <c r="H32" s="12"/>
      <c r="I32" s="18"/>
    </row>
    <row r="33" spans="1:9" ht="25.5" x14ac:dyDescent="0.25">
      <c r="A33" s="19">
        <v>46292.373981481483</v>
      </c>
      <c r="B33" s="12" t="s">
        <v>540</v>
      </c>
      <c r="C33" s="12">
        <v>3</v>
      </c>
      <c r="D33" s="18" t="s">
        <v>2388</v>
      </c>
      <c r="E33" s="18"/>
      <c r="F33" s="18" t="s">
        <v>2389</v>
      </c>
      <c r="G33" s="12" t="s">
        <v>1657</v>
      </c>
      <c r="H33" s="12"/>
      <c r="I33" s="18"/>
    </row>
    <row r="34" spans="1:9" ht="76.5" x14ac:dyDescent="0.25">
      <c r="A34" s="19">
        <v>46292.374016203707</v>
      </c>
      <c r="B34" s="12" t="s">
        <v>492</v>
      </c>
      <c r="C34" s="12">
        <v>3</v>
      </c>
      <c r="D34" s="18" t="s">
        <v>2390</v>
      </c>
      <c r="E34" s="18"/>
      <c r="F34" s="18" t="s">
        <v>2391</v>
      </c>
      <c r="G34" s="12" t="s">
        <v>1657</v>
      </c>
      <c r="H34" s="12"/>
      <c r="I34" s="18"/>
    </row>
    <row r="35" spans="1:9" ht="25.5" x14ac:dyDescent="0.25">
      <c r="A35" s="19">
        <v>46292.374050925922</v>
      </c>
      <c r="B35" s="12" t="s">
        <v>696</v>
      </c>
      <c r="C35" s="12">
        <v>3</v>
      </c>
      <c r="D35" s="18" t="s">
        <v>2392</v>
      </c>
      <c r="E35" s="18"/>
      <c r="F35" s="18" t="s">
        <v>2393</v>
      </c>
      <c r="G35" s="12" t="s">
        <v>1657</v>
      </c>
      <c r="H35" s="12"/>
      <c r="I35" s="18"/>
    </row>
    <row r="36" spans="1:9" ht="38.25" x14ac:dyDescent="0.25">
      <c r="A36" s="19">
        <v>46292.374340277784</v>
      </c>
      <c r="B36" s="12" t="s">
        <v>393</v>
      </c>
      <c r="C36" s="12">
        <v>1</v>
      </c>
      <c r="D36" s="18" t="s">
        <v>2394</v>
      </c>
      <c r="E36" s="18" t="s">
        <v>2395</v>
      </c>
      <c r="F36" s="18" t="s">
        <v>2396</v>
      </c>
      <c r="G36" s="12" t="s">
        <v>1657</v>
      </c>
      <c r="H36" s="12"/>
      <c r="I36" s="18"/>
    </row>
    <row r="37" spans="1:9" ht="76.5" x14ac:dyDescent="0.25">
      <c r="A37" s="19">
        <v>46292.376377314817</v>
      </c>
      <c r="B37" s="12" t="s">
        <v>358</v>
      </c>
      <c r="C37" s="12">
        <v>1</v>
      </c>
      <c r="D37" s="18" t="s">
        <v>2397</v>
      </c>
      <c r="E37" s="18"/>
      <c r="F37" s="18" t="s">
        <v>362</v>
      </c>
      <c r="G37" s="12" t="s">
        <v>1657</v>
      </c>
      <c r="H37" s="12" t="s">
        <v>364</v>
      </c>
      <c r="I37" s="18"/>
    </row>
    <row r="38" spans="1:9" ht="76.5" x14ac:dyDescent="0.25">
      <c r="A38" s="19">
        <v>46292.397314814807</v>
      </c>
      <c r="B38" s="12" t="s">
        <v>877</v>
      </c>
      <c r="C38" s="12">
        <v>4</v>
      </c>
      <c r="D38" s="18" t="s">
        <v>2398</v>
      </c>
      <c r="E38" s="18" t="s">
        <v>2399</v>
      </c>
      <c r="F38" s="18" t="s">
        <v>881</v>
      </c>
      <c r="G38" s="12" t="s">
        <v>1657</v>
      </c>
      <c r="H38" s="12"/>
      <c r="I38" s="18"/>
    </row>
    <row r="39" spans="1:9" ht="25.5" x14ac:dyDescent="0.25">
      <c r="A39" s="19">
        <v>46292.397361111107</v>
      </c>
      <c r="B39" s="12" t="s">
        <v>1212</v>
      </c>
      <c r="C39" s="12">
        <v>12</v>
      </c>
      <c r="D39" s="18" t="s">
        <v>2400</v>
      </c>
      <c r="E39" s="18"/>
      <c r="F39" s="18" t="s">
        <v>1216</v>
      </c>
      <c r="G39" s="12" t="s">
        <v>1657</v>
      </c>
      <c r="H39" s="12"/>
      <c r="I39" s="18"/>
    </row>
    <row r="40" spans="1:9" ht="127.5" x14ac:dyDescent="0.25">
      <c r="A40" s="19">
        <v>46292.397581018522</v>
      </c>
      <c r="B40" s="12" t="s">
        <v>297</v>
      </c>
      <c r="C40" s="12">
        <v>1</v>
      </c>
      <c r="D40" s="18" t="s">
        <v>2401</v>
      </c>
      <c r="E40" s="18" t="s">
        <v>2402</v>
      </c>
      <c r="F40" s="18" t="s">
        <v>301</v>
      </c>
      <c r="G40" s="12" t="s">
        <v>1657</v>
      </c>
      <c r="H40" s="12"/>
      <c r="I40" s="18"/>
    </row>
    <row r="41" spans="1:9" ht="51" x14ac:dyDescent="0.25">
      <c r="A41" s="19">
        <v>46292.397627314807</v>
      </c>
      <c r="B41" s="12" t="s">
        <v>304</v>
      </c>
      <c r="C41" s="12">
        <v>1</v>
      </c>
      <c r="D41" s="18" t="s">
        <v>2403</v>
      </c>
      <c r="E41" s="18"/>
      <c r="F41" s="18" t="s">
        <v>308</v>
      </c>
      <c r="G41" s="12" t="s">
        <v>1657</v>
      </c>
      <c r="H41" s="12"/>
      <c r="I41" s="18"/>
    </row>
    <row r="42" spans="1:9" ht="76.5" x14ac:dyDescent="0.25">
      <c r="A42" s="19">
        <v>46292.397662037038</v>
      </c>
      <c r="B42" s="12" t="s">
        <v>324</v>
      </c>
      <c r="C42" s="12">
        <v>1</v>
      </c>
      <c r="D42" s="18" t="s">
        <v>2404</v>
      </c>
      <c r="E42" s="18"/>
      <c r="F42" s="18" t="s">
        <v>329</v>
      </c>
      <c r="G42" s="12" t="s">
        <v>1657</v>
      </c>
      <c r="H42" s="12"/>
      <c r="I42" s="18"/>
    </row>
    <row r="43" spans="1:9" ht="25.5" x14ac:dyDescent="0.25">
      <c r="A43" s="19">
        <v>46292.397696759261</v>
      </c>
      <c r="B43" s="12" t="s">
        <v>317</v>
      </c>
      <c r="C43" s="12">
        <v>1</v>
      </c>
      <c r="D43" s="18" t="s">
        <v>2405</v>
      </c>
      <c r="E43" s="18"/>
      <c r="F43" s="18" t="s">
        <v>321</v>
      </c>
      <c r="G43" s="12" t="s">
        <v>1657</v>
      </c>
      <c r="H43" s="12"/>
      <c r="I43" s="18"/>
    </row>
    <row r="44" spans="1:9" x14ac:dyDescent="0.25">
      <c r="A44" s="19">
        <v>46292.39912037037</v>
      </c>
      <c r="B44" s="12" t="s">
        <v>2406</v>
      </c>
      <c r="C44" s="12">
        <v>1</v>
      </c>
      <c r="D44" s="18" t="s">
        <v>2407</v>
      </c>
      <c r="E44" s="18"/>
      <c r="F44" s="18"/>
      <c r="G44" s="12" t="s">
        <v>1657</v>
      </c>
      <c r="H44" s="12" t="s">
        <v>302</v>
      </c>
      <c r="I44" s="18"/>
    </row>
    <row r="45" spans="1:9" ht="89.25" x14ac:dyDescent="0.25">
      <c r="A45" s="19">
        <v>46292.406631944446</v>
      </c>
      <c r="B45" s="12" t="s">
        <v>310</v>
      </c>
      <c r="C45" s="12">
        <v>1</v>
      </c>
      <c r="D45" s="18" t="s">
        <v>2408</v>
      </c>
      <c r="E45" s="18" t="s">
        <v>2409</v>
      </c>
      <c r="F45" s="18" t="s">
        <v>315</v>
      </c>
      <c r="G45" s="12" t="s">
        <v>1657</v>
      </c>
      <c r="H45" s="12"/>
      <c r="I45" s="18"/>
    </row>
    <row r="46" spans="1:9" ht="63.75" x14ac:dyDescent="0.25">
      <c r="A46" s="19">
        <v>46292.406701388893</v>
      </c>
      <c r="B46" s="12" t="s">
        <v>406</v>
      </c>
      <c r="C46" s="12">
        <v>1</v>
      </c>
      <c r="D46" s="18" t="s">
        <v>2410</v>
      </c>
      <c r="E46" s="18" t="s">
        <v>2411</v>
      </c>
      <c r="F46" s="18" t="s">
        <v>410</v>
      </c>
      <c r="G46" s="12" t="s">
        <v>1657</v>
      </c>
      <c r="H46" s="12"/>
      <c r="I46" s="18"/>
    </row>
    <row r="47" spans="1:9" ht="25.5" x14ac:dyDescent="0.25">
      <c r="A47" s="19">
        <v>46292.406851851847</v>
      </c>
      <c r="B47" s="12" t="s">
        <v>317</v>
      </c>
      <c r="C47" s="12">
        <v>1</v>
      </c>
      <c r="D47" s="18" t="s">
        <v>2412</v>
      </c>
      <c r="E47" s="18"/>
      <c r="F47" s="18" t="s">
        <v>321</v>
      </c>
      <c r="G47" s="12" t="s">
        <v>1657</v>
      </c>
      <c r="H47" s="12" t="s">
        <v>302</v>
      </c>
      <c r="I47" s="18"/>
    </row>
    <row r="48" spans="1:9" ht="63.75" x14ac:dyDescent="0.25">
      <c r="A48" s="19">
        <v>46292.408773148149</v>
      </c>
      <c r="B48" s="12" t="s">
        <v>335</v>
      </c>
      <c r="C48" s="12">
        <v>1</v>
      </c>
      <c r="D48" s="18" t="s">
        <v>2413</v>
      </c>
      <c r="E48" s="18" t="s">
        <v>2414</v>
      </c>
      <c r="F48" s="18" t="s">
        <v>339</v>
      </c>
      <c r="G48" s="12" t="s">
        <v>1657</v>
      </c>
      <c r="H48" s="12"/>
      <c r="I48" s="18"/>
    </row>
    <row r="49" spans="1:9" ht="25.5" x14ac:dyDescent="0.25">
      <c r="A49" s="19">
        <v>46292.408819444441</v>
      </c>
      <c r="B49" s="12" t="s">
        <v>393</v>
      </c>
      <c r="C49" s="12">
        <v>1</v>
      </c>
      <c r="D49" s="18" t="s">
        <v>2415</v>
      </c>
      <c r="E49" s="18"/>
      <c r="F49" s="18" t="s">
        <v>397</v>
      </c>
      <c r="G49" s="12" t="s">
        <v>1657</v>
      </c>
      <c r="H49" s="12"/>
      <c r="I49" s="18"/>
    </row>
    <row r="50" spans="1:9" ht="76.5" x14ac:dyDescent="0.25">
      <c r="A50" s="19">
        <v>46292.4140625</v>
      </c>
      <c r="B50" s="12" t="s">
        <v>2416</v>
      </c>
      <c r="C50" s="12">
        <v>1</v>
      </c>
      <c r="D50" s="18" t="s">
        <v>2417</v>
      </c>
      <c r="E50" s="18"/>
      <c r="F50" s="18" t="s">
        <v>2418</v>
      </c>
      <c r="G50" s="12" t="s">
        <v>1657</v>
      </c>
      <c r="H50" s="12"/>
      <c r="I50" s="18"/>
    </row>
    <row r="51" spans="1:9" ht="25.5" x14ac:dyDescent="0.25">
      <c r="A51" s="19">
        <v>46292.414097222223</v>
      </c>
      <c r="B51" s="12" t="s">
        <v>1382</v>
      </c>
      <c r="C51" s="12">
        <v>18</v>
      </c>
      <c r="D51" s="18" t="s">
        <v>2419</v>
      </c>
      <c r="E51" s="18"/>
      <c r="F51" s="18"/>
      <c r="G51" s="12" t="s">
        <v>1657</v>
      </c>
      <c r="H51" s="12"/>
      <c r="I51" s="18"/>
    </row>
    <row r="52" spans="1:9" x14ac:dyDescent="0.25">
      <c r="A52" s="19">
        <v>46292.416261574072</v>
      </c>
      <c r="B52" s="12" t="s">
        <v>2420</v>
      </c>
      <c r="C52" s="12">
        <v>1</v>
      </c>
      <c r="D52" s="18" t="s">
        <v>2421</v>
      </c>
      <c r="E52" s="18"/>
      <c r="F52" s="18"/>
      <c r="G52" s="12" t="s">
        <v>1657</v>
      </c>
      <c r="H52" s="12" t="s">
        <v>316</v>
      </c>
      <c r="I52" s="18"/>
    </row>
    <row r="53" spans="1:9" ht="25.5" x14ac:dyDescent="0.25">
      <c r="A53" s="19">
        <v>46292.60565972222</v>
      </c>
      <c r="B53" s="12" t="s">
        <v>412</v>
      </c>
      <c r="C53" s="12">
        <v>2</v>
      </c>
      <c r="D53" s="18" t="s">
        <v>2422</v>
      </c>
      <c r="E53" s="18" t="s">
        <v>2423</v>
      </c>
      <c r="F53" s="18" t="s">
        <v>416</v>
      </c>
      <c r="G53" s="12" t="s">
        <v>1657</v>
      </c>
      <c r="H53" s="12"/>
      <c r="I53" s="18"/>
    </row>
    <row r="54" spans="1:9" ht="51" x14ac:dyDescent="0.25">
      <c r="A54" s="19">
        <v>46292.605706018519</v>
      </c>
      <c r="B54" s="12" t="s">
        <v>421</v>
      </c>
      <c r="C54" s="12">
        <v>2</v>
      </c>
      <c r="D54" s="18" t="s">
        <v>2424</v>
      </c>
      <c r="E54" s="18"/>
      <c r="F54" s="18" t="s">
        <v>425</v>
      </c>
      <c r="G54" s="12" t="s">
        <v>1657</v>
      </c>
      <c r="H54" s="12"/>
      <c r="I54" s="18"/>
    </row>
    <row r="55" spans="1:9" ht="127.5" x14ac:dyDescent="0.25">
      <c r="A55" s="19">
        <v>46292.605740740742</v>
      </c>
      <c r="B55" s="12" t="s">
        <v>427</v>
      </c>
      <c r="C55" s="12">
        <v>2</v>
      </c>
      <c r="D55" s="18" t="s">
        <v>2425</v>
      </c>
      <c r="E55" s="18" t="s">
        <v>2426</v>
      </c>
      <c r="F55" s="18" t="s">
        <v>431</v>
      </c>
      <c r="G55" s="12" t="s">
        <v>1657</v>
      </c>
      <c r="H55" s="12"/>
      <c r="I55" s="18"/>
    </row>
    <row r="56" spans="1:9" ht="25.5" x14ac:dyDescent="0.25">
      <c r="A56" s="19">
        <v>46292.605787037042</v>
      </c>
      <c r="B56" s="12" t="s">
        <v>432</v>
      </c>
      <c r="C56" s="12">
        <v>2</v>
      </c>
      <c r="D56" s="18" t="s">
        <v>2427</v>
      </c>
      <c r="E56" s="18"/>
      <c r="F56" s="18" t="s">
        <v>436</v>
      </c>
      <c r="G56" s="12" t="s">
        <v>1657</v>
      </c>
      <c r="H56" s="12"/>
      <c r="I56" s="18"/>
    </row>
    <row r="57" spans="1:9" x14ac:dyDescent="0.25">
      <c r="A57" s="19">
        <v>46292.606099537043</v>
      </c>
      <c r="B57" s="12" t="s">
        <v>2428</v>
      </c>
      <c r="C57" s="12">
        <v>2</v>
      </c>
      <c r="D57" s="18" t="s">
        <v>2429</v>
      </c>
      <c r="E57" s="18"/>
      <c r="F57" s="18"/>
      <c r="G57" s="12" t="s">
        <v>1657</v>
      </c>
      <c r="H57" s="12" t="s">
        <v>418</v>
      </c>
      <c r="I57" s="18"/>
    </row>
    <row r="58" spans="1:9" ht="51" x14ac:dyDescent="0.25">
      <c r="A58" s="19">
        <v>46292.606134259258</v>
      </c>
      <c r="B58" s="12" t="s">
        <v>437</v>
      </c>
      <c r="C58" s="12">
        <v>2</v>
      </c>
      <c r="D58" s="18" t="s">
        <v>2430</v>
      </c>
      <c r="E58" s="18" t="s">
        <v>2431</v>
      </c>
      <c r="F58" s="18" t="s">
        <v>441</v>
      </c>
      <c r="G58" s="12" t="s">
        <v>1657</v>
      </c>
      <c r="H58" s="12"/>
      <c r="I58" s="18"/>
    </row>
    <row r="59" spans="1:9" ht="25.5" x14ac:dyDescent="0.25">
      <c r="A59" s="19">
        <v>46292.606180555558</v>
      </c>
      <c r="B59" s="12" t="s">
        <v>468</v>
      </c>
      <c r="C59" s="12">
        <v>2</v>
      </c>
      <c r="D59" s="18" t="s">
        <v>2432</v>
      </c>
      <c r="E59" s="18" t="s">
        <v>2433</v>
      </c>
      <c r="F59" s="18" t="s">
        <v>472</v>
      </c>
      <c r="G59" s="12" t="s">
        <v>1657</v>
      </c>
      <c r="H59" s="12"/>
      <c r="I59" s="18"/>
    </row>
    <row r="60" spans="1:9" ht="76.5" x14ac:dyDescent="0.25">
      <c r="A60" s="19">
        <v>46292.606215277781</v>
      </c>
      <c r="B60" s="12" t="s">
        <v>444</v>
      </c>
      <c r="C60" s="12">
        <v>2</v>
      </c>
      <c r="D60" s="18" t="s">
        <v>2434</v>
      </c>
      <c r="E60" s="18" t="s">
        <v>2435</v>
      </c>
      <c r="F60" s="18" t="s">
        <v>448</v>
      </c>
      <c r="G60" s="12" t="s">
        <v>1657</v>
      </c>
      <c r="H60" s="12"/>
      <c r="I60" s="18"/>
    </row>
    <row r="61" spans="1:9" ht="102" x14ac:dyDescent="0.25">
      <c r="A61" s="19">
        <v>46292.606261574067</v>
      </c>
      <c r="B61" s="12" t="s">
        <v>451</v>
      </c>
      <c r="C61" s="12">
        <v>2</v>
      </c>
      <c r="D61" s="18" t="s">
        <v>2436</v>
      </c>
      <c r="E61" s="18" t="s">
        <v>2437</v>
      </c>
      <c r="F61" s="18" t="s">
        <v>455</v>
      </c>
      <c r="G61" s="12" t="s">
        <v>1657</v>
      </c>
      <c r="H61" s="12"/>
      <c r="I61" s="18"/>
    </row>
    <row r="62" spans="1:9" x14ac:dyDescent="0.25">
      <c r="A62" s="19">
        <v>46292.60665509259</v>
      </c>
      <c r="B62" s="12" t="s">
        <v>2438</v>
      </c>
      <c r="C62" s="12">
        <v>2</v>
      </c>
      <c r="D62" s="18" t="s">
        <v>2439</v>
      </c>
      <c r="E62" s="18"/>
      <c r="F62" s="18"/>
      <c r="G62" s="12" t="s">
        <v>1657</v>
      </c>
      <c r="H62" s="12" t="s">
        <v>442</v>
      </c>
      <c r="I62" s="18"/>
    </row>
    <row r="63" spans="1:9" ht="51" x14ac:dyDescent="0.25">
      <c r="A63" s="19">
        <v>46292.60670138889</v>
      </c>
      <c r="B63" s="12" t="s">
        <v>456</v>
      </c>
      <c r="C63" s="12">
        <v>2</v>
      </c>
      <c r="D63" s="18" t="s">
        <v>2440</v>
      </c>
      <c r="E63" s="18" t="s">
        <v>2441</v>
      </c>
      <c r="F63" s="18" t="s">
        <v>460</v>
      </c>
      <c r="G63" s="12" t="s">
        <v>1657</v>
      </c>
      <c r="H63" s="12"/>
      <c r="I63" s="18"/>
    </row>
    <row r="64" spans="1:9" x14ac:dyDescent="0.25">
      <c r="A64" s="19">
        <v>46292.606817129628</v>
      </c>
      <c r="B64" s="12" t="s">
        <v>456</v>
      </c>
      <c r="C64" s="12">
        <v>2</v>
      </c>
      <c r="D64" s="18" t="s">
        <v>2442</v>
      </c>
      <c r="E64" s="18"/>
      <c r="F64" s="18"/>
      <c r="G64" s="12" t="s">
        <v>1657</v>
      </c>
      <c r="H64" s="12" t="s">
        <v>461</v>
      </c>
      <c r="I64" s="18"/>
    </row>
    <row r="65" spans="1:9" ht="38.25" x14ac:dyDescent="0.25">
      <c r="A65" s="19">
        <v>46292.606863425928</v>
      </c>
      <c r="B65" s="12" t="s">
        <v>462</v>
      </c>
      <c r="C65" s="12">
        <v>2</v>
      </c>
      <c r="D65" s="18" t="s">
        <v>2443</v>
      </c>
      <c r="E65" s="18" t="s">
        <v>2444</v>
      </c>
      <c r="F65" s="18" t="s">
        <v>466</v>
      </c>
      <c r="G65" s="12" t="s">
        <v>1657</v>
      </c>
      <c r="H65" s="12"/>
      <c r="I65" s="18"/>
    </row>
    <row r="66" spans="1:9" x14ac:dyDescent="0.25">
      <c r="A66" s="19">
        <v>46292.606898148151</v>
      </c>
      <c r="B66" s="12" t="s">
        <v>846</v>
      </c>
      <c r="C66" s="12">
        <v>4</v>
      </c>
      <c r="D66" s="18" t="s">
        <v>2445</v>
      </c>
      <c r="E66" s="18"/>
      <c r="F66" s="18" t="s">
        <v>850</v>
      </c>
      <c r="G66" s="12" t="s">
        <v>1657</v>
      </c>
      <c r="H66" s="12"/>
      <c r="I66" s="18"/>
    </row>
    <row r="67" spans="1:9" ht="63.75" x14ac:dyDescent="0.25">
      <c r="A67" s="19">
        <v>46292.607094907413</v>
      </c>
      <c r="B67" s="12" t="s">
        <v>2446</v>
      </c>
      <c r="C67" s="12">
        <v>2</v>
      </c>
      <c r="D67" s="18" t="s">
        <v>2447</v>
      </c>
      <c r="E67" s="18"/>
      <c r="F67" s="18" t="s">
        <v>2448</v>
      </c>
      <c r="G67" s="12" t="s">
        <v>1657</v>
      </c>
      <c r="H67" s="12"/>
      <c r="I67" s="18"/>
    </row>
    <row r="68" spans="1:9" ht="76.5" x14ac:dyDescent="0.25">
      <c r="A68" s="19">
        <v>46292.607222222221</v>
      </c>
      <c r="B68" s="12" t="s">
        <v>477</v>
      </c>
      <c r="C68" s="12">
        <v>3</v>
      </c>
      <c r="D68" s="18" t="s">
        <v>2449</v>
      </c>
      <c r="E68" s="18" t="s">
        <v>2450</v>
      </c>
      <c r="F68" s="18" t="s">
        <v>481</v>
      </c>
      <c r="G68" s="12" t="s">
        <v>1657</v>
      </c>
      <c r="H68" s="12"/>
      <c r="I68" s="18"/>
    </row>
    <row r="69" spans="1:9" ht="102" x14ac:dyDescent="0.25">
      <c r="A69" s="19">
        <v>46292.607268518521</v>
      </c>
      <c r="B69" s="12" t="s">
        <v>486</v>
      </c>
      <c r="C69" s="12">
        <v>3</v>
      </c>
      <c r="D69" s="18" t="s">
        <v>2451</v>
      </c>
      <c r="E69" s="18" t="s">
        <v>2452</v>
      </c>
      <c r="F69" s="18" t="s">
        <v>490</v>
      </c>
      <c r="G69" s="12" t="s">
        <v>1657</v>
      </c>
      <c r="H69" s="12"/>
      <c r="I69" s="18"/>
    </row>
    <row r="70" spans="1:9" ht="25.5" x14ac:dyDescent="0.25">
      <c r="A70" s="19">
        <v>46292.607303240737</v>
      </c>
      <c r="B70" s="12" t="s">
        <v>737</v>
      </c>
      <c r="C70" s="12">
        <v>3</v>
      </c>
      <c r="D70" s="18" t="s">
        <v>2453</v>
      </c>
      <c r="E70" s="18" t="s">
        <v>2454</v>
      </c>
      <c r="F70" s="18" t="s">
        <v>741</v>
      </c>
      <c r="G70" s="12" t="s">
        <v>1657</v>
      </c>
      <c r="H70" s="12"/>
      <c r="I70" s="18"/>
    </row>
    <row r="71" spans="1:9" ht="76.5" x14ac:dyDescent="0.25">
      <c r="A71" s="19">
        <v>46292.607349537036</v>
      </c>
      <c r="B71" s="12" t="s">
        <v>492</v>
      </c>
      <c r="C71" s="12">
        <v>3</v>
      </c>
      <c r="D71" s="18" t="s">
        <v>2455</v>
      </c>
      <c r="E71" s="18"/>
      <c r="F71" s="18" t="s">
        <v>496</v>
      </c>
      <c r="G71" s="12" t="s">
        <v>1657</v>
      </c>
      <c r="H71" s="12" t="s">
        <v>364</v>
      </c>
      <c r="I71" s="18"/>
    </row>
    <row r="72" spans="1:9" ht="140.25" x14ac:dyDescent="0.25">
      <c r="A72" s="19">
        <v>46292.77983796296</v>
      </c>
      <c r="B72" s="12" t="s">
        <v>756</v>
      </c>
      <c r="C72" s="12">
        <v>3</v>
      </c>
      <c r="D72" s="18" t="s">
        <v>2456</v>
      </c>
      <c r="E72" s="18" t="s">
        <v>2457</v>
      </c>
      <c r="F72" s="18" t="s">
        <v>760</v>
      </c>
      <c r="G72" s="12" t="s">
        <v>1657</v>
      </c>
      <c r="H72" s="12"/>
      <c r="I72" s="18"/>
    </row>
    <row r="73" spans="1:9" ht="127.5" x14ac:dyDescent="0.25">
      <c r="A73" s="19">
        <v>46292.781261574077</v>
      </c>
      <c r="B73" s="12" t="s">
        <v>756</v>
      </c>
      <c r="C73" s="12">
        <v>3</v>
      </c>
      <c r="D73" s="18" t="s">
        <v>2458</v>
      </c>
      <c r="E73" s="18"/>
      <c r="F73" s="18" t="s">
        <v>760</v>
      </c>
      <c r="G73" s="12" t="s">
        <v>1657</v>
      </c>
      <c r="H73" s="12" t="s">
        <v>761</v>
      </c>
      <c r="I73" s="18"/>
    </row>
    <row r="74" spans="1:9" ht="165.75" x14ac:dyDescent="0.25">
      <c r="A74" s="19">
        <v>46292.792407407411</v>
      </c>
      <c r="B74" s="12" t="s">
        <v>688</v>
      </c>
      <c r="C74" s="12">
        <v>3</v>
      </c>
      <c r="D74" s="18" t="s">
        <v>2459</v>
      </c>
      <c r="E74" s="18" t="s">
        <v>2460</v>
      </c>
      <c r="F74" s="18" t="s">
        <v>692</v>
      </c>
      <c r="G74" s="12" t="s">
        <v>1657</v>
      </c>
      <c r="H74" s="12"/>
      <c r="I74" s="18"/>
    </row>
    <row r="75" spans="1:9" ht="127.5" x14ac:dyDescent="0.25">
      <c r="A75" s="19">
        <v>46292.793113425927</v>
      </c>
      <c r="B75" s="12" t="s">
        <v>688</v>
      </c>
      <c r="C75" s="12">
        <v>3</v>
      </c>
      <c r="D75" s="18" t="s">
        <v>2461</v>
      </c>
      <c r="E75" s="18"/>
      <c r="F75" s="18" t="s">
        <v>692</v>
      </c>
      <c r="G75" s="12" t="s">
        <v>1657</v>
      </c>
      <c r="H75" s="12" t="s">
        <v>694</v>
      </c>
      <c r="I75" s="18"/>
    </row>
    <row r="76" spans="1:9" ht="114.75" x14ac:dyDescent="0.25">
      <c r="A76" s="19">
        <v>46292.807187500002</v>
      </c>
      <c r="B76" s="12" t="s">
        <v>499</v>
      </c>
      <c r="C76" s="12">
        <v>3</v>
      </c>
      <c r="D76" s="18" t="s">
        <v>2462</v>
      </c>
      <c r="E76" s="18" t="s">
        <v>2463</v>
      </c>
      <c r="F76" s="18" t="s">
        <v>2464</v>
      </c>
      <c r="G76" s="12" t="s">
        <v>1657</v>
      </c>
      <c r="H76" s="12"/>
      <c r="I76" s="18"/>
    </row>
    <row r="77" spans="1:9" ht="63.75" x14ac:dyDescent="0.25">
      <c r="A77" s="19">
        <v>46292.807824074072</v>
      </c>
      <c r="B77" s="12" t="s">
        <v>499</v>
      </c>
      <c r="C77" s="12">
        <v>3</v>
      </c>
      <c r="D77" s="18" t="s">
        <v>2465</v>
      </c>
      <c r="E77" s="18"/>
      <c r="F77" s="18" t="s">
        <v>2464</v>
      </c>
      <c r="G77" s="12" t="s">
        <v>1657</v>
      </c>
      <c r="H77" s="12" t="s">
        <v>2466</v>
      </c>
      <c r="I77" s="18"/>
    </row>
    <row r="78" spans="1:9" ht="76.5" x14ac:dyDescent="0.25">
      <c r="A78" s="19">
        <v>46292.817372685182</v>
      </c>
      <c r="B78" s="12" t="s">
        <v>782</v>
      </c>
      <c r="C78" s="12">
        <v>3</v>
      </c>
      <c r="D78" s="18" t="s">
        <v>2467</v>
      </c>
      <c r="E78" s="18" t="s">
        <v>2468</v>
      </c>
      <c r="F78" s="18" t="s">
        <v>786</v>
      </c>
      <c r="G78" s="12" t="s">
        <v>1657</v>
      </c>
      <c r="H78" s="12"/>
      <c r="I78" s="18"/>
    </row>
    <row r="79" spans="1:9" ht="114.75" x14ac:dyDescent="0.25">
      <c r="A79" s="19">
        <v>46292.817407407398</v>
      </c>
      <c r="B79" s="12" t="s">
        <v>499</v>
      </c>
      <c r="C79" s="12">
        <v>3</v>
      </c>
      <c r="D79" s="18" t="s">
        <v>2469</v>
      </c>
      <c r="E79" s="18" t="s">
        <v>2470</v>
      </c>
      <c r="F79" s="18" t="s">
        <v>503</v>
      </c>
      <c r="G79" s="12" t="s">
        <v>1657</v>
      </c>
      <c r="H79" s="12" t="s">
        <v>2466</v>
      </c>
      <c r="I79" s="18"/>
    </row>
    <row r="80" spans="1:9" ht="114.75" x14ac:dyDescent="0.25">
      <c r="A80" s="19">
        <v>46292.818067129629</v>
      </c>
      <c r="B80" s="12" t="s">
        <v>499</v>
      </c>
      <c r="C80" s="12">
        <v>3</v>
      </c>
      <c r="D80" s="18" t="s">
        <v>2471</v>
      </c>
      <c r="E80" s="18"/>
      <c r="F80" s="18" t="s">
        <v>503</v>
      </c>
      <c r="G80" s="12" t="s">
        <v>1657</v>
      </c>
      <c r="H80" s="12" t="s">
        <v>505</v>
      </c>
      <c r="I80" s="18"/>
    </row>
    <row r="81" spans="1:9" ht="76.5" x14ac:dyDescent="0.25">
      <c r="A81" s="19">
        <v>46292.818101851852</v>
      </c>
      <c r="B81" s="12" t="s">
        <v>782</v>
      </c>
      <c r="C81" s="12">
        <v>3</v>
      </c>
      <c r="D81" s="18" t="s">
        <v>2472</v>
      </c>
      <c r="E81" s="18"/>
      <c r="F81" s="18" t="s">
        <v>786</v>
      </c>
      <c r="G81" s="12" t="s">
        <v>1657</v>
      </c>
      <c r="H81" s="12" t="s">
        <v>505</v>
      </c>
      <c r="I81" s="18"/>
    </row>
    <row r="82" spans="1:9" ht="76.5" x14ac:dyDescent="0.25">
      <c r="A82" s="19">
        <v>46292.826909722222</v>
      </c>
      <c r="B82" s="12" t="s">
        <v>507</v>
      </c>
      <c r="C82" s="12">
        <v>3</v>
      </c>
      <c r="D82" s="18" t="s">
        <v>2473</v>
      </c>
      <c r="E82" s="18" t="s">
        <v>2474</v>
      </c>
      <c r="F82" s="18" t="s">
        <v>2475</v>
      </c>
      <c r="G82" s="12" t="s">
        <v>1657</v>
      </c>
      <c r="H82" s="12"/>
      <c r="I82" s="18"/>
    </row>
    <row r="83" spans="1:9" ht="38.25" x14ac:dyDescent="0.25">
      <c r="A83" s="19">
        <v>46292.827546296299</v>
      </c>
      <c r="B83" s="12" t="s">
        <v>507</v>
      </c>
      <c r="C83" s="12">
        <v>3</v>
      </c>
      <c r="D83" s="18" t="s">
        <v>2476</v>
      </c>
      <c r="E83" s="18"/>
      <c r="F83" s="18" t="s">
        <v>2475</v>
      </c>
      <c r="G83" s="12" t="s">
        <v>1657</v>
      </c>
      <c r="H83" s="12" t="s">
        <v>2477</v>
      </c>
      <c r="I83" s="18"/>
    </row>
    <row r="84" spans="1:9" ht="76.5" x14ac:dyDescent="0.25">
      <c r="A84" s="19">
        <v>46292.833958333344</v>
      </c>
      <c r="B84" s="12" t="s">
        <v>507</v>
      </c>
      <c r="C84" s="12">
        <v>3</v>
      </c>
      <c r="D84" s="18" t="s">
        <v>2478</v>
      </c>
      <c r="E84" s="18" t="s">
        <v>2479</v>
      </c>
      <c r="F84" s="18" t="s">
        <v>511</v>
      </c>
      <c r="G84" s="12" t="s">
        <v>1657</v>
      </c>
      <c r="H84" s="12" t="s">
        <v>2477</v>
      </c>
      <c r="I84" s="18"/>
    </row>
    <row r="85" spans="1:9" ht="76.5" x14ac:dyDescent="0.25">
      <c r="A85" s="19">
        <v>46292.834537037037</v>
      </c>
      <c r="B85" s="12" t="s">
        <v>507</v>
      </c>
      <c r="C85" s="12">
        <v>3</v>
      </c>
      <c r="D85" s="18" t="s">
        <v>2480</v>
      </c>
      <c r="E85" s="18"/>
      <c r="F85" s="18" t="s">
        <v>511</v>
      </c>
      <c r="G85" s="12" t="s">
        <v>1657</v>
      </c>
      <c r="H85" s="12" t="s">
        <v>512</v>
      </c>
      <c r="I85" s="18"/>
    </row>
    <row r="86" spans="1:9" ht="76.5" x14ac:dyDescent="0.25">
      <c r="A86" s="19">
        <v>46292.846956018519</v>
      </c>
      <c r="B86" s="12" t="s">
        <v>514</v>
      </c>
      <c r="C86" s="12">
        <v>3</v>
      </c>
      <c r="D86" s="18" t="s">
        <v>2481</v>
      </c>
      <c r="E86" s="18" t="s">
        <v>2482</v>
      </c>
      <c r="F86" s="18" t="s">
        <v>2483</v>
      </c>
      <c r="G86" s="12" t="s">
        <v>1657</v>
      </c>
      <c r="H86" s="12" t="s">
        <v>364</v>
      </c>
      <c r="I86" s="18"/>
    </row>
    <row r="87" spans="1:9" ht="76.5" x14ac:dyDescent="0.25">
      <c r="A87" s="19">
        <v>46292.980775462973</v>
      </c>
      <c r="B87" s="12" t="s">
        <v>514</v>
      </c>
      <c r="C87" s="12">
        <v>3</v>
      </c>
      <c r="D87" s="18" t="s">
        <v>2484</v>
      </c>
      <c r="E87" s="18"/>
      <c r="F87" s="18" t="s">
        <v>2483</v>
      </c>
      <c r="G87" s="12" t="s">
        <v>1657</v>
      </c>
      <c r="H87" s="12" t="s">
        <v>2485</v>
      </c>
      <c r="I87" s="18"/>
    </row>
    <row r="88" spans="1:9" ht="114.75" x14ac:dyDescent="0.25">
      <c r="A88" s="19">
        <v>46292.980810185189</v>
      </c>
      <c r="B88" s="12" t="s">
        <v>514</v>
      </c>
      <c r="C88" s="12">
        <v>3</v>
      </c>
      <c r="D88" s="18" t="s">
        <v>2486</v>
      </c>
      <c r="E88" s="18" t="s">
        <v>2487</v>
      </c>
      <c r="F88" s="18" t="s">
        <v>2488</v>
      </c>
      <c r="G88" s="12" t="s">
        <v>1657</v>
      </c>
      <c r="H88" s="12" t="s">
        <v>2485</v>
      </c>
      <c r="I88" s="18"/>
    </row>
    <row r="89" spans="1:9" ht="114.75" x14ac:dyDescent="0.25">
      <c r="A89" s="19">
        <v>46292.981423611112</v>
      </c>
      <c r="B89" s="12" t="s">
        <v>514</v>
      </c>
      <c r="C89" s="12">
        <v>3</v>
      </c>
      <c r="D89" s="18" t="s">
        <v>2489</v>
      </c>
      <c r="E89" s="18"/>
      <c r="F89" s="18" t="s">
        <v>2488</v>
      </c>
      <c r="G89" s="12" t="s">
        <v>1657</v>
      </c>
      <c r="H89" s="12" t="s">
        <v>2490</v>
      </c>
      <c r="I89" s="18"/>
    </row>
    <row r="90" spans="1:9" ht="165.75" x14ac:dyDescent="0.25">
      <c r="A90" s="19">
        <v>46294.632870370369</v>
      </c>
      <c r="B90" s="12" t="s">
        <v>514</v>
      </c>
      <c r="C90" s="12">
        <v>3</v>
      </c>
      <c r="D90" s="18" t="s">
        <v>2491</v>
      </c>
      <c r="E90" s="18"/>
      <c r="F90" s="18" t="s">
        <v>2492</v>
      </c>
      <c r="G90" s="12" t="s">
        <v>2338</v>
      </c>
      <c r="H90" s="12" t="s">
        <v>2490</v>
      </c>
      <c r="I90" s="18"/>
    </row>
    <row r="91" spans="1:9" ht="165.75" x14ac:dyDescent="0.25">
      <c r="A91" s="19">
        <v>46294.63385416667</v>
      </c>
      <c r="B91" s="12" t="s">
        <v>514</v>
      </c>
      <c r="C91" s="12">
        <v>3</v>
      </c>
      <c r="D91" s="18" t="s">
        <v>2493</v>
      </c>
      <c r="E91" s="18"/>
      <c r="F91" s="18" t="s">
        <v>2492</v>
      </c>
      <c r="G91" s="12" t="s">
        <v>2338</v>
      </c>
      <c r="H91" s="12" t="s">
        <v>2494</v>
      </c>
      <c r="I91" s="18"/>
    </row>
    <row r="92" spans="1:9" ht="76.5" x14ac:dyDescent="0.25">
      <c r="A92" s="19">
        <v>46294.640011574083</v>
      </c>
      <c r="B92" s="12" t="s">
        <v>514</v>
      </c>
      <c r="C92" s="12">
        <v>3</v>
      </c>
      <c r="D92" s="18" t="s">
        <v>2495</v>
      </c>
      <c r="E92" s="18"/>
      <c r="F92" s="18" t="s">
        <v>2496</v>
      </c>
      <c r="G92" s="12" t="s">
        <v>2338</v>
      </c>
      <c r="H92" s="12" t="s">
        <v>2494</v>
      </c>
      <c r="I92" s="18"/>
    </row>
    <row r="93" spans="1:9" ht="76.5" x14ac:dyDescent="0.25">
      <c r="A93" s="19">
        <v>46294.651689814818</v>
      </c>
      <c r="B93" s="12" t="s">
        <v>514</v>
      </c>
      <c r="C93" s="12">
        <v>3</v>
      </c>
      <c r="D93" s="18" t="s">
        <v>2497</v>
      </c>
      <c r="E93" s="18"/>
      <c r="F93" s="18" t="s">
        <v>518</v>
      </c>
      <c r="G93" s="12" t="s">
        <v>1657</v>
      </c>
      <c r="H93" s="12" t="s">
        <v>2494</v>
      </c>
      <c r="I93" s="18"/>
    </row>
    <row r="94" spans="1:9" x14ac:dyDescent="0.25">
      <c r="A94" s="19">
        <v>46294.652326388888</v>
      </c>
      <c r="B94" s="12" t="s">
        <v>514</v>
      </c>
      <c r="C94" s="12">
        <v>3</v>
      </c>
      <c r="D94" s="18" t="s">
        <v>2498</v>
      </c>
      <c r="E94" s="18"/>
      <c r="F94" s="18"/>
      <c r="G94" s="12" t="s">
        <v>1657</v>
      </c>
      <c r="H94" s="12"/>
      <c r="I94" s="18"/>
    </row>
    <row r="95" spans="1:9" ht="76.5" x14ac:dyDescent="0.25">
      <c r="A95" s="19">
        <v>46294.65284722222</v>
      </c>
      <c r="B95" s="12" t="s">
        <v>514</v>
      </c>
      <c r="C95" s="12">
        <v>3</v>
      </c>
      <c r="D95" s="18" t="s">
        <v>2499</v>
      </c>
      <c r="E95" s="18"/>
      <c r="F95" s="18" t="s">
        <v>518</v>
      </c>
      <c r="G95" s="12" t="s">
        <v>1657</v>
      </c>
      <c r="H95" s="12" t="s">
        <v>520</v>
      </c>
      <c r="I95" s="18"/>
    </row>
    <row r="96" spans="1:9" ht="89.25" x14ac:dyDescent="0.25">
      <c r="A96" s="19">
        <v>46294.675335648149</v>
      </c>
      <c r="B96" s="12" t="s">
        <v>540</v>
      </c>
      <c r="C96" s="12">
        <v>3</v>
      </c>
      <c r="D96" s="18" t="s">
        <v>2500</v>
      </c>
      <c r="E96" s="18"/>
      <c r="F96" s="18" t="s">
        <v>2501</v>
      </c>
      <c r="G96" s="12" t="s">
        <v>2338</v>
      </c>
      <c r="H96" s="12" t="s">
        <v>364</v>
      </c>
      <c r="I96" s="18"/>
    </row>
    <row r="97" spans="1:9" ht="51" x14ac:dyDescent="0.25">
      <c r="A97" s="19">
        <v>46294.68273148148</v>
      </c>
      <c r="B97" s="12" t="s">
        <v>540</v>
      </c>
      <c r="C97" s="12">
        <v>3</v>
      </c>
      <c r="D97" s="18" t="s">
        <v>2502</v>
      </c>
      <c r="E97" s="18"/>
      <c r="F97" s="18" t="s">
        <v>2503</v>
      </c>
      <c r="G97" s="12" t="s">
        <v>2338</v>
      </c>
      <c r="H97" s="12" t="s">
        <v>364</v>
      </c>
      <c r="I97" s="18"/>
    </row>
    <row r="98" spans="1:9" ht="89.25" x14ac:dyDescent="0.25">
      <c r="A98" s="19">
        <v>46294.694965277777</v>
      </c>
      <c r="B98" s="12" t="s">
        <v>540</v>
      </c>
      <c r="C98" s="12">
        <v>3</v>
      </c>
      <c r="D98" s="18" t="s">
        <v>2504</v>
      </c>
      <c r="E98" s="18"/>
      <c r="F98" s="18" t="s">
        <v>544</v>
      </c>
      <c r="G98" s="12" t="s">
        <v>1657</v>
      </c>
      <c r="H98" s="12" t="s">
        <v>364</v>
      </c>
      <c r="I98" s="18"/>
    </row>
    <row r="99" spans="1:9" ht="89.25" x14ac:dyDescent="0.25">
      <c r="A99" s="19">
        <v>46294.696053240739</v>
      </c>
      <c r="B99" s="12" t="s">
        <v>540</v>
      </c>
      <c r="C99" s="12">
        <v>3</v>
      </c>
      <c r="D99" s="18" t="s">
        <v>2505</v>
      </c>
      <c r="E99" s="18"/>
      <c r="F99" s="18" t="s">
        <v>544</v>
      </c>
      <c r="G99" s="12" t="s">
        <v>1657</v>
      </c>
      <c r="H99" s="12" t="s">
        <v>545</v>
      </c>
      <c r="I99" s="18"/>
    </row>
    <row r="100" spans="1:9" ht="63.75" x14ac:dyDescent="0.25">
      <c r="A100" s="19">
        <v>46294.906423611108</v>
      </c>
      <c r="B100" s="12" t="s">
        <v>568</v>
      </c>
      <c r="C100" s="12">
        <v>3</v>
      </c>
      <c r="D100" s="18" t="s">
        <v>2506</v>
      </c>
      <c r="E100" s="18"/>
      <c r="F100" s="18" t="s">
        <v>2507</v>
      </c>
      <c r="G100" s="12" t="s">
        <v>2338</v>
      </c>
      <c r="H100" s="12"/>
      <c r="I100" s="18"/>
    </row>
    <row r="101" spans="1:9" ht="114.75" x14ac:dyDescent="0.25">
      <c r="A101" s="19">
        <v>46294.923136574071</v>
      </c>
      <c r="B101" s="12" t="s">
        <v>568</v>
      </c>
      <c r="C101" s="12">
        <v>3</v>
      </c>
      <c r="D101" s="18" t="s">
        <v>2508</v>
      </c>
      <c r="E101" s="18"/>
      <c r="F101" s="18" t="s">
        <v>572</v>
      </c>
      <c r="G101" s="12" t="s">
        <v>1657</v>
      </c>
      <c r="H101" s="12"/>
      <c r="I101" s="18"/>
    </row>
    <row r="102" spans="1:9" ht="114.75" x14ac:dyDescent="0.25">
      <c r="A102" s="19">
        <v>46294.923842592587</v>
      </c>
      <c r="B102" s="12" t="s">
        <v>568</v>
      </c>
      <c r="C102" s="12">
        <v>3</v>
      </c>
      <c r="D102" s="18" t="s">
        <v>2509</v>
      </c>
      <c r="E102" s="18"/>
      <c r="F102" s="18" t="s">
        <v>572</v>
      </c>
      <c r="G102" s="12" t="s">
        <v>1657</v>
      </c>
      <c r="H102" s="12" t="s">
        <v>573</v>
      </c>
      <c r="I102" s="18"/>
    </row>
    <row r="103" spans="1:9" ht="114.75" x14ac:dyDescent="0.25">
      <c r="A103" s="19">
        <v>46294.955821759257</v>
      </c>
      <c r="B103" s="12" t="s">
        <v>588</v>
      </c>
      <c r="C103" s="12">
        <v>3</v>
      </c>
      <c r="D103" s="18" t="s">
        <v>2510</v>
      </c>
      <c r="E103" s="18"/>
      <c r="F103" s="18" t="s">
        <v>592</v>
      </c>
      <c r="G103" s="12" t="s">
        <v>1657</v>
      </c>
      <c r="H103" s="12"/>
      <c r="I103" s="18"/>
    </row>
    <row r="104" spans="1:9" ht="102" x14ac:dyDescent="0.25">
      <c r="A104" s="19">
        <v>46294.956192129634</v>
      </c>
      <c r="B104" s="12" t="s">
        <v>763</v>
      </c>
      <c r="C104" s="12">
        <v>3</v>
      </c>
      <c r="D104" s="18" t="s">
        <v>2511</v>
      </c>
      <c r="E104" s="18"/>
      <c r="F104" s="18" t="s">
        <v>767</v>
      </c>
      <c r="G104" s="12" t="s">
        <v>1657</v>
      </c>
      <c r="H104" s="12"/>
      <c r="I104" s="18"/>
    </row>
    <row r="105" spans="1:9" ht="51" x14ac:dyDescent="0.25">
      <c r="A105" s="19">
        <v>46294.956238425933</v>
      </c>
      <c r="B105" s="12" t="s">
        <v>788</v>
      </c>
      <c r="C105" s="12">
        <v>3</v>
      </c>
      <c r="D105" s="18" t="s">
        <v>2512</v>
      </c>
      <c r="E105" s="18"/>
      <c r="F105" s="18" t="s">
        <v>792</v>
      </c>
      <c r="G105" s="12" t="s">
        <v>1657</v>
      </c>
      <c r="H105" s="12"/>
      <c r="I105" s="18"/>
    </row>
    <row r="106" spans="1:9" ht="114.75" x14ac:dyDescent="0.25">
      <c r="A106" s="19">
        <v>46294.965115740742</v>
      </c>
      <c r="B106" s="12" t="s">
        <v>743</v>
      </c>
      <c r="C106" s="12">
        <v>3</v>
      </c>
      <c r="D106" s="18" t="s">
        <v>2513</v>
      </c>
      <c r="E106" s="18"/>
      <c r="F106" s="18" t="s">
        <v>747</v>
      </c>
      <c r="G106" s="12" t="s">
        <v>1657</v>
      </c>
      <c r="H106" s="12"/>
      <c r="I106" s="18"/>
    </row>
    <row r="107" spans="1:9" ht="102" x14ac:dyDescent="0.25">
      <c r="A107" s="19">
        <v>46295.105879629627</v>
      </c>
      <c r="B107" s="12" t="s">
        <v>704</v>
      </c>
      <c r="C107" s="12">
        <v>3</v>
      </c>
      <c r="D107" s="18" t="s">
        <v>2514</v>
      </c>
      <c r="E107" s="18"/>
      <c r="F107" s="18" t="s">
        <v>708</v>
      </c>
      <c r="G107" s="12" t="s">
        <v>1657</v>
      </c>
      <c r="H107" s="12"/>
      <c r="I107" s="18"/>
    </row>
    <row r="108" spans="1:9" ht="114.75" x14ac:dyDescent="0.25">
      <c r="A108" s="19">
        <v>46295.114583333343</v>
      </c>
      <c r="B108" s="12" t="s">
        <v>696</v>
      </c>
      <c r="C108" s="12">
        <v>3</v>
      </c>
      <c r="D108" s="18" t="s">
        <v>2515</v>
      </c>
      <c r="E108" s="18"/>
      <c r="F108" s="18" t="s">
        <v>700</v>
      </c>
      <c r="G108" s="12" t="s">
        <v>1657</v>
      </c>
      <c r="H108" s="12" t="s">
        <v>364</v>
      </c>
      <c r="I108" s="18"/>
    </row>
    <row r="109" spans="1:9" ht="89.25" x14ac:dyDescent="0.25">
      <c r="A109" s="19">
        <v>46295.121990740743</v>
      </c>
      <c r="B109" s="12" t="s">
        <v>711</v>
      </c>
      <c r="C109" s="12">
        <v>3</v>
      </c>
      <c r="D109" s="18" t="s">
        <v>2516</v>
      </c>
      <c r="E109" s="18"/>
      <c r="F109" s="18" t="s">
        <v>715</v>
      </c>
      <c r="G109" s="12" t="s">
        <v>1657</v>
      </c>
      <c r="H109" s="12"/>
      <c r="I109" s="18"/>
    </row>
    <row r="110" spans="1:9" ht="76.5" x14ac:dyDescent="0.25">
      <c r="A110" s="19">
        <v>46295.126597222217</v>
      </c>
      <c r="B110" s="12" t="s">
        <v>718</v>
      </c>
      <c r="C110" s="12">
        <v>3</v>
      </c>
      <c r="D110" s="18" t="s">
        <v>2517</v>
      </c>
      <c r="E110" s="18"/>
      <c r="F110" s="18" t="s">
        <v>722</v>
      </c>
      <c r="G110" s="12" t="s">
        <v>1657</v>
      </c>
      <c r="H110" s="12"/>
      <c r="I110" s="18"/>
    </row>
    <row r="111" spans="1:9" ht="76.5" x14ac:dyDescent="0.25">
      <c r="A111" s="19">
        <v>46295.136481481481</v>
      </c>
      <c r="B111" s="12" t="s">
        <v>731</v>
      </c>
      <c r="C111" s="12">
        <v>3</v>
      </c>
      <c r="D111" s="18" t="s">
        <v>2518</v>
      </c>
      <c r="E111" s="18"/>
      <c r="F111" s="18" t="s">
        <v>735</v>
      </c>
      <c r="G111" s="12" t="s">
        <v>1657</v>
      </c>
      <c r="H111" s="12"/>
      <c r="I111" s="18"/>
    </row>
    <row r="112" spans="1:9" ht="140.25" x14ac:dyDescent="0.25">
      <c r="A112" s="19">
        <v>46295.148645833331</v>
      </c>
      <c r="B112" s="12" t="s">
        <v>616</v>
      </c>
      <c r="C112" s="12">
        <v>3</v>
      </c>
      <c r="D112" s="18" t="s">
        <v>2519</v>
      </c>
      <c r="E112" s="18"/>
      <c r="F112" s="18" t="s">
        <v>620</v>
      </c>
      <c r="G112" s="12" t="s">
        <v>1657</v>
      </c>
      <c r="H112" s="12"/>
      <c r="I112" s="18"/>
    </row>
    <row r="113" spans="1:9" ht="178.5" x14ac:dyDescent="0.25">
      <c r="A113" s="19">
        <v>46295.31453703704</v>
      </c>
      <c r="B113" s="12" t="s">
        <v>630</v>
      </c>
      <c r="C113" s="12">
        <v>3</v>
      </c>
      <c r="D113" s="18" t="s">
        <v>2520</v>
      </c>
      <c r="E113" s="18"/>
      <c r="F113" s="18" t="s">
        <v>634</v>
      </c>
      <c r="G113" s="12" t="s">
        <v>1657</v>
      </c>
      <c r="H113" s="12"/>
      <c r="I113" s="18"/>
    </row>
    <row r="114" spans="1:9" ht="229.5" x14ac:dyDescent="0.25">
      <c r="A114" s="19">
        <v>46295.344085648147</v>
      </c>
      <c r="B114" s="12" t="s">
        <v>646</v>
      </c>
      <c r="C114" s="12">
        <v>3</v>
      </c>
      <c r="D114" s="18" t="s">
        <v>2521</v>
      </c>
      <c r="E114" s="18" t="s">
        <v>2522</v>
      </c>
      <c r="F114" s="18" t="s">
        <v>650</v>
      </c>
      <c r="G114" s="12" t="s">
        <v>1657</v>
      </c>
      <c r="H114" s="12"/>
      <c r="I114" s="18"/>
    </row>
    <row r="115" spans="1:9" ht="165.75" x14ac:dyDescent="0.25">
      <c r="A115" s="19">
        <v>46295.353587962964</v>
      </c>
      <c r="B115" s="12" t="s">
        <v>768</v>
      </c>
      <c r="C115" s="12">
        <v>3</v>
      </c>
      <c r="D115" s="18" t="s">
        <v>2523</v>
      </c>
      <c r="E115" s="18" t="s">
        <v>2524</v>
      </c>
      <c r="F115" s="18" t="s">
        <v>772</v>
      </c>
      <c r="G115" s="12" t="s">
        <v>1657</v>
      </c>
      <c r="H115" s="12"/>
      <c r="I115" s="18"/>
    </row>
    <row r="116" spans="1:9" ht="267.75" x14ac:dyDescent="0.25">
      <c r="A116" s="19">
        <v>46295.373136574082</v>
      </c>
      <c r="B116" s="12" t="s">
        <v>654</v>
      </c>
      <c r="C116" s="12">
        <v>3</v>
      </c>
      <c r="D116" s="18" t="s">
        <v>2525</v>
      </c>
      <c r="E116" s="18" t="s">
        <v>2526</v>
      </c>
      <c r="F116" s="18" t="s">
        <v>658</v>
      </c>
      <c r="G116" s="12" t="s">
        <v>1657</v>
      </c>
      <c r="H116" s="12"/>
      <c r="I116" s="18"/>
    </row>
    <row r="117" spans="1:9" ht="229.5" x14ac:dyDescent="0.25">
      <c r="A117" s="19">
        <v>46295.549432870372</v>
      </c>
      <c r="B117" s="12" t="s">
        <v>668</v>
      </c>
      <c r="C117" s="12">
        <v>3</v>
      </c>
      <c r="D117" s="18" t="s">
        <v>2527</v>
      </c>
      <c r="E117" s="18" t="s">
        <v>2528</v>
      </c>
      <c r="F117" s="18" t="s">
        <v>672</v>
      </c>
      <c r="G117" s="12" t="s">
        <v>1657</v>
      </c>
      <c r="H117" s="12"/>
      <c r="I117" s="18"/>
    </row>
    <row r="118" spans="1:9" ht="229.5" x14ac:dyDescent="0.25">
      <c r="A118" s="19">
        <v>46295.565578703703</v>
      </c>
      <c r="B118" s="12" t="s">
        <v>682</v>
      </c>
      <c r="C118" s="12">
        <v>3</v>
      </c>
      <c r="D118" s="18" t="s">
        <v>2529</v>
      </c>
      <c r="E118" s="18" t="s">
        <v>2530</v>
      </c>
      <c r="F118" s="18" t="s">
        <v>686</v>
      </c>
      <c r="G118" s="12" t="s">
        <v>1657</v>
      </c>
      <c r="H118" s="12"/>
      <c r="I118" s="18"/>
    </row>
    <row r="119" spans="1:9" ht="242.25" x14ac:dyDescent="0.25">
      <c r="A119" s="19">
        <v>46295.589004629634</v>
      </c>
      <c r="B119" s="12" t="s">
        <v>548</v>
      </c>
      <c r="C119" s="12">
        <v>3</v>
      </c>
      <c r="D119" s="18" t="s">
        <v>2531</v>
      </c>
      <c r="E119" s="18" t="s">
        <v>2532</v>
      </c>
      <c r="F119" s="18" t="s">
        <v>552</v>
      </c>
      <c r="G119" s="12" t="s">
        <v>1657</v>
      </c>
      <c r="H119" s="12"/>
      <c r="I119" s="18"/>
    </row>
    <row r="120" spans="1:9" ht="38.25" x14ac:dyDescent="0.25">
      <c r="A120" s="19">
        <v>46295.598414351851</v>
      </c>
      <c r="B120" s="12" t="s">
        <v>668</v>
      </c>
      <c r="C120" s="12">
        <v>3</v>
      </c>
      <c r="D120" s="18" t="s">
        <v>2533</v>
      </c>
      <c r="E120" s="18" t="s">
        <v>2534</v>
      </c>
      <c r="F120" s="18" t="s">
        <v>2535</v>
      </c>
      <c r="G120" s="12" t="s">
        <v>1657</v>
      </c>
      <c r="H120" s="12"/>
      <c r="I120" s="18"/>
    </row>
    <row r="121" spans="1:9" ht="127.5" x14ac:dyDescent="0.25">
      <c r="A121" s="19">
        <v>46295.625150462962</v>
      </c>
      <c r="B121" s="12" t="s">
        <v>793</v>
      </c>
      <c r="C121" s="12">
        <v>4</v>
      </c>
      <c r="D121" s="18" t="s">
        <v>2536</v>
      </c>
      <c r="E121" s="18" t="s">
        <v>2537</v>
      </c>
      <c r="F121" s="18" t="s">
        <v>797</v>
      </c>
      <c r="G121" s="12" t="s">
        <v>1657</v>
      </c>
      <c r="H121" s="12"/>
      <c r="I121" s="18"/>
    </row>
    <row r="122" spans="1:9" ht="76.5" x14ac:dyDescent="0.25">
      <c r="A122" s="19">
        <v>46295.62641203704</v>
      </c>
      <c r="B122" s="12" t="s">
        <v>2318</v>
      </c>
      <c r="C122" s="12"/>
      <c r="D122" s="18" t="s">
        <v>2538</v>
      </c>
      <c r="E122" s="18" t="s">
        <v>2539</v>
      </c>
      <c r="F122" s="18" t="s">
        <v>2540</v>
      </c>
      <c r="G122" s="12" t="s">
        <v>1657</v>
      </c>
      <c r="H122" s="12"/>
      <c r="I122" s="18"/>
    </row>
    <row r="123" spans="1:9" ht="165.75" x14ac:dyDescent="0.25">
      <c r="A123" s="19">
        <v>46295.914097222223</v>
      </c>
      <c r="B123" s="12" t="s">
        <v>800</v>
      </c>
      <c r="C123" s="12">
        <v>4</v>
      </c>
      <c r="D123" s="18" t="s">
        <v>2541</v>
      </c>
      <c r="E123" s="18" t="s">
        <v>2542</v>
      </c>
      <c r="F123" s="18" t="s">
        <v>804</v>
      </c>
      <c r="G123" s="12" t="s">
        <v>1657</v>
      </c>
      <c r="H123" s="12"/>
      <c r="I123" s="18"/>
    </row>
    <row r="124" spans="1:9" ht="63.75" x14ac:dyDescent="0.25">
      <c r="A124" s="19">
        <v>46295.914340277777</v>
      </c>
      <c r="B124" s="12" t="s">
        <v>883</v>
      </c>
      <c r="C124" s="12">
        <v>4</v>
      </c>
      <c r="D124" s="18" t="s">
        <v>2543</v>
      </c>
      <c r="E124" s="18" t="s">
        <v>2544</v>
      </c>
      <c r="F124" s="18" t="s">
        <v>887</v>
      </c>
      <c r="G124" s="12" t="s">
        <v>1657</v>
      </c>
      <c r="H124" s="12"/>
      <c r="I124" s="18"/>
    </row>
    <row r="125" spans="1:9" ht="191.25" x14ac:dyDescent="0.25">
      <c r="A125" s="19">
        <v>46295.935115740736</v>
      </c>
      <c r="B125" s="12" t="s">
        <v>806</v>
      </c>
      <c r="C125" s="12">
        <v>4</v>
      </c>
      <c r="D125" s="18" t="s">
        <v>2545</v>
      </c>
      <c r="E125" s="18" t="s">
        <v>2546</v>
      </c>
      <c r="F125" s="18" t="s">
        <v>810</v>
      </c>
      <c r="G125" s="12" t="s">
        <v>1657</v>
      </c>
      <c r="H125" s="12"/>
      <c r="I125" s="18"/>
    </row>
    <row r="126" spans="1:9" ht="216.75" x14ac:dyDescent="0.25">
      <c r="A126" s="19">
        <v>46295.949259259258</v>
      </c>
      <c r="B126" s="12" t="s">
        <v>820</v>
      </c>
      <c r="C126" s="12">
        <v>4</v>
      </c>
      <c r="D126" s="18" t="s">
        <v>2547</v>
      </c>
      <c r="E126" s="18" t="s">
        <v>2548</v>
      </c>
      <c r="F126" s="18" t="s">
        <v>824</v>
      </c>
      <c r="G126" s="12" t="s">
        <v>1657</v>
      </c>
      <c r="H126" s="12"/>
      <c r="I126" s="18"/>
    </row>
    <row r="127" spans="1:9" ht="140.25" x14ac:dyDescent="0.25">
      <c r="A127" s="19">
        <v>46295.965289351851</v>
      </c>
      <c r="B127" s="12" t="s">
        <v>828</v>
      </c>
      <c r="C127" s="12">
        <v>4</v>
      </c>
      <c r="D127" s="18" t="s">
        <v>2549</v>
      </c>
      <c r="E127" s="18" t="s">
        <v>2550</v>
      </c>
      <c r="F127" s="18" t="s">
        <v>832</v>
      </c>
      <c r="G127" s="12" t="s">
        <v>1657</v>
      </c>
      <c r="H127" s="12"/>
      <c r="I127" s="18"/>
    </row>
    <row r="128" spans="1:9" ht="165.75" x14ac:dyDescent="0.25">
      <c r="A128" s="19">
        <v>46295.975208333337</v>
      </c>
      <c r="B128" s="12" t="s">
        <v>864</v>
      </c>
      <c r="C128" s="12">
        <v>4</v>
      </c>
      <c r="D128" s="18" t="s">
        <v>2551</v>
      </c>
      <c r="E128" s="18" t="s">
        <v>2552</v>
      </c>
      <c r="F128" s="18" t="s">
        <v>868</v>
      </c>
      <c r="G128" s="12" t="s">
        <v>1657</v>
      </c>
      <c r="H128" s="12"/>
      <c r="I128" s="18"/>
    </row>
    <row r="129" spans="1:9" ht="127.5" x14ac:dyDescent="0.25">
      <c r="A129" s="19">
        <v>46295.985347222217</v>
      </c>
      <c r="B129" s="12" t="s">
        <v>834</v>
      </c>
      <c r="C129" s="12">
        <v>4</v>
      </c>
      <c r="D129" s="18" t="s">
        <v>2553</v>
      </c>
      <c r="E129" s="18" t="s">
        <v>2554</v>
      </c>
      <c r="F129" s="18" t="s">
        <v>838</v>
      </c>
      <c r="G129" s="12" t="s">
        <v>1657</v>
      </c>
      <c r="H129" s="12"/>
      <c r="I129" s="18"/>
    </row>
    <row r="130" spans="1:9" ht="38.25" x14ac:dyDescent="0.25">
      <c r="A130" s="19">
        <v>46295.990624999999</v>
      </c>
      <c r="B130" s="12" t="s">
        <v>840</v>
      </c>
      <c r="C130" s="12">
        <v>4</v>
      </c>
      <c r="D130" s="18" t="s">
        <v>2555</v>
      </c>
      <c r="E130" s="18" t="s">
        <v>2556</v>
      </c>
      <c r="F130" s="18" t="s">
        <v>844</v>
      </c>
      <c r="G130" s="12" t="s">
        <v>1657</v>
      </c>
      <c r="H130" s="12"/>
      <c r="I130" s="18"/>
    </row>
    <row r="131" spans="1:9" ht="38.25" x14ac:dyDescent="0.25">
      <c r="A131" s="19">
        <v>46296.425092592603</v>
      </c>
      <c r="B131" s="12" t="s">
        <v>851</v>
      </c>
      <c r="C131" s="12">
        <v>4</v>
      </c>
      <c r="D131" s="18" t="s">
        <v>2557</v>
      </c>
      <c r="E131" s="18" t="s">
        <v>2558</v>
      </c>
      <c r="F131" s="18" t="s">
        <v>855</v>
      </c>
      <c r="G131" s="12" t="s">
        <v>1657</v>
      </c>
      <c r="H131" s="12"/>
      <c r="I131" s="18"/>
    </row>
    <row r="132" spans="1:9" ht="51" x14ac:dyDescent="0.25">
      <c r="A132" s="19">
        <v>46296.447638888887</v>
      </c>
      <c r="B132" s="12" t="s">
        <v>814</v>
      </c>
      <c r="C132" s="12">
        <v>4</v>
      </c>
      <c r="D132" s="18" t="s">
        <v>2559</v>
      </c>
      <c r="E132" s="18" t="s">
        <v>2560</v>
      </c>
      <c r="F132" s="18" t="s">
        <v>818</v>
      </c>
      <c r="G132" s="12" t="s">
        <v>1657</v>
      </c>
      <c r="H132" s="12"/>
      <c r="I132" s="18"/>
    </row>
    <row r="133" spans="1:9" ht="76.5" x14ac:dyDescent="0.25">
      <c r="A133" s="19">
        <v>46296.462013888893</v>
      </c>
      <c r="B133" s="12" t="s">
        <v>828</v>
      </c>
      <c r="C133" s="12">
        <v>4</v>
      </c>
      <c r="D133" s="18" t="s">
        <v>2561</v>
      </c>
      <c r="E133" s="18" t="s">
        <v>2562</v>
      </c>
      <c r="F133" s="18" t="s">
        <v>2563</v>
      </c>
      <c r="G133" s="12" t="s">
        <v>1657</v>
      </c>
      <c r="H133" s="12"/>
      <c r="I133" s="18"/>
    </row>
    <row r="134" spans="1:9" ht="102" x14ac:dyDescent="0.25">
      <c r="A134" s="19">
        <v>46296.494606481479</v>
      </c>
      <c r="B134" s="12" t="s">
        <v>904</v>
      </c>
      <c r="C134" s="12">
        <v>5</v>
      </c>
      <c r="D134" s="18" t="s">
        <v>2564</v>
      </c>
      <c r="E134" s="18" t="s">
        <v>2565</v>
      </c>
      <c r="F134" s="18" t="s">
        <v>908</v>
      </c>
      <c r="G134" s="12" t="s">
        <v>1657</v>
      </c>
      <c r="H134" s="12" t="s">
        <v>910</v>
      </c>
      <c r="I134" s="18"/>
    </row>
    <row r="135" spans="1:9" ht="51" x14ac:dyDescent="0.25">
      <c r="A135" s="19">
        <v>46296.63181712963</v>
      </c>
      <c r="B135" s="12" t="s">
        <v>1004</v>
      </c>
      <c r="C135" s="12">
        <v>6</v>
      </c>
      <c r="D135" s="18" t="s">
        <v>2566</v>
      </c>
      <c r="E135" s="18" t="s">
        <v>2567</v>
      </c>
      <c r="F135" s="18" t="s">
        <v>2568</v>
      </c>
      <c r="G135" s="12" t="s">
        <v>1657</v>
      </c>
      <c r="H135" s="12" t="s">
        <v>1943</v>
      </c>
      <c r="I135" s="18"/>
    </row>
    <row r="136" spans="1:9" ht="51" x14ac:dyDescent="0.25">
      <c r="A136" s="19">
        <v>46296.64025462963</v>
      </c>
      <c r="B136" s="12" t="s">
        <v>948</v>
      </c>
      <c r="C136" s="12">
        <v>6</v>
      </c>
      <c r="D136" s="18" t="s">
        <v>2569</v>
      </c>
      <c r="E136" s="18" t="s">
        <v>2570</v>
      </c>
      <c r="F136" s="18" t="s">
        <v>952</v>
      </c>
      <c r="G136" s="12" t="s">
        <v>1657</v>
      </c>
      <c r="H136" s="12" t="s">
        <v>953</v>
      </c>
      <c r="I136" s="18"/>
    </row>
    <row r="137" spans="1:9" ht="89.25" x14ac:dyDescent="0.25">
      <c r="A137" s="19">
        <v>46296.657175925917</v>
      </c>
      <c r="B137" s="12" t="s">
        <v>955</v>
      </c>
      <c r="C137" s="12">
        <v>6</v>
      </c>
      <c r="D137" s="18" t="s">
        <v>2571</v>
      </c>
      <c r="E137" s="18" t="s">
        <v>2572</v>
      </c>
      <c r="F137" s="18" t="s">
        <v>2573</v>
      </c>
      <c r="G137" s="12" t="s">
        <v>1657</v>
      </c>
      <c r="H137" s="12" t="s">
        <v>961</v>
      </c>
      <c r="I137" s="18"/>
    </row>
    <row r="138" spans="1:9" ht="63.75" x14ac:dyDescent="0.25">
      <c r="A138" s="19">
        <v>46296.673958333333</v>
      </c>
      <c r="B138" s="12" t="s">
        <v>955</v>
      </c>
      <c r="C138" s="12">
        <v>6</v>
      </c>
      <c r="D138" s="18" t="s">
        <v>2574</v>
      </c>
      <c r="E138" s="18" t="s">
        <v>2318</v>
      </c>
      <c r="F138" s="18" t="s">
        <v>959</v>
      </c>
      <c r="G138" s="12" t="s">
        <v>2338</v>
      </c>
      <c r="H138" s="12" t="s">
        <v>961</v>
      </c>
      <c r="I138" s="18"/>
    </row>
    <row r="139" spans="1:9" ht="76.5" x14ac:dyDescent="0.25">
      <c r="A139" s="19">
        <v>46296.673993055563</v>
      </c>
      <c r="B139" s="12" t="s">
        <v>962</v>
      </c>
      <c r="C139" s="12">
        <v>6</v>
      </c>
      <c r="D139" s="18" t="s">
        <v>2575</v>
      </c>
      <c r="E139" s="18" t="s">
        <v>2576</v>
      </c>
      <c r="F139" s="18" t="s">
        <v>966</v>
      </c>
      <c r="G139" s="12" t="s">
        <v>1657</v>
      </c>
      <c r="H139" s="12" t="s">
        <v>967</v>
      </c>
      <c r="I139" s="18"/>
    </row>
    <row r="140" spans="1:9" ht="63.75" x14ac:dyDescent="0.25">
      <c r="A140" s="19">
        <v>46296.683622685188</v>
      </c>
      <c r="B140" s="12" t="s">
        <v>968</v>
      </c>
      <c r="C140" s="12">
        <v>6</v>
      </c>
      <c r="D140" s="18" t="s">
        <v>2577</v>
      </c>
      <c r="E140" s="18" t="s">
        <v>2578</v>
      </c>
      <c r="F140" s="18" t="s">
        <v>972</v>
      </c>
      <c r="G140" s="12" t="s">
        <v>1657</v>
      </c>
      <c r="H140" s="12" t="s">
        <v>973</v>
      </c>
      <c r="I140" s="18"/>
    </row>
    <row r="141" spans="1:9" ht="38.25" x14ac:dyDescent="0.25">
      <c r="A141" s="19">
        <v>46301.614942129629</v>
      </c>
      <c r="B141" s="12" t="s">
        <v>889</v>
      </c>
      <c r="C141" s="12">
        <v>5</v>
      </c>
      <c r="D141" s="18" t="s">
        <v>2579</v>
      </c>
      <c r="E141" s="18"/>
      <c r="F141" s="18" t="s">
        <v>893</v>
      </c>
      <c r="G141" s="12" t="s">
        <v>1657</v>
      </c>
      <c r="H141" s="12" t="s">
        <v>894</v>
      </c>
      <c r="I141" s="18"/>
    </row>
    <row r="142" spans="1:9" ht="38.25" x14ac:dyDescent="0.25">
      <c r="A142" s="19">
        <v>46301.614988425928</v>
      </c>
      <c r="B142" s="12" t="s">
        <v>897</v>
      </c>
      <c r="C142" s="12">
        <v>5</v>
      </c>
      <c r="D142" s="18" t="s">
        <v>2580</v>
      </c>
      <c r="E142" s="18"/>
      <c r="F142" s="18" t="s">
        <v>901</v>
      </c>
      <c r="G142" s="12" t="s">
        <v>1657</v>
      </c>
      <c r="H142" s="12" t="s">
        <v>894</v>
      </c>
      <c r="I142" s="18"/>
    </row>
    <row r="143" spans="1:9" ht="38.25" x14ac:dyDescent="0.25">
      <c r="A143" s="19">
        <v>46301.615023148152</v>
      </c>
      <c r="B143" s="12" t="s">
        <v>911</v>
      </c>
      <c r="C143" s="12">
        <v>5</v>
      </c>
      <c r="D143" s="18" t="s">
        <v>2581</v>
      </c>
      <c r="E143" s="18"/>
      <c r="F143" s="18" t="s">
        <v>915</v>
      </c>
      <c r="G143" s="12" t="s">
        <v>1657</v>
      </c>
      <c r="H143" s="12" t="s">
        <v>894</v>
      </c>
      <c r="I143" s="18"/>
    </row>
    <row r="144" spans="1:9" ht="38.25" x14ac:dyDescent="0.25">
      <c r="A144" s="19">
        <v>46301.615069444437</v>
      </c>
      <c r="B144" s="12" t="s">
        <v>933</v>
      </c>
      <c r="C144" s="12">
        <v>5</v>
      </c>
      <c r="D144" s="18" t="s">
        <v>2582</v>
      </c>
      <c r="E144" s="18"/>
      <c r="F144" s="18" t="s">
        <v>937</v>
      </c>
      <c r="G144" s="12" t="s">
        <v>1657</v>
      </c>
      <c r="H144" s="12" t="s">
        <v>894</v>
      </c>
      <c r="I144" s="18"/>
    </row>
    <row r="145" spans="1:9" ht="38.25" x14ac:dyDescent="0.25">
      <c r="A145" s="19">
        <v>46301.615115740737</v>
      </c>
      <c r="B145" s="12" t="s">
        <v>1293</v>
      </c>
      <c r="C145" s="12">
        <v>5</v>
      </c>
      <c r="D145" s="18" t="s">
        <v>2583</v>
      </c>
      <c r="E145" s="18"/>
      <c r="F145" s="18" t="s">
        <v>1297</v>
      </c>
      <c r="G145" s="12" t="s">
        <v>1657</v>
      </c>
      <c r="H145" s="12" t="s">
        <v>894</v>
      </c>
      <c r="I145" s="18"/>
    </row>
    <row r="146" spans="1:9" ht="38.25" x14ac:dyDescent="0.25">
      <c r="A146" s="19">
        <v>46301.615162037036</v>
      </c>
      <c r="B146" s="12" t="s">
        <v>940</v>
      </c>
      <c r="C146" s="12">
        <v>5</v>
      </c>
      <c r="D146" s="18" t="s">
        <v>2584</v>
      </c>
      <c r="E146" s="18"/>
      <c r="F146" s="18" t="s">
        <v>944</v>
      </c>
      <c r="G146" s="12" t="s">
        <v>1657</v>
      </c>
      <c r="H146" s="12" t="s">
        <v>894</v>
      </c>
      <c r="I146" s="18"/>
    </row>
    <row r="147" spans="1:9" ht="51" x14ac:dyDescent="0.25">
      <c r="A147" s="19">
        <v>46301.615208333344</v>
      </c>
      <c r="B147" s="12" t="s">
        <v>1342</v>
      </c>
      <c r="C147" s="12">
        <v>17</v>
      </c>
      <c r="D147" s="18" t="s">
        <v>2585</v>
      </c>
      <c r="E147" s="18"/>
      <c r="F147" s="18" t="s">
        <v>1346</v>
      </c>
      <c r="G147" s="12" t="s">
        <v>1657</v>
      </c>
      <c r="H147" s="12" t="s">
        <v>894</v>
      </c>
      <c r="I147" s="18"/>
    </row>
    <row r="148" spans="1:9" ht="38.25" x14ac:dyDescent="0.25">
      <c r="A148" s="19">
        <v>46301.615254629629</v>
      </c>
      <c r="B148" s="12" t="s">
        <v>1312</v>
      </c>
      <c r="C148" s="12">
        <v>6</v>
      </c>
      <c r="D148" s="18" t="s">
        <v>2586</v>
      </c>
      <c r="E148" s="18"/>
      <c r="F148" s="18" t="s">
        <v>1316</v>
      </c>
      <c r="G148" s="12" t="s">
        <v>1657</v>
      </c>
      <c r="H148" s="12" t="s">
        <v>894</v>
      </c>
      <c r="I148" s="18"/>
    </row>
    <row r="149" spans="1:9" ht="38.25" x14ac:dyDescent="0.25">
      <c r="A149" s="19">
        <v>46301.615300925929</v>
      </c>
      <c r="B149" s="12" t="s">
        <v>1004</v>
      </c>
      <c r="C149" s="12">
        <v>6</v>
      </c>
      <c r="D149" s="18" t="s">
        <v>2587</v>
      </c>
      <c r="E149" s="18"/>
      <c r="F149" s="18" t="s">
        <v>1008</v>
      </c>
      <c r="G149" s="12" t="s">
        <v>1657</v>
      </c>
      <c r="H149" s="12" t="s">
        <v>997</v>
      </c>
      <c r="I149" s="18"/>
    </row>
    <row r="150" spans="1:9" ht="38.25" x14ac:dyDescent="0.25">
      <c r="A150" s="19">
        <v>46301.615335648137</v>
      </c>
      <c r="B150" s="12" t="s">
        <v>991</v>
      </c>
      <c r="C150" s="12">
        <v>6</v>
      </c>
      <c r="D150" s="18" t="s">
        <v>2588</v>
      </c>
      <c r="E150" s="18"/>
      <c r="F150" s="18" t="s">
        <v>995</v>
      </c>
      <c r="G150" s="12" t="s">
        <v>1657</v>
      </c>
      <c r="H150" s="12" t="s">
        <v>997</v>
      </c>
      <c r="I150" s="18"/>
    </row>
    <row r="151" spans="1:9" ht="38.25" x14ac:dyDescent="0.25">
      <c r="A151" s="19">
        <v>46301.615381944437</v>
      </c>
      <c r="B151" s="12" t="s">
        <v>999</v>
      </c>
      <c r="C151" s="12">
        <v>6</v>
      </c>
      <c r="D151" s="18" t="s">
        <v>2589</v>
      </c>
      <c r="E151" s="18"/>
      <c r="F151" s="18" t="s">
        <v>1003</v>
      </c>
      <c r="G151" s="12" t="s">
        <v>1657</v>
      </c>
      <c r="H151" s="12" t="s">
        <v>997</v>
      </c>
      <c r="I151" s="18"/>
    </row>
    <row r="152" spans="1:9" ht="38.25" x14ac:dyDescent="0.25">
      <c r="A152" s="19">
        <v>46301.615428240737</v>
      </c>
      <c r="B152" s="12" t="s">
        <v>1016</v>
      </c>
      <c r="C152" s="12">
        <v>6</v>
      </c>
      <c r="D152" s="18" t="s">
        <v>2590</v>
      </c>
      <c r="E152" s="18"/>
      <c r="F152" s="18" t="s">
        <v>1020</v>
      </c>
      <c r="G152" s="12" t="s">
        <v>1657</v>
      </c>
      <c r="H152" s="12" t="s">
        <v>997</v>
      </c>
      <c r="I152" s="18"/>
    </row>
    <row r="153" spans="1:9" ht="51" x14ac:dyDescent="0.25">
      <c r="A153" s="19">
        <v>46301.615474537037</v>
      </c>
      <c r="B153" s="12" t="s">
        <v>1010</v>
      </c>
      <c r="C153" s="12">
        <v>6</v>
      </c>
      <c r="D153" s="18" t="s">
        <v>2591</v>
      </c>
      <c r="E153" s="18"/>
      <c r="F153" s="18" t="s">
        <v>1014</v>
      </c>
      <c r="G153" s="12" t="s">
        <v>1657</v>
      </c>
      <c r="H153" s="12" t="s">
        <v>1015</v>
      </c>
      <c r="I153" s="18"/>
    </row>
    <row r="154" spans="1:9" ht="38.25" x14ac:dyDescent="0.25">
      <c r="A154" s="19">
        <v>46301.615520833337</v>
      </c>
      <c r="B154" s="12" t="s">
        <v>974</v>
      </c>
      <c r="C154" s="12">
        <v>6</v>
      </c>
      <c r="D154" s="18" t="s">
        <v>2592</v>
      </c>
      <c r="E154" s="18"/>
      <c r="F154" s="18" t="s">
        <v>978</v>
      </c>
      <c r="G154" s="12" t="s">
        <v>1657</v>
      </c>
      <c r="H154" s="12" t="s">
        <v>979</v>
      </c>
      <c r="I154" s="18"/>
    </row>
    <row r="155" spans="1:9" ht="38.25" x14ac:dyDescent="0.25">
      <c r="A155" s="19">
        <v>46301.615567129629</v>
      </c>
      <c r="B155" s="12" t="s">
        <v>980</v>
      </c>
      <c r="C155" s="12">
        <v>6</v>
      </c>
      <c r="D155" s="18" t="s">
        <v>2593</v>
      </c>
      <c r="E155" s="18"/>
      <c r="F155" s="18" t="s">
        <v>984</v>
      </c>
      <c r="G155" s="12" t="s">
        <v>1657</v>
      </c>
      <c r="H155" s="12" t="s">
        <v>985</v>
      </c>
      <c r="I155" s="18"/>
    </row>
    <row r="156" spans="1:9" ht="51" x14ac:dyDescent="0.25">
      <c r="A156" s="19">
        <v>46301.615613425929</v>
      </c>
      <c r="B156" s="12" t="s">
        <v>986</v>
      </c>
      <c r="C156" s="12">
        <v>6</v>
      </c>
      <c r="D156" s="18" t="s">
        <v>2594</v>
      </c>
      <c r="E156" s="18"/>
      <c r="F156" s="18" t="s">
        <v>990</v>
      </c>
      <c r="G156" s="12" t="s">
        <v>1657</v>
      </c>
      <c r="H156" s="12" t="s">
        <v>979</v>
      </c>
      <c r="I156" s="18"/>
    </row>
    <row r="157" spans="1:9" ht="38.25" x14ac:dyDescent="0.25">
      <c r="A157" s="19">
        <v>46301.615659722222</v>
      </c>
      <c r="B157" s="12" t="s">
        <v>1022</v>
      </c>
      <c r="C157" s="12">
        <v>7</v>
      </c>
      <c r="D157" s="18" t="s">
        <v>2595</v>
      </c>
      <c r="E157" s="18"/>
      <c r="F157" s="18" t="s">
        <v>1026</v>
      </c>
      <c r="G157" s="12" t="s">
        <v>1657</v>
      </c>
      <c r="H157" s="12" t="s">
        <v>1028</v>
      </c>
      <c r="I157" s="18"/>
    </row>
    <row r="158" spans="1:9" ht="38.25" x14ac:dyDescent="0.25">
      <c r="A158" s="19">
        <v>46301.615706018521</v>
      </c>
      <c r="B158" s="12" t="s">
        <v>1029</v>
      </c>
      <c r="C158" s="12">
        <v>7</v>
      </c>
      <c r="D158" s="18" t="s">
        <v>2596</v>
      </c>
      <c r="E158" s="18"/>
      <c r="F158" s="18" t="s">
        <v>1033</v>
      </c>
      <c r="G158" s="12" t="s">
        <v>1657</v>
      </c>
      <c r="H158" s="12" t="s">
        <v>1028</v>
      </c>
      <c r="I158" s="18"/>
    </row>
    <row r="159" spans="1:9" ht="38.25" x14ac:dyDescent="0.25">
      <c r="A159" s="19">
        <v>46301.615752314807</v>
      </c>
      <c r="B159" s="12" t="s">
        <v>1034</v>
      </c>
      <c r="C159" s="12">
        <v>7</v>
      </c>
      <c r="D159" s="18" t="s">
        <v>2597</v>
      </c>
      <c r="E159" s="18"/>
      <c r="F159" s="18" t="s">
        <v>1033</v>
      </c>
      <c r="G159" s="12" t="s">
        <v>1657</v>
      </c>
      <c r="H159" s="12" t="s">
        <v>1028</v>
      </c>
      <c r="I159" s="18"/>
    </row>
    <row r="160" spans="1:9" ht="38.25" x14ac:dyDescent="0.25">
      <c r="A160" s="19">
        <v>46301.615798611107</v>
      </c>
      <c r="B160" s="12" t="s">
        <v>858</v>
      </c>
      <c r="C160" s="12">
        <v>4</v>
      </c>
      <c r="D160" s="18" t="s">
        <v>2598</v>
      </c>
      <c r="E160" s="18"/>
      <c r="F160" s="18" t="s">
        <v>862</v>
      </c>
      <c r="G160" s="12" t="s">
        <v>1657</v>
      </c>
      <c r="H160" s="12" t="s">
        <v>863</v>
      </c>
      <c r="I160" s="18"/>
    </row>
    <row r="161" spans="1:9" ht="38.25" x14ac:dyDescent="0.25">
      <c r="A161" s="19">
        <v>46301.615844907406</v>
      </c>
      <c r="B161" s="12" t="s">
        <v>1307</v>
      </c>
      <c r="C161" s="12">
        <v>6</v>
      </c>
      <c r="D161" s="18" t="s">
        <v>2599</v>
      </c>
      <c r="E161" s="18"/>
      <c r="F161" s="18" t="s">
        <v>1311</v>
      </c>
      <c r="G161" s="12" t="s">
        <v>1657</v>
      </c>
      <c r="H161" s="12" t="s">
        <v>863</v>
      </c>
      <c r="I161" s="18"/>
    </row>
    <row r="162" spans="1:9" ht="76.5" x14ac:dyDescent="0.25">
      <c r="A162" s="19">
        <v>46301.615972222222</v>
      </c>
      <c r="B162" s="12" t="s">
        <v>2600</v>
      </c>
      <c r="C162" s="12">
        <v>6</v>
      </c>
      <c r="D162" s="18" t="s">
        <v>2601</v>
      </c>
      <c r="E162" s="18" t="s">
        <v>2602</v>
      </c>
      <c r="F162" s="18" t="s">
        <v>2603</v>
      </c>
      <c r="G162" s="12" t="s">
        <v>1657</v>
      </c>
      <c r="H162" s="12"/>
      <c r="I162" s="18"/>
    </row>
    <row r="163" spans="1:9" ht="38.25" x14ac:dyDescent="0.25">
      <c r="A163" s="19">
        <v>46301.640243055554</v>
      </c>
      <c r="B163" s="12" t="s">
        <v>1299</v>
      </c>
      <c r="C163" s="12">
        <v>5</v>
      </c>
      <c r="D163" s="18" t="s">
        <v>2604</v>
      </c>
      <c r="E163" s="18" t="s">
        <v>2605</v>
      </c>
      <c r="F163" s="18" t="s">
        <v>1303</v>
      </c>
      <c r="G163" s="12" t="s">
        <v>1657</v>
      </c>
      <c r="H163" s="12" t="s">
        <v>1305</v>
      </c>
      <c r="I163" s="18"/>
    </row>
    <row r="164" spans="1:9" ht="38.25" x14ac:dyDescent="0.25">
      <c r="A164" s="19">
        <v>46301.640289351853</v>
      </c>
      <c r="B164" s="12" t="s">
        <v>1349</v>
      </c>
      <c r="C164" s="12">
        <v>17</v>
      </c>
      <c r="D164" s="18" t="s">
        <v>2606</v>
      </c>
      <c r="E164" s="18" t="s">
        <v>2607</v>
      </c>
      <c r="F164" s="18" t="s">
        <v>1353</v>
      </c>
      <c r="G164" s="12" t="s">
        <v>1657</v>
      </c>
      <c r="H164" s="12" t="s">
        <v>1354</v>
      </c>
      <c r="I164" s="18"/>
    </row>
    <row r="165" spans="1:9" ht="38.25" x14ac:dyDescent="0.25">
      <c r="A165" s="19">
        <v>46301.6408912037</v>
      </c>
      <c r="B165" s="12" t="s">
        <v>2608</v>
      </c>
      <c r="C165" s="12">
        <v>7</v>
      </c>
      <c r="D165" s="18" t="s">
        <v>2609</v>
      </c>
      <c r="E165" s="18"/>
      <c r="F165" s="18" t="s">
        <v>2610</v>
      </c>
      <c r="G165" s="12" t="s">
        <v>1657</v>
      </c>
      <c r="H165" s="12"/>
      <c r="I165" s="18"/>
    </row>
    <row r="166" spans="1:9" ht="25.5" x14ac:dyDescent="0.25">
      <c r="A166" s="19">
        <v>46301.88385416667</v>
      </c>
      <c r="B166" s="12" t="s">
        <v>2611</v>
      </c>
      <c r="C166" s="12">
        <v>8</v>
      </c>
      <c r="D166" s="18" t="s">
        <v>2612</v>
      </c>
      <c r="E166" s="18"/>
      <c r="F166" s="18" t="s">
        <v>2613</v>
      </c>
      <c r="G166" s="12" t="s">
        <v>1657</v>
      </c>
      <c r="H166" s="12"/>
      <c r="I166" s="18"/>
    </row>
    <row r="167" spans="1:9" ht="25.5" x14ac:dyDescent="0.25">
      <c r="A167" s="19">
        <v>46301.92359953704</v>
      </c>
      <c r="B167" s="12" t="s">
        <v>2614</v>
      </c>
      <c r="C167" s="12">
        <v>10</v>
      </c>
      <c r="D167" s="18" t="s">
        <v>2615</v>
      </c>
      <c r="E167" s="18"/>
      <c r="F167" s="18" t="s">
        <v>2613</v>
      </c>
      <c r="G167" s="12" t="s">
        <v>1657</v>
      </c>
      <c r="H167" s="12"/>
      <c r="I167" s="18"/>
    </row>
    <row r="168" spans="1:9" ht="25.5" x14ac:dyDescent="0.25">
      <c r="A168" s="19">
        <v>46302.365069444437</v>
      </c>
      <c r="B168" s="12" t="s">
        <v>2616</v>
      </c>
      <c r="C168" s="12">
        <v>11</v>
      </c>
      <c r="D168" s="18" t="s">
        <v>2617</v>
      </c>
      <c r="E168" s="18"/>
      <c r="F168" s="18" t="s">
        <v>2613</v>
      </c>
      <c r="G168" s="12" t="s">
        <v>1657</v>
      </c>
      <c r="H168" s="12"/>
      <c r="I168" s="18"/>
    </row>
    <row r="169" spans="1:9" ht="25.5" x14ac:dyDescent="0.25">
      <c r="A169" s="19">
        <v>46302.36550925926</v>
      </c>
      <c r="B169" s="12" t="s">
        <v>2618</v>
      </c>
      <c r="C169" s="12">
        <v>12</v>
      </c>
      <c r="D169" s="18" t="s">
        <v>2619</v>
      </c>
      <c r="E169" s="18"/>
      <c r="F169" s="18" t="s">
        <v>2613</v>
      </c>
      <c r="G169" s="12" t="s">
        <v>1657</v>
      </c>
      <c r="H169" s="12"/>
      <c r="I169" s="18"/>
    </row>
    <row r="170" spans="1:9" ht="25.5" x14ac:dyDescent="0.25">
      <c r="A170" s="19">
        <v>46302.365891203714</v>
      </c>
      <c r="B170" s="12" t="s">
        <v>2620</v>
      </c>
      <c r="C170" s="12">
        <v>13</v>
      </c>
      <c r="D170" s="18" t="s">
        <v>2621</v>
      </c>
      <c r="E170" s="18"/>
      <c r="F170" s="18" t="s">
        <v>2613</v>
      </c>
      <c r="G170" s="12" t="s">
        <v>1657</v>
      </c>
      <c r="H170" s="12"/>
      <c r="I170" s="18"/>
    </row>
    <row r="171" spans="1:9" ht="25.5" x14ac:dyDescent="0.25">
      <c r="A171" s="19">
        <v>46302.366319444453</v>
      </c>
      <c r="B171" s="12" t="s">
        <v>2622</v>
      </c>
      <c r="C171" s="12">
        <v>14</v>
      </c>
      <c r="D171" s="18" t="s">
        <v>2623</v>
      </c>
      <c r="E171" s="18"/>
      <c r="F171" s="18" t="s">
        <v>2613</v>
      </c>
      <c r="G171" s="12" t="s">
        <v>1657</v>
      </c>
      <c r="H171" s="12"/>
      <c r="I171" s="18"/>
    </row>
    <row r="172" spans="1:9" ht="25.5" x14ac:dyDescent="0.25">
      <c r="A172" s="19">
        <v>46302.366724537038</v>
      </c>
      <c r="B172" s="12" t="s">
        <v>2624</v>
      </c>
      <c r="C172" s="12">
        <v>16</v>
      </c>
      <c r="D172" s="18" t="s">
        <v>2625</v>
      </c>
      <c r="E172" s="18"/>
      <c r="F172" s="18" t="s">
        <v>2613</v>
      </c>
      <c r="G172" s="12" t="s">
        <v>1657</v>
      </c>
      <c r="H172" s="12"/>
      <c r="I172" s="18"/>
    </row>
    <row r="173" spans="1:9" ht="25.5" x14ac:dyDescent="0.25">
      <c r="A173" s="19">
        <v>46302.367129629631</v>
      </c>
      <c r="B173" s="12" t="s">
        <v>2626</v>
      </c>
      <c r="C173" s="12">
        <v>16</v>
      </c>
      <c r="D173" s="18" t="s">
        <v>2627</v>
      </c>
      <c r="E173" s="18"/>
      <c r="F173" s="18" t="s">
        <v>2613</v>
      </c>
      <c r="G173" s="12" t="s">
        <v>1657</v>
      </c>
      <c r="H173" s="12"/>
      <c r="I173" s="18"/>
    </row>
    <row r="174" spans="1:9" ht="38.25" x14ac:dyDescent="0.25">
      <c r="A174" s="19">
        <v>46302.367604166669</v>
      </c>
      <c r="B174" s="12" t="s">
        <v>2628</v>
      </c>
      <c r="C174" s="12">
        <v>17</v>
      </c>
      <c r="D174" s="18" t="s">
        <v>2629</v>
      </c>
      <c r="E174" s="18"/>
      <c r="F174" s="18" t="s">
        <v>2630</v>
      </c>
      <c r="G174" s="12" t="s">
        <v>1657</v>
      </c>
      <c r="H174" s="12"/>
      <c r="I174" s="18"/>
    </row>
    <row r="175" spans="1:9" ht="25.5" x14ac:dyDescent="0.25">
      <c r="A175" s="19">
        <v>46302.367858796293</v>
      </c>
      <c r="B175" s="12" t="s">
        <v>1375</v>
      </c>
      <c r="C175" s="12">
        <v>18</v>
      </c>
      <c r="D175" s="18" t="s">
        <v>2631</v>
      </c>
      <c r="E175" s="18"/>
      <c r="F175" s="18" t="s">
        <v>2632</v>
      </c>
      <c r="G175" s="12" t="s">
        <v>1657</v>
      </c>
      <c r="H175" s="12"/>
      <c r="I175" s="18"/>
    </row>
    <row r="176" spans="1:9" ht="38.25" x14ac:dyDescent="0.25">
      <c r="A176" s="19">
        <v>46302.369467592587</v>
      </c>
      <c r="B176" s="12" t="s">
        <v>2633</v>
      </c>
      <c r="C176" s="12">
        <v>18</v>
      </c>
      <c r="D176" s="18" t="s">
        <v>2634</v>
      </c>
      <c r="E176" s="18"/>
      <c r="F176" s="18" t="s">
        <v>2635</v>
      </c>
      <c r="G176" s="12" t="s">
        <v>1657</v>
      </c>
      <c r="H176" s="12"/>
      <c r="I176" s="18"/>
    </row>
    <row r="177" spans="1:9" ht="102" x14ac:dyDescent="0.25">
      <c r="A177" s="19">
        <v>46302.468935185178</v>
      </c>
      <c r="B177" s="12" t="s">
        <v>639</v>
      </c>
      <c r="C177" s="12">
        <v>3</v>
      </c>
      <c r="D177" s="18" t="s">
        <v>2636</v>
      </c>
      <c r="E177" s="18" t="s">
        <v>2637</v>
      </c>
      <c r="F177" s="18" t="s">
        <v>643</v>
      </c>
      <c r="G177" s="12" t="s">
        <v>1657</v>
      </c>
      <c r="H177" s="12" t="s">
        <v>644</v>
      </c>
      <c r="I177" s="18"/>
    </row>
    <row r="178" spans="1:9" ht="127.5" x14ac:dyDescent="0.25">
      <c r="A178" s="19">
        <v>46302.500347222223</v>
      </c>
      <c r="B178" s="12" t="s">
        <v>661</v>
      </c>
      <c r="C178" s="12">
        <v>3</v>
      </c>
      <c r="D178" s="18" t="s">
        <v>2638</v>
      </c>
      <c r="E178" s="18" t="s">
        <v>2639</v>
      </c>
      <c r="F178" s="18" t="s">
        <v>665</v>
      </c>
      <c r="G178" s="12" t="s">
        <v>1657</v>
      </c>
      <c r="H178" s="12" t="s">
        <v>666</v>
      </c>
      <c r="I178" s="18"/>
    </row>
    <row r="179" spans="1:9" ht="89.25" x14ac:dyDescent="0.25">
      <c r="A179" s="19">
        <v>46302.524733796286</v>
      </c>
      <c r="B179" s="12" t="s">
        <v>675</v>
      </c>
      <c r="C179" s="12">
        <v>3</v>
      </c>
      <c r="D179" s="18" t="s">
        <v>2640</v>
      </c>
      <c r="E179" s="18" t="s">
        <v>2641</v>
      </c>
      <c r="F179" s="18" t="s">
        <v>679</v>
      </c>
      <c r="G179" s="12" t="s">
        <v>1657</v>
      </c>
      <c r="H179" s="12" t="s">
        <v>680</v>
      </c>
      <c r="I179" s="18"/>
    </row>
    <row r="180" spans="1:9" ht="38.25" x14ac:dyDescent="0.25">
      <c r="A180" s="19">
        <v>46302.52752314815</v>
      </c>
      <c r="B180" s="12" t="s">
        <v>724</v>
      </c>
      <c r="C180" s="12">
        <v>3</v>
      </c>
      <c r="D180" s="18" t="s">
        <v>2642</v>
      </c>
      <c r="E180" s="18"/>
      <c r="F180" s="18" t="s">
        <v>728</v>
      </c>
      <c r="G180" s="12" t="s">
        <v>2338</v>
      </c>
      <c r="H180" s="12" t="s">
        <v>729</v>
      </c>
      <c r="I180" s="18"/>
    </row>
    <row r="181" spans="1:9" ht="51" x14ac:dyDescent="0.25">
      <c r="A181" s="19">
        <v>46302.636307870373</v>
      </c>
      <c r="B181" s="12" t="s">
        <v>775</v>
      </c>
      <c r="C181" s="12">
        <v>3</v>
      </c>
      <c r="D181" s="18" t="s">
        <v>2643</v>
      </c>
      <c r="E181" s="18" t="s">
        <v>2644</v>
      </c>
      <c r="F181" s="18" t="s">
        <v>779</v>
      </c>
      <c r="G181" s="12" t="s">
        <v>1657</v>
      </c>
      <c r="H181" s="12" t="s">
        <v>780</v>
      </c>
      <c r="I181" s="18"/>
    </row>
    <row r="182" spans="1:9" ht="114.75" x14ac:dyDescent="0.25">
      <c r="A182" s="19">
        <v>46302.662361111114</v>
      </c>
      <c r="B182" s="12" t="s">
        <v>917</v>
      </c>
      <c r="C182" s="12">
        <v>5</v>
      </c>
      <c r="D182" s="18" t="s">
        <v>2645</v>
      </c>
      <c r="E182" s="18" t="s">
        <v>2646</v>
      </c>
      <c r="F182" s="18" t="s">
        <v>921</v>
      </c>
      <c r="G182" s="12" t="s">
        <v>1657</v>
      </c>
      <c r="H182" s="12" t="s">
        <v>922</v>
      </c>
      <c r="I182" s="18"/>
    </row>
    <row r="183" spans="1:9" ht="38.25" x14ac:dyDescent="0.25">
      <c r="A183" s="19">
        <v>46302.676979166667</v>
      </c>
      <c r="B183" s="12" t="s">
        <v>1118</v>
      </c>
      <c r="C183" s="12">
        <v>9</v>
      </c>
      <c r="D183" s="18" t="s">
        <v>2647</v>
      </c>
      <c r="E183" s="18" t="s">
        <v>2648</v>
      </c>
      <c r="F183" s="18" t="s">
        <v>1122</v>
      </c>
      <c r="G183" s="12" t="s">
        <v>1657</v>
      </c>
      <c r="H183" s="12" t="s">
        <v>1123</v>
      </c>
      <c r="I183" s="18"/>
    </row>
    <row r="184" spans="1:9" ht="25.5" x14ac:dyDescent="0.25">
      <c r="A184" s="19">
        <v>46302.680891203701</v>
      </c>
      <c r="B184" s="12" t="s">
        <v>1101</v>
      </c>
      <c r="C184" s="12">
        <v>9</v>
      </c>
      <c r="D184" s="18" t="s">
        <v>2649</v>
      </c>
      <c r="E184" s="18" t="s">
        <v>2650</v>
      </c>
      <c r="F184" s="18" t="s">
        <v>1105</v>
      </c>
      <c r="G184" s="12" t="s">
        <v>1657</v>
      </c>
      <c r="H184" s="12" t="s">
        <v>1107</v>
      </c>
      <c r="I184" s="18"/>
    </row>
    <row r="185" spans="1:9" ht="63.75" x14ac:dyDescent="0.25">
      <c r="A185" s="19">
        <v>46302.690972222219</v>
      </c>
      <c r="B185" s="12" t="s">
        <v>1187</v>
      </c>
      <c r="C185" s="12">
        <v>11</v>
      </c>
      <c r="D185" s="18" t="s">
        <v>2651</v>
      </c>
      <c r="E185" s="18" t="s">
        <v>2652</v>
      </c>
      <c r="F185" s="18" t="s">
        <v>1191</v>
      </c>
      <c r="G185" s="12" t="s">
        <v>1657</v>
      </c>
      <c r="H185" s="12" t="s">
        <v>1192</v>
      </c>
      <c r="I185" s="18"/>
    </row>
    <row r="186" spans="1:9" ht="76.5" x14ac:dyDescent="0.25">
      <c r="A186" s="19">
        <v>46302.707743055558</v>
      </c>
      <c r="B186" s="12" t="s">
        <v>1228</v>
      </c>
      <c r="C186" s="12">
        <v>13</v>
      </c>
      <c r="D186" s="18" t="s">
        <v>2653</v>
      </c>
      <c r="E186" s="18" t="s">
        <v>2654</v>
      </c>
      <c r="F186" s="18" t="s">
        <v>1232</v>
      </c>
      <c r="G186" s="12" t="s">
        <v>1657</v>
      </c>
      <c r="H186" s="12" t="s">
        <v>1233</v>
      </c>
      <c r="I186" s="18"/>
    </row>
    <row r="187" spans="1:9" ht="89.25" x14ac:dyDescent="0.25">
      <c r="A187" s="19">
        <v>46302.733923611107</v>
      </c>
      <c r="B187" s="12" t="s">
        <v>1246</v>
      </c>
      <c r="C187" s="12">
        <v>14</v>
      </c>
      <c r="D187" s="18" t="s">
        <v>2655</v>
      </c>
      <c r="E187" s="18" t="s">
        <v>2656</v>
      </c>
      <c r="F187" s="18" t="s">
        <v>1250</v>
      </c>
      <c r="G187" s="12" t="s">
        <v>1657</v>
      </c>
      <c r="H187" s="12" t="s">
        <v>1251</v>
      </c>
      <c r="I187" s="18"/>
    </row>
    <row r="188" spans="1:9" ht="63.75" x14ac:dyDescent="0.25">
      <c r="A188" s="19">
        <v>46302.751793981479</v>
      </c>
      <c r="B188" s="12" t="s">
        <v>1253</v>
      </c>
      <c r="C188" s="12">
        <v>14</v>
      </c>
      <c r="D188" s="18" t="s">
        <v>2657</v>
      </c>
      <c r="E188" s="18" t="s">
        <v>2658</v>
      </c>
      <c r="F188" s="18" t="s">
        <v>1257</v>
      </c>
      <c r="G188" s="12" t="s">
        <v>1657</v>
      </c>
      <c r="H188" s="12" t="s">
        <v>1258</v>
      </c>
      <c r="I188" s="18"/>
    </row>
    <row r="189" spans="1:9" ht="89.25" x14ac:dyDescent="0.25">
      <c r="A189" s="19">
        <v>46302.856273148151</v>
      </c>
      <c r="B189" s="12" t="s">
        <v>1259</v>
      </c>
      <c r="C189" s="12">
        <v>15</v>
      </c>
      <c r="D189" s="18" t="s">
        <v>2659</v>
      </c>
      <c r="E189" s="18" t="s">
        <v>2660</v>
      </c>
      <c r="F189" s="18" t="s">
        <v>1263</v>
      </c>
      <c r="G189" s="12" t="s">
        <v>1657</v>
      </c>
      <c r="H189" s="12" t="s">
        <v>1265</v>
      </c>
      <c r="I189" s="18"/>
    </row>
    <row r="190" spans="1:9" ht="76.5" x14ac:dyDescent="0.25">
      <c r="A190" s="19">
        <v>46302.873078703713</v>
      </c>
      <c r="B190" s="12" t="s">
        <v>1267</v>
      </c>
      <c r="C190" s="12">
        <v>15</v>
      </c>
      <c r="D190" s="18" t="s">
        <v>2661</v>
      </c>
      <c r="E190" s="18" t="s">
        <v>2662</v>
      </c>
      <c r="F190" s="18" t="s">
        <v>1271</v>
      </c>
      <c r="G190" s="12" t="s">
        <v>1657</v>
      </c>
      <c r="H190" s="12" t="s">
        <v>1272</v>
      </c>
      <c r="I190" s="18"/>
    </row>
    <row r="191" spans="1:9" ht="76.5" x14ac:dyDescent="0.25">
      <c r="A191" s="19">
        <v>46302.894976851851</v>
      </c>
      <c r="B191" s="12" t="s">
        <v>1331</v>
      </c>
      <c r="C191" s="12">
        <v>16</v>
      </c>
      <c r="D191" s="18" t="s">
        <v>2663</v>
      </c>
      <c r="E191" s="18" t="s">
        <v>2664</v>
      </c>
      <c r="F191" s="18" t="s">
        <v>1335</v>
      </c>
      <c r="G191" s="12" t="s">
        <v>1657</v>
      </c>
      <c r="H191" s="12" t="s">
        <v>1336</v>
      </c>
      <c r="I191" s="18"/>
    </row>
    <row r="192" spans="1:9" ht="76.5" x14ac:dyDescent="0.25">
      <c r="A192" s="19">
        <v>46302.898645833331</v>
      </c>
      <c r="B192" s="12" t="s">
        <v>1362</v>
      </c>
      <c r="C192" s="12">
        <v>17</v>
      </c>
      <c r="D192" s="18" t="s">
        <v>2665</v>
      </c>
      <c r="E192" s="18" t="s">
        <v>2666</v>
      </c>
      <c r="F192" s="18" t="s">
        <v>1366</v>
      </c>
      <c r="G192" s="12" t="s">
        <v>2338</v>
      </c>
      <c r="H192" s="12" t="s">
        <v>1367</v>
      </c>
      <c r="I192" s="18"/>
    </row>
    <row r="193" spans="1:9" ht="140.25" x14ac:dyDescent="0.25">
      <c r="A193" s="19">
        <v>46302.921712962961</v>
      </c>
      <c r="B193" s="12" t="s">
        <v>554</v>
      </c>
      <c r="C193" s="12">
        <v>3</v>
      </c>
      <c r="D193" s="18" t="s">
        <v>2667</v>
      </c>
      <c r="E193" s="18" t="s">
        <v>2668</v>
      </c>
      <c r="F193" s="18" t="s">
        <v>558</v>
      </c>
      <c r="G193" s="12" t="s">
        <v>1657</v>
      </c>
      <c r="H193" s="12" t="s">
        <v>559</v>
      </c>
      <c r="I193" s="18"/>
    </row>
    <row r="194" spans="1:9" ht="38.25" x14ac:dyDescent="0.25">
      <c r="A194" s="19">
        <v>46302.922361111108</v>
      </c>
      <c r="B194" s="12" t="s">
        <v>561</v>
      </c>
      <c r="C194" s="12">
        <v>3</v>
      </c>
      <c r="D194" s="18" t="s">
        <v>2669</v>
      </c>
      <c r="E194" s="18"/>
      <c r="F194" s="18"/>
      <c r="G194" s="12" t="s">
        <v>2338</v>
      </c>
      <c r="H194" s="12"/>
      <c r="I194" s="18"/>
    </row>
    <row r="195" spans="1:9" ht="127.5" x14ac:dyDescent="0.25">
      <c r="A195" s="19">
        <v>46302.939097222217</v>
      </c>
      <c r="B195" s="12" t="s">
        <v>582</v>
      </c>
      <c r="C195" s="12">
        <v>3</v>
      </c>
      <c r="D195" s="18" t="s">
        <v>2670</v>
      </c>
      <c r="E195" s="18" t="s">
        <v>2671</v>
      </c>
      <c r="F195" s="18" t="s">
        <v>586</v>
      </c>
      <c r="G195" s="12" t="s">
        <v>1657</v>
      </c>
      <c r="H195" s="12" t="s">
        <v>587</v>
      </c>
      <c r="I195" s="18"/>
    </row>
    <row r="196" spans="1:9" ht="127.5" x14ac:dyDescent="0.25">
      <c r="A196" s="19">
        <v>46302.945914351847</v>
      </c>
      <c r="B196" s="12" t="s">
        <v>602</v>
      </c>
      <c r="C196" s="12">
        <v>3</v>
      </c>
      <c r="D196" s="18" t="s">
        <v>2672</v>
      </c>
      <c r="E196" s="18" t="s">
        <v>2673</v>
      </c>
      <c r="F196" s="18" t="s">
        <v>606</v>
      </c>
      <c r="G196" s="12" t="s">
        <v>1657</v>
      </c>
      <c r="H196" s="12" t="s">
        <v>607</v>
      </c>
      <c r="I196" s="18"/>
    </row>
    <row r="197" spans="1:9" ht="140.25" x14ac:dyDescent="0.25">
      <c r="A197" s="19">
        <v>46302.96539351852</v>
      </c>
      <c r="B197" s="12" t="s">
        <v>750</v>
      </c>
      <c r="C197" s="12">
        <v>3</v>
      </c>
      <c r="D197" s="18" t="s">
        <v>2674</v>
      </c>
      <c r="E197" s="18" t="s">
        <v>2675</v>
      </c>
      <c r="F197" s="18" t="s">
        <v>754</v>
      </c>
      <c r="G197" s="12" t="s">
        <v>1657</v>
      </c>
      <c r="H197" s="12" t="s">
        <v>755</v>
      </c>
      <c r="I197" s="18"/>
    </row>
    <row r="198" spans="1:9" ht="51" x14ac:dyDescent="0.25">
      <c r="A198" s="19">
        <v>46302.980925925927</v>
      </c>
      <c r="B198" s="12" t="s">
        <v>923</v>
      </c>
      <c r="C198" s="12">
        <v>5</v>
      </c>
      <c r="D198" s="18" t="s">
        <v>2676</v>
      </c>
      <c r="E198" s="18" t="s">
        <v>2677</v>
      </c>
      <c r="F198" s="18" t="s">
        <v>927</v>
      </c>
      <c r="G198" s="12" t="s">
        <v>1657</v>
      </c>
      <c r="H198" s="12" t="s">
        <v>928</v>
      </c>
      <c r="I198" s="18"/>
    </row>
    <row r="199" spans="1:9" ht="153" x14ac:dyDescent="0.25">
      <c r="A199" s="19">
        <v>46303.055833333332</v>
      </c>
      <c r="B199" s="12" t="s">
        <v>1108</v>
      </c>
      <c r="C199" s="12">
        <v>9</v>
      </c>
      <c r="D199" s="18" t="s">
        <v>2678</v>
      </c>
      <c r="E199" s="18" t="s">
        <v>2679</v>
      </c>
      <c r="F199" s="18" t="s">
        <v>1112</v>
      </c>
      <c r="G199" s="12" t="s">
        <v>1657</v>
      </c>
      <c r="H199" s="12" t="s">
        <v>1113</v>
      </c>
      <c r="I199" s="18"/>
    </row>
    <row r="200" spans="1:9" ht="127.5" x14ac:dyDescent="0.25">
      <c r="A200" s="19">
        <v>46303.069062499999</v>
      </c>
      <c r="B200" s="12" t="s">
        <v>1274</v>
      </c>
      <c r="C200" s="12">
        <v>15</v>
      </c>
      <c r="D200" s="18" t="s">
        <v>2680</v>
      </c>
      <c r="E200" s="18" t="s">
        <v>2681</v>
      </c>
      <c r="F200" s="18" t="s">
        <v>1278</v>
      </c>
      <c r="G200" s="12" t="s">
        <v>1657</v>
      </c>
      <c r="H200" s="12" t="s">
        <v>1279</v>
      </c>
      <c r="I200" s="18"/>
    </row>
    <row r="201" spans="1:9" ht="76.5" x14ac:dyDescent="0.25">
      <c r="A201" s="19">
        <v>46303.07099537037</v>
      </c>
      <c r="B201" s="12" t="s">
        <v>1368</v>
      </c>
      <c r="C201" s="12">
        <v>17</v>
      </c>
      <c r="D201" s="18" t="s">
        <v>2682</v>
      </c>
      <c r="E201" s="18" t="s">
        <v>2683</v>
      </c>
      <c r="F201" s="18" t="s">
        <v>1372</v>
      </c>
      <c r="G201" s="12" t="s">
        <v>1657</v>
      </c>
      <c r="H201" s="12" t="s">
        <v>1374</v>
      </c>
      <c r="I201" s="18"/>
    </row>
    <row r="202" spans="1:9" ht="165.75" x14ac:dyDescent="0.25">
      <c r="A202" s="19">
        <v>46303.091087962966</v>
      </c>
      <c r="B202" s="12" t="s">
        <v>561</v>
      </c>
      <c r="C202" s="12">
        <v>3</v>
      </c>
      <c r="D202" s="18" t="s">
        <v>2684</v>
      </c>
      <c r="E202" s="18" t="s">
        <v>2685</v>
      </c>
      <c r="F202" s="18" t="s">
        <v>565</v>
      </c>
      <c r="G202" s="12" t="s">
        <v>1657</v>
      </c>
      <c r="H202" s="12" t="s">
        <v>566</v>
      </c>
      <c r="I202" s="18"/>
    </row>
    <row r="203" spans="1:9" ht="89.25" x14ac:dyDescent="0.25">
      <c r="A203" s="19">
        <v>46303.100335648152</v>
      </c>
      <c r="B203" s="12" t="s">
        <v>1095</v>
      </c>
      <c r="C203" s="12">
        <v>8</v>
      </c>
      <c r="D203" s="18" t="s">
        <v>2686</v>
      </c>
      <c r="E203" s="18" t="s">
        <v>2687</v>
      </c>
      <c r="F203" s="18" t="s">
        <v>1099</v>
      </c>
      <c r="G203" s="12" t="s">
        <v>1657</v>
      </c>
      <c r="H203" s="12" t="s">
        <v>1100</v>
      </c>
      <c r="I203" s="18"/>
    </row>
    <row r="204" spans="1:9" ht="38.25" x14ac:dyDescent="0.25">
      <c r="A204" s="19">
        <v>46308.595995370371</v>
      </c>
      <c r="B204" s="12" t="s">
        <v>1389</v>
      </c>
      <c r="C204" s="12">
        <v>19</v>
      </c>
      <c r="D204" s="18" t="s">
        <v>2688</v>
      </c>
      <c r="E204" s="18"/>
      <c r="F204" s="18" t="s">
        <v>1393</v>
      </c>
      <c r="G204" s="12" t="s">
        <v>1657</v>
      </c>
      <c r="H204" s="12" t="s">
        <v>1395</v>
      </c>
      <c r="I204" s="18"/>
    </row>
    <row r="205" spans="1:9" ht="38.25" x14ac:dyDescent="0.25">
      <c r="A205" s="19">
        <v>46308.596041666657</v>
      </c>
      <c r="B205" s="12" t="s">
        <v>1410</v>
      </c>
      <c r="C205" s="12">
        <v>19</v>
      </c>
      <c r="D205" s="18" t="s">
        <v>2689</v>
      </c>
      <c r="E205" s="18"/>
      <c r="F205" s="18" t="s">
        <v>1414</v>
      </c>
      <c r="G205" s="12" t="s">
        <v>1657</v>
      </c>
      <c r="H205" s="12" t="s">
        <v>1395</v>
      </c>
      <c r="I205" s="18"/>
    </row>
    <row r="206" spans="1:9" ht="76.5" x14ac:dyDescent="0.25">
      <c r="A206" s="19">
        <v>46308.596099537041</v>
      </c>
      <c r="B206" s="12" t="s">
        <v>1422</v>
      </c>
      <c r="C206" s="12">
        <v>19</v>
      </c>
      <c r="D206" s="18" t="s">
        <v>2690</v>
      </c>
      <c r="E206" s="18"/>
      <c r="F206" s="18" t="s">
        <v>2691</v>
      </c>
      <c r="G206" s="12" t="s">
        <v>2338</v>
      </c>
      <c r="H206" s="12" t="s">
        <v>1395</v>
      </c>
      <c r="I206" s="18"/>
    </row>
    <row r="207" spans="1:9" ht="89.25" x14ac:dyDescent="0.25">
      <c r="A207" s="19">
        <v>46308.59615740741</v>
      </c>
      <c r="B207" s="12" t="s">
        <v>1430</v>
      </c>
      <c r="C207" s="12">
        <v>19</v>
      </c>
      <c r="D207" s="18" t="s">
        <v>2692</v>
      </c>
      <c r="E207" s="18"/>
      <c r="F207" s="18" t="s">
        <v>1434</v>
      </c>
      <c r="G207" s="12" t="s">
        <v>2338</v>
      </c>
      <c r="H207" s="12" t="s">
        <v>1436</v>
      </c>
      <c r="I207" s="18"/>
    </row>
    <row r="208" spans="1:9" ht="25.5" x14ac:dyDescent="0.25">
      <c r="A208" s="19">
        <v>46308.596203703702</v>
      </c>
      <c r="B208" s="12" t="s">
        <v>1417</v>
      </c>
      <c r="C208" s="12">
        <v>19</v>
      </c>
      <c r="D208" s="18" t="s">
        <v>2693</v>
      </c>
      <c r="E208" s="18"/>
      <c r="F208" s="18"/>
      <c r="G208" s="12" t="s">
        <v>2338</v>
      </c>
      <c r="H208" s="12"/>
      <c r="I208" s="18"/>
    </row>
    <row r="209" spans="1:9" ht="25.5" x14ac:dyDescent="0.25">
      <c r="A209" s="19">
        <v>46308.596261574072</v>
      </c>
      <c r="B209" s="12" t="s">
        <v>1397</v>
      </c>
      <c r="C209" s="12">
        <v>19</v>
      </c>
      <c r="D209" s="18" t="s">
        <v>2694</v>
      </c>
      <c r="E209" s="18"/>
      <c r="F209" s="18"/>
      <c r="G209" s="12" t="s">
        <v>2338</v>
      </c>
      <c r="H209" s="12"/>
      <c r="I209" s="18"/>
    </row>
    <row r="210" spans="1:9" ht="38.25" x14ac:dyDescent="0.25">
      <c r="A210" s="19">
        <v>46308.71770833333</v>
      </c>
      <c r="B210" s="12" t="s">
        <v>1397</v>
      </c>
      <c r="C210" s="12">
        <v>19</v>
      </c>
      <c r="D210" s="18" t="s">
        <v>2695</v>
      </c>
      <c r="E210" s="18"/>
      <c r="F210" s="18" t="s">
        <v>1401</v>
      </c>
      <c r="G210" s="12" t="s">
        <v>1657</v>
      </c>
      <c r="H210" s="12" t="s">
        <v>1403</v>
      </c>
      <c r="I210" s="18"/>
    </row>
    <row r="211" spans="1:9" ht="38.25" x14ac:dyDescent="0.25">
      <c r="A211" s="19">
        <v>46308.717777777783</v>
      </c>
      <c r="B211" s="12" t="s">
        <v>1405</v>
      </c>
      <c r="C211" s="12">
        <v>19</v>
      </c>
      <c r="D211" s="18" t="s">
        <v>2696</v>
      </c>
      <c r="E211" s="18"/>
      <c r="F211" s="18"/>
      <c r="G211" s="12" t="s">
        <v>2338</v>
      </c>
      <c r="H211" s="12"/>
      <c r="I211" s="18"/>
    </row>
    <row r="212" spans="1:9" ht="25.5" x14ac:dyDescent="0.25">
      <c r="A212" s="19">
        <v>46308.717858796299</v>
      </c>
      <c r="B212" s="12" t="s">
        <v>1417</v>
      </c>
      <c r="C212" s="12">
        <v>19</v>
      </c>
      <c r="D212" s="18" t="s">
        <v>2697</v>
      </c>
      <c r="E212" s="18"/>
      <c r="F212" s="18"/>
      <c r="G212" s="12" t="s">
        <v>2338</v>
      </c>
      <c r="H212" s="12"/>
      <c r="I212" s="18"/>
    </row>
    <row r="213" spans="1:9" ht="51" x14ac:dyDescent="0.25">
      <c r="A213" s="19">
        <v>46308.717928240738</v>
      </c>
      <c r="B213" s="12" t="s">
        <v>1422</v>
      </c>
      <c r="C213" s="12">
        <v>19</v>
      </c>
      <c r="D213" s="18" t="s">
        <v>2698</v>
      </c>
      <c r="E213" s="18"/>
      <c r="F213" s="18" t="s">
        <v>1426</v>
      </c>
      <c r="G213" s="12" t="s">
        <v>2338</v>
      </c>
      <c r="H213" s="12" t="s">
        <v>1428</v>
      </c>
      <c r="I213" s="18"/>
    </row>
    <row r="214" spans="1:9" ht="25.5" x14ac:dyDescent="0.25">
      <c r="A214" s="19">
        <v>46308.717997685177</v>
      </c>
      <c r="B214" s="12" t="s">
        <v>1443</v>
      </c>
      <c r="C214" s="12">
        <v>19</v>
      </c>
      <c r="D214" s="18" t="s">
        <v>2699</v>
      </c>
      <c r="E214" s="18"/>
      <c r="F214" s="18"/>
      <c r="G214" s="12" t="s">
        <v>2338</v>
      </c>
      <c r="H214" s="12"/>
      <c r="I214" s="18"/>
    </row>
    <row r="215" spans="1:9" ht="63.75" x14ac:dyDescent="0.25">
      <c r="A215" s="19">
        <v>46308.71806712963</v>
      </c>
      <c r="B215" s="12" t="s">
        <v>1500</v>
      </c>
      <c r="C215" s="12">
        <v>19</v>
      </c>
      <c r="D215" s="18" t="s">
        <v>2700</v>
      </c>
      <c r="E215" s="18"/>
      <c r="F215" s="18" t="s">
        <v>1504</v>
      </c>
      <c r="G215" s="12" t="s">
        <v>2338</v>
      </c>
      <c r="H215" s="12" t="s">
        <v>1505</v>
      </c>
      <c r="I215" s="18"/>
    </row>
    <row r="216" spans="1:9" ht="38.25" x14ac:dyDescent="0.25">
      <c r="A216" s="19">
        <v>46308.720995370371</v>
      </c>
      <c r="B216" s="12" t="s">
        <v>1457</v>
      </c>
      <c r="C216" s="12">
        <v>19</v>
      </c>
      <c r="D216" s="18" t="s">
        <v>2701</v>
      </c>
      <c r="E216" s="18"/>
      <c r="F216" s="18"/>
      <c r="G216" s="12" t="s">
        <v>2338</v>
      </c>
      <c r="H216" s="12"/>
      <c r="I216" s="18"/>
    </row>
    <row r="217" spans="1:9" ht="51" x14ac:dyDescent="0.25">
      <c r="A217" s="19">
        <v>46308.721053240741</v>
      </c>
      <c r="B217" s="12" t="s">
        <v>1462</v>
      </c>
      <c r="C217" s="12">
        <v>19</v>
      </c>
      <c r="D217" s="18" t="s">
        <v>2702</v>
      </c>
      <c r="E217" s="18"/>
      <c r="F217" s="18" t="s">
        <v>1466</v>
      </c>
      <c r="G217" s="12" t="s">
        <v>2338</v>
      </c>
      <c r="H217" s="12" t="s">
        <v>1468</v>
      </c>
      <c r="I217" s="18"/>
    </row>
    <row r="218" spans="1:9" ht="25.5" x14ac:dyDescent="0.25">
      <c r="A218" s="19">
        <v>46308.72111111111</v>
      </c>
      <c r="B218" s="12" t="s">
        <v>1451</v>
      </c>
      <c r="C218" s="12">
        <v>19</v>
      </c>
      <c r="D218" s="18" t="s">
        <v>2703</v>
      </c>
      <c r="E218" s="18"/>
      <c r="F218" s="18"/>
      <c r="G218" s="12" t="s">
        <v>2338</v>
      </c>
      <c r="H218" s="12"/>
      <c r="I218" s="18"/>
    </row>
  </sheetData>
  <autoFilter ref="A1:I218" xr:uid="{00000000-0009-0000-0000-000012000000}"/>
  <conditionalFormatting sqref="G2:G5000">
    <cfRule type="cellIs" dxfId="4" priority="1" operator="equal">
      <formula>"PASS"</formula>
    </cfRule>
    <cfRule type="cellIs" dxfId="3" priority="2" operator="equal">
      <formula>"FAIL"</formula>
    </cfRule>
    <cfRule type="cellIs" dxfId="2" priority="3" operator="equal">
      <formula>"PARTIAL"</formula>
    </cfRule>
  </conditionalFormatting>
  <dataValidations count="1">
    <dataValidation type="list" allowBlank="1" showErrorMessage="1" errorTitle="Invalid result" error="Pick a result from the list." sqref="G2:G5000" xr:uid="{00000000-0002-0000-1200-000000000000}">
      <formula1>"PASS,FAIL,PARTIAL,N/A"</formula1>
    </dataValidation>
  </dataValidations>
  <pageMargins left="0.75" right="0.75" top="1" bottom="1" header="0.5" footer="0.5"/>
  <pageSetup fitToHeight="0" orientation="landscape"/>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rgb="FF7F7F7F"/>
    <pageSetUpPr fitToPage="1"/>
  </sheetPr>
  <dimension ref="A1:B21"/>
  <sheetViews>
    <sheetView workbookViewId="0">
      <pane ySplit="4" topLeftCell="A5" activePane="bottomLeft" state="frozen"/>
      <selection pane="bottomLeft"/>
    </sheetView>
  </sheetViews>
  <sheetFormatPr defaultRowHeight="15" x14ac:dyDescent="0.25"/>
  <cols>
    <col min="1" max="1" width="26" customWidth="1"/>
    <col min="2" max="2" width="120" customWidth="1"/>
  </cols>
  <sheetData>
    <row r="1" spans="1:2" ht="20.25" x14ac:dyDescent="0.3">
      <c r="A1" s="3" t="s">
        <v>2704</v>
      </c>
    </row>
    <row r="2" spans="1:2" x14ac:dyDescent="0.25">
      <c r="A2" s="4" t="s">
        <v>154</v>
      </c>
    </row>
    <row r="3" spans="1:2" x14ac:dyDescent="0.25">
      <c r="A3" s="2" t="s">
        <v>2705</v>
      </c>
    </row>
    <row r="4" spans="1:2" x14ac:dyDescent="0.25">
      <c r="A4" s="10" t="s">
        <v>2706</v>
      </c>
      <c r="B4" s="10" t="s">
        <v>2707</v>
      </c>
    </row>
    <row r="5" spans="1:2" x14ac:dyDescent="0.25">
      <c r="A5" s="6" t="s">
        <v>6</v>
      </c>
      <c r="B5" s="18" t="s">
        <v>2708</v>
      </c>
    </row>
    <row r="6" spans="1:2" x14ac:dyDescent="0.25">
      <c r="A6" s="6" t="s">
        <v>9</v>
      </c>
      <c r="B6" s="18" t="s">
        <v>2709</v>
      </c>
    </row>
    <row r="7" spans="1:2" x14ac:dyDescent="0.25">
      <c r="A7" s="6" t="s">
        <v>12</v>
      </c>
      <c r="B7" s="18" t="s">
        <v>2710</v>
      </c>
    </row>
    <row r="8" spans="1:2" ht="25.5" x14ac:dyDescent="0.25">
      <c r="A8" s="6" t="s">
        <v>15</v>
      </c>
      <c r="B8" s="18" t="s">
        <v>2711</v>
      </c>
    </row>
    <row r="9" spans="1:2" x14ac:dyDescent="0.25">
      <c r="A9" s="6" t="s">
        <v>2712</v>
      </c>
      <c r="B9" s="18" t="s">
        <v>2713</v>
      </c>
    </row>
    <row r="10" spans="1:2" x14ac:dyDescent="0.25">
      <c r="A10" s="6" t="s">
        <v>2714</v>
      </c>
      <c r="B10" s="18" t="s">
        <v>2715</v>
      </c>
    </row>
    <row r="11" spans="1:2" x14ac:dyDescent="0.25">
      <c r="A11" s="6" t="s">
        <v>26</v>
      </c>
      <c r="B11" s="18" t="s">
        <v>2716</v>
      </c>
    </row>
    <row r="12" spans="1:2" x14ac:dyDescent="0.25">
      <c r="A12" s="6" t="s">
        <v>29</v>
      </c>
      <c r="B12" s="18" t="s">
        <v>2717</v>
      </c>
    </row>
    <row r="13" spans="1:2" ht="25.5" x14ac:dyDescent="0.25">
      <c r="A13" s="6" t="s">
        <v>32</v>
      </c>
      <c r="B13" s="18" t="s">
        <v>2718</v>
      </c>
    </row>
    <row r="14" spans="1:2" ht="25.5" x14ac:dyDescent="0.25">
      <c r="A14" s="6" t="s">
        <v>18</v>
      </c>
      <c r="B14" s="18" t="s">
        <v>2719</v>
      </c>
    </row>
    <row r="15" spans="1:2" x14ac:dyDescent="0.25">
      <c r="A15" s="6" t="s">
        <v>21</v>
      </c>
      <c r="B15" s="18"/>
    </row>
    <row r="16" spans="1:2" x14ac:dyDescent="0.25">
      <c r="A16" s="6" t="s">
        <v>24</v>
      </c>
      <c r="B16" s="18"/>
    </row>
    <row r="17" spans="1:2" x14ac:dyDescent="0.25">
      <c r="A17" s="6" t="s">
        <v>35</v>
      </c>
      <c r="B17" s="18" t="s">
        <v>2720</v>
      </c>
    </row>
    <row r="18" spans="1:2" x14ac:dyDescent="0.25">
      <c r="A18" s="6" t="s">
        <v>2721</v>
      </c>
      <c r="B18" s="18" t="s">
        <v>2722</v>
      </c>
    </row>
    <row r="19" spans="1:2" x14ac:dyDescent="0.25">
      <c r="A19" s="6" t="s">
        <v>2723</v>
      </c>
      <c r="B19" s="18" t="str">
        <f>"Tasks "&amp;DASHBOARD!B5&amp;" · done "&amp;DASHBOARD!B6&amp;" · verified "&amp;DASHBOARD!B7&amp;" · in progress "&amp;DASHBOARD!B8&amp;" · blocked "&amp;DASHBOARD!B9&amp;" · failed "&amp;DASHBOARD!B10&amp;" · P0 open "&amp;DASHBOARD!B16&amp;" · P1 open "&amp;DASHBOARD!B17</f>
        <v>Tasks 217 · done 188 · verified 188 · in progress 8 · blocked 5 · failed 0 · P0 open 9 · P1 open 8</v>
      </c>
    </row>
    <row r="20" spans="1:2" x14ac:dyDescent="0.25">
      <c r="A20" s="6" t="s">
        <v>2724</v>
      </c>
      <c r="B20" s="18" t="s">
        <v>2320</v>
      </c>
    </row>
    <row r="21" spans="1:2" x14ac:dyDescent="0.25">
      <c r="A21" s="6" t="s">
        <v>2725</v>
      </c>
      <c r="B21" s="18" t="s">
        <v>2320</v>
      </c>
    </row>
  </sheetData>
  <pageMargins left="0.75" right="0.75" top="1" bottom="1" header="0.5" footer="0.5"/>
  <pageSetup fitToHeight="0" orientation="landscape"/>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rgb="FF548235"/>
    <pageSetUpPr fitToPage="1"/>
  </sheetPr>
  <dimension ref="A1:I21"/>
  <sheetViews>
    <sheetView workbookViewId="0">
      <pane ySplit="4" topLeftCell="A5" activePane="bottomLeft" state="frozen"/>
      <selection pane="bottomLeft"/>
    </sheetView>
  </sheetViews>
  <sheetFormatPr defaultRowHeight="15" x14ac:dyDescent="0.25"/>
  <cols>
    <col min="1" max="1" width="11" customWidth="1"/>
    <col min="2" max="2" width="40" customWidth="1"/>
    <col min="3" max="3" width="15" customWidth="1"/>
    <col min="4" max="4" width="34" customWidth="1"/>
    <col min="5" max="6" width="12" customWidth="1"/>
    <col min="7" max="7" width="60" customWidth="1"/>
    <col min="8" max="8" width="17" customWidth="1"/>
    <col min="9" max="9" width="40" customWidth="1"/>
  </cols>
  <sheetData>
    <row r="1" spans="1:9" ht="20.25" x14ac:dyDescent="0.3">
      <c r="A1" s="3" t="s">
        <v>2726</v>
      </c>
    </row>
    <row r="2" spans="1:9" x14ac:dyDescent="0.25">
      <c r="A2" s="4" t="s">
        <v>157</v>
      </c>
    </row>
    <row r="3" spans="1:9" x14ac:dyDescent="0.25">
      <c r="A3" s="6" t="s">
        <v>2727</v>
      </c>
      <c r="B3" s="6" t="s">
        <v>1657</v>
      </c>
      <c r="C3" s="6" t="s">
        <v>2728</v>
      </c>
      <c r="D3" s="6" t="s">
        <v>2729</v>
      </c>
    </row>
    <row r="4" spans="1:9" x14ac:dyDescent="0.25">
      <c r="A4" s="7">
        <f>COUNTA(A7:A21)</f>
        <v>15</v>
      </c>
      <c r="B4" s="7">
        <f>COUNTIF(C7:C21,"PASS")</f>
        <v>13</v>
      </c>
      <c r="C4" s="7">
        <f>COUNTIF(C7:C21,"FAIL")</f>
        <v>0</v>
      </c>
      <c r="D4" s="7">
        <f>COUNTIF(C7:C21,"NOT_EVALUATED")</f>
        <v>2</v>
      </c>
    </row>
    <row r="6" spans="1:9" ht="25.5" x14ac:dyDescent="0.25">
      <c r="A6" s="10" t="s">
        <v>2730</v>
      </c>
      <c r="B6" s="10" t="s">
        <v>2731</v>
      </c>
      <c r="C6" s="10" t="s">
        <v>57</v>
      </c>
      <c r="D6" s="10" t="s">
        <v>2198</v>
      </c>
      <c r="E6" s="10" t="s">
        <v>2199</v>
      </c>
      <c r="F6" s="10" t="s">
        <v>2200</v>
      </c>
      <c r="G6" s="10" t="s">
        <v>170</v>
      </c>
      <c r="H6" s="10" t="s">
        <v>15</v>
      </c>
      <c r="I6" s="10" t="s">
        <v>178</v>
      </c>
    </row>
    <row r="7" spans="1:9" ht="51" x14ac:dyDescent="0.25">
      <c r="A7" s="15" t="s">
        <v>2732</v>
      </c>
      <c r="B7" s="18" t="s">
        <v>2733</v>
      </c>
      <c r="C7" s="12" t="s">
        <v>1657</v>
      </c>
      <c r="D7" s="18" t="s">
        <v>2734</v>
      </c>
      <c r="E7" s="16">
        <f>SUMPRODUCT(ISNUMBER(SEARCH(","&amp;MASTER!$A$2:$A$2000&amp;",",","&amp;SUBSTITUTE($D7," ","")&amp;","))*((MASTER!$G$2:$G$2000="DONE")))</f>
        <v>3</v>
      </c>
      <c r="F7" s="16">
        <f t="shared" ref="F7:F21" si="0">IF(LEN(SUBSTITUTE($D7," ",""))=0,0,LEN(SUBSTITUTE($D7," ",""))-LEN(SUBSTITUTE(SUBSTITUTE($D7," ",""),",",""))+1)</f>
        <v>3</v>
      </c>
      <c r="G7" s="18" t="s">
        <v>2735</v>
      </c>
      <c r="H7" s="19">
        <v>46302.367951388893</v>
      </c>
      <c r="I7" s="18"/>
    </row>
    <row r="8" spans="1:9" ht="38.25" x14ac:dyDescent="0.25">
      <c r="A8" s="15" t="s">
        <v>2736</v>
      </c>
      <c r="B8" s="18" t="s">
        <v>2737</v>
      </c>
      <c r="C8" s="12" t="s">
        <v>1657</v>
      </c>
      <c r="D8" s="18" t="s">
        <v>864</v>
      </c>
      <c r="E8" s="16">
        <f>SUMPRODUCT(ISNUMBER(SEARCH(","&amp;MASTER!$A$2:$A$2000&amp;",",","&amp;SUBSTITUTE($D8," ","")&amp;","))*((MASTER!$G$2:$G$2000="DONE")))</f>
        <v>1</v>
      </c>
      <c r="F8" s="16">
        <f t="shared" si="0"/>
        <v>1</v>
      </c>
      <c r="G8" s="18" t="s">
        <v>2738</v>
      </c>
      <c r="H8" s="19">
        <v>46302.368009259262</v>
      </c>
      <c r="I8" s="18"/>
    </row>
    <row r="9" spans="1:9" ht="63.75" x14ac:dyDescent="0.25">
      <c r="A9" s="15" t="s">
        <v>2739</v>
      </c>
      <c r="B9" s="18" t="s">
        <v>2740</v>
      </c>
      <c r="C9" s="12" t="s">
        <v>1657</v>
      </c>
      <c r="D9" s="18" t="s">
        <v>2741</v>
      </c>
      <c r="E9" s="16">
        <f>SUMPRODUCT(ISNUMBER(SEARCH(","&amp;MASTER!$A$2:$A$2000&amp;",",","&amp;SUBSTITUTE($D9," ","")&amp;","))*((MASTER!$G$2:$G$2000="DONE")))</f>
        <v>2</v>
      </c>
      <c r="F9" s="16">
        <f t="shared" si="0"/>
        <v>2</v>
      </c>
      <c r="G9" s="18" t="s">
        <v>2742</v>
      </c>
      <c r="H9" s="19">
        <v>46302.368055555547</v>
      </c>
      <c r="I9" s="18"/>
    </row>
    <row r="10" spans="1:9" ht="63.75" x14ac:dyDescent="0.25">
      <c r="A10" s="15" t="s">
        <v>2743</v>
      </c>
      <c r="B10" s="18" t="s">
        <v>2744</v>
      </c>
      <c r="C10" s="12" t="s">
        <v>2729</v>
      </c>
      <c r="D10" s="18" t="s">
        <v>1004</v>
      </c>
      <c r="E10" s="16">
        <f>SUMPRODUCT(ISNUMBER(SEARCH(","&amp;MASTER!$A$2:$A$2000&amp;",",","&amp;SUBSTITUTE($D10," ","")&amp;","))*((MASTER!$G$2:$G$2000="DONE")))</f>
        <v>1</v>
      </c>
      <c r="F10" s="16">
        <f t="shared" si="0"/>
        <v>1</v>
      </c>
      <c r="G10" s="18"/>
      <c r="H10" s="19">
        <v>46302.368101851847</v>
      </c>
      <c r="I10" s="18" t="s">
        <v>2745</v>
      </c>
    </row>
    <row r="11" spans="1:9" ht="51" x14ac:dyDescent="0.25">
      <c r="A11" s="15" t="s">
        <v>2746</v>
      </c>
      <c r="B11" s="18" t="s">
        <v>2747</v>
      </c>
      <c r="C11" s="12" t="s">
        <v>1657</v>
      </c>
      <c r="D11" s="18" t="s">
        <v>2748</v>
      </c>
      <c r="E11" s="16">
        <f>SUMPRODUCT(ISNUMBER(SEARCH(","&amp;MASTER!$A$2:$A$2000&amp;",",","&amp;SUBSTITUTE($D11," ","")&amp;","))*((MASTER!$G$2:$G$2000="DONE")))</f>
        <v>3</v>
      </c>
      <c r="F11" s="16">
        <f t="shared" si="0"/>
        <v>3</v>
      </c>
      <c r="G11" s="18" t="s">
        <v>2749</v>
      </c>
      <c r="H11" s="19">
        <v>46302.368148148147</v>
      </c>
      <c r="I11" s="18"/>
    </row>
    <row r="12" spans="1:9" ht="51" x14ac:dyDescent="0.25">
      <c r="A12" s="15" t="s">
        <v>2750</v>
      </c>
      <c r="B12" s="18" t="s">
        <v>2751</v>
      </c>
      <c r="C12" s="12" t="s">
        <v>1657</v>
      </c>
      <c r="D12" s="18" t="s">
        <v>737</v>
      </c>
      <c r="E12" s="16">
        <f>SUMPRODUCT(ISNUMBER(SEARCH(","&amp;MASTER!$A$2:$A$2000&amp;",",","&amp;SUBSTITUTE($D12," ","")&amp;","))*((MASTER!$G$2:$G$2000="DONE")))</f>
        <v>1</v>
      </c>
      <c r="F12" s="16">
        <f t="shared" si="0"/>
        <v>1</v>
      </c>
      <c r="G12" s="18" t="s">
        <v>2752</v>
      </c>
      <c r="H12" s="19">
        <v>46302.368206018517</v>
      </c>
      <c r="I12" s="18"/>
    </row>
    <row r="13" spans="1:9" ht="51" x14ac:dyDescent="0.25">
      <c r="A13" s="15" t="s">
        <v>2753</v>
      </c>
      <c r="B13" s="18" t="s">
        <v>2754</v>
      </c>
      <c r="C13" s="12" t="s">
        <v>1657</v>
      </c>
      <c r="D13" s="18" t="s">
        <v>737</v>
      </c>
      <c r="E13" s="16">
        <f>SUMPRODUCT(ISNUMBER(SEARCH(","&amp;MASTER!$A$2:$A$2000&amp;",",","&amp;SUBSTITUTE($D13," ","")&amp;","))*((MASTER!$G$2:$G$2000="DONE")))</f>
        <v>1</v>
      </c>
      <c r="F13" s="16">
        <f t="shared" si="0"/>
        <v>1</v>
      </c>
      <c r="G13" s="18" t="s">
        <v>2755</v>
      </c>
      <c r="H13" s="19">
        <v>46302.368252314824</v>
      </c>
      <c r="I13" s="18"/>
    </row>
    <row r="14" spans="1:9" ht="51" x14ac:dyDescent="0.25">
      <c r="A14" s="15" t="s">
        <v>2756</v>
      </c>
      <c r="B14" s="18" t="s">
        <v>2757</v>
      </c>
      <c r="C14" s="12" t="s">
        <v>1657</v>
      </c>
      <c r="D14" s="18" t="s">
        <v>1193</v>
      </c>
      <c r="E14" s="16">
        <f>SUMPRODUCT(ISNUMBER(SEARCH(","&amp;MASTER!$A$2:$A$2000&amp;",",","&amp;SUBSTITUTE($D14," ","")&amp;","))*((MASTER!$G$2:$G$2000="DONE")))</f>
        <v>1</v>
      </c>
      <c r="F14" s="16">
        <f t="shared" si="0"/>
        <v>1</v>
      </c>
      <c r="G14" s="18" t="s">
        <v>2758</v>
      </c>
      <c r="H14" s="19">
        <v>46302.365023148152</v>
      </c>
      <c r="I14" s="18" t="s">
        <v>2759</v>
      </c>
    </row>
    <row r="15" spans="1:9" ht="51" x14ac:dyDescent="0.25">
      <c r="A15" s="15" t="s">
        <v>2760</v>
      </c>
      <c r="B15" s="18" t="s">
        <v>2761</v>
      </c>
      <c r="C15" s="12" t="s">
        <v>1657</v>
      </c>
      <c r="D15" s="18" t="s">
        <v>1066</v>
      </c>
      <c r="E15" s="16">
        <f>SUMPRODUCT(ISNUMBER(SEARCH(","&amp;MASTER!$A$2:$A$2000&amp;",",","&amp;SUBSTITUTE($D15," ","")&amp;","))*((MASTER!$G$2:$G$2000="DONE")))</f>
        <v>1</v>
      </c>
      <c r="F15" s="16">
        <f t="shared" si="0"/>
        <v>1</v>
      </c>
      <c r="G15" s="18" t="s">
        <v>2762</v>
      </c>
      <c r="H15" s="19">
        <v>46301.883796296293</v>
      </c>
      <c r="I15" s="18" t="s">
        <v>2763</v>
      </c>
    </row>
    <row r="16" spans="1:9" ht="51" x14ac:dyDescent="0.25">
      <c r="A16" s="15" t="s">
        <v>2764</v>
      </c>
      <c r="B16" s="18" t="s">
        <v>2765</v>
      </c>
      <c r="C16" s="12" t="s">
        <v>1657</v>
      </c>
      <c r="D16" s="18" t="s">
        <v>1163</v>
      </c>
      <c r="E16" s="16">
        <f>SUMPRODUCT(ISNUMBER(SEARCH(","&amp;MASTER!$A$2:$A$2000&amp;",",","&amp;SUBSTITUTE($D16," ","")&amp;","))*((MASTER!$G$2:$G$2000="DONE")))</f>
        <v>1</v>
      </c>
      <c r="F16" s="16">
        <f t="shared" si="0"/>
        <v>1</v>
      </c>
      <c r="G16" s="18" t="s">
        <v>2766</v>
      </c>
      <c r="H16" s="19">
        <v>46301.923506944448</v>
      </c>
      <c r="I16" s="18" t="s">
        <v>2767</v>
      </c>
    </row>
    <row r="17" spans="1:9" ht="51" x14ac:dyDescent="0.25">
      <c r="A17" s="15" t="s">
        <v>2768</v>
      </c>
      <c r="B17" s="18" t="s">
        <v>2769</v>
      </c>
      <c r="C17" s="12" t="s">
        <v>1657</v>
      </c>
      <c r="D17" s="18" t="s">
        <v>1151</v>
      </c>
      <c r="E17" s="16">
        <f>SUMPRODUCT(ISNUMBER(SEARCH(","&amp;MASTER!$A$2:$A$2000&amp;",",","&amp;SUBSTITUTE($D17," ","")&amp;","))*((MASTER!$G$2:$G$2000="DONE")))</f>
        <v>1</v>
      </c>
      <c r="F17" s="16">
        <f t="shared" si="0"/>
        <v>1</v>
      </c>
      <c r="G17" s="18" t="s">
        <v>2770</v>
      </c>
      <c r="H17" s="19">
        <v>46301.92355324074</v>
      </c>
      <c r="I17" s="18" t="s">
        <v>2767</v>
      </c>
    </row>
    <row r="18" spans="1:9" ht="25.5" x14ac:dyDescent="0.25">
      <c r="A18" s="15" t="s">
        <v>2771</v>
      </c>
      <c r="B18" s="18" t="s">
        <v>2772</v>
      </c>
      <c r="C18" s="12" t="s">
        <v>1657</v>
      </c>
      <c r="D18" s="18" t="s">
        <v>1349</v>
      </c>
      <c r="E18" s="16">
        <f>SUMPRODUCT(ISNUMBER(SEARCH(","&amp;MASTER!$A$2:$A$2000&amp;",",","&amp;SUBSTITUTE($D18," ","")&amp;","))*((MASTER!$G$2:$G$2000="DONE")))</f>
        <v>1</v>
      </c>
      <c r="F18" s="16">
        <f t="shared" si="0"/>
        <v>1</v>
      </c>
      <c r="G18" s="18" t="s">
        <v>2773</v>
      </c>
      <c r="H18" s="19">
        <v>46302.368298611109</v>
      </c>
      <c r="I18" s="18"/>
    </row>
    <row r="19" spans="1:9" ht="76.5" x14ac:dyDescent="0.25">
      <c r="A19" s="15" t="s">
        <v>2774</v>
      </c>
      <c r="B19" s="18" t="s">
        <v>2775</v>
      </c>
      <c r="C19" s="12" t="s">
        <v>2729</v>
      </c>
      <c r="D19" s="18" t="s">
        <v>221</v>
      </c>
      <c r="E19" s="16">
        <f>SUMPRODUCT(ISNUMBER(SEARCH(","&amp;MASTER!$A$2:$A$2000&amp;",",","&amp;SUBSTITUTE($D19," ","")&amp;","))*((MASTER!$G$2:$G$2000="DONE")))</f>
        <v>1</v>
      </c>
      <c r="F19" s="16">
        <f t="shared" si="0"/>
        <v>1</v>
      </c>
      <c r="G19" s="18"/>
      <c r="H19" s="19">
        <v>46302.368356481478</v>
      </c>
      <c r="I19" s="18" t="s">
        <v>2776</v>
      </c>
    </row>
    <row r="20" spans="1:9" ht="51" x14ac:dyDescent="0.25">
      <c r="A20" s="15" t="s">
        <v>2777</v>
      </c>
      <c r="B20" s="18" t="s">
        <v>2778</v>
      </c>
      <c r="C20" s="12" t="s">
        <v>1657</v>
      </c>
      <c r="D20" s="18" t="s">
        <v>2779</v>
      </c>
      <c r="E20" s="16">
        <f>SUMPRODUCT(ISNUMBER(SEARCH(","&amp;MASTER!$A$2:$A$2000&amp;",",","&amp;SUBSTITUTE($D20," ","")&amp;","))*((MASTER!$G$2:$G$2000="DONE")))</f>
        <v>2</v>
      </c>
      <c r="F20" s="16">
        <f t="shared" si="0"/>
        <v>2</v>
      </c>
      <c r="G20" s="18" t="s">
        <v>2780</v>
      </c>
      <c r="H20" s="19">
        <v>46302.368402777778</v>
      </c>
      <c r="I20" s="18"/>
    </row>
    <row r="21" spans="1:9" ht="38.25" x14ac:dyDescent="0.25">
      <c r="A21" s="15" t="s">
        <v>2781</v>
      </c>
      <c r="B21" s="18" t="s">
        <v>2782</v>
      </c>
      <c r="C21" s="12" t="s">
        <v>1657</v>
      </c>
      <c r="D21" s="18" t="s">
        <v>1319</v>
      </c>
      <c r="E21" s="16">
        <f>SUMPRODUCT(ISNUMBER(SEARCH(","&amp;MASTER!$A$2:$A$2000&amp;",",","&amp;SUBSTITUTE($D21," ","")&amp;","))*((MASTER!$G$2:$G$2000="DONE")))</f>
        <v>1</v>
      </c>
      <c r="F21" s="16">
        <f t="shared" si="0"/>
        <v>1</v>
      </c>
      <c r="G21" s="18" t="s">
        <v>2783</v>
      </c>
      <c r="H21" s="19">
        <v>46302.368449074071</v>
      </c>
      <c r="I21" s="18" t="s">
        <v>2784</v>
      </c>
    </row>
  </sheetData>
  <conditionalFormatting sqref="C7:C21">
    <cfRule type="cellIs" dxfId="1" priority="1" operator="equal">
      <formula>"PASS"</formula>
    </cfRule>
    <cfRule type="cellIs" dxfId="0" priority="2" operator="equal">
      <formula>"FAIL"</formula>
    </cfRule>
  </conditionalFormatting>
  <dataValidations count="1">
    <dataValidation type="list" allowBlank="1" showErrorMessage="1" errorTitle="Invalid gate status" error="Pick a gate status from the list." sqref="C7:C21" xr:uid="{00000000-0002-0000-1400-000000000000}">
      <formula1>"NOT_EVALUATED,PASS,FAIL"</formula1>
    </dataValidation>
  </dataValidations>
  <pageMargins left="0.75" right="0.75" top="1" bottom="1" header="0.5" footer="0.5"/>
  <pageSetup fitToHeight="0"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21</vt:i4>
      </vt:variant>
    </vt:vector>
  </HeadingPairs>
  <TitlesOfParts>
    <vt:vector size="21" baseType="lpstr">
      <vt:lpstr>DASHBOARD</vt:lpstr>
      <vt:lpstr>MASTER</vt:lpstr>
      <vt:lpstr>CRITICAL_FIXES</vt:lpstr>
      <vt:lpstr>DOCUMENT_FIDELITY</vt:lpstr>
      <vt:lpstr>DOCX_OOXML</vt:lpstr>
      <vt:lpstr>PDF</vt:lpstr>
      <vt:lpstr>EDITOR</vt:lpstr>
      <vt:lpstr>FORMATTING</vt:lpstr>
      <vt:lpstr>AI</vt:lpstr>
      <vt:lpstr>SECURITY</vt:lpstr>
      <vt:lpstr>PERFORMANCE</vt:lpstr>
      <vt:lpstr>TESTING</vt:lpstr>
      <vt:lpstr>PRODUCT_FEATURES</vt:lpstr>
      <vt:lpstr>TRANSLATION</vt:lpstr>
      <vt:lpstr>PDF_TO_EDITABLE</vt:lpstr>
      <vt:lpstr>BILLING_PLANS</vt:lpstr>
      <vt:lpstr>INFRA</vt:lpstr>
      <vt:lpstr>FIRST_RELEASE</vt:lpstr>
      <vt:lpstr>CHANGE_LOG</vt:lpstr>
      <vt:lpstr>SESSION_STATE</vt:lpstr>
      <vt:lpstr>RELEASE_GATES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Борил Димитров</cp:lastModifiedBy>
  <dcterms:created xsi:type="dcterms:W3CDTF">2026-09-27T00:48:32Z</dcterms:created>
  <dcterms:modified xsi:type="dcterms:W3CDTF">2026-10-13T14:19:09Z</dcterms:modified>
</cp:coreProperties>
</file>

<file path=docProps/custom.xml><?xml version="1.0" encoding="utf-8"?>
<Properties xmlns="http://schemas.openxmlformats.org/officeDocument/2006/custom-properties" xmlns:vt="http://schemas.openxmlformats.org/officeDocument/2006/docPropsVTypes"/>
</file>