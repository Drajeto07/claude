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15F937CC-D26F-45C1-8B56-FCAD0B3806FB}"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FIRST_RELEASE" sheetId="18" r:id="rId18"/>
    <sheet name="CHANGE_LOG" sheetId="19" r:id="rId19"/>
    <sheet name="SESSION_STATE" sheetId="20" r:id="rId20"/>
    <sheet name="RELEASE_GATES" sheetId="21" r:id="rId21"/>
  </sheets>
  <definedNames>
    <definedName name="_xlnm._FilterDatabase" localSheetId="8" hidden="1">AI!$A$7:$L$16</definedName>
    <definedName name="_xlnm._FilterDatabase" localSheetId="15" hidden="1">BILLING_PLANS!$A$25:$L$30</definedName>
    <definedName name="_xlnm._FilterDatabase" localSheetId="18" hidden="1">CHANGE_LOG!$A$1:$I$209</definedName>
    <definedName name="_xlnm._FilterDatabase" localSheetId="2" hidden="1">CRITICAL_FIXES!$A$31:$L$126</definedName>
    <definedName name="_xlnm._FilterDatabase" localSheetId="3" hidden="1">DOCUMENT_FIDELITY!$A$7:$L$24</definedName>
    <definedName name="_xlnm._FilterDatabase" localSheetId="4" hidden="1">DOCX_OOXML!$A$7:$L$44</definedName>
    <definedName name="_xlnm._FilterDatabase" localSheetId="6" hidden="1">EDITOR!$A$7:$L$21</definedName>
    <definedName name="_xlnm._FilterDatabase" localSheetId="17" hidden="1">FIRST_RELEASE!$A$7:$L$27</definedName>
    <definedName name="_xlnm._FilterDatabase" localSheetId="7" hidden="1">FORMATTING!$A$7:$L$15</definedName>
    <definedName name="_xlnm._FilterDatabase" localSheetId="16" hidden="1">INFRA!$A$7:$L$22</definedName>
    <definedName name="_xlnm._FilterDatabase" localSheetId="1" hidden="1">MASTER!$A$1:$S$214</definedName>
    <definedName name="_xlnm._FilterDatabase" localSheetId="5" hidden="1">PDF!$A$7:$L$14</definedName>
    <definedName name="_xlnm._FilterDatabase" localSheetId="14" hidden="1">PDF_TO_EDITABLE!$A$7:$L$18</definedName>
    <definedName name="_xlnm._FilterDatabase" localSheetId="10" hidden="1">PERFORMANCE!$A$24:$L$34</definedName>
    <definedName name="_xlnm._FilterDatabase" localSheetId="12" hidden="1">PRODUCT_FEATURES!$A$69:$L$74</definedName>
    <definedName name="_xlnm._FilterDatabase" localSheetId="9" hidden="1">SECURITY!$A$7:$L$29</definedName>
    <definedName name="_xlnm._FilterDatabase" localSheetId="11" hidden="1">TESTING!$A$315:$L$332</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1" l="1"/>
  <c r="E21" i="21"/>
  <c r="F20" i="21"/>
  <c r="E20" i="21"/>
  <c r="F19" i="21"/>
  <c r="E19" i="21"/>
  <c r="F18" i="21"/>
  <c r="E18" i="21"/>
  <c r="F17" i="21"/>
  <c r="E17" i="21"/>
  <c r="F16" i="21"/>
  <c r="E16" i="21"/>
  <c r="F15" i="21"/>
  <c r="E15" i="21"/>
  <c r="F14" i="21"/>
  <c r="E14" i="21"/>
  <c r="F13" i="21"/>
  <c r="E13" i="21"/>
  <c r="F12" i="21"/>
  <c r="E12" i="21"/>
  <c r="F11" i="21"/>
  <c r="E11" i="21"/>
  <c r="F10" i="21"/>
  <c r="E10" i="21"/>
  <c r="F9" i="21"/>
  <c r="E9" i="21"/>
  <c r="F8" i="21"/>
  <c r="E8" i="21"/>
  <c r="F7" i="21"/>
  <c r="E7" i="21"/>
  <c r="D4" i="21"/>
  <c r="C4" i="21"/>
  <c r="B4" i="21"/>
  <c r="A4" i="21"/>
  <c r="L27" i="18"/>
  <c r="K27" i="18"/>
  <c r="J27" i="18"/>
  <c r="I27" i="18"/>
  <c r="H27" i="18"/>
  <c r="G27" i="18"/>
  <c r="F27" i="18"/>
  <c r="E27" i="18"/>
  <c r="D27" i="18"/>
  <c r="C27" i="18"/>
  <c r="B27" i="18"/>
  <c r="L26" i="18"/>
  <c r="K26" i="18"/>
  <c r="J26" i="18"/>
  <c r="I26" i="18"/>
  <c r="H26" i="18"/>
  <c r="G26" i="18"/>
  <c r="F26" i="18"/>
  <c r="E26" i="18"/>
  <c r="D26" i="18"/>
  <c r="C26" i="18"/>
  <c r="B26" i="18"/>
  <c r="L25" i="18"/>
  <c r="K25" i="18"/>
  <c r="J25" i="18"/>
  <c r="I25" i="18"/>
  <c r="H25" i="18"/>
  <c r="G25" i="18"/>
  <c r="F25" i="18"/>
  <c r="E25" i="18"/>
  <c r="D25" i="18"/>
  <c r="C25" i="18"/>
  <c r="B25" i="18"/>
  <c r="L24" i="18"/>
  <c r="K24" i="18"/>
  <c r="J24" i="18"/>
  <c r="I24" i="18"/>
  <c r="H24" i="18"/>
  <c r="G24" i="18"/>
  <c r="F24" i="18"/>
  <c r="E24" i="18"/>
  <c r="D24" i="18"/>
  <c r="C24" i="18"/>
  <c r="B24" i="18"/>
  <c r="L23" i="18"/>
  <c r="K23" i="18"/>
  <c r="J23" i="18"/>
  <c r="I23" i="18"/>
  <c r="H23" i="18"/>
  <c r="G23" i="18"/>
  <c r="F23" i="18"/>
  <c r="E23" i="18"/>
  <c r="D23" i="18"/>
  <c r="C23" i="18"/>
  <c r="B23" i="18"/>
  <c r="L22" i="18"/>
  <c r="K22" i="18"/>
  <c r="J22" i="18"/>
  <c r="I22" i="18"/>
  <c r="H22" i="18"/>
  <c r="G22" i="18"/>
  <c r="F22" i="18"/>
  <c r="E22" i="18"/>
  <c r="D22" i="18"/>
  <c r="C22" i="18"/>
  <c r="B22" i="18"/>
  <c r="L21" i="18"/>
  <c r="K21" i="18"/>
  <c r="J21" i="18"/>
  <c r="I21" i="18"/>
  <c r="H21" i="18"/>
  <c r="G21" i="18"/>
  <c r="F21" i="18"/>
  <c r="E21" i="18"/>
  <c r="D21" i="18"/>
  <c r="C21" i="18"/>
  <c r="B21" i="18"/>
  <c r="L20" i="18"/>
  <c r="K20" i="18"/>
  <c r="J20" i="18"/>
  <c r="I20" i="18"/>
  <c r="H20" i="18"/>
  <c r="G20" i="18"/>
  <c r="F20" i="18"/>
  <c r="E20" i="18"/>
  <c r="D20" i="18"/>
  <c r="C20" i="18"/>
  <c r="B20" i="18"/>
  <c r="L19" i="18"/>
  <c r="K19" i="18"/>
  <c r="J19" i="18"/>
  <c r="I19" i="18"/>
  <c r="H19" i="18"/>
  <c r="G19" i="18"/>
  <c r="F19" i="18"/>
  <c r="E19" i="18"/>
  <c r="D19" i="18"/>
  <c r="C19" i="18"/>
  <c r="B19" i="18"/>
  <c r="L18" i="18"/>
  <c r="K18" i="18"/>
  <c r="J18" i="18"/>
  <c r="I18" i="18"/>
  <c r="H18" i="18"/>
  <c r="G18" i="18"/>
  <c r="F18" i="18"/>
  <c r="E18" i="18"/>
  <c r="D18" i="18"/>
  <c r="C18" i="18"/>
  <c r="B18" i="18"/>
  <c r="L17" i="18"/>
  <c r="K17" i="18"/>
  <c r="J17" i="18"/>
  <c r="I17" i="18"/>
  <c r="H17" i="18"/>
  <c r="G17" i="18"/>
  <c r="F17" i="18"/>
  <c r="E17" i="18"/>
  <c r="D17" i="18"/>
  <c r="C17" i="18"/>
  <c r="B17" i="18"/>
  <c r="L16" i="18"/>
  <c r="K16" i="18"/>
  <c r="J16" i="18"/>
  <c r="I16" i="18"/>
  <c r="H16" i="18"/>
  <c r="G16" i="18"/>
  <c r="F16" i="18"/>
  <c r="E16" i="18"/>
  <c r="D16" i="18"/>
  <c r="C16" i="18"/>
  <c r="B16" i="18"/>
  <c r="L15" i="18"/>
  <c r="K15" i="18"/>
  <c r="J15" i="18"/>
  <c r="I15" i="18"/>
  <c r="H15" i="18"/>
  <c r="G15" i="18"/>
  <c r="F15" i="18"/>
  <c r="E15" i="18"/>
  <c r="D15" i="18"/>
  <c r="C15" i="18"/>
  <c r="B15" i="18"/>
  <c r="L14" i="18"/>
  <c r="K14" i="18"/>
  <c r="J14" i="18"/>
  <c r="I14" i="18"/>
  <c r="H14" i="18"/>
  <c r="G14" i="18"/>
  <c r="F14" i="18"/>
  <c r="E14" i="18"/>
  <c r="D14" i="18"/>
  <c r="C14" i="18"/>
  <c r="B14" i="18"/>
  <c r="L13" i="18"/>
  <c r="K13" i="18"/>
  <c r="J13" i="18"/>
  <c r="I13" i="18"/>
  <c r="H13" i="18"/>
  <c r="G13" i="18"/>
  <c r="F13" i="18"/>
  <c r="E13" i="18"/>
  <c r="D13" i="18"/>
  <c r="C13" i="18"/>
  <c r="B13" i="18"/>
  <c r="L12" i="18"/>
  <c r="K12" i="18"/>
  <c r="J12" i="18"/>
  <c r="I12" i="18"/>
  <c r="H12" i="18"/>
  <c r="G12" i="18"/>
  <c r="F12" i="18"/>
  <c r="E12" i="18"/>
  <c r="D12" i="18"/>
  <c r="C12" i="18"/>
  <c r="B12" i="18"/>
  <c r="L11" i="18"/>
  <c r="K11" i="18"/>
  <c r="J11" i="18"/>
  <c r="I11" i="18"/>
  <c r="H11" i="18"/>
  <c r="G11" i="18"/>
  <c r="F11" i="18"/>
  <c r="E11" i="18"/>
  <c r="D11" i="18"/>
  <c r="C11" i="18"/>
  <c r="B11" i="18"/>
  <c r="L10" i="18"/>
  <c r="K10" i="18"/>
  <c r="J10" i="18"/>
  <c r="I10" i="18"/>
  <c r="H10" i="18"/>
  <c r="G10" i="18"/>
  <c r="F10" i="18"/>
  <c r="E10" i="18"/>
  <c r="D10" i="18"/>
  <c r="C10" i="18"/>
  <c r="B10" i="18"/>
  <c r="L9" i="18"/>
  <c r="K9" i="18"/>
  <c r="J9" i="18"/>
  <c r="I9" i="18"/>
  <c r="H9" i="18"/>
  <c r="G9" i="18"/>
  <c r="F9" i="18"/>
  <c r="E9" i="18"/>
  <c r="D9" i="18"/>
  <c r="C9" i="18"/>
  <c r="B9" i="18"/>
  <c r="L8" i="18"/>
  <c r="K8" i="18"/>
  <c r="J8" i="18"/>
  <c r="I8" i="18"/>
  <c r="H8" i="18"/>
  <c r="G8" i="18"/>
  <c r="F8" i="18"/>
  <c r="E8" i="18"/>
  <c r="D8" i="18"/>
  <c r="C8" i="18"/>
  <c r="B8" i="18"/>
  <c r="F4" i="18"/>
  <c r="E4" i="18"/>
  <c r="D4" i="18"/>
  <c r="B4" i="18"/>
  <c r="C4" i="18" s="1"/>
  <c r="H4" i="18" s="1"/>
  <c r="A4" i="18"/>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H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A4" i="16"/>
  <c r="G4" i="16" s="1"/>
  <c r="L18" i="15"/>
  <c r="K18" i="15"/>
  <c r="J18" i="15"/>
  <c r="I18" i="15"/>
  <c r="H18" i="15"/>
  <c r="G18" i="15"/>
  <c r="F18" i="15"/>
  <c r="E18" i="15"/>
  <c r="D18" i="15"/>
  <c r="C18" i="15"/>
  <c r="B18" i="15"/>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G4" i="14"/>
  <c r="F4" i="14"/>
  <c r="E4" i="14"/>
  <c r="D4" i="14"/>
  <c r="C4" i="14"/>
  <c r="B4" i="14"/>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332" i="12"/>
  <c r="K332" i="12"/>
  <c r="J332" i="12"/>
  <c r="I332" i="12"/>
  <c r="H332" i="12"/>
  <c r="G332" i="12"/>
  <c r="F332" i="12"/>
  <c r="E332" i="12"/>
  <c r="D332" i="12"/>
  <c r="C332" i="12"/>
  <c r="B332" i="12"/>
  <c r="L331" i="12"/>
  <c r="K331" i="12"/>
  <c r="J331" i="12"/>
  <c r="I331" i="12"/>
  <c r="H331" i="12"/>
  <c r="G331" i="12"/>
  <c r="F331" i="12"/>
  <c r="E331" i="12"/>
  <c r="D331" i="12"/>
  <c r="C331" i="12"/>
  <c r="B331" i="12"/>
  <c r="L330" i="12"/>
  <c r="K330" i="12"/>
  <c r="J330" i="12"/>
  <c r="I330" i="12"/>
  <c r="H330" i="12"/>
  <c r="G330" i="12"/>
  <c r="F330" i="12"/>
  <c r="E330" i="12"/>
  <c r="D330" i="12"/>
  <c r="C330" i="12"/>
  <c r="B330" i="12"/>
  <c r="L329" i="12"/>
  <c r="K329" i="12"/>
  <c r="J329" i="12"/>
  <c r="I329" i="12"/>
  <c r="H329" i="12"/>
  <c r="G329" i="12"/>
  <c r="F329" i="12"/>
  <c r="E329" i="12"/>
  <c r="D329" i="12"/>
  <c r="C329" i="12"/>
  <c r="B329" i="12"/>
  <c r="L328" i="12"/>
  <c r="K328" i="12"/>
  <c r="J328" i="12"/>
  <c r="I328" i="12"/>
  <c r="H328" i="12"/>
  <c r="G328" i="12"/>
  <c r="F328" i="12"/>
  <c r="E328" i="12"/>
  <c r="D328" i="12"/>
  <c r="C328" i="12"/>
  <c r="B328" i="12"/>
  <c r="L327" i="12"/>
  <c r="K327" i="12"/>
  <c r="J327" i="12"/>
  <c r="I327" i="12"/>
  <c r="H327" i="12"/>
  <c r="G327" i="12"/>
  <c r="F327" i="12"/>
  <c r="E327" i="12"/>
  <c r="D327" i="12"/>
  <c r="C327" i="12"/>
  <c r="B327" i="12"/>
  <c r="L326" i="12"/>
  <c r="K326" i="12"/>
  <c r="J326" i="12"/>
  <c r="I326" i="12"/>
  <c r="H326" i="12"/>
  <c r="G326" i="12"/>
  <c r="F326" i="12"/>
  <c r="E326" i="12"/>
  <c r="D326" i="12"/>
  <c r="C326" i="12"/>
  <c r="B326" i="12"/>
  <c r="L325" i="12"/>
  <c r="K325" i="12"/>
  <c r="J325" i="12"/>
  <c r="I325" i="12"/>
  <c r="H325" i="12"/>
  <c r="G325" i="12"/>
  <c r="F325" i="12"/>
  <c r="E325" i="12"/>
  <c r="D325" i="12"/>
  <c r="C325" i="12"/>
  <c r="B325" i="12"/>
  <c r="L324" i="12"/>
  <c r="K324" i="12"/>
  <c r="J324" i="12"/>
  <c r="I324" i="12"/>
  <c r="H324" i="12"/>
  <c r="G324" i="12"/>
  <c r="F324" i="12"/>
  <c r="E324" i="12"/>
  <c r="D324" i="12"/>
  <c r="C324" i="12"/>
  <c r="B324" i="12"/>
  <c r="L323" i="12"/>
  <c r="K323" i="12"/>
  <c r="J323" i="12"/>
  <c r="I323" i="12"/>
  <c r="H323" i="12"/>
  <c r="G323" i="12"/>
  <c r="F323" i="12"/>
  <c r="E323" i="12"/>
  <c r="D323" i="12"/>
  <c r="C323" i="12"/>
  <c r="B323" i="12"/>
  <c r="L322" i="12"/>
  <c r="K322" i="12"/>
  <c r="J322" i="12"/>
  <c r="I322" i="12"/>
  <c r="H322" i="12"/>
  <c r="G322" i="12"/>
  <c r="F322" i="12"/>
  <c r="E322" i="12"/>
  <c r="D322" i="12"/>
  <c r="C322" i="12"/>
  <c r="B322" i="12"/>
  <c r="L321" i="12"/>
  <c r="K321" i="12"/>
  <c r="J321" i="12"/>
  <c r="I321" i="12"/>
  <c r="H321" i="12"/>
  <c r="G321" i="12"/>
  <c r="F321" i="12"/>
  <c r="E321" i="12"/>
  <c r="D321" i="12"/>
  <c r="C321" i="12"/>
  <c r="B321" i="12"/>
  <c r="L320" i="12"/>
  <c r="K320" i="12"/>
  <c r="J320" i="12"/>
  <c r="I320" i="12"/>
  <c r="H320" i="12"/>
  <c r="G320" i="12"/>
  <c r="F320" i="12"/>
  <c r="E320" i="12"/>
  <c r="D320" i="12"/>
  <c r="C320" i="12"/>
  <c r="B320" i="12"/>
  <c r="L319" i="12"/>
  <c r="K319" i="12"/>
  <c r="J319" i="12"/>
  <c r="I319" i="12"/>
  <c r="H319" i="12"/>
  <c r="G319" i="12"/>
  <c r="F319" i="12"/>
  <c r="E319" i="12"/>
  <c r="D319" i="12"/>
  <c r="C319" i="12"/>
  <c r="B319" i="12"/>
  <c r="L318" i="12"/>
  <c r="K318" i="12"/>
  <c r="J318" i="12"/>
  <c r="I318" i="12"/>
  <c r="H318" i="12"/>
  <c r="G318" i="12"/>
  <c r="F318" i="12"/>
  <c r="E318" i="12"/>
  <c r="D318" i="12"/>
  <c r="C318" i="12"/>
  <c r="B318" i="12"/>
  <c r="L317" i="12"/>
  <c r="K317" i="12"/>
  <c r="J317" i="12"/>
  <c r="I317" i="12"/>
  <c r="H317" i="12"/>
  <c r="G317" i="12"/>
  <c r="F317" i="12"/>
  <c r="E317" i="12"/>
  <c r="D317" i="12"/>
  <c r="C317" i="12"/>
  <c r="B317" i="12"/>
  <c r="L316" i="12"/>
  <c r="K316" i="12"/>
  <c r="J316" i="12"/>
  <c r="I316" i="12"/>
  <c r="H316" i="12"/>
  <c r="G316" i="12"/>
  <c r="F316" i="12"/>
  <c r="E316" i="12"/>
  <c r="D316" i="12"/>
  <c r="C316" i="12"/>
  <c r="B316" i="12"/>
  <c r="F4" i="12"/>
  <c r="E4" i="12"/>
  <c r="D4" i="12"/>
  <c r="B4" i="12"/>
  <c r="A4" i="12"/>
  <c r="L34" i="11"/>
  <c r="K34" i="11"/>
  <c r="J34" i="11"/>
  <c r="I34" i="11"/>
  <c r="H34" i="11"/>
  <c r="G34" i="11"/>
  <c r="F34" i="11"/>
  <c r="E34" i="11"/>
  <c r="D34" i="11"/>
  <c r="C34" i="11"/>
  <c r="B34" i="11"/>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4" i="6"/>
  <c r="K14" i="6"/>
  <c r="J14" i="6"/>
  <c r="I14" i="6"/>
  <c r="H14" i="6"/>
  <c r="G14" i="6"/>
  <c r="F14" i="6"/>
  <c r="E14" i="6"/>
  <c r="D14" i="6"/>
  <c r="C14" i="6"/>
  <c r="B14" i="6"/>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G4" i="6" s="1"/>
  <c r="L44" i="5"/>
  <c r="K44" i="5"/>
  <c r="J44" i="5"/>
  <c r="I44" i="5"/>
  <c r="H44" i="5"/>
  <c r="G44" i="5"/>
  <c r="F44" i="5"/>
  <c r="E44" i="5"/>
  <c r="D44" i="5"/>
  <c r="C44" i="5"/>
  <c r="B44" i="5"/>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G4" i="4" s="1"/>
  <c r="A4" i="4"/>
  <c r="L126" i="3"/>
  <c r="K126" i="3"/>
  <c r="J126" i="3"/>
  <c r="I126" i="3"/>
  <c r="H126" i="3"/>
  <c r="G126" i="3"/>
  <c r="F126" i="3"/>
  <c r="E126" i="3"/>
  <c r="D126" i="3"/>
  <c r="C126" i="3"/>
  <c r="B126" i="3"/>
  <c r="L125" i="3"/>
  <c r="K125" i="3"/>
  <c r="J125" i="3"/>
  <c r="I125" i="3"/>
  <c r="H125" i="3"/>
  <c r="G125" i="3"/>
  <c r="F125" i="3"/>
  <c r="E125" i="3"/>
  <c r="D125" i="3"/>
  <c r="C125" i="3"/>
  <c r="B125" i="3"/>
  <c r="L124" i="3"/>
  <c r="K124" i="3"/>
  <c r="J124" i="3"/>
  <c r="I124" i="3"/>
  <c r="H124" i="3"/>
  <c r="G124" i="3"/>
  <c r="F124" i="3"/>
  <c r="E124" i="3"/>
  <c r="D124" i="3"/>
  <c r="C124" i="3"/>
  <c r="B124" i="3"/>
  <c r="L123" i="3"/>
  <c r="K123" i="3"/>
  <c r="J123" i="3"/>
  <c r="I123" i="3"/>
  <c r="H123" i="3"/>
  <c r="G123" i="3"/>
  <c r="F123" i="3"/>
  <c r="E123" i="3"/>
  <c r="D123" i="3"/>
  <c r="C123" i="3"/>
  <c r="B123" i="3"/>
  <c r="L122" i="3"/>
  <c r="K122" i="3"/>
  <c r="J122" i="3"/>
  <c r="I122" i="3"/>
  <c r="H122" i="3"/>
  <c r="G122" i="3"/>
  <c r="F122" i="3"/>
  <c r="E122" i="3"/>
  <c r="D122" i="3"/>
  <c r="C122" i="3"/>
  <c r="B122" i="3"/>
  <c r="L121" i="3"/>
  <c r="K121" i="3"/>
  <c r="J121" i="3"/>
  <c r="I121" i="3"/>
  <c r="H121" i="3"/>
  <c r="G121" i="3"/>
  <c r="F121" i="3"/>
  <c r="E121" i="3"/>
  <c r="D121" i="3"/>
  <c r="C121" i="3"/>
  <c r="B121" i="3"/>
  <c r="L120" i="3"/>
  <c r="K120" i="3"/>
  <c r="J120" i="3"/>
  <c r="I120" i="3"/>
  <c r="H120" i="3"/>
  <c r="G120" i="3"/>
  <c r="F120" i="3"/>
  <c r="E120" i="3"/>
  <c r="D120" i="3"/>
  <c r="C120" i="3"/>
  <c r="B120" i="3"/>
  <c r="L119" i="3"/>
  <c r="K119" i="3"/>
  <c r="J119" i="3"/>
  <c r="I119" i="3"/>
  <c r="H119" i="3"/>
  <c r="G119" i="3"/>
  <c r="F119" i="3"/>
  <c r="E119" i="3"/>
  <c r="D119" i="3"/>
  <c r="C119" i="3"/>
  <c r="B119" i="3"/>
  <c r="L118" i="3"/>
  <c r="K118" i="3"/>
  <c r="J118" i="3"/>
  <c r="I118" i="3"/>
  <c r="H118" i="3"/>
  <c r="G118" i="3"/>
  <c r="F118" i="3"/>
  <c r="E118" i="3"/>
  <c r="D118" i="3"/>
  <c r="C118" i="3"/>
  <c r="B118" i="3"/>
  <c r="L117" i="3"/>
  <c r="K117" i="3"/>
  <c r="J117" i="3"/>
  <c r="I117" i="3"/>
  <c r="H117" i="3"/>
  <c r="G117" i="3"/>
  <c r="F117" i="3"/>
  <c r="E117" i="3"/>
  <c r="D117" i="3"/>
  <c r="C117" i="3"/>
  <c r="B117" i="3"/>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B27" i="3" s="1"/>
  <c r="I26" i="3"/>
  <c r="H26" i="3"/>
  <c r="F26" i="3"/>
  <c r="E26" i="3"/>
  <c r="B26" i="3" s="1"/>
  <c r="I25" i="3"/>
  <c r="H25" i="3"/>
  <c r="F25" i="3"/>
  <c r="E25" i="3"/>
  <c r="B25" i="3" s="1"/>
  <c r="I24" i="3"/>
  <c r="H24" i="3"/>
  <c r="F24" i="3"/>
  <c r="E24" i="3"/>
  <c r="B24" i="3" s="1"/>
  <c r="I23" i="3"/>
  <c r="H23" i="3"/>
  <c r="F23" i="3"/>
  <c r="E23" i="3"/>
  <c r="B23" i="3" s="1"/>
  <c r="I22" i="3"/>
  <c r="H22" i="3"/>
  <c r="F22" i="3"/>
  <c r="E22" i="3"/>
  <c r="B22" i="3" s="1"/>
  <c r="I21" i="3"/>
  <c r="H21" i="3"/>
  <c r="F21" i="3"/>
  <c r="E21" i="3"/>
  <c r="B21" i="3" s="1"/>
  <c r="I20" i="3"/>
  <c r="H20" i="3"/>
  <c r="F20" i="3"/>
  <c r="E20" i="3"/>
  <c r="B20" i="3" s="1"/>
  <c r="I19" i="3"/>
  <c r="H19" i="3"/>
  <c r="F19" i="3"/>
  <c r="E19" i="3"/>
  <c r="B19" i="3" s="1"/>
  <c r="I18" i="3"/>
  <c r="H18" i="3"/>
  <c r="F18" i="3"/>
  <c r="C18" i="3" s="1"/>
  <c r="E18" i="3"/>
  <c r="I17" i="3"/>
  <c r="H17" i="3"/>
  <c r="F17" i="3"/>
  <c r="E17" i="3"/>
  <c r="B17" i="3" s="1"/>
  <c r="I16" i="3"/>
  <c r="H16" i="3"/>
  <c r="F16" i="3"/>
  <c r="E16" i="3"/>
  <c r="B16" i="3" s="1"/>
  <c r="I15" i="3"/>
  <c r="H15" i="3"/>
  <c r="F15" i="3"/>
  <c r="C15" i="3" s="1"/>
  <c r="E15" i="3"/>
  <c r="I14" i="3"/>
  <c r="H14" i="3"/>
  <c r="F14" i="3"/>
  <c r="E14" i="3"/>
  <c r="B14" i="3" s="1"/>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5" i="1"/>
  <c r="K65" i="1"/>
  <c r="J65" i="1"/>
  <c r="H65" i="1"/>
  <c r="I65" i="1" s="1"/>
  <c r="N65" i="1" s="1"/>
  <c r="G65" i="1"/>
  <c r="L64" i="1"/>
  <c r="K64" i="1"/>
  <c r="J64" i="1"/>
  <c r="H64" i="1"/>
  <c r="G64" i="1"/>
  <c r="L63" i="1"/>
  <c r="K63" i="1"/>
  <c r="J63" i="1"/>
  <c r="H63" i="1"/>
  <c r="I63" i="1" s="1"/>
  <c r="G63" i="1"/>
  <c r="M63" i="1" s="1"/>
  <c r="L62" i="1"/>
  <c r="K62" i="1"/>
  <c r="J62" i="1"/>
  <c r="H62" i="1"/>
  <c r="I62" i="1" s="1"/>
  <c r="N62" i="1" s="1"/>
  <c r="G62" i="1"/>
  <c r="L61" i="1"/>
  <c r="K61" i="1"/>
  <c r="J61" i="1"/>
  <c r="H61" i="1"/>
  <c r="M61" i="1" s="1"/>
  <c r="G61" i="1"/>
  <c r="L60" i="1"/>
  <c r="K60" i="1"/>
  <c r="J60" i="1"/>
  <c r="H60" i="1"/>
  <c r="I60" i="1" s="1"/>
  <c r="G60" i="1"/>
  <c r="M60" i="1" s="1"/>
  <c r="L59" i="1"/>
  <c r="K59" i="1"/>
  <c r="J59" i="1"/>
  <c r="H59" i="1"/>
  <c r="I59" i="1" s="1"/>
  <c r="G59" i="1"/>
  <c r="M59" i="1" s="1"/>
  <c r="L58" i="1"/>
  <c r="K58" i="1"/>
  <c r="J58" i="1"/>
  <c r="H58" i="1"/>
  <c r="G58" i="1"/>
  <c r="L57" i="1"/>
  <c r="K57" i="1"/>
  <c r="J57" i="1"/>
  <c r="H57" i="1"/>
  <c r="I57" i="1" s="1"/>
  <c r="G57" i="1"/>
  <c r="L56" i="1"/>
  <c r="K56" i="1"/>
  <c r="J56" i="1"/>
  <c r="H56" i="1"/>
  <c r="I56" i="1" s="1"/>
  <c r="G56" i="1"/>
  <c r="M56" i="1" s="1"/>
  <c r="L55" i="1"/>
  <c r="K55" i="1"/>
  <c r="J55" i="1"/>
  <c r="H55" i="1"/>
  <c r="G55" i="1"/>
  <c r="L54" i="1"/>
  <c r="K54" i="1"/>
  <c r="J54" i="1"/>
  <c r="H54" i="1"/>
  <c r="I54" i="1" s="1"/>
  <c r="G54" i="1"/>
  <c r="L53" i="1"/>
  <c r="K53" i="1"/>
  <c r="J53" i="1"/>
  <c r="H53" i="1"/>
  <c r="I53" i="1" s="1"/>
  <c r="N53" i="1" s="1"/>
  <c r="G53" i="1"/>
  <c r="L52" i="1"/>
  <c r="K52" i="1"/>
  <c r="J52" i="1"/>
  <c r="H52" i="1"/>
  <c r="G52" i="1"/>
  <c r="L51" i="1"/>
  <c r="K51" i="1"/>
  <c r="J51" i="1"/>
  <c r="H51" i="1"/>
  <c r="I51" i="1" s="1"/>
  <c r="G51" i="1"/>
  <c r="M51" i="1" s="1"/>
  <c r="L50" i="1"/>
  <c r="K50" i="1"/>
  <c r="J50" i="1"/>
  <c r="H50" i="1"/>
  <c r="I50" i="1" s="1"/>
  <c r="N50" i="1" s="1"/>
  <c r="G50" i="1"/>
  <c r="L49" i="1"/>
  <c r="K49" i="1"/>
  <c r="J49" i="1"/>
  <c r="H49" i="1"/>
  <c r="M49" i="1" s="1"/>
  <c r="G49" i="1"/>
  <c r="L48" i="1"/>
  <c r="K48" i="1"/>
  <c r="J48" i="1"/>
  <c r="H48" i="1"/>
  <c r="I48" i="1" s="1"/>
  <c r="G48" i="1"/>
  <c r="M48" i="1" s="1"/>
  <c r="L47" i="1"/>
  <c r="K47" i="1"/>
  <c r="J47" i="1"/>
  <c r="H47" i="1"/>
  <c r="I47" i="1" s="1"/>
  <c r="G47" i="1"/>
  <c r="M47" i="1" s="1"/>
  <c r="L46" i="1"/>
  <c r="K46" i="1"/>
  <c r="J46" i="1"/>
  <c r="H46" i="1"/>
  <c r="G46" i="1"/>
  <c r="L45" i="1"/>
  <c r="K45" i="1"/>
  <c r="J45" i="1"/>
  <c r="H45" i="1"/>
  <c r="I45" i="1" s="1"/>
  <c r="G45" i="1"/>
  <c r="L44" i="1"/>
  <c r="K44" i="1"/>
  <c r="J44" i="1"/>
  <c r="H44" i="1"/>
  <c r="I44" i="1" s="1"/>
  <c r="G44" i="1"/>
  <c r="M44" i="1" s="1"/>
  <c r="L43" i="1"/>
  <c r="K43" i="1"/>
  <c r="J43" i="1"/>
  <c r="H43" i="1"/>
  <c r="G43" i="1"/>
  <c r="L42" i="1"/>
  <c r="K42" i="1"/>
  <c r="J42" i="1"/>
  <c r="H42" i="1"/>
  <c r="I42" i="1" s="1"/>
  <c r="G42" i="1"/>
  <c r="C42" i="1"/>
  <c r="B42" i="1"/>
  <c r="A42" i="1"/>
  <c r="C41" i="1"/>
  <c r="B41" i="1"/>
  <c r="A41" i="1"/>
  <c r="C40" i="1"/>
  <c r="B40" i="1"/>
  <c r="A40" i="1"/>
  <c r="C39" i="1"/>
  <c r="B39" i="1"/>
  <c r="A39" i="1"/>
  <c r="L38" i="1"/>
  <c r="K38" i="1"/>
  <c r="J38" i="1"/>
  <c r="H38" i="1"/>
  <c r="I38" i="1" s="1"/>
  <c r="N38" i="1" s="1"/>
  <c r="G38" i="1"/>
  <c r="C38" i="1"/>
  <c r="B38" i="1"/>
  <c r="A38" i="1"/>
  <c r="L37" i="1"/>
  <c r="K37" i="1"/>
  <c r="J37" i="1"/>
  <c r="H37" i="1"/>
  <c r="I37" i="1" s="1"/>
  <c r="G37" i="1"/>
  <c r="M37" i="1" s="1"/>
  <c r="C37" i="1"/>
  <c r="B37" i="1"/>
  <c r="A37" i="1"/>
  <c r="L36" i="1"/>
  <c r="K36" i="1"/>
  <c r="J36" i="1"/>
  <c r="H36" i="1"/>
  <c r="I36" i="1" s="1"/>
  <c r="G36" i="1"/>
  <c r="M36" i="1" s="1"/>
  <c r="L35" i="1"/>
  <c r="K35" i="1"/>
  <c r="J35" i="1"/>
  <c r="H35" i="1"/>
  <c r="G35" i="1"/>
  <c r="L34" i="1"/>
  <c r="K34" i="1"/>
  <c r="J34" i="1"/>
  <c r="H34" i="1"/>
  <c r="I34" i="1" s="1"/>
  <c r="N34" i="1" s="1"/>
  <c r="G34" i="1"/>
  <c r="L33" i="1"/>
  <c r="K33" i="1"/>
  <c r="J33" i="1"/>
  <c r="H33" i="1"/>
  <c r="I33" i="1" s="1"/>
  <c r="G33" i="1"/>
  <c r="M33" i="1" s="1"/>
  <c r="B33" i="1"/>
  <c r="L32" i="1"/>
  <c r="K32" i="1"/>
  <c r="J32" i="1"/>
  <c r="H32" i="1"/>
  <c r="I32" i="1" s="1"/>
  <c r="N32" i="1" s="1"/>
  <c r="G32" i="1"/>
  <c r="M32" i="1" s="1"/>
  <c r="B32" i="1"/>
  <c r="L31" i="1"/>
  <c r="K31" i="1"/>
  <c r="J31" i="1"/>
  <c r="H31" i="1"/>
  <c r="I31" i="1" s="1"/>
  <c r="G31" i="1"/>
  <c r="B31" i="1"/>
  <c r="L30" i="1"/>
  <c r="K30" i="1"/>
  <c r="J30" i="1"/>
  <c r="H30" i="1"/>
  <c r="I30" i="1" s="1"/>
  <c r="G30" i="1"/>
  <c r="B30" i="1"/>
  <c r="L29" i="1"/>
  <c r="K29" i="1"/>
  <c r="J29" i="1"/>
  <c r="H29" i="1"/>
  <c r="I29" i="1" s="1"/>
  <c r="G29" i="1"/>
  <c r="M29" i="1" s="1"/>
  <c r="B29" i="1"/>
  <c r="L28" i="1"/>
  <c r="K28" i="1"/>
  <c r="J28" i="1"/>
  <c r="H28" i="1"/>
  <c r="I28" i="1" s="1"/>
  <c r="N28" i="1" s="1"/>
  <c r="G28" i="1"/>
  <c r="M28" i="1" s="1"/>
  <c r="B28" i="1"/>
  <c r="L27" i="1"/>
  <c r="K27" i="1"/>
  <c r="J27" i="1"/>
  <c r="H27" i="1"/>
  <c r="I27" i="1" s="1"/>
  <c r="G27" i="1"/>
  <c r="B27" i="1"/>
  <c r="L26" i="1"/>
  <c r="K26" i="1"/>
  <c r="J26" i="1"/>
  <c r="H26" i="1"/>
  <c r="I26" i="1" s="1"/>
  <c r="G26" i="1"/>
  <c r="B26" i="1"/>
  <c r="L25" i="1"/>
  <c r="K25" i="1"/>
  <c r="J25" i="1"/>
  <c r="H25" i="1"/>
  <c r="I25" i="1" s="1"/>
  <c r="G25" i="1"/>
  <c r="M25" i="1" s="1"/>
  <c r="B25" i="1"/>
  <c r="L24" i="1"/>
  <c r="K24" i="1"/>
  <c r="J24" i="1"/>
  <c r="H24" i="1"/>
  <c r="I24" i="1" s="1"/>
  <c r="N24" i="1" s="1"/>
  <c r="G24" i="1"/>
  <c r="M24" i="1" s="1"/>
  <c r="B24" i="1"/>
  <c r="L23" i="1"/>
  <c r="K23" i="1"/>
  <c r="J23" i="1"/>
  <c r="H23" i="1"/>
  <c r="I23" i="1" s="1"/>
  <c r="G23" i="1"/>
  <c r="L22" i="1"/>
  <c r="K22" i="1"/>
  <c r="J22" i="1"/>
  <c r="H22" i="1"/>
  <c r="I22" i="1" s="1"/>
  <c r="G22" i="1"/>
  <c r="M22" i="1" s="1"/>
  <c r="L21" i="1"/>
  <c r="K21" i="1"/>
  <c r="J21" i="1"/>
  <c r="H21" i="1"/>
  <c r="G21" i="1"/>
  <c r="L20" i="1"/>
  <c r="K20" i="1"/>
  <c r="J20" i="1"/>
  <c r="H20" i="1"/>
  <c r="I20" i="1" s="1"/>
  <c r="G20" i="1"/>
  <c r="M20" i="1" s="1"/>
  <c r="B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N30" i="1" l="1"/>
  <c r="M42" i="1"/>
  <c r="M54" i="1"/>
  <c r="C16" i="3"/>
  <c r="C19" i="3"/>
  <c r="C22" i="3"/>
  <c r="C25" i="3"/>
  <c r="M21" i="1"/>
  <c r="N25" i="1"/>
  <c r="N36" i="1"/>
  <c r="N47" i="1"/>
  <c r="N59" i="1"/>
  <c r="C4" i="4"/>
  <c r="H4" i="4" s="1"/>
  <c r="H4" i="10"/>
  <c r="B14" i="1"/>
  <c r="M27" i="1"/>
  <c r="M34" i="1"/>
  <c r="M45" i="1"/>
  <c r="M52" i="1"/>
  <c r="M57" i="1"/>
  <c r="M64" i="1"/>
  <c r="B8" i="3"/>
  <c r="B11" i="3"/>
  <c r="H4" i="16"/>
  <c r="M50" i="1"/>
  <c r="M62" i="1"/>
  <c r="C14" i="3"/>
  <c r="C17" i="3"/>
  <c r="C20" i="3"/>
  <c r="C23" i="3"/>
  <c r="C26" i="3"/>
  <c r="H4" i="14"/>
  <c r="N19" i="1"/>
  <c r="G4" i="18"/>
  <c r="N29" i="1"/>
  <c r="M43" i="1"/>
  <c r="M55" i="1"/>
  <c r="H4" i="6"/>
  <c r="G4" i="9"/>
  <c r="N22" i="1"/>
  <c r="M31" i="1"/>
  <c r="M38" i="1"/>
  <c r="M53" i="1"/>
  <c r="M65" i="1"/>
  <c r="B9" i="3"/>
  <c r="B12" i="3"/>
  <c r="E4" i="3" s="1"/>
  <c r="B15" i="3"/>
  <c r="B18" i="3"/>
  <c r="D4" i="3" s="1"/>
  <c r="H4" i="15"/>
  <c r="C21" i="3"/>
  <c r="C24" i="3"/>
  <c r="C27" i="3"/>
  <c r="G4" i="12"/>
  <c r="H4" i="8"/>
  <c r="H4" i="11"/>
  <c r="N26" i="1"/>
  <c r="M35" i="1"/>
  <c r="M46" i="1"/>
  <c r="M58" i="1"/>
  <c r="N33" i="1"/>
  <c r="M23" i="1"/>
  <c r="N37" i="1"/>
  <c r="N44" i="1"/>
  <c r="N56" i="1"/>
  <c r="B10" i="3"/>
  <c r="B13" i="3"/>
  <c r="I35" i="1"/>
  <c r="N35" i="1" s="1"/>
  <c r="N23" i="1"/>
  <c r="N27" i="1"/>
  <c r="N31" i="1"/>
  <c r="N42" i="1"/>
  <c r="N45" i="1"/>
  <c r="N48" i="1"/>
  <c r="N51" i="1"/>
  <c r="N54" i="1"/>
  <c r="N57" i="1"/>
  <c r="N60" i="1"/>
  <c r="N63" i="1"/>
  <c r="G4" i="10"/>
  <c r="G4" i="13"/>
  <c r="B13" i="1"/>
  <c r="B15" i="1"/>
  <c r="M19" i="1"/>
  <c r="M30" i="1"/>
  <c r="B19" i="20"/>
  <c r="N20" i="1"/>
  <c r="M26" i="1"/>
  <c r="I21" i="1"/>
  <c r="N21" i="1" s="1"/>
  <c r="I43" i="1"/>
  <c r="N43" i="1" s="1"/>
  <c r="I46" i="1"/>
  <c r="N46" i="1" s="1"/>
  <c r="I49" i="1"/>
  <c r="N49" i="1" s="1"/>
  <c r="I52" i="1"/>
  <c r="N52" i="1" s="1"/>
  <c r="I55" i="1"/>
  <c r="N55" i="1" s="1"/>
  <c r="I58" i="1"/>
  <c r="N58" i="1" s="1"/>
  <c r="I61" i="1"/>
  <c r="N61" i="1" s="1"/>
  <c r="I64" i="1"/>
  <c r="N64" i="1" s="1"/>
  <c r="C4" i="7"/>
  <c r="H4" i="7" s="1"/>
  <c r="G4" i="15"/>
  <c r="G4" i="17"/>
  <c r="C4" i="12"/>
  <c r="H4" i="12" s="1"/>
  <c r="C4" i="5"/>
  <c r="H4" i="5" s="1"/>
  <c r="G4" i="11"/>
  <c r="B4" i="3" l="1"/>
  <c r="B18" i="1" s="1"/>
  <c r="C4" i="3"/>
</calcChain>
</file>

<file path=xl/sharedStrings.xml><?xml version="1.0" encoding="utf-8"?>
<sst xmlns="http://schemas.openxmlformats.org/spreadsheetml/2006/main" count="6859" uniqueCount="2736">
  <si>
    <t>SmartDoc — Master Implementation Tracker</t>
  </si>
  <si>
    <t>Production-hardening brief. MASTER holds the task data; every number here is a formula. Updated with tools/tracker/tracker.py. Last written 2026-10-13 14:19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</si>
  <si>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</si>
  <si>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</si>
  <si>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</si>
  <si>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</si>
  <si>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</si>
  <si>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</si>
  <si>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</si>
  <si>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</si>
  <si>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</si>
  <si>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</si>
  <si>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</si>
  <si>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</si>
  <si>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</si>
  <si>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</si>
  <si>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</si>
  <si>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</si>
  <si>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</si>
  <si>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</si>
  <si>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</si>
  <si>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</si>
  <si>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</si>
  <si>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</si>
  <si>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</si>
  <si>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</si>
  <si>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</si>
  <si>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</si>
  <si>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</si>
  <si>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</si>
  <si>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</si>
  <si>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</si>
  <si>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</si>
  <si>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</si>
  <si>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</si>
  <si>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</si>
  <si>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</si>
  <si>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</si>
  <si>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</si>
  <si>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</si>
  <si>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</si>
  <si>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</si>
  <si>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</si>
  <si>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</si>
  <si>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</si>
  <si>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</si>
  <si>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</si>
  <si>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</si>
  <si>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</si>
  <si>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</si>
  <si>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</si>
  <si>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</si>
  <si>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</si>
  <si>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</si>
  <si>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</si>
  <si>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</si>
  <si>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</si>
  <si>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</si>
  <si>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</si>
  <si>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</si>
  <si>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</si>
  <si>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</si>
  <si>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</si>
  <si>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</si>
  <si>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</si>
  <si>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</si>
  <si>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</si>
  <si>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</si>
  <si>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</si>
  <si>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</si>
  <si>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</si>
  <si>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</si>
  <si>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</si>
  <si>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</si>
  <si>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</si>
  <si>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</si>
  <si>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</si>
  <si>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</si>
  <si>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</si>
  <si>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</si>
  <si>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</si>
  <si>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</si>
  <si>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</si>
  <si>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</si>
  <si>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</si>
  <si>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</si>
  <si>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</si>
  <si>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</si>
  <si>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</si>
  <si>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</si>
  <si>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</si>
  <si>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</si>
  <si>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</si>
  <si>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</si>
  <si>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</si>
  <si>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</si>
  <si>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</si>
  <si>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</si>
  <si>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First public release (target 2026-10-15)</t>
  </si>
  <si>
    <t>Progress by category</t>
  </si>
  <si>
    <t>Category</t>
  </si>
  <si>
    <t>Sheet</t>
  </si>
  <si>
    <t>CORE</t>
  </si>
  <si>
    <t>DOCUMENT_FIDELITY</t>
  </si>
  <si>
    <t>FIDELITY</t>
  </si>
  <si>
    <t>Sheets</t>
  </si>
  <si>
    <t>REVIEW</t>
  </si>
  <si>
    <t>DASHBOARD</t>
  </si>
  <si>
    <t>Totals, progress by phase and category, latest test runs, next action.</t>
  </si>
  <si>
    <t>DOCX</t>
  </si>
  <si>
    <t>DOCX_OOXML</t>
  </si>
  <si>
    <t>MASTER</t>
  </si>
  <si>
    <t>Status, evidence, tests and commit per task. The one place task data is edited.</t>
  </si>
  <si>
    <t>PDF</t>
  </si>
  <si>
    <t>CRITICAL_FIXES</t>
  </si>
  <si>
    <t>The 20 findings of the 2026-09-26 audit (current known risks) with fix progress, then every P0 task.</t>
  </si>
  <si>
    <t>EDITOR</t>
  </si>
  <si>
    <t>Canonical model, fidelity reports, capability matrix, change/review model.</t>
  </si>
  <si>
    <t>FORMATTING</t>
  </si>
  <si>
    <t>Import and export fidelity for Word documents.</t>
  </si>
  <si>
    <t>HEALTH</t>
  </si>
  <si>
    <t>PDF export and PDF parsing.</t>
  </si>
  <si>
    <t>AI</t>
  </si>
  <si>
    <t>Tiptap mapping and save integrity.</t>
  </si>
  <si>
    <t>SECURITY</t>
  </si>
  <si>
    <t>Formatting engine, Format by Example, Document Health.</t>
  </si>
  <si>
    <t>ACCOUNT</t>
  </si>
  <si>
    <t>Fidelity checks, proposals and review, budgets.</t>
  </si>
  <si>
    <t>PERFORMANCE</t>
  </si>
  <si>
    <t>Security hardening and account essentials.</t>
  </si>
  <si>
    <t>Measured benchmarks (baseline vs current) and performance tasks.</t>
  </si>
  <si>
    <t>PRODUCT</t>
  </si>
  <si>
    <t>PRODUCT_FEATURES</t>
  </si>
  <si>
    <t>Test runs and testing tasks.</t>
  </si>
  <si>
    <t>TRANSLATION</t>
  </si>
  <si>
    <t>Feature backlog (NOW / NEXT / LATER / ARCHITECTURE_ONLY) and product tasks.</t>
  </si>
  <si>
    <t>FONT</t>
  </si>
  <si>
    <t>Translation MVP and FontResolver.</t>
  </si>
  <si>
    <t>P2E</t>
  </si>
  <si>
    <t>PDF_TO_EDITABLE</t>
  </si>
  <si>
    <t>PDF to editable document conversion.</t>
  </si>
  <si>
    <t>BILLING</t>
  </si>
  <si>
    <t>BILLING_PLANS</t>
  </si>
  <si>
    <t>Plan hypotheses, usage units, entitlements, Stripe.</t>
  </si>
  <si>
    <t>INFRA</t>
  </si>
  <si>
    <t>Tracker, jobs, storage, observability, deployment, documentation.</t>
  </si>
  <si>
    <t>JOBS</t>
  </si>
  <si>
    <t>FIRST_RELEASE</t>
  </si>
  <si>
    <t>The release plan (phase 19): scope, production environment, smoke tests, monitoring, rollback -- each task says whether it is mandatory before launch.</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</si>
  <si>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</si>
  <si>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</si>
  <si>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</si>
  <si>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</si>
  <si>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</si>
  <si>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</si>
  <si>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</si>
  <si>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</si>
  <si>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</si>
  <si>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RELEASE</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</si>
  <si>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</si>
  <si>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</si>
  <si>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</si>
  <si>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</si>
  <si>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</si>
  <si>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</si>
  <si>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</si>
  <si>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</si>
  <si>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</si>
  <si>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</si>
  <si>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</si>
  <si>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</si>
  <si>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</si>
  <si>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</si>
  <si>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</si>
  <si>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</si>
  <si>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</si>
  <si>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</si>
  <si>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</si>
  <si>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</si>
  <si>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</si>
  <si>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</si>
  <si>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</si>
  <si>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</si>
  <si>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</si>
  <si>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</si>
  <si>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</si>
  <si>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</si>
  <si>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</si>
  <si>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</si>
  <si>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</si>
  <si>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</si>
  <si>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</si>
  <si>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</si>
  <si>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</si>
  <si>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</si>
  <si>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</si>
  <si>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</si>
  <si>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</si>
  <si>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</si>
  <si>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</si>
  <si>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</si>
  <si>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</si>
  <si>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</si>
  <si>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</si>
  <si>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</si>
  <si>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</si>
  <si>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</si>
  <si>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</si>
  <si>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</si>
  <si>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</si>
  <si>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</si>
  <si>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</si>
  <si>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</si>
  <si>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</si>
  <si>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</si>
  <si>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</si>
  <si>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</si>
  <si>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</si>
  <si>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</si>
  <si>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</si>
  <si>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</si>
  <si>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</si>
  <si>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</si>
  <si>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</si>
  <si>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</si>
  <si>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</si>
  <si>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</si>
  <si>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</si>
  <si>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</si>
  <si>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</si>
  <si>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</si>
  <si>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</si>
  <si>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</si>
  <si>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</si>
  <si>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</si>
  <si>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</si>
  <si>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</si>
  <si>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</si>
  <si>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</si>
  <si>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</si>
  <si>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</si>
  <si>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</si>
  <si>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</si>
  <si>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</si>
  <si>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</si>
  <si>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</si>
  <si>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</si>
  <si>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</si>
  <si>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</si>
  <si>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</si>
  <si>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</si>
  <si>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</si>
  <si>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</si>
  <si>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</si>
  <si>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</si>
  <si>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</si>
  <si>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</si>
  <si>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</si>
  <si>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</si>
  <si>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</si>
  <si>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</si>
  <si>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</si>
  <si>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</si>
  <si>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</si>
  <si>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</si>
  <si>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</si>
  <si>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</si>
  <si>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</si>
  <si>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</si>
  <si>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</si>
  <si>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</si>
  <si>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</si>
  <si>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</si>
  <si>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</si>
  <si>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</si>
  <si>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</si>
  <si>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</si>
  <si>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</si>
  <si>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</si>
  <si>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</si>
  <si>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</si>
  <si>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</si>
  <si>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</si>
  <si>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</si>
  <si>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</si>
  <si>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</si>
  <si>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</si>
  <si>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</si>
  <si>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</si>
  <si>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</si>
  <si>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</si>
  <si>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</si>
  <si>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</si>
  <si>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</si>
  <si>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</si>
  <si>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</si>
  <si>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</si>
  <si>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</si>
  <si>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</si>
  <si>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</si>
  <si>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</si>
  <si>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</si>
  <si>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</si>
  <si>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</si>
  <si>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</si>
  <si>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</si>
  <si>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</si>
  <si>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</si>
  <si>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</si>
  <si>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</si>
  <si>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</si>
  <si>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</si>
  <si>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</si>
  <si>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</si>
  <si>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</si>
  <si>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</si>
  <si>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</si>
  <si>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</si>
  <si>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</si>
  <si>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</si>
  <si>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</si>
  <si>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</si>
  <si>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</si>
  <si>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</si>
  <si>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</si>
  <si>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</si>
  <si>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</si>
  <si>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</si>
  <si>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</si>
  <si>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</si>
  <si>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</si>
  <si>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</si>
  <si>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</si>
  <si>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</si>
  <si>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</si>
  <si>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</si>
  <si>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</si>
  <si>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</si>
  <si>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</si>
  <si>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</si>
  <si>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</si>
  <si>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</si>
  <si>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</si>
  <si>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</si>
  <si>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</si>
  <si>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</si>
  <si>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</si>
  <si>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</si>
  <si>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</si>
  <si>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</si>
  <si>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</si>
  <si>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</si>
  <si>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</si>
  <si>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</si>
  <si>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</si>
  <si>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</si>
  <si>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</si>
  <si>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</si>
  <si>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</si>
  <si>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</si>
  <si>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</si>
  <si>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</si>
  <si>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</si>
  <si>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</si>
  <si>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</si>
  <si>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</si>
  <si>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</si>
  <si>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</si>
  <si>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</si>
  <si>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</si>
  <si>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</si>
  <si>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</si>
  <si>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</si>
  <si>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</si>
  <si>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</si>
  <si>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</si>
  <si>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</si>
  <si>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</si>
  <si>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</si>
  <si>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</si>
  <si>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</si>
  <si>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</si>
  <si>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</si>
  <si>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</si>
  <si>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</si>
  <si>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</si>
  <si>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</si>
  <si>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</si>
  <si>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</si>
  <si>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</si>
  <si>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</si>
  <si>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</si>
  <si>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</si>
  <si>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</si>
  <si>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</si>
  <si>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</si>
  <si>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</si>
  <si>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</si>
  <si>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</si>
  <si>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</si>
  <si>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</si>
  <si>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</si>
  <si>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</si>
  <si>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</si>
  <si>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</si>
  <si>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</si>
  <si>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</si>
  <si>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</si>
  <si>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</si>
  <si>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</si>
  <si>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</si>
  <si>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</si>
  <si>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</si>
  <si>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</si>
  <si>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</si>
  <si>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</si>
  <si>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</si>
  <si>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</si>
  <si>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</si>
  <si>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</si>
  <si>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</si>
  <si>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</si>
  <si>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</si>
  <si>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</si>
  <si>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</si>
  <si>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</si>
  <si>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</si>
  <si>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</si>
  <si>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</si>
  <si>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</si>
  <si>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</si>
  <si>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</si>
  <si>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</si>
  <si>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</si>
  <si>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</si>
  <si>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</si>
  <si>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</si>
  <si>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</si>
  <si>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</si>
  <si>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</si>
  <si>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</si>
  <si>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</si>
  <si>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</si>
  <si>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</si>
  <si>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</si>
  <si>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</si>
  <si>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</si>
  <si>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</si>
  <si>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</si>
  <si>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</si>
  <si>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</si>
  <si>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</si>
  <si>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</si>
  <si>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</si>
  <si>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</si>
  <si>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</si>
  <si>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</si>
  <si>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</si>
  <si>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</si>
  <si>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</si>
  <si>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</si>
  <si>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</si>
  <si>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</si>
  <si>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</si>
  <si>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</si>
  <si>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</si>
  <si>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</si>
  <si>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</si>
  <si>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</si>
  <si>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</si>
  <si>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</si>
  <si>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</si>
  <si>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</si>
  <si>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</si>
  <si>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</si>
  <si>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</si>
  <si>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</si>
  <si>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</si>
  <si>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</si>
  <si>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</si>
  <si>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</si>
  <si>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</si>
  <si>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</si>
  <si>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</si>
  <si>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</si>
  <si>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</si>
  <si>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</si>
  <si>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</si>
  <si>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</si>
  <si>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</si>
  <si>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</si>
  <si>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</si>
  <si>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</si>
  <si>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</si>
  <si>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</si>
  <si>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</si>
  <si>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</si>
  <si>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</si>
  <si>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</si>
  <si>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</si>
  <si>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</si>
  <si>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</si>
  <si>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</si>
  <si>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</si>
  <si>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</si>
  <si>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</si>
  <si>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</si>
  <si>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</si>
  <si>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</si>
  <si>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</si>
  <si>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</si>
  <si>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</si>
  <si>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</si>
  <si>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</si>
  <si>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</si>
  <si>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</si>
  <si>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</si>
  <si>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</si>
  <si>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</si>
  <si>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</si>
  <si>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</si>
  <si>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</si>
  <si>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</si>
  <si>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</si>
  <si>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</si>
  <si>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</si>
  <si>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</si>
  <si>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</si>
  <si>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</si>
  <si>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</si>
  <si>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</si>
  <si>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</si>
  <si>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</si>
  <si>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</si>
  <si>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</si>
  <si>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</si>
  <si>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</si>
  <si>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</si>
  <si>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</si>
  <si>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</si>
  <si>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</si>
  <si>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</si>
  <si>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</si>
  <si>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</si>
  <si>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</si>
  <si>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</si>
  <si>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</si>
  <si>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</si>
  <si>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</si>
  <si>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</si>
  <si>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</si>
  <si>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</si>
  <si>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</si>
  <si>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</si>
  <si>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</si>
  <si>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</si>
  <si>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</si>
  <si>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t>
  </si>
  <si>
    <t>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t>
  </si>
  <si>
    <t>a779e0a</t>
  </si>
  <si>
    <t>Number words in a language (cardinalText, ordinalText, hindiCounting, thaiCounting, vietnameseCounting) still numbered 1, 2, 3 and reported: DOCX-016C. Labels past Word's caps (repeated letters from 200/780, Hebrew past 392 wraps implemented) differ only where lists never reach.</t>
  </si>
  <si>
    <t>DOCX-016C</t>
  </si>
  <si>
    <t>Numbers spelled in words in their language</t>
  </si>
  <si>
    <t>cardinalText (One, Един), ordinalText (First, Първият), hindiCounting, thaiCounting, vietnameseCounting: Word writes them in the paragraph's language (bg-BG and en-US differ; Word's Bulgarian has quirks, e.g. 100 = 'Стои'). Keep the list item's language with the numbering and spell the label in it, here, in a PDF and in a Word export. Word's labels: backend/tests/fixtures/word_number_words.json (en-US and bg-BG, 48 values each).</t>
  </si>
  <si>
    <t>number_formats.py WORD_FORMATS, _english (&lt;=999,999), _bulgarian (&lt;=999, Word's forms), spelled, words_language_known; ListNumbering.language; format_number/level_label/item_label take the language; parser _list_language + note for other languages; PDF labels in it; docx_export _mark_language on list item paragraph marks; editor numberFormats.ts/listLabels.ts mirror, listNumbering attr + documentToTiptap/tiptapToDocument carry language; Word read the exported labels back: Първият., Вторият., One., Two.; fixture word_number_words.json extended with a third Word round (34 more values each)</t>
  </si>
  <si>
    <t>backend tests/test_number_formats.py (Word's labels en-US&lt;=999,999 and bg-BG&lt;=999 for both styles, list keeps style+language through import/PDF/Word export with paragraph-mark lang, German shown as numbers + note, Hindi still reported); test_docx_numbering, test_nested_blocks_api, golden JSON regenerated (language: null); full backend run 2566 passed/11 skipped + the 2 tests fixed after it (60 passed in their files); Vitest 364; Playwright full 59 passed/1 skipped; mutations 9/9</t>
  </si>
  <si>
    <t>f3a3c0c</t>
  </si>
  <si>
    <t>Hindi, Thai and Vietnamese counting still 1, 2, 3 and reported; words in languages other than English/Bulgarian shown as numbers (kept for Word).</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</si>
  <si>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</si>
  <si>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</si>
  <si>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</si>
  <si>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</si>
  <si>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</si>
  <si>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</si>
  <si>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</si>
  <si>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</si>
  <si>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</si>
  <si>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</si>
  <si>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</si>
  <si>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</si>
  <si>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</si>
  <si>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</si>
  <si>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</si>
  <si>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</si>
  <si>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</si>
  <si>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t>
  </si>
  <si>
    <t>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t>
  </si>
  <si>
    <t>0fcf8bf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</si>
  <si>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</si>
  <si>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</si>
  <si>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</si>
  <si>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</si>
  <si>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</si>
  <si>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</si>
  <si>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</si>
  <si>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</si>
  <si>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</si>
  <si>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</si>
  <si>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</si>
  <si>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</si>
  <si>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</si>
  <si>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</si>
  <si>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</si>
  <si>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</si>
  <si>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</si>
  <si>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t>
  </si>
  <si>
    <t>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t>
  </si>
  <si>
    <t>2366310</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</si>
  <si>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</si>
  <si>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</si>
  <si>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</si>
  <si>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</si>
  <si>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</si>
  <si>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</si>
  <si>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</si>
  <si>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</si>
  <si>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</si>
  <si>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</si>
  <si>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</si>
  <si>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</si>
  <si>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</si>
  <si>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</si>
  <si>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</si>
  <si>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</si>
  <si>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</si>
  <si>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</si>
  <si>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</si>
  <si>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</si>
  <si>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</si>
  <si>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</si>
  <si>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</si>
  <si>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</si>
  <si>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</si>
  <si>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</si>
  <si>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</si>
  <si>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</si>
  <si>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</si>
  <si>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</si>
  <si>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</si>
  <si>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</si>
  <si>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</si>
  <si>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</si>
  <si>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</si>
  <si>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</si>
  <si>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</si>
  <si>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</si>
  <si>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</si>
  <si>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</si>
  <si>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</si>
  <si>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</si>
  <si>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</si>
  <si>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</si>
  <si>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</si>
  <si>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</si>
  <si>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</si>
  <si>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</si>
  <si>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</si>
  <si>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</si>
  <si>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</si>
  <si>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</si>
  <si>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</si>
  <si>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</si>
  <si>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</si>
  <si>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</si>
  <si>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</si>
  <si>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</si>
  <si>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</si>
  <si>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</si>
  <si>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</si>
  <si>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</si>
  <si>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</si>
  <si>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</si>
  <si>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</si>
  <si>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</si>
  <si>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</si>
  <si>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</si>
  <si>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</si>
  <si>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</si>
  <si>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</si>
  <si>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</si>
  <si>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</si>
  <si>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</si>
  <si>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</si>
  <si>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</si>
  <si>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</si>
  <si>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</si>
  <si>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</si>
  <si>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</si>
  <si>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</si>
  <si>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</si>
  <si>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</si>
  <si>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</si>
  <si>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</si>
  <si>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</si>
  <si>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</si>
  <si>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</si>
  <si>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</si>
  <si>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</si>
  <si>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</si>
  <si>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</si>
  <si>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</si>
  <si>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</si>
  <si>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</si>
  <si>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</si>
  <si>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</si>
  <si>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</si>
  <si>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</si>
  <si>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</si>
  <si>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</si>
  <si>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</si>
  <si>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</si>
  <si>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</si>
  <si>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</si>
  <si>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</si>
  <si>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</si>
  <si>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</si>
  <si>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</si>
  <si>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</si>
  <si>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</si>
  <si>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</si>
  <si>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</si>
  <si>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</si>
  <si>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</si>
  <si>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</si>
  <si>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</si>
  <si>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</si>
  <si>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</si>
  <si>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</si>
  <si>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</si>
  <si>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</si>
  <si>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</si>
  <si>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</si>
  <si>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</si>
  <si>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</si>
  <si>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</si>
  <si>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</si>
  <si>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</si>
  <si>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</si>
  <si>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</si>
  <si>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</si>
  <si>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</si>
  <si>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</si>
  <si>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</si>
  <si>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</si>
  <si>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</si>
  <si>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</si>
  <si>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</si>
  <si>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</si>
  <si>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</si>
  <si>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</si>
  <si>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</si>
  <si>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</si>
  <si>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</si>
  <si>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t>
  </si>
  <si>
    <t>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t>
  </si>
  <si>
    <t>f81a433</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</si>
  <si>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</si>
  <si>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</si>
  <si>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</si>
  <si>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</si>
  <si>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</si>
  <si>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</si>
  <si>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</si>
  <si>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</si>
  <si>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</si>
  <si>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</si>
  <si>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</si>
  <si>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</si>
  <si>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</si>
  <si>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</si>
  <si>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</si>
  <si>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</si>
  <si>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</si>
  <si>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</si>
  <si>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</si>
  <si>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</si>
  <si>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</si>
  <si>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</si>
  <si>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</si>
  <si>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</si>
  <si>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</si>
  <si>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</si>
  <si>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</si>
  <si>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</si>
  <si>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</si>
  <si>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</si>
  <si>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</si>
  <si>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</si>
  <si>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</si>
  <si>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</si>
  <si>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</si>
  <si>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</si>
  <si>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</si>
  <si>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</si>
  <si>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</si>
  <si>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</si>
  <si>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</si>
  <si>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</si>
  <si>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</si>
  <si>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</si>
  <si>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</si>
  <si>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</si>
  <si>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</si>
  <si>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</si>
  <si>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</si>
  <si>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</si>
  <si>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</si>
  <si>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</si>
  <si>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</si>
  <si>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</si>
  <si>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</si>
  <si>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</si>
  <si>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</si>
  <si>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</si>
  <si>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</si>
  <si>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</si>
  <si>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</si>
  <si>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</si>
  <si>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</si>
  <si>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</si>
  <si>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</si>
  <si>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</si>
  <si>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</si>
  <si>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</si>
  <si>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</si>
  <si>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</si>
  <si>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</si>
  <si>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</si>
  <si>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</si>
  <si>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</si>
  <si>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</si>
  <si>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</si>
  <si>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</si>
  <si>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</si>
  <si>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</si>
  <si>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</si>
  <si>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</si>
  <si>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</si>
  <si>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</si>
  <si>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</si>
  <si>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</si>
  <si>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</si>
  <si>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</si>
  <si>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</si>
  <si>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</si>
  <si>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</si>
  <si>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</si>
  <si>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</si>
  <si>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</si>
  <si>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</si>
  <si>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</si>
  <si>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</si>
  <si>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</si>
  <si>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</si>
  <si>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</si>
  <si>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</si>
  <si>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</si>
  <si>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</si>
  <si>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</si>
  <si>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</si>
  <si>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</si>
  <si>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</si>
  <si>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</si>
  <si>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</si>
  <si>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</si>
  <si>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</si>
  <si>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</si>
  <si>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</si>
  <si>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</si>
  <si>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</si>
  <si>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</si>
  <si>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</si>
  <si>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</si>
  <si>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</si>
  <si>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</si>
  <si>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</si>
  <si>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</si>
  <si>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</si>
  <si>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</si>
  <si>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</si>
  <si>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</si>
  <si>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</si>
  <si>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</si>
  <si>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</si>
  <si>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</si>
  <si>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</si>
  <si>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</si>
  <si>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</si>
  <si>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</si>
  <si>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</si>
  <si>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</si>
  <si>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</si>
  <si>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</si>
  <si>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</si>
  <si>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</si>
  <si>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</si>
  <si>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</si>
  <si>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</si>
  <si>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</si>
  <si>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</si>
  <si>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</si>
  <si>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</si>
  <si>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</si>
  <si>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</si>
  <si>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</si>
  <si>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</si>
  <si>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</si>
  <si>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</si>
  <si>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</si>
  <si>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</si>
  <si>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</si>
  <si>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</si>
  <si>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</si>
  <si>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</si>
  <si>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</si>
  <si>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</si>
  <si>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</si>
  <si>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</si>
  <si>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</si>
  <si>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</si>
  <si>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</si>
  <si>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</si>
  <si>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</si>
  <si>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</si>
  <si>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</si>
  <si>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</si>
  <si>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t>
  </si>
  <si>
    <t>perf spec runs (opt-in, recorded above); Vitest 357 + fontStack cache test (4 in file); Playwright full 59 passed/1 skipped</t>
  </si>
  <si>
    <t>76dda4a</t>
  </si>
  <si>
    <t>Scoped like PERF-005: the per-keystroke work found and fixed here; grouping blocks into containers or virtualizing the pages is PERF-005B.</t>
  </si>
  <si>
    <t>PERF-005B</t>
  </si>
  <si>
    <t>Editor at 12k blocks: containers or page virtualization</t>
  </si>
  <si>
    <t>After PERF-005A, typing at 12,000 blocks is ~115 ms a keystroke. ProseMirror's view update visits every top-level block and DecorationSet.forChild scans the root's top-level decorations for each (pagination's ~700 per-page spacers/shifts, list label sets): ~16 ms; Chrome lays out a flex container of 12,000 children: ~40 ms. Group blocks into page or section container nodes (schema, tiptapToDocument, autosave patches, provenance stay correct) or draw only the pages near the view. Measure with PERF_TYPING=1 (+ PERF_TYPING_PROFILE=1, NEXT_SOURCE_MAPS=1).</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</si>
  <si>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</si>
  <si>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</si>
  <si>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</si>
  <si>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</si>
  <si>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</si>
  <si>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</si>
  <si>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</si>
  <si>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</si>
  <si>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</si>
  <si>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</si>
  <si>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</si>
  <si>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</si>
  <si>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</si>
  <si>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</si>
  <si>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</si>
  <si>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</si>
  <si>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</si>
  <si>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</si>
  <si>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</si>
  <si>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</si>
  <si>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</si>
  <si>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</si>
  <si>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</si>
  <si>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</si>
  <si>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</si>
  <si>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</si>
  <si>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</si>
  <si>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</si>
  <si>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</si>
  <si>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</si>
  <si>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</si>
  <si>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</si>
  <si>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</si>
  <si>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</si>
  <si>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</si>
  <si>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</si>
  <si>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</si>
  <si>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</si>
  <si>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</si>
  <si>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</si>
  <si>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</si>
  <si>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</si>
  <si>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</si>
  <si>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</si>
  <si>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</si>
  <si>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</si>
  <si>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</si>
  <si>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</si>
  <si>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</si>
  <si>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</si>
  <si>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</si>
  <si>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</si>
  <si>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</si>
  <si>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</si>
  <si>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</si>
  <si>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</si>
  <si>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</si>
  <si>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</si>
  <si>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</si>
  <si>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</si>
  <si>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</si>
  <si>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</si>
  <si>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</si>
  <si>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</si>
  <si>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</si>
  <si>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</si>
  <si>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</si>
  <si>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</si>
  <si>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</si>
  <si>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</si>
  <si>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</si>
  <si>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</si>
  <si>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</si>
  <si>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</si>
  <si>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</si>
  <si>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</si>
  <si>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</si>
  <si>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</si>
  <si>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</si>
  <si>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</si>
  <si>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</si>
  <si>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</si>
  <si>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</si>
  <si>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</si>
  <si>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</si>
  <si>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</si>
  <si>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</si>
  <si>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</si>
  <si>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</si>
  <si>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</si>
  <si>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</si>
  <si>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</si>
  <si>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</si>
  <si>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</si>
  <si>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</si>
  <si>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</si>
  <si>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</si>
  <si>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</si>
  <si>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</si>
  <si>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</si>
  <si>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</si>
  <si>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</si>
  <si>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</si>
  <si>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</si>
  <si>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</si>
  <si>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</si>
  <si>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</si>
  <si>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</si>
  <si>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</si>
  <si>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</si>
  <si>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</si>
  <si>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</si>
  <si>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</si>
  <si>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</si>
  <si>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</si>
  <si>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</si>
  <si>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</si>
  <si>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</si>
  <si>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</si>
  <si>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</si>
  <si>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</si>
  <si>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</si>
  <si>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</si>
  <si>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</si>
  <si>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</si>
  <si>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</si>
  <si>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</si>
  <si>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</si>
  <si>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</si>
  <si>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</si>
  <si>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</si>
  <si>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</si>
  <si>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</si>
  <si>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</si>
  <si>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</si>
  <si>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</si>
  <si>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</si>
  <si>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</si>
  <si>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</si>
  <si>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</si>
  <si>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</si>
  <si>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</si>
  <si>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</si>
  <si>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</si>
  <si>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</si>
  <si>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</si>
  <si>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</si>
  <si>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</si>
  <si>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</si>
  <si>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</si>
  <si>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</si>
  <si>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</si>
  <si>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</si>
  <si>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</si>
  <si>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</si>
  <si>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</si>
  <si>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</si>
  <si>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</si>
  <si>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</si>
  <si>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</si>
  <si>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</si>
  <si>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</si>
  <si>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PDF-021</t>
  </si>
  <si>
    <t>PDF lists in Bulgarian letters number as Word does</t>
  </si>
  <si>
    <t>parsers/pdf_structure.py reads a PDF list's Cyrillic markers with the Bulgarian alphabet (а..и, й, к..; ъ ь) and stores them as russianLower, whose sequence (Word's) skips й and has ы: a PDF list reaching й) is then shown and exported from к). Keep a letter list Word can't number as its own labels, or start it where Word's sequence gives the same letters.</t>
  </si>
  <si>
    <t>backend/app/parsers/pdf_structure.py _number: Cyrillic markers on number_formats.CYRILLIC (Word's а б в, with ы/э, no й/ъ/ь); й/ъ/ь give a number that never counts on (-1), so _checked keeps such a list's markers in the text</t>
  </si>
  <si>
    <t>backend tests/test_pdf_structure.py (3 new: а..и к л м and a Russian list through ы э are lists numbered as they show; a Bulgarian list а..и й к keeps its letters as paragraphs, a short one а..г stays a list) -- 32 in file; full backend 2571 passed/11 skipped; mutations 2/2</t>
  </si>
  <si>
    <t>e75b3b1</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</si>
  <si>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</si>
  <si>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</si>
  <si>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</si>
  <si>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</si>
  <si>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</si>
  <si>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</si>
  <si>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</si>
  <si>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</si>
  <si>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</si>
  <si>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</si>
  <si>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backend/app/export/pdf_layout.py (is_layout_document, _pages, _with_overflow, _draw_block with 0/90/180/270 turns, build_layout_pdf) used by pdf_export._build_pdf for layout-focused imports; pdf_export._Anchored/_anchor_across/_anchor_down/_anchored for Word pictures and text boxes behind/in front of the text; import notes, capabilities (pdf.import_layout, docx.image_layout), frames.py docstring, docs/architecture/layout-preserving.md 'Done: the PDF export'</t>
  </si>
  <si>
    <t>backend tests/test_pdf_frames.py (6: structure.pdf blocks within 3 pt across / 8 pt down of their boxes on their pages and the picture within 3 pt; columns side by side; rotated pages and text; added blocks under the one before and overflow onto an added page; editable import flows; behind (page offsets) and in front (margin right/top) drawn at place with the text unmoved); full backend 2557 passed/11 skipped; mutations 10/11 (the survivor unobservable: the fallback x equals the fixture's)</t>
  </si>
  <si>
    <t>3193d78</t>
  </si>
  <si>
    <t>The editor's positioned layer and moving frames split to P2E-022. Top-and-bottom and centred floats stay in line.</t>
  </si>
  <si>
    <t>P2E-022</t>
  </si>
  <si>
    <t>Frames on the editor's pages, and moving them</t>
  </si>
  <si>
    <t>Steps 2 and 3 of docs/architecture/layout-preserving.md: a positioned layer per page in the editor (a layout-focused import's blocks at their boxes; a picture behind/in front of the text at its anchor), the paginator treating a wrapping frame as a band the flow avoids; then moving a frame edits its source (a Word anchor's offsets; a PDF block's own drawn position, a new field kept by the server). Also top-and-bottom and centred floats in a PDF.</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</si>
  <si>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</si>
  <si>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</si>
  <si>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</si>
  <si>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</si>
  <si>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</si>
  <si>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</si>
  <si>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</si>
  <si>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</si>
  <si>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</si>
  <si>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</si>
  <si>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</si>
  <si>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</si>
  <si>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</si>
  <si>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</si>
  <si>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</si>
  <si>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</si>
  <si>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</si>
  <si>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</si>
  <si>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</si>
  <si>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</si>
  <si>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</si>
  <si>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</si>
  <si>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</si>
  <si>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</si>
  <si>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</si>
  <si>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</si>
  <si>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</si>
  <si>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</si>
  <si>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</si>
  <si>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</si>
  <si>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</si>
  <si>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</si>
  <si>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</si>
  <si>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</si>
  <si>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</si>
  <si>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</si>
  <si>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</si>
  <si>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</si>
  <si>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</si>
  <si>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</si>
  <si>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</si>
  <si>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</si>
  <si>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</si>
  <si>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</si>
  <si>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</si>
  <si>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</si>
  <si>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</si>
  <si>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</si>
  <si>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</si>
  <si>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</si>
  <si>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</si>
  <si>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</si>
  <si>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</si>
  <si>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</si>
  <si>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</si>
  <si>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</si>
  <si>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</si>
  <si>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</si>
  <si>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</si>
  <si>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</si>
  <si>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</si>
  <si>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</si>
  <si>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</si>
  <si>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</si>
  <si>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</si>
  <si>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</si>
  <si>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</si>
  <si>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</si>
  <si>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</si>
  <si>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</si>
  <si>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</si>
  <si>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</si>
  <si>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</si>
  <si>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</si>
  <si>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</si>
  <si>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</si>
  <si>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</si>
  <si>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</si>
  <si>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</si>
  <si>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</si>
  <si>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</si>
  <si>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</si>
  <si>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</si>
  <si>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</si>
  <si>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</si>
  <si>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</si>
  <si>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</si>
  <si>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</si>
  <si>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</si>
  <si>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</si>
  <si>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</si>
  <si>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</si>
  <si>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</si>
  <si>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</si>
  <si>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</si>
  <si>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</si>
  <si>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</si>
  <si>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</si>
  <si>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</si>
  <si>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</si>
  <si>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</si>
  <si>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</si>
  <si>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</si>
  <si>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</si>
  <si>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</si>
  <si>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</si>
  <si>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</si>
  <si>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</si>
  <si>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</si>
  <si>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</si>
  <si>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</si>
  <si>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</si>
  <si>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</si>
  <si>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AI explains failing checks only (no score sent, untrusted tag, rating answers dropped, unknown check voids answer); POST /documents/{id}/health/explain (metered, rate_limited ai, available flag); Health panel Explain per warn/fail check; docs/ai/README.md.</t>
  </si>
  <si>
    <t>backend/tests/test_health_explanations.py (4; 8/8 mutations); HealthPanel.test.tsx (+2); test_security_suite covers the route; backend 2438+155 security passed; Vitest 301; e2e health/accessibility 3</t>
  </si>
  <si>
    <t>ae65d6d</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</si>
  <si>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</si>
  <si>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</si>
  <si>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</si>
  <si>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</si>
  <si>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</si>
  <si>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</si>
  <si>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</si>
  <si>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</si>
  <si>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</si>
  <si>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</si>
  <si>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</si>
  <si>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</si>
  <si>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</si>
  <si>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</si>
  <si>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</si>
  <si>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t>
  </si>
  <si>
    <t>backend/tests/test_repair.py (8; 11/11 mutations); RepairSection.test.tsx (2); ReviewPanel.test.tsx; e2e review.spec.ts (+1); security suite; backend 2452/11 (+deflaked account-deletion test, 858c8ec), Vitest 303, Playwright 54</t>
  </si>
  <si>
    <t>a1c91e8</t>
  </si>
  <si>
    <t>The editor's table plugin already draws a short row padded; the stored table changes when the repair is accepted (or the table is edited). Malformed input / unsupported structures have no automatic fix.</t>
  </si>
  <si>
    <t>REV-005</t>
  </si>
  <si>
    <t>Clean copy</t>
  </si>
  <si>
    <t>Explicit: remove comments, accept tracked changes, remove hidden text, remove metadata, normalise formatting.</t>
  </si>
  <si>
    <t>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t>
  </si>
  <si>
    <t>backend/tests/test_clean_copy.py (3; 11/11 mutations); CleanCopySection.test.tsx (2); e2e tracked-changes.spec.ts (+1, a07); security suite; backend 2460/11, Vitest 305, Playwright 55</t>
  </si>
  <si>
    <t>842999c</t>
  </si>
  <si>
    <t>FEAT-001</t>
  </si>
  <si>
    <t>Batch formatting</t>
  </si>
  <si>
    <t>One template/reference over many documents as jobs.</t>
  </si>
  <si>
    <t>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t>
  </si>
  <si>
    <t>backend/tests/test_batch_format.py (7; 9/9 mutations); BatchBar.test.tsx (2); e2e batch.spec.ts; security suite; backend 2472/11, Vitest 307, Playwright 56</t>
  </si>
  <si>
    <t>backend/jobs</t>
  </si>
  <si>
    <t>fe4a89d</t>
  </si>
  <si>
    <t>A reference document's look goes into a batch as a template (Format by Example: Save as template). Conflicting documents wait for their own resolution.</t>
  </si>
  <si>
    <t>FEAT-002</t>
  </si>
  <si>
    <t>Batch export</t>
  </si>
  <si>
    <t>Many documents to a zip.</t>
  </si>
  <si>
    <t>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t>
  </si>
  <si>
    <t>backend/tests/test_batch_export.py (5; 8/8 mutations); BatchBar.test.tsx (+1); e2e batch.spec.ts; test_jobs/test_storage_retention/test_pdf_pages updated; backend 2479/11, Vitest 308, Playwright 56</t>
  </si>
  <si>
    <t>03891a4</t>
  </si>
  <si>
    <t>The ZIP's job belongs to the first document: deleting it removes the ZIP.</t>
  </si>
  <si>
    <t>FEAT-003</t>
  </si>
  <si>
    <t>Batch translation</t>
  </si>
  <si>
    <t>After the translation MVP.</t>
  </si>
  <si>
    <t>backend/app/api/jobs.py batch_translate (POST /api/v1/jobs/batch-translate: documents checked, BATCH 1, check_new_document(count=N), TRANSLATION characters via translation.service.collect, batch_jobs usage row, TRANSLATE jobs with batchId/batchIndex, audit batch.translate); schemas BatchTranslateRequest; EntitlementsService.check_new_document(count); frontend services/api batchTranslate, BatchBar 'Translate into' + 'Translate N documents', status and links to new documents; README</t>
  </si>
  <si>
    <t>backend tests/test_batch_translate.py (3: versions made and originals untouched, every check before queueing incl. 402 batches/documents/characters, 404, 422; someone else's documents 404); full backend 2562 passed/11 skipped; Vitest 359 (BatchBar translate case); Playwright full 59 passed/1 skipped (batch.spec translates both and checks the new document and the untouched original); mutations 6/6</t>
  </si>
  <si>
    <t>e9c4922</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</si>
  <si>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</si>
  <si>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</si>
  <si>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</si>
  <si>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</si>
  <si>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</si>
  <si>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</si>
  <si>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</si>
  <si>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</si>
  <si>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</si>
  <si>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</si>
  <si>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</si>
  <si>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</si>
  <si>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</si>
  <si>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</si>
  <si>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</si>
  <si>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</si>
  <si>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</si>
  <si>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</si>
  <si>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</si>
  <si>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</si>
  <si>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</si>
  <si>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</si>
  <si>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</si>
  <si>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</si>
  <si>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</si>
  <si>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</si>
  <si>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</si>
  <si>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</si>
  <si>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</si>
  <si>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</si>
  <si>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</si>
  <si>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</si>
  <si>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</si>
  <si>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</si>
  <si>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</si>
  <si>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</si>
  <si>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</si>
  <si>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</si>
  <si>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</si>
  <si>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</si>
  <si>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</si>
  <si>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</si>
  <si>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</si>
  <si>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</si>
  <si>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</si>
  <si>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</si>
  <si>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</si>
  <si>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</si>
  <si>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</si>
  <si>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</si>
  <si>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</si>
  <si>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</si>
  <si>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</si>
  <si>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</si>
  <si>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t>
  </si>
  <si>
    <t>backend/tests/test_operations_admin.py (4): token guard, failures/stuck/spikes/storage/busy workspaces with nothing of a document or account in the answer, refusals counted, labels never free text; 12/12 mutations caught</t>
  </si>
  <si>
    <t>baf66da</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</si>
  <si>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</si>
  <si>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</si>
  <si>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</si>
  <si>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</si>
  <si>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</si>
  <si>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</si>
  <si>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</si>
  <si>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</si>
  <si>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</si>
  <si>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</si>
  <si>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</si>
  <si>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</si>
  <si>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</si>
  <si>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</si>
  <si>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</si>
  <si>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</si>
  <si>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</si>
  <si>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</si>
  <si>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</si>
  <si>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</si>
  <si>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</si>
  <si>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</si>
  <si>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</si>
  <si>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</si>
  <si>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</si>
  <si>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</si>
  <si>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</si>
  <si>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</si>
  <si>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frontend/playwright.config.ts projects from E2E_BROWSERS (chromium|firefox|webkit, unknown refused); .github/workflows/ci.yml e2e matrix [chromium, firefox, webkit], fail-fast off, report artifact per browser; visual baseline Chromium-only (editor-complex-academic-chromium-win32.png)</t>
  </si>
  <si>
    <t>npx playwright test (Edge/Chromium): 56 passed, 1 skipped (perf opt-in); --list: 57 tests per browser, 171 with all three. Firefox and WebKit runs await the CI matrix (no local Playwright browsers; downloading them needs Boril's OK)</t>
  </si>
  <si>
    <t>a8cbb18</t>
  </si>
  <si>
    <t>TEST-006</t>
  </si>
  <si>
    <t>E2E backend removes its temp directory</t>
  </si>
  <si>
    <t>scripts/e2e_server.py leaves %TEMP%/smartdoc-e2e-* behind after every Playwright run (10 found on 2026-09-27).</t>
  </si>
  <si>
    <t>backend/scripts/e2e_server.py: sweep(temp, keep, now) at start (prefix smartdoc-e2e-, e2e.db or empty, untouched STALE_HOURS=6, the E2E_OUTBOX_DIR kept, errors skipped), own directory removed in a finally after uvicorn stops; first real run: 'Removed 110 directories earlier end-to-end runs left' (216 -&gt; 107, the rest younger than 6 h); README</t>
  </si>
  <si>
    <t>backend tests/test_e2e_server.py (1: old database dir and old empty dir removed; a running one, the outbox with mail, a foreign dir, a non-matching name and a file kept); Playwright auth.spec through the new server: passed</t>
  </si>
  <si>
    <t>backend/scripts/e2e_server.py</t>
  </si>
  <si>
    <t>52849b9</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</si>
  <si>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</si>
  <si>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</si>
  <si>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</si>
  <si>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</si>
  <si>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</si>
  <si>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</si>
  <si>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</si>
  <si>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</si>
  <si>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</si>
  <si>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</si>
  <si>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</si>
  <si>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</si>
  <si>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</si>
  <si>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</si>
  <si>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REL-001</t>
  </si>
  <si>
    <t>Release scope and feature freeze</t>
  </si>
  <si>
    <t>Acceptance: the v1 scope is written down (docs/deployment/vercel.md 'Limits'): core journey sign up / sign in -&gt; new document (paste or upload &lt;= 4 MB) -&gt; format with a template -&gt; edit -&gt; export DOCX/PDF -&gt; download; billing off, no e-mail, uploads/downloads &lt; 4.5 MB, jobs &lt;= 300 s. Verification: owner approved the scope (2026-10-13); limits stated in the app/README.</t>
  </si>
  <si>
    <t>Scope agreed with the owner in chat on 2026-10-13 (Vercel Hobby; billing off; no e-mail domain; uploads/downloads under 4.5 MB) and written down in docs/deployment/vercel.md 'Limits of this release'.</t>
  </si>
  <si>
    <t>Owner's answers recorded 2026-10-13; docs/deployment/vercel.md committed in 68a89a9.</t>
  </si>
  <si>
    <t>release</t>
  </si>
  <si>
    <t>68a89a9</t>
  </si>
  <si>
    <t>Mandatory before launch: yes. Owner approved: Vercel Hobby, billing off, no e-mail domain, 4.5 MB limit (2026-10-13).</t>
  </si>
  <si>
    <t>REL-002</t>
  </si>
  <si>
    <t>Vercel project with frontend + backend services</t>
  </si>
  <si>
    <t>Acceptance: one Vercel project 'smartdoc' linked to Drajeto07/claude, framework 'services' from vercel.json (Next.js frontend at /, backend container at /api/*), region fra1. Verification: project visible through the Vercel connector; a deployment builds both services.</t>
  </si>
  <si>
    <t>release, vercel</t>
  </si>
  <si>
    <t>Mandatory before launch: yes. BLOCKED 2026-10-13: the Vercel connector's token is not authorized for the account's team scope 'drajeto' (403 on list/create project). Owner: re-authorize the Vercel connector for that scope, or import Drajeto07/claude in the Vercel dashboard (framework Services from vercel.json).</t>
  </si>
  <si>
    <t>REL-003</t>
  </si>
  <si>
    <t>Production settings and secrets in Vercel</t>
  </si>
  <si>
    <t>Acceptance: every variable of docs/deployment/vercel.md 'Settings' present in Production and Preview (names checked, values never read): DATABASE_URL (transaction pooler), S3 keys, SENTRY_DSN, and the plain settings. Verification: filter_project_envs lists the names; /api/ready answers 200 on the deployment.</t>
  </si>
  <si>
    <t>Mandatory before launch: yes. Secrets entered by the owner in the Vercel dashboard only.</t>
  </si>
  <si>
    <t>REL-004</t>
  </si>
  <si>
    <t>Production database: restored, schema current, RLS on</t>
  </si>
  <si>
    <t>Acceptance: Supabase project smartdoc-formatter active; alembic_version equals the code's head; RLS enabled on every public table (no policies: the API connects as owner, PostgREST reads nothing). Verification: Supabase connector get_project ACTIVE_HEALTHY, SQL alembic_version = d41f7a60c9e2 = `alembic heads`, security advisors list only rls_enabled_no_policy (INFO) on all 16 tables.</t>
  </si>
  <si>
    <t>Supabase connector: restore_project -&gt; ACTIVE_HEALTHY (eu-central-1, Postgres 17); SQL: alembic_version = d41f7a60c9e2 = `alembic heads` of the code; list_migrations: 14 applied, the last d41f7a60c9e2; security advisors: only rls_enabled_no_policy (INFO) on all 16 public tables (RLS on, no policies by design: the API connects as owner). Holds 1 account and 8 documents from development (REL-020).</t>
  </si>
  <si>
    <t>Supabase get_project, execute_sql (alembic_version), list_migrations, get_advisors(security) on 2026-10-13.</t>
  </si>
  <si>
    <t>release, supabase</t>
  </si>
  <si>
    <t>Mandatory before launch: yes. Restored from paused 2026-10-13 with the owner's approval.</t>
  </si>
  <si>
    <t>REL-005</t>
  </si>
  <si>
    <t>File storage: private Supabase Storage bucket over S3</t>
  </si>
  <si>
    <t>Acceptance: private bucket smartdoc-files; an S3 access key pair for it in Vercel (S3_ACCESS_KEY_ID/SECRET); an upload with a picture and an export on the deployment store and read back files. Verification: storage.buckets row (public=false); live upload/export.</t>
  </si>
  <si>
    <t>Private bucket smartdoc-files created in Supabase Storage (storage.buckets public=false) on 2026-10-13. Waiting: an S3 access key pair created by the owner (Supabase -&gt; Storage -&gt; S3 Connection) and entered in Vercel.</t>
  </si>
  <si>
    <t>Mandatory before launch: yes. Bucket created 2026-10-13; keys: owner (Supabase -&gt; Storage -&gt; S3 Connection).</t>
  </si>
  <si>
    <t>REL-006</t>
  </si>
  <si>
    <t>Serverless-ready configuration in code</t>
  </si>
  <si>
    <t>Acceptance: vercel.json services + rewrites; backend/Dockerfile.vercel ($PORT, one process, forwarded client IP); NEXT_PUBLIC_API_BASE_URL='/' same-origin mode and the service binding for the frontend's server; DATABASE_POOLER=transaction (no pool, no kept prepared statements); a deployment's own Vercel URLs allowed as origins; JOB_BACKEND=eager. Verification: tests/test_release_config.py, client.test.ts; then the preview deployment works end to end.</t>
  </si>
  <si>
    <t>vercel.json (services frontend/backend, rewrites /api/* -&gt; backend, binding API_INTERNAL_URL); backend/Dockerfile.vercel; frontend client.ts/proxy.ts same-origin mode; config.browser_origins (VERCEL_URL ...); db/session.engine_options (DATABASE_POOLER=transaction: NullPool, statement cache off, unique prepared names); docs/deployment/vercel.md.</t>
  </si>
  <si>
    <t>backend tests/test_release_config.py (4) + test_config (11 in run); frontend services/api/client.test.ts (10); full backend run 2577 passed + 1 stub fixed (9/9 in its file). Not yet verified on a deployment (REL-009).</t>
  </si>
  <si>
    <t>release, backend, frontend</t>
  </si>
  <si>
    <t>Mandatory before launch: yes.</t>
  </si>
  <si>
    <t>REL-007</t>
  </si>
  <si>
    <t>Error monitoring (Sentry, backend)</t>
  </si>
  <si>
    <t>Acceptance: unhandled API errors reach Sentry project drajeto/smartdoc-backend with no request body, cookies, Authorization/session headers, query, locals or user; environment = Vercel's. Verification: tests/test_monitoring.py (real SDK, captured transport); a safe test error from the deployment seen in Sentry.</t>
  </si>
  <si>
    <t>backend/app/monitoring.py (init_monitoring, scrub) called from app/main.py; settings SENTRY_DSN, SENTRY_ENVIRONMENT, SENTRY_TRACES_SAMPLE_RATE; sentry-sdk 2.70.0 direct dependency; Sentry project drajeto/smartdoc-backend created (EU, python-fastapi) with a DSN.</t>
  </si>
  <si>
    <t>backend tests/test_monitoring.py (3: off without DSN; real SDK with a captured transport: the error and request id reported, the body/cookie/Authorization/query/local variable not; scrub unit test). Pending: SENTRY_DSN in Vercel and a test event from the deployment.</t>
  </si>
  <si>
    <t>release, observability</t>
  </si>
  <si>
    <t>c25b124</t>
  </si>
  <si>
    <t>Mandatory before launch: yes. Project created 2026-10-13 (EU region).</t>
  </si>
  <si>
    <t>REL-008</t>
  </si>
  <si>
    <t>Uptime monitor on the public URL</t>
  </si>
  <si>
    <t>Acceptance: an uptime check of https://&lt;project&gt;.vercel.app/api/health every 5 min alerting the owner. Verification: Sentry uptime monitor (Better Stack connector is read-only) shows up checks.</t>
  </si>
  <si>
    <t>REL-010</t>
  </si>
  <si>
    <t>Mandatory before launch: yes (basic alert).</t>
  </si>
  <si>
    <t>REL-009</t>
  </si>
  <si>
    <t>Preview deployment and smoke test</t>
  </si>
  <si>
    <t>Acceptance: the release branch deployed as a Vercel preview: /api/ready 200, sign up, paste text -&gt; document, upload a 1 MB DOCX with a picture, apply a template, edit and save, export DOCX and PDF and open them, reload keeps the edit; no console errors; logs clean. Verification: browser run against the preview URL; Vercel runtime logs.</t>
  </si>
  <si>
    <t>REL-003, REL-005, REL-006</t>
  </si>
  <si>
    <t>Production deployment and live acceptance</t>
  </si>
  <si>
    <t>Acceptance: the verified commit promoted to production; the live URL passes the REL-009 journey from a clean browser, desktop and a 375 px viewport; deployed commit matches the release candidate. Verification: browser run on the production URL; get_deployment commit; screenshots.</t>
  </si>
  <si>
    <t>Mandatory before launch: yes. Needs the owner's go-ahead (public).</t>
  </si>
  <si>
    <t>REL-011</t>
  </si>
  <si>
    <t>Cross-user isolation on the live deployment</t>
  </si>
  <si>
    <t>Acceptance: a second account can't read, change, export or delete the first account's document, asset or job by id (404). Verification: the security suite's IDOR checks pass in CI; a manual check on the live URL with two test accounts.</t>
  </si>
  <si>
    <t>release, security</t>
  </si>
  <si>
    <t>REL-012</t>
  </si>
  <si>
    <t>Rollback readiness</t>
  </si>
  <si>
    <t>Acceptance: rollback = Vercel Instant Rollback to the previous production deployment; no schema change in this release, so the database needs nothing. Verification: documented (docs/deployment/vercel.md); a previous deployment listed as rollback candidate after the first promotion.</t>
  </si>
  <si>
    <t>Mandatory before launch: yes (documented).</t>
  </si>
  <si>
    <t>REL-013</t>
  </si>
  <si>
    <t>Known limitations stated to users</t>
  </si>
  <si>
    <t>Acceptance: the upload screen says files up to 4 MB; README/release notes list what v1 doesn't do (billing, e-mail, large files). Verification: page text on the live URL.</t>
  </si>
  <si>
    <t>release, frontend</t>
  </si>
  <si>
    <t>REL-014</t>
  </si>
  <si>
    <t>Post-launch: scheduled sweep and stuck-job recovery</t>
  </si>
  <si>
    <t>Acceptance: a Vercel Cron (or other scheduler) calls a protected endpoint that runs the hourly sweep (expired exports, account clean-up) and stuck-job recovery, which don't run with JOB_BACKEND=eager. Verification: test of the endpoint; cron run seen in logs.</t>
  </si>
  <si>
    <t>release, jobs</t>
  </si>
  <si>
    <t>Mandatory before launch: no (post-launch).</t>
  </si>
  <si>
    <t>REL-015</t>
  </si>
  <si>
    <t>Post-launch: frontend error monitoring and product analytics</t>
  </si>
  <si>
    <t>Acceptance: browser errors reported (Sentry for Next.js) and key funnel events (sign up, document created, export) in PostHog, both without document text or personal data. Verification: events seen in Sentry/PostHog from the live app.</t>
  </si>
  <si>
    <t>Mandatory before launch: no.</t>
  </si>
  <si>
    <t>REL-016</t>
  </si>
  <si>
    <t>Post-launch: transactional e-mail</t>
  </si>
  <si>
    <t>Acceptance: a sending domain verified in Resend; EMAIL_BACKEND=smtp (smtp.resend.com) so verification and password-reset mail arrive. Verification: a reset mail received on a test account.</t>
  </si>
  <si>
    <t>release, mail</t>
  </si>
  <si>
    <t>Mandatory before launch: no. Needs a domain the owner owns.</t>
  </si>
  <si>
    <t>REL-017</t>
  </si>
  <si>
    <t>Post-launch: shared rate limits and a job worker</t>
  </si>
  <si>
    <t>Acceptance: rate limits shared across instances (Redis) and long jobs off the request path, or explicitly accepted as v1 limits. Verification: load check; config.</t>
  </si>
  <si>
    <t>release, infra</t>
  </si>
  <si>
    <t>REL-018</t>
  </si>
  <si>
    <t>Post-launch: commercial plan before charging</t>
  </si>
  <si>
    <t>Acceptance: Vercel Pro (Hobby is non-commercial) and live Stripe prices before any payment is taken. Verification: plan and Stripe live mode confirmed by the owner.</t>
  </si>
  <si>
    <t>release, billing</t>
  </si>
  <si>
    <t>Mandatory before launch: no. Owner decisions.</t>
  </si>
  <si>
    <t>REL-019</t>
  </si>
  <si>
    <t>Post-launch audit of untested and unverified capabilities</t>
  </si>
  <si>
    <t>Acceptance: routes, UI controls, jobs and integrations inventoried; each untested, mock-only or unreachable capability recorded as a task with priority and class (blocker / soon / planned / unsupported). Verification: the task list in this sheet.</t>
  </si>
  <si>
    <t>Mandatory before launch: no (release blockers found are fixed before).</t>
  </si>
  <si>
    <t>REL-020</t>
  </si>
  <si>
    <t>Development data in the production database</t>
  </si>
  <si>
    <t>Acceptance: the owner decides about the 1 account and 8 documents already in the database (made in development; their pictures were stored on the development machine, so they would show as missing). Verification: decision recorded; data kept or removed by the owner.</t>
  </si>
  <si>
    <t>Mandatory before launch: yes (decision only). Never deleted without the owner's explicit approval.</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</si>
  <si>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</si>
  <si>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</si>
  <si>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</si>
  <si>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</si>
  <si>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</si>
  <si>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</si>
  <si>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</si>
  <si>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</si>
  <si>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</si>
  <si>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</si>
  <si>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</si>
  <si>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</si>
  <si>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</si>
  <si>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</si>
  <si>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</si>
  <si>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</si>
  <si>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</si>
  <si>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</si>
  <si>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</si>
  <si>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</si>
  <si>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</si>
  <si>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</si>
  <si>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</si>
  <si>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</si>
  <si>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</si>
  <si>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</si>
  <si>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</si>
  <si>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</si>
  <si>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</si>
  <si>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</si>
  <si>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</si>
  <si>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</si>
  <si>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</si>
  <si>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</si>
  <si>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</si>
  <si>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</si>
  <si>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</si>
  <si>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</si>
  <si>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</si>
  <si>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</si>
  <si>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</si>
  <si>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</si>
  <si>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</si>
  <si>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</si>
  <si>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</si>
  <si>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</si>
  <si>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</si>
  <si>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</si>
  <si>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</si>
  <si>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</si>
  <si>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</si>
  <si>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</si>
  <si>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</si>
  <si>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</si>
  <si>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</si>
  <si>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</si>
  <si>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</si>
  <si>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</si>
  <si>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</si>
  <si>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</si>
  <si>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</si>
  <si>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</si>
  <si>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</si>
  <si>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</si>
  <si>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</si>
  <si>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</si>
  <si>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</si>
  <si>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</si>
  <si>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</si>
  <si>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</si>
  <si>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</si>
  <si>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</si>
  <si>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</si>
  <si>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</si>
  <si>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</si>
  <si>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</si>
  <si>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</si>
  <si>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</si>
  <si>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</si>
  <si>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</si>
  <si>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</si>
  <si>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</si>
  <si>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</si>
  <si>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</si>
  <si>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</si>
  <si>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</si>
  <si>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</si>
  <si>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</si>
  <si>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</si>
  <si>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</si>
  <si>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</si>
  <si>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</si>
  <si>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</si>
  <si>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</si>
  <si>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</si>
  <si>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</si>
  <si>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</si>
  <si>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</si>
  <si>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</si>
  <si>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</si>
  <si>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</si>
  <si>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</si>
  <si>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</si>
  <si>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</si>
  <si>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</si>
  <si>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</si>
  <si>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</si>
  <si>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</si>
  <si>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</si>
  <si>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</si>
  <si>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</si>
  <si>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</si>
  <si>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</si>
  <si>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</si>
  <si>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</si>
  <si>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</si>
  <si>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</si>
  <si>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</si>
  <si>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</si>
  <si>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</si>
  <si>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</si>
  <si>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</si>
  <si>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</si>
  <si>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</si>
  <si>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</si>
  <si>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</si>
  <si>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</si>
  <si>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</si>
  <si>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</si>
  <si>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</si>
  <si>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</si>
  <si>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</si>
  <si>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</si>
  <si>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</si>
  <si>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</si>
  <si>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</si>
  <si>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</si>
  <si>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</si>
  <si>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</si>
  <si>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</si>
  <si>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</si>
  <si>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</si>
  <si>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</si>
  <si>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</si>
  <si>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</si>
  <si>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</si>
  <si>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</si>
  <si>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</si>
  <si>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</si>
  <si>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</si>
  <si>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</si>
  <si>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</si>
  <si>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</si>
  <si>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</si>
  <si>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</si>
  <si>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</si>
  <si>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</si>
  <si>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</si>
  <si>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</si>
  <si>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</si>
  <si>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</si>
  <si>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</si>
  <si>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</si>
  <si>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</si>
  <si>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</si>
  <si>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</si>
  <si>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</si>
  <si>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</si>
  <si>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</si>
  <si>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</si>
  <si>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</si>
  <si>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</si>
  <si>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</si>
  <si>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</si>
  <si>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</si>
  <si>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</si>
  <si>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</si>
  <si>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</si>
  <si>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</si>
  <si>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</si>
  <si>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</si>
  <si>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</si>
  <si>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</si>
  <si>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</si>
  <si>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</si>
  <si>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</si>
  <si>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</si>
  <si>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</si>
  <si>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</si>
  <si>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</si>
  <si>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</si>
  <si>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</si>
  <si>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</si>
  <si>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</si>
  <si>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</si>
  <si>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</si>
  <si>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</si>
  <si>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</si>
  <si>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</si>
  <si>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</si>
  <si>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</si>
  <si>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</si>
  <si>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</si>
  <si>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</si>
  <si>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</si>
  <si>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</si>
  <si>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</si>
  <si>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</si>
  <si>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</si>
  <si>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</si>
  <si>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</si>
  <si>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</si>
  <si>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</si>
  <si>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</si>
  <si>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</si>
  <si>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</si>
  <si>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</si>
  <si>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</si>
  <si>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</si>
  <si>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</si>
  <si>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</si>
  <si>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</si>
  <si>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</si>
  <si>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</si>
  <si>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</si>
  <si>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</si>
  <si>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</si>
  <si>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</si>
  <si>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</si>
  <si>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</si>
  <si>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</si>
  <si>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</si>
  <si>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</si>
  <si>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</si>
  <si>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</si>
  <si>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</si>
  <si>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</si>
  <si>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</si>
  <si>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</si>
  <si>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</si>
  <si>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</si>
  <si>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</si>
  <si>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</si>
  <si>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</si>
  <si>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</si>
  <si>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</si>
  <si>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</si>
  <si>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</si>
  <si>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</si>
  <si>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</si>
  <si>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</si>
  <si>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</si>
  <si>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</si>
  <si>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</si>
  <si>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</si>
  <si>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</si>
  <si>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</si>
  <si>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</si>
  <si>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</si>
  <si>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</si>
  <si>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</si>
  <si>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</si>
  <si>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</si>
  <si>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</si>
  <si>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</si>
  <si>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</si>
  <si>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</si>
  <si>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</si>
  <si>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</si>
  <si>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</si>
  <si>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</si>
  <si>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</si>
  <si>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</si>
  <si>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</si>
  <si>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</si>
  <si>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</si>
  <si>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</si>
  <si>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</si>
  <si>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</si>
  <si>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</si>
  <si>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</si>
  <si>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</si>
  <si>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</si>
  <si>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</si>
  <si>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</si>
  <si>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</si>
  <si>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</si>
  <si>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</si>
  <si>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</si>
  <si>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</si>
  <si>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</si>
  <si>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</si>
  <si>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</si>
  <si>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</si>
  <si>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</si>
  <si>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</si>
  <si>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</si>
  <si>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</si>
  <si>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</si>
  <si>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</si>
  <si>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</si>
  <si>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</si>
  <si>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</si>
  <si>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</si>
  <si>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</si>
  <si>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</si>
  <si>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</si>
  <si>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</si>
  <si>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</si>
  <si>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</si>
  <si>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</si>
  <si>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</si>
  <si>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</si>
  <si>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</si>
  <si>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</si>
  <si>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</si>
  <si>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</si>
  <si>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</si>
  <si>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</si>
  <si>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</si>
  <si>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</si>
  <si>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</si>
  <si>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</si>
  <si>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</si>
  <si>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</si>
  <si>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</si>
  <si>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</si>
  <si>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</si>
  <si>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</si>
  <si>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</si>
  <si>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</si>
  <si>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</si>
  <si>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</si>
  <si>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</si>
  <si>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</si>
  <si>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</si>
  <si>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</si>
  <si>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</si>
  <si>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</si>
  <si>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</si>
  <si>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</si>
  <si>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</si>
  <si>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</si>
  <si>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</si>
  <si>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</si>
  <si>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</si>
  <si>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</si>
  <si>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</si>
  <si>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</si>
  <si>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</si>
  <si>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</si>
  <si>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</si>
  <si>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</si>
  <si>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</si>
  <si>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</si>
  <si>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</si>
  <si>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</si>
  <si>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</si>
  <si>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</si>
  <si>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</si>
  <si>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</si>
  <si>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</si>
  <si>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</si>
  <si>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</si>
  <si>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</si>
  <si>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</si>
  <si>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</si>
  <si>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</si>
  <si>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</si>
  <si>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</si>
  <si>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</si>
  <si>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</si>
  <si>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</si>
  <si>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</si>
  <si>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</si>
  <si>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</si>
  <si>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</si>
  <si>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</si>
  <si>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</si>
  <si>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</si>
  <si>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</si>
  <si>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</si>
  <si>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</si>
  <si>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</si>
  <si>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</si>
  <si>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</si>
  <si>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</si>
  <si>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</si>
  <si>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</si>
  <si>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</si>
  <si>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</si>
  <si>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</si>
  <si>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</si>
  <si>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</si>
  <si>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</si>
  <si>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</si>
  <si>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</si>
  <si>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</si>
  <si>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</si>
  <si>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</si>
  <si>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</si>
  <si>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</si>
  <si>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</si>
  <si>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</si>
  <si>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</si>
  <si>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</si>
  <si>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</si>
  <si>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</si>
  <si>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</si>
  <si>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</si>
  <si>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</si>
  <si>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</si>
  <si>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</si>
  <si>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</si>
  <si>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</si>
  <si>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</si>
  <si>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</si>
  <si>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</si>
  <si>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</si>
  <si>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</si>
  <si>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</si>
  <si>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</si>
  <si>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</si>
  <si>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</si>
  <si>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</si>
  <si>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</si>
  <si>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</si>
  <si>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</si>
  <si>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</si>
  <si>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</si>
  <si>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</si>
  <si>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</si>
  <si>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</si>
  <si>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</si>
  <si>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</si>
  <si>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</si>
  <si>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</si>
  <si>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</si>
  <si>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</si>
  <si>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</si>
  <si>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</si>
  <si>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</si>
  <si>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</si>
  <si>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</si>
  <si>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</si>
  <si>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</si>
  <si>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</si>
  <si>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</si>
  <si>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</si>
  <si>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</si>
  <si>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</si>
  <si>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</si>
  <si>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</si>
  <si>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</si>
  <si>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</si>
  <si>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</si>
  <si>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</si>
  <si>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</si>
  <si>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</si>
  <si>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</si>
  <si>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</si>
  <si>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</si>
  <si>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</si>
  <si>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</si>
  <si>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</si>
  <si>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</si>
  <si>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</si>
  <si>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</si>
  <si>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</si>
  <si>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</si>
  <si>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</si>
  <si>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</si>
  <si>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</si>
  <si>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</si>
  <si>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</si>
  <si>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</si>
  <si>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</si>
  <si>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</si>
  <si>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</si>
  <si>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</si>
  <si>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</si>
  <si>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</si>
  <si>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</si>
  <si>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</si>
  <si>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</si>
  <si>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</si>
  <si>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</si>
  <si>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</si>
  <si>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</si>
  <si>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</si>
  <si>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</si>
  <si>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</si>
  <si>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</si>
  <si>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</si>
  <si>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</si>
  <si>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</si>
  <si>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</si>
  <si>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</si>
  <si>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</si>
  <si>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</si>
  <si>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</si>
  <si>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</si>
  <si>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</si>
  <si>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</si>
  <si>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</si>
  <si>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</si>
  <si>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</si>
  <si>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</si>
  <si>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</si>
  <si>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</si>
  <si>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</si>
  <si>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</si>
  <si>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</si>
  <si>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</si>
  <si>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</si>
  <si>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</si>
  <si>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</si>
  <si>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</si>
  <si>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</si>
  <si>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</si>
  <si>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</si>
  <si>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</si>
  <si>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</si>
  <si>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</si>
  <si>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</si>
  <si>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</si>
  <si>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</si>
  <si>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</si>
  <si>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</si>
  <si>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</si>
  <si>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</si>
  <si>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</si>
  <si>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</si>
  <si>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</si>
  <si>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</si>
  <si>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</si>
  <si>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</si>
  <si>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</si>
  <si>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</si>
  <si>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</si>
  <si>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</si>
  <si>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</si>
  <si>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</si>
  <si>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</si>
  <si>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</si>
  <si>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</si>
  <si>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</si>
  <si>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</si>
  <si>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</si>
  <si>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</si>
  <si>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</si>
  <si>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</si>
  <si>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</si>
  <si>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</si>
  <si>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</si>
  <si>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</si>
  <si>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</si>
  <si>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</si>
  <si>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</si>
  <si>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</si>
  <si>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</si>
  <si>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</si>
  <si>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</si>
  <si>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</si>
  <si>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</si>
  <si>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</si>
  <si>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</si>
  <si>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</si>
  <si>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</si>
  <si>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</si>
  <si>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</si>
  <si>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</si>
  <si>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</si>
  <si>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</si>
  <si>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</si>
  <si>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</si>
  <si>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</si>
  <si>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</si>
  <si>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</si>
  <si>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</si>
  <si>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</si>
  <si>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</si>
  <si>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</si>
  <si>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</si>
  <si>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</si>
  <si>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</si>
  <si>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</si>
  <si>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</si>
  <si>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</si>
  <si>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</si>
  <si>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</si>
  <si>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</si>
  <si>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</si>
  <si>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</si>
  <si>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</si>
  <si>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</si>
  <si>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</si>
  <si>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</si>
  <si>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</si>
  <si>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</si>
  <si>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</si>
  <si>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</si>
  <si>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</si>
  <si>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</si>
  <si>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</si>
  <si>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</si>
  <si>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</si>
  <si>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</si>
  <si>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RUN-0268</t>
  </si>
  <si>
    <t>HLTH-003 (security suite list updated and rerun 155/155)</t>
  </si>
  <si>
    <t>RUN-0269</t>
  </si>
  <si>
    <t>RUN-0270</t>
  </si>
  <si>
    <t>REV-004; test_account_deletion flake (minute window) fixed in 858c8ec, rerun 7/7 x3</t>
  </si>
  <si>
    <t>RUN-0271</t>
  </si>
  <si>
    <t>RUN-0272</t>
  </si>
  <si>
    <t>RUN-0273</t>
  </si>
  <si>
    <t>RUN-0274</t>
  </si>
  <si>
    <t>RUN-0275</t>
  </si>
  <si>
    <t>RUN-0276</t>
  </si>
  <si>
    <t>RUN-0277</t>
  </si>
  <si>
    <t>RUN-0278</t>
  </si>
  <si>
    <t>RUN-0279</t>
  </si>
  <si>
    <t>FEAT-002 (test_jobs key-set updated and rerun 23/23)</t>
  </si>
  <si>
    <t>RUN-0280</t>
  </si>
  <si>
    <t>RUN-0281</t>
  </si>
  <si>
    <t>RUN-0282</t>
  </si>
  <si>
    <t>venv/Scripts/python.exe -m pytest -q</t>
  </si>
  <si>
    <t>after OBS-003</t>
  </si>
  <si>
    <t>RUN-0283</t>
  </si>
  <si>
    <t>npx playwright test (chromium/Edge)</t>
  </si>
  <si>
    <t>after TEST-043 projects</t>
  </si>
  <si>
    <t>RUN-0284</t>
  </si>
  <si>
    <t>after DOCX-016B</t>
  </si>
  <si>
    <t>RUN-0285</t>
  </si>
  <si>
    <t>RUN-0286</t>
  </si>
  <si>
    <t>after DOCX-017B</t>
  </si>
  <si>
    <t>RUN-0287</t>
  </si>
  <si>
    <t>RUN-0288</t>
  </si>
  <si>
    <t>after DOCX-018B</t>
  </si>
  <si>
    <t>RUN-0289</t>
  </si>
  <si>
    <t>npx playwright test e2e/pictures.spec.ts e2e/tables.spec.ts e2e/list-labels.spec.ts</t>
  </si>
  <si>
    <t>specs touched by DOCX-016B/017B/018B</t>
  </si>
  <si>
    <t>RUN-0290</t>
  </si>
  <si>
    <t>full suite after DOCX-018B</t>
  </si>
  <si>
    <t>RUN-0291</t>
  </si>
  <si>
    <t>after DOCX-027A</t>
  </si>
  <si>
    <t>RUN-0292</t>
  </si>
  <si>
    <t>RUN-0293</t>
  </si>
  <si>
    <t>RUN-0294</t>
  </si>
  <si>
    <t>after PERF-005A (357 + font stack cache test)</t>
  </si>
  <si>
    <t>RUN-0295</t>
  </si>
  <si>
    <t>after PERF-005A</t>
  </si>
  <si>
    <t>RUN-0296</t>
  </si>
  <si>
    <t>after P2E-021</t>
  </si>
  <si>
    <t>RUN-0297</t>
  </si>
  <si>
    <t>after FEAT-003</t>
  </si>
  <si>
    <t>RUN-0298</t>
  </si>
  <si>
    <t>RUN-0299</t>
  </si>
  <si>
    <t>RUN-0300</t>
  </si>
  <si>
    <t>after DOCX-016C (backend: + the 2 golden/nested tests fixed after the run)</t>
  </si>
  <si>
    <t>RUN-0301</t>
  </si>
  <si>
    <t>RUN-0302</t>
  </si>
  <si>
    <t>RUN-0303</t>
  </si>
  <si>
    <t>after PDF-021</t>
  </si>
  <si>
    <t>RUN-0304</t>
  </si>
  <si>
    <t>2577 passed in the full run + test_utf8_json_storage stub fixed after it (9/9 in its file)</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</si>
  <si>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</si>
  <si>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</si>
  <si>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</si>
  <si>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</si>
  <si>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</si>
  <si>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</si>
  <si>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</si>
  <si>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</si>
  <si>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</si>
  <si>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</si>
  <si>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</si>
  <si>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</si>
  <si>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</si>
  <si>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</si>
  <si>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</si>
  <si>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</si>
  <si>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</si>
  <si>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</si>
  <si>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</si>
  <si>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</si>
  <si>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</si>
  <si>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</si>
  <si>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</si>
  <si>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</si>
  <si>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</si>
  <si>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</si>
  <si>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</si>
  <si>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</si>
  <si>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</si>
  <si>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</si>
  <si>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</si>
  <si>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</si>
  <si>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</si>
  <si>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</si>
  <si>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</si>
  <si>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</si>
  <si>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</si>
  <si>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</si>
  <si>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</si>
  <si>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</si>
  <si>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</si>
  <si>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</si>
  <si>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</si>
  <si>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</si>
  <si>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</si>
  <si>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</si>
  <si>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</si>
  <si>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</si>
  <si>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</si>
  <si>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</si>
  <si>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</si>
  <si>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</si>
  <si>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</si>
  <si>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</si>
  <si>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</si>
  <si>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</si>
  <si>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</si>
  <si>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</si>
  <si>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</si>
  <si>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</si>
  <si>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</si>
  <si>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</si>
  <si>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</si>
  <si>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</si>
  <si>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</si>
  <si>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</si>
  <si>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</si>
  <si>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</si>
  <si>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</si>
  <si>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</si>
  <si>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</si>
  <si>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</si>
  <si>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</si>
  <si>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</si>
  <si>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</si>
  <si>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</si>
  <si>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</si>
  <si>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</si>
  <si>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</si>
  <si>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</si>
  <si>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</si>
  <si>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</si>
  <si>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</si>
  <si>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</si>
  <si>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</si>
  <si>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</si>
  <si>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</si>
  <si>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</si>
  <si>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</si>
  <si>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</si>
  <si>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</si>
  <si>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</si>
  <si>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</si>
  <si>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</si>
  <si>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</si>
  <si>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</si>
  <si>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</si>
  <si>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</si>
  <si>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</si>
  <si>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</si>
  <si>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</si>
  <si>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</si>
  <si>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</si>
  <si>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</si>
  <si>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</si>
  <si>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</si>
  <si>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</si>
  <si>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</si>
  <si>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</si>
  <si>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</si>
  <si>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</si>
  <si>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</si>
  <si>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</si>
  <si>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</si>
  <si>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</si>
  <si>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</si>
  <si>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</si>
  <si>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</si>
  <si>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</si>
  <si>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</si>
  <si>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</si>
  <si>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</si>
  <si>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</si>
  <si>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</si>
  <si>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</si>
  <si>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</si>
  <si>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</si>
  <si>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</si>
  <si>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</si>
  <si>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</si>
  <si>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</si>
  <si>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</si>
  <si>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</si>
  <si>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</si>
  <si>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</si>
  <si>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</si>
  <si>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</si>
  <si>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FIRST_RELEASE — First public release</t>
  </si>
  <si>
    <t>The release plan (phase 19): scope, production environment, smoke tests, monitoring, rollback -- each task says whether it is mandatory before launch. Categories: RELEASE.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</si>
  <si>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</si>
  <si>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</si>
  <si>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</si>
  <si>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</si>
  <si>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</si>
  <si>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</si>
  <si>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</si>
  <si>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</si>
  <si>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</si>
  <si>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</si>
  <si>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</si>
  <si>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</si>
  <si>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</si>
  <si>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</si>
  <si>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</si>
  <si>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</si>
  <si>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</si>
  <si>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</si>
  <si>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</si>
  <si>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</si>
  <si>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</si>
  <si>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</si>
  <si>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</si>
  <si>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</si>
  <si>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</si>
  <si>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</si>
  <si>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</si>
  <si>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</si>
  <si>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</si>
  <si>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</si>
  <si>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</si>
  <si>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</si>
  <si>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</si>
  <si>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</si>
  <si>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</si>
  <si>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</si>
  <si>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</si>
  <si>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</si>
  <si>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</si>
  <si>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</si>
  <si>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</si>
  <si>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</si>
  <si>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</si>
  <si>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</si>
  <si>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</si>
  <si>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</si>
  <si>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</si>
  <si>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</si>
  <si>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</si>
  <si>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</si>
  <si>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</si>
  <si>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</si>
  <si>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</si>
  <si>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</si>
  <si>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</si>
  <si>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</si>
  <si>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</si>
  <si>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</si>
  <si>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</si>
  <si>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</si>
  <si>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</si>
  <si>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</si>
  <si>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</si>
  <si>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</si>
  <si>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</si>
  <si>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</si>
  <si>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</si>
  <si>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</si>
  <si>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</si>
  <si>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</si>
  <si>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</si>
  <si>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</si>
  <si>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</si>
  <si>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</si>
  <si>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</si>
  <si>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</si>
  <si>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</si>
  <si>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</si>
  <si>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</si>
  <si>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</si>
  <si>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</si>
  <si>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</si>
  <si>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</si>
  <si>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</si>
  <si>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</si>
  <si>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</si>
  <si>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</si>
  <si>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</si>
  <si>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</si>
  <si>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</si>
  <si>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</si>
  <si>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</si>
  <si>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</si>
  <si>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</si>
  <si>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</si>
  <si>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</si>
  <si>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</si>
  <si>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</si>
  <si>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</si>
  <si>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</si>
  <si>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</si>
  <si>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</si>
  <si>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</si>
  <si>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</si>
  <si>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</si>
  <si>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</si>
  <si>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</si>
  <si>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</si>
  <si>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</si>
  <si>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</si>
  <si>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</si>
  <si>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</si>
  <si>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</si>
  <si>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</si>
  <si>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</si>
  <si>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</si>
  <si>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</si>
  <si>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</si>
  <si>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</si>
  <si>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</si>
  <si>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</si>
  <si>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</si>
  <si>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</si>
  <si>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</si>
  <si>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</si>
  <si>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</si>
  <si>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</si>
  <si>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</si>
  <si>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</si>
  <si>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</si>
  <si>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</si>
  <si>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</si>
  <si>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</si>
  <si>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</si>
  <si>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</si>
  <si>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</si>
  <si>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</si>
  <si>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</si>
  <si>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</si>
  <si>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</si>
  <si>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</si>
  <si>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</si>
  <si>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</si>
  <si>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</si>
  <si>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</si>
  <si>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</si>
  <si>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</si>
  <si>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</si>
  <si>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</si>
  <si>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</si>
  <si>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</si>
  <si>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</si>
  <si>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</si>
  <si>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</si>
  <si>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</si>
  <si>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</si>
  <si>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</si>
  <si>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</si>
  <si>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</si>
  <si>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</si>
  <si>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</si>
  <si>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</si>
  <si>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</si>
  <si>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</si>
  <si>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</si>
  <si>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</si>
  <si>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</si>
  <si>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</si>
  <si>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</si>
  <si>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</si>
  <si>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</si>
  <si>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</si>
  <si>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</si>
  <si>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</si>
  <si>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</si>
  <si>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</si>
  <si>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</si>
  <si>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</si>
  <si>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</si>
  <si>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</si>
  <si>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</si>
  <si>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</si>
  <si>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</si>
  <si>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</si>
  <si>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</si>
  <si>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</si>
  <si>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</si>
  <si>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</si>
  <si>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</si>
  <si>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</si>
  <si>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</si>
  <si>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</si>
  <si>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</si>
  <si>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</si>
  <si>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</si>
  <si>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</si>
  <si>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</si>
  <si>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</si>
  <si>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</si>
  <si>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</si>
  <si>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</si>
  <si>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</si>
  <si>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</si>
  <si>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</si>
  <si>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</si>
  <si>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</si>
  <si>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</si>
  <si>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</si>
  <si>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</si>
  <si>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</si>
  <si>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</si>
  <si>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</si>
  <si>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</si>
  <si>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</si>
  <si>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</si>
  <si>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</si>
  <si>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</si>
  <si>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</si>
  <si>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</si>
  <si>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</si>
  <si>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</si>
  <si>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</si>
  <si>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</si>
  <si>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</si>
  <si>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</si>
  <si>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</si>
  <si>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</si>
  <si>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</si>
  <si>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</si>
  <si>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</si>
  <si>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</si>
  <si>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</si>
  <si>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</si>
  <si>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</si>
  <si>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</si>
  <si>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</si>
  <si>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</si>
  <si>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</si>
  <si>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</si>
  <si>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</si>
  <si>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</si>
  <si>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</si>
  <si>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</si>
  <si>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</si>
  <si>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</si>
  <si>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</si>
  <si>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</si>
  <si>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</si>
  <si>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</si>
  <si>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</si>
  <si>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</si>
  <si>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</si>
  <si>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</si>
  <si>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</si>
  <si>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</si>
  <si>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</si>
  <si>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</si>
  <si>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</si>
  <si>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</si>
  <si>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</si>
  <si>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</si>
  <si>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</si>
  <si>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</si>
  <si>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</si>
  <si>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</si>
  <si>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</si>
  <si>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</si>
  <si>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</si>
  <si>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</si>
  <si>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</si>
  <si>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</si>
  <si>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</si>
  <si>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</si>
  <si>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</si>
  <si>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</si>
  <si>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</si>
  <si>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</si>
  <si>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</si>
  <si>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</si>
  <si>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</si>
  <si>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</si>
  <si>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</si>
  <si>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</si>
  <si>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</si>
  <si>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</si>
  <si>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</si>
  <si>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</si>
  <si>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</si>
  <si>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</si>
  <si>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</si>
  <si>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</si>
  <si>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</si>
  <si>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</si>
  <si>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</si>
  <si>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</si>
  <si>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</si>
  <si>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</si>
  <si>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</si>
  <si>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</si>
  <si>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</si>
  <si>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</si>
  <si>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</si>
  <si>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</si>
  <si>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</si>
  <si>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</si>
  <si>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</si>
  <si>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</si>
  <si>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</si>
  <si>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</si>
  <si>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</si>
  <si>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</si>
  <si>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</si>
  <si>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</si>
  <si>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</si>
  <si>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</si>
  <si>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</si>
  <si>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</si>
  <si>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</si>
  <si>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</si>
  <si>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</si>
  <si>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</si>
  <si>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HLTH-003 done: AI explains health findings, never scores</t>
  </si>
  <si>
    <t>backend/app/ai/health_explanation.py; backend/app/api/documents.py; backend/app/schemas/document.py; backend/app/services/document_service.py; frontend/editor/panels/HealthPanel.tsx; frontend/services/api/documents.ts</t>
  </si>
  <si>
    <t>REV-004 done: Repair document</t>
  </si>
  <si>
    <t>backend/app/formatting/repair.py; backend/app/formatting/table_repair.py; backend/app/formatting/health.py; backend/app/formatting/health_fixes.py; backend/app/api/documents.py; frontend/editor/panels/RepairSection.tsx; frontend/editor/panels/ReviewPanel.tsx</t>
  </si>
  <si>
    <t>REV-005 done: clean copy creates a new document with chosen actions (comments, tracked changes, hidden text, metadata, formatting) taken out; proven by tests/test_clean_copy.py and e2e tracked-changes.spec.ts</t>
  </si>
  <si>
    <t>backend/app/formatting/clean_copy.py; backend/app/services/document_service.py; backend/app/api/documents.py; frontend/editor/panels/CleanCopySection.tsx; frontend/editor/panels/FidelityPanel.tsx</t>
  </si>
  <si>
    <t>FEAT-001 done: batch formatting applies one template to many documents as format jobs; proven by tests/test_batch_format.py and e2e batch.spec.ts</t>
  </si>
  <si>
    <t>backend/app/api/jobs.py; backend/app/schemas/jobs.py; backend/app/services/job_service.py; backend/app/billing/units.py; frontend/components/documents/BatchBar.tsx; frontend/components/documents/DocumentList.tsx; frontend/services/api/jobs.ts</t>
  </si>
  <si>
    <t>FEAT-002 done: batch export zips many documents in one export job; proven by tests/test_batch_export.py and e2e batch.spec.ts</t>
  </si>
  <si>
    <t>backend/app/api/jobs.py; backend/app/jobs/runner.py; backend/app/schemas/jobs.py; backend/app/security/serving.py; frontend/components/documents/BatchBar.tsx; frontend/services/api/jobs.ts</t>
  </si>
  <si>
    <t>Added the operator API GET /api/v1/admin/operations (ADMIN_TOKEN only) with failed/stuck jobs, failure counts, usage spikes, storage and refusals across workspaces, plus a security-events metric; proven by tests/test_operations_admin.py (4 tests, 12/12 mutations) and the full backend run 2483 passed / 11 skipped.</t>
  </si>
  <si>
    <t>backend/app/api/admin.py, backend/app/services/operations_service.py, backend/app/audit.py, backend/app/observability.py, backend/app/config.py, backend/app/main.py, backend/tests/test_operations_admin.py</t>
  </si>
  <si>
    <t>Added the Chromium/Firefox/WebKit browser matrix (E2E_BROWSERS locally, a three-browser CI matrix); Chromium verified by the full Playwright run 56 passed / 1 skipped; Firefox and WebKit to be proven by the CI matrix run.</t>
  </si>
  <si>
    <t>frontend/playwright.config.ts, frontend/e2e/visual.spec.ts, .github/workflows/ci.yml</t>
  </si>
  <si>
    <t>Added 40 of Word's number styles to the backend formatter and its editor mirror, checked against 2193 labels read from Word itself, kept through import and Word export (Word reads them back 48/48) and drawn in PDF fonts for their script, and fixed the Cyrillic sequence; proven by tests/test_number_formats.py, editor/numberFormats.test.ts, e2e list-labels and the full backend run 2530 passed / 11 skipped.</t>
  </si>
  <si>
    <t>backend/app/formatting/number_formats.py, backend/app/formatting/list_numbering.py, backend/app/models/document.py, backend/app/parsers/docx.py, backend/app/export/pdf_export.py, frontend/editor/numberFormats.ts, frontend/editor/listLabels.ts, frontend/editor/documentToTiptap.ts</t>
  </si>
  <si>
    <t>Pointed DOCX-016C at the recorded Word labels fixture backend/tests/fixtures/word_number_words.json; no code change, nothing to test yet.</t>
  </si>
  <si>
    <t>Floating Word tables now float at their side with text beside them in the editor and PDF (side worked out at import), and a PDF export crash for floating text boxes followed by text is fixed; proven by tests/test_floating_tables.py, the text-box regression test, tableLook.test.ts, e2e tables.spec and the full backend run 2549 passed / 11 skipped.</t>
  </si>
  <si>
    <t>backend/app/models/document.py, backend/app/parsers/docx_tables.py, backend/app/parsers/docx.py, backend/app/export/pdf_export.py, frontend/editor/tableLook.ts, frontend/editor/floatWrap.ts</t>
  </si>
  <si>
    <t>Added crop, turn and flip controls for pictures in the editor's Properties panel, saved on the image node and followed by both exports (Word into the original writes the picture anew); proven by editor/pictureEdit.test.ts, the new Word-into-original backend test, e2e pictures.spec and the full Vitest run 356 passed.</t>
  </si>
  <si>
    <t>frontend/editor/pictureEdit.ts, frontend/editor/panels/PictureControls.tsx, frontend/editor/panels/PropertiesPanel.tsx, frontend/editor/elementId.ts</t>
  </si>
  <si>
    <t>A list item that is only a picture now shows its number beside the picture on its bottom line in the editor and the PDF, the empty paragraph kept for typing; proven by the new PDF layout test, listLabels.test.ts, e2e pictures.spec and the full backend run 2551 passed / 11 skipped.</t>
  </si>
  <si>
    <t>backend/app/export/pdf_export.py, frontend/editor/listLabels.ts, frontend/app/globals.css</t>
  </si>
  <si>
    <t>Found by profiling that the editor shell converted the whole 12,000-block document on every keystroke; made once, font stacks cached, typing p50 177-186 -&gt; 113-124 ms; proven by the perf spec measurements, the Vitest run 357 and the full Playwright run 59 passed.</t>
  </si>
  <si>
    <t>frontend/editor/DocumentEditorShell.tsx, frontend/editor/fontStack.ts, frontend/next.config.ts, frontend/e2e/perf-typing.spec.ts</t>
  </si>
  <si>
    <t>PDF exports now draw a layout-focused import's blocks in their boxes on their own pages and Word pictures behind/in front of the text at their anchored place; proven by tests/test_pdf_frames.py against pdfminer's boxes and the full backend run 2557 passed / 11 skipped.</t>
  </si>
  <si>
    <t>backend/app/export/pdf_layout.py, backend/app/export/pdf_export.py</t>
  </si>
  <si>
    <t>Added batch translation: one translation job per ticked document with every plan check before queueing, and the batch bar's language choice and links; proven by tests/test_batch_translate.py, BatchBar.test.tsx, e2e batch.spec and the full backend run 2562 passed / 11 skipped.</t>
  </si>
  <si>
    <t>backend/app/api/jobs.py, backend/app/schemas/jobs.py, backend/app/services/entitlements_service.py, frontend/components/documents/BatchBar.tsx, frontend/services/api/jobs.ts</t>
  </si>
  <si>
    <t>The e2e backend now sweeps earlier runs' temporary folders at start and removes its own on a graceful stop; proven by tests/test_e2e_server.py and a real Playwright run that removed 110 stale folders.</t>
  </si>
  <si>
    <t>backend/scripts/e2e_server.py, backend/tests/test_e2e_server.py</t>
  </si>
  <si>
    <t>Lists numbered in words now keep their style and language, spelled as Word writes them in English and Bulgarian here and in PDF, and Word exports mark the paragraphs so Word spells them the same; proven by test_number_formats against Word's labels, a Word read-back of the export, Vitest 364 and Playwright 59.</t>
  </si>
  <si>
    <t>backend/app/formatting/number_formats.py, backend/app/formatting/list_numbering.py, backend/app/models/document.py, backend/app/parsers/docx.py, backend/app/export/docx_export.py, backend/app/export/pdf_export.py, frontend/editor/numberFormats.ts, frontend/editor/listLabels.ts</t>
  </si>
  <si>
    <t>PDF list markers in Cyrillic are now read on Word's letter sequence, and lists lettered through й/ъ/ь keep their letters as written instead of being renumbered; proven by three new tests in tests/test_pdf_structure.py and the full backend run 2571 passed / 11 skipped.</t>
  </si>
  <si>
    <t>backend/app/parsers/pdf_structure.py, backend/tests/test_pdf_structure.py</t>
  </si>
  <si>
    <t>Recorded the first-release scope the owner approved on 2026-10-13 in docs/deployment/vercel.md; proven by the owner's recorded answers and the committed document.</t>
  </si>
  <si>
    <t>Restored the paused Supabase project with the owner's approval and confirmed the schema is at the code's head with RLS on every table; proven by the Supabase connector's project status, SQL and advisor checks on 2026-10-13.</t>
  </si>
  <si>
    <t>Prepared the code for one Vercel project with frontend and API on one origin and Supabase's transaction pooler; proven by test_release_config.py, client.test.ts and the full backend run, pending a real deployment.</t>
  </si>
  <si>
    <t>Added scrubbed backend error reporting to Sentry and created the Sentry project; proven by tests/test_monitoring.py with the real SDK, pending the DSN on the deployment.</t>
  </si>
  <si>
    <t>Created the private storage bucket; the S3 key pair is the owner's step, so nothing is verified yet.</t>
  </si>
  <si>
    <t>Tried to create the Vercel project through the connector and got 403 for the team scope; recorded as blocked on the owner's re-authorization.</t>
  </si>
  <si>
    <t>SESSION_STATE — Where the work stands</t>
  </si>
  <si>
    <t>Resume with: Прочети docs/AI-CONTINUATION.md и продължи от next task.</t>
  </si>
  <si>
    <t>Field</t>
  </si>
  <si>
    <t>Value</t>
  </si>
  <si>
    <t>3 — DOCX follow-ups (P2) — IN_PROGRESS</t>
  </si>
  <si>
    <t>REL-002 — Vercel project: BLOCKED on connector scope (403 for team 'drajeto'); owner re-authorizes or imports the repo.</t>
  </si>
  <si>
    <t>REL-004 — Supabase restored and verified; code made Vercel-ready (68a89a9); Sentry backend reporting (c25b124).</t>
  </si>
  <si>
    <t>REL-006/REL-007 — backend 2578/11 (2577 + 1 stub fixed), test_release_config 4, test_monitoring 3, client.test 10 — PASS — 2026-10-13</t>
  </si>
  <si>
    <t>Current Branch</t>
  </si>
  <si>
    <t>feature/smartdoc-production-hardening</t>
  </si>
  <si>
    <t>Current Commit</t>
  </si>
  <si>
    <t>c25b124 (+ uncommitted changes)</t>
  </si>
  <si>
    <t>backend 2578/11; Vitest 364 + client.test 10; Playwright 59 (Chromium); Word gate 60/60</t>
  </si>
  <si>
    <t>none</t>
  </si>
  <si>
    <t>INFRA-010: no Docker on this machine; real deployment needs Boril's hosting target; GATE-004/013: CI's PostgreSQL job result; TEST-021A: the expected-loss-linux CI artifact must be downloaded and merged (python -m scripts.merge_expected_losses DIR)</t>
  </si>
  <si>
    <t>REL-002 — Once the Vercel project exists: env vars (docs/deployment/vercel.md), preview deploy, REL-009 smoke test.</t>
  </si>
  <si>
    <t>2026-10-13T14:19:17+03:00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</si>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</sst>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6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3"/>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213</v>
      </c>
      <c r="C5" s="8" t="s">
        <v>5</v>
      </c>
      <c r="E5" s="6" t="s">
        <v>6</v>
      </c>
      <c r="F5" s="1" t="str">
        <f>IF(SESSION_STATE!$B$5="","",SESSION_STATE!$B$5)</f>
        <v>3 — DOCX follow-ups (P2) — IN_PROGRESS</v>
      </c>
    </row>
    <row r="6" spans="1:6" x14ac:dyDescent="0.25">
      <c r="A6" s="6" t="s">
        <v>7</v>
      </c>
      <c r="B6" s="7">
        <f>COUNTIF(MASTER!$G$2:$G$2000,"DONE")</f>
        <v>187</v>
      </c>
      <c r="C6" s="8" t="s">
        <v>8</v>
      </c>
      <c r="E6" s="6" t="s">
        <v>9</v>
      </c>
      <c r="F6" s="1" t="str">
        <f>IF(SESSION_STATE!$B$6="","",SESSION_STATE!$B$6)</f>
        <v>REL-002 — Vercel project: BLOCKED on connector scope (403 for team 'drajeto'); owner re-authorizes or imports the repo.</v>
      </c>
    </row>
    <row r="7" spans="1:6" x14ac:dyDescent="0.25">
      <c r="A7" s="6" t="s">
        <v>10</v>
      </c>
      <c r="B7" s="7">
        <f>COUNTIF(MASTER!$G$2:$G$2000,"VERIFIED")+B6</f>
        <v>187</v>
      </c>
      <c r="C7" s="8" t="s">
        <v>11</v>
      </c>
      <c r="E7" s="6" t="s">
        <v>12</v>
      </c>
      <c r="F7" s="1" t="str">
        <f>IF(SESSION_STATE!$B$7="","",SESSION_STATE!$B$7)</f>
        <v>REL-004 — Supabase restored and verified; code made Vercel-ready (68a89a9); Sentry backend reporting (c25b124).</v>
      </c>
    </row>
    <row r="8" spans="1:6" x14ac:dyDescent="0.25">
      <c r="A8" s="6" t="s">
        <v>13</v>
      </c>
      <c r="B8" s="7">
        <f>COUNTIF(MASTER!$G$2:$G$2000,"IN_PROGRESS")+COUNTIF(MASTER!$G$2:$G$2000,"IMPLEMENTED")+COUNTIF(MASTER!$G$2:$G$2000,"TESTING")</f>
        <v>4</v>
      </c>
      <c r="C8" s="8" t="s">
        <v>14</v>
      </c>
      <c r="E8" s="6" t="s">
        <v>15</v>
      </c>
      <c r="F8" s="1" t="str">
        <f>IF(SESSION_STATE!$B$8="","",SESSION_STATE!$B$8)</f>
        <v>REL-006/REL-007 — backend 2578/11 (2577 + 1 stub fixed), test_release_config 4, test_monitoring 3, client.test 10 — PASS — 2026-10-13</v>
      </c>
    </row>
    <row r="9" spans="1:6" x14ac:dyDescent="0.25">
      <c r="A9" s="6" t="s">
        <v>16</v>
      </c>
      <c r="B9" s="7">
        <f>COUNTIF(MASTER!$G$2:$G$2000,"BLOCKED")</f>
        <v>4</v>
      </c>
      <c r="C9" s="8" t="s">
        <v>17</v>
      </c>
      <c r="E9" s="6" t="s">
        <v>18</v>
      </c>
      <c r="F9" s="1" t="str">
        <f>IF(SESSION_STATE!$B$14="","",SESSION_STATE!$B$14)</f>
        <v>REL-002 — Once the Vercel project exists: env vars (docs/deployment/vercel.md), preview deploy, REL-009 smoke test.</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16</v>
      </c>
      <c r="C12" s="8"/>
      <c r="E12" s="6" t="s">
        <v>26</v>
      </c>
      <c r="F12" s="1" t="str">
        <f>IF(SESSION_STATE!$B$11="","",SESSION_STATE!$B$11)</f>
        <v>backend 2578/11; Vitest 364 + client.test 10; Playwright 59 (Chromium); Word gate 60/60</v>
      </c>
    </row>
    <row r="13" spans="1:6" x14ac:dyDescent="0.25">
      <c r="A13" s="6" t="s">
        <v>27</v>
      </c>
      <c r="B13" s="7">
        <f>B5-B6</f>
        <v>26</v>
      </c>
      <c r="C13" s="8" t="s">
        <v>28</v>
      </c>
      <c r="E13" s="6" t="s">
        <v>29</v>
      </c>
      <c r="F13" s="1" t="str">
        <f>IF(SESSION_STATE!$B$12="","",SESSION_STATE!$B$12)</f>
        <v>none</v>
      </c>
    </row>
    <row r="14" spans="1:6" x14ac:dyDescent="0.25">
      <c r="A14" s="6" t="s">
        <v>30</v>
      </c>
      <c r="B14" s="9">
        <f>IF(B5=0,0,B6/B5)</f>
        <v>0.8779342723004695</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0.8779342723004695</v>
      </c>
      <c r="C15" s="8" t="s">
        <v>34</v>
      </c>
      <c r="E15" s="6" t="s">
        <v>35</v>
      </c>
      <c r="F15" s="1" t="str">
        <f>IF(SESSION_STATE!$B$17="","",SESSION_STATE!$B$17)</f>
        <v>2026-10-13T14:19:17+03:00</v>
      </c>
    </row>
    <row r="16" spans="1:6" x14ac:dyDescent="0.25">
      <c r="A16" s="6" t="s">
        <v>36</v>
      </c>
      <c r="B16" s="7">
        <f>COUNTIFS(MASTER!$F$2:$F$2000,"P0",MASTER!$G$2:$G$2000,"&lt;&gt;DONE")</f>
        <v>8</v>
      </c>
      <c r="C16" s="8" t="s">
        <v>37</v>
      </c>
    </row>
    <row r="17" spans="1:14" ht="15.75" x14ac:dyDescent="0.25">
      <c r="A17" s="6" t="s">
        <v>38</v>
      </c>
      <c r="B17" s="7">
        <f>COUNTIFS(MASTER!$F$2:$F$2000,"P1",MASTER!$G$2:$G$2000,"&lt;&gt;DONE")</f>
        <v>7</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8" si="0">IF(G19=0,0,H19/G19)</f>
        <v>1</v>
      </c>
      <c r="N19" s="14">
        <f t="shared" ref="N19:N38"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46</v>
      </c>
      <c r="H22" s="13">
        <f>COUNTIFS(MASTER!$B$2:$B$2000,$E22,MASTER!$G$2:$G$2000,"DONE")</f>
        <v>44</v>
      </c>
      <c r="I22" s="13">
        <f>COUNTIFS(MASTER!$B$2:$B$2000,$E22,MASTER!$G$2:$G$2000,"VERIFIED")+H22</f>
        <v>44</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0.95652173913043481</v>
      </c>
      <c r="N22" s="14">
        <f t="shared" si="1"/>
        <v>0.95652173913043481</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16</v>
      </c>
      <c r="C24" s="12" t="s">
        <v>61</v>
      </c>
      <c r="E24" s="11">
        <v>5</v>
      </c>
      <c r="F24" s="12" t="s">
        <v>62</v>
      </c>
      <c r="G24" s="13">
        <f>COUNTIF(MASTER!$B$2:$B$2000,$E24)</f>
        <v>11</v>
      </c>
      <c r="H24" s="13">
        <f>COUNTIFS(MASTER!$B$2:$B$2000,$E24,MASTER!$G$2:$G$2000,"DONE")</f>
        <v>10</v>
      </c>
      <c r="I24" s="13">
        <f>COUNTIFS(MASTER!$B$2:$B$2000,$E24,MASTER!$G$2:$G$2000,"VERIFIED")+H24</f>
        <v>10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0.90909090909090906</v>
      </c>
      <c r="N24" s="14">
        <f t="shared" si="1"/>
        <v>0.90909090909090906</v>
      </c>
    </row>
    <row r="25" spans="1:14" x14ac:dyDescent="0.25">
      <c r="A25" s="15" t="s">
        <v>63</v>
      </c>
      <c r="B25" s="13">
        <f>COUNTIF(MASTER!$G$2:$G$2000,A25)</f>
        <v>1</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4</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3</v>
      </c>
      <c r="C27" s="12" t="s">
        <v>70</v>
      </c>
      <c r="E27" s="11">
        <v>8</v>
      </c>
      <c r="F27" s="12" t="s">
        <v>71</v>
      </c>
      <c r="G27" s="13">
        <f>COUNTIF(MASTER!$B$2:$B$2000,$E27)</f>
        <v>9</v>
      </c>
      <c r="H27" s="13">
        <f>COUNTIFS(MASTER!$B$2:$B$2000,$E27,MASTER!$G$2:$G$2000,"DONE")</f>
        <v>9</v>
      </c>
      <c r="I27" s="13">
        <f>COUNTIFS(MASTER!$B$2:$B$2000,$E27,MASTER!$G$2:$G$2000,"VERIFIED")+H27</f>
        <v>9</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4</v>
      </c>
      <c r="H28" s="13">
        <f>COUNTIFS(MASTER!$B$2:$B$2000,$E28,MASTER!$G$2:$G$2000,"DONE")</f>
        <v>3</v>
      </c>
      <c r="I28" s="13">
        <f>COUNTIFS(MASTER!$B$2:$B$2000,$E28,MASTER!$G$2:$G$2000,"VERIFIED")+H28</f>
        <v>3</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0.75</v>
      </c>
      <c r="N28" s="14">
        <f t="shared" si="1"/>
        <v>0.75</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187</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3</v>
      </c>
      <c r="I32" s="13">
        <f>COUNTIFS(MASTER!$B$2:$B$2000,$E32,MASTER!$G$2:$G$2000,"VERIFIED")+H32</f>
        <v>3</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1</v>
      </c>
      <c r="N32" s="14">
        <f t="shared" si="1"/>
        <v>1</v>
      </c>
    </row>
    <row r="33" spans="1:14" x14ac:dyDescent="0.25">
      <c r="A33" s="15" t="s">
        <v>87</v>
      </c>
      <c r="B33" s="13">
        <f>COUNTIF(MASTER!$G$2:$G$2000,A33)</f>
        <v>0</v>
      </c>
      <c r="C33" s="12" t="s">
        <v>88</v>
      </c>
      <c r="E33" s="11">
        <v>14</v>
      </c>
      <c r="F33" s="12" t="s">
        <v>89</v>
      </c>
      <c r="G33" s="13">
        <f>COUNTIF(MASTER!$B$2:$B$2000,$E33)</f>
        <v>4</v>
      </c>
      <c r="H33" s="13">
        <f>COUNTIFS(MASTER!$B$2:$B$2000,$E33,MASTER!$G$2:$G$2000,"DONE")</f>
        <v>4</v>
      </c>
      <c r="I33" s="13">
        <f>COUNTIFS(MASTER!$B$2:$B$2000,$E33,MASTER!$G$2:$G$2000,"VERIFIED")+H33</f>
        <v>4</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1</v>
      </c>
      <c r="N33" s="14">
        <f t="shared" si="1"/>
        <v>1</v>
      </c>
    </row>
    <row r="34" spans="1:14" x14ac:dyDescent="0.25">
      <c r="E34" s="11">
        <v>15</v>
      </c>
      <c r="F34" s="12" t="s">
        <v>90</v>
      </c>
      <c r="G34" s="13">
        <f>COUNTIF(MASTER!$B$2:$B$2000,$E34)</f>
        <v>3</v>
      </c>
      <c r="H34" s="13">
        <f>COUNTIFS(MASTER!$B$2:$B$2000,$E34,MASTER!$G$2:$G$2000,"DONE")</f>
        <v>3</v>
      </c>
      <c r="I34" s="13">
        <f>COUNTIFS(MASTER!$B$2:$B$2000,$E34,MASTER!$G$2:$G$2000,"VERIFIED")+H34</f>
        <v>3</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1</v>
      </c>
      <c r="N34" s="14">
        <f t="shared" si="1"/>
        <v>1</v>
      </c>
    </row>
    <row r="35" spans="1:14" ht="15.75" x14ac:dyDescent="0.25">
      <c r="A35" s="5" t="s">
        <v>91</v>
      </c>
      <c r="E35" s="11">
        <v>16</v>
      </c>
      <c r="F35" s="12" t="s">
        <v>92</v>
      </c>
      <c r="G35" s="13">
        <f>COUNTIF(MASTER!$B$2:$B$2000,$E35)</f>
        <v>5</v>
      </c>
      <c r="H35" s="13">
        <f>COUNTIFS(MASTER!$B$2:$B$2000,$E35,MASTER!$G$2:$G$2000,"DONE")</f>
        <v>5</v>
      </c>
      <c r="I35" s="13">
        <f>COUNTIFS(MASTER!$B$2:$B$2000,$E35,MASTER!$G$2:$G$2000,"VERIFIED")+H35</f>
        <v>5</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1</v>
      </c>
      <c r="N35" s="14">
        <f t="shared" si="1"/>
        <v>1</v>
      </c>
    </row>
    <row r="36" spans="1:14" x14ac:dyDescent="0.25">
      <c r="A36" s="10" t="s">
        <v>93</v>
      </c>
      <c r="B36" s="10" t="s">
        <v>94</v>
      </c>
      <c r="C36" s="10" t="s">
        <v>95</v>
      </c>
      <c r="E36" s="11">
        <v>17</v>
      </c>
      <c r="F36" s="12" t="s">
        <v>96</v>
      </c>
      <c r="G36" s="13">
        <f>COUNTIF(MASTER!$B$2:$B$2000,$E36)</f>
        <v>6</v>
      </c>
      <c r="H36" s="13">
        <f>COUNTIFS(MASTER!$B$2:$B$2000,$E36,MASTER!$G$2:$G$2000,"DONE")</f>
        <v>4</v>
      </c>
      <c r="I36" s="13">
        <f>COUNTIFS(MASTER!$B$2:$B$2000,$E36,MASTER!$G$2:$G$2000,"VERIFIED")+H36</f>
        <v>4</v>
      </c>
      <c r="J36" s="13">
        <f>COUNTIFS(MASTER!$B$2:$B$2000,$E36,MASTER!$G$2:$G$2000,"IN_PROGRESS")+COUNTIFS(MASTER!$B$2:$B$2000,$E36,MASTER!$G$2:$G$2000,"IMPLEMENTED")+COUNTIFS(MASTER!$B$2:$B$2000,$E36,MASTER!$G$2:$G$2000,"TESTING")</f>
        <v>1</v>
      </c>
      <c r="K36" s="13">
        <f>COUNTIFS(MASTER!$B$2:$B$2000,$E36,MASTER!$G$2:$G$2000,"BLOCKED")</f>
        <v>1</v>
      </c>
      <c r="L36" s="13">
        <f>COUNTIFS(MASTER!$B$2:$B$2000,$E36,MASTER!$G$2:$G$2000,"FAILED")</f>
        <v>0</v>
      </c>
      <c r="M36" s="14">
        <f t="shared" si="0"/>
        <v>0.66666666666666663</v>
      </c>
      <c r="N36" s="14">
        <f t="shared" si="1"/>
        <v>0.66666666666666663</v>
      </c>
    </row>
    <row r="37" spans="1:14" x14ac:dyDescent="0.25">
      <c r="A37" s="15" t="str">
        <f>TESTING!B311&amp;" — "&amp;TESTING!A311</f>
        <v>backend — RUN-0304</v>
      </c>
      <c r="B37" s="16" t="str">
        <f>TESTING!C311&amp;""</f>
        <v>PASS</v>
      </c>
      <c r="C37" s="12" t="str">
        <f>TESTING!E311&amp;" passed · "&amp;TESTING!F311&amp;" failed · "&amp;TESTING!H311&amp;" skipped"</f>
        <v>2578 passed · 0 failed · 11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TESTING!B310&amp;" — "&amp;TESTING!A310</f>
        <v>backend — RUN-0303</v>
      </c>
      <c r="B38" s="16" t="str">
        <f>TESTING!C310&amp;""</f>
        <v>PASS</v>
      </c>
      <c r="C38" s="12" t="str">
        <f>TESTING!E310&amp;" passed · "&amp;TESTING!F310&amp;" failed · "&amp;TESTING!H310&amp;" skipped"</f>
        <v>2571 passed · 0 failed · 11 skipped</v>
      </c>
      <c r="E38" s="11">
        <v>19</v>
      </c>
      <c r="F38" s="12" t="s">
        <v>98</v>
      </c>
      <c r="G38" s="13">
        <f>COUNTIF(MASTER!$B$2:$B$2000,$E38)</f>
        <v>20</v>
      </c>
      <c r="H38" s="13">
        <f>COUNTIFS(MASTER!$B$2:$B$2000,$E38,MASTER!$G$2:$G$2000,"DONE")</f>
        <v>2</v>
      </c>
      <c r="I38" s="13">
        <f>COUNTIFS(MASTER!$B$2:$B$2000,$E38,MASTER!$G$2:$G$2000,"VERIFIED")+H38</f>
        <v>2</v>
      </c>
      <c r="J38" s="13">
        <f>COUNTIFS(MASTER!$B$2:$B$2000,$E38,MASTER!$G$2:$G$2000,"IN_PROGRESS")+COUNTIFS(MASTER!$B$2:$B$2000,$E38,MASTER!$G$2:$G$2000,"IMPLEMENTED")+COUNTIFS(MASTER!$B$2:$B$2000,$E38,MASTER!$G$2:$G$2000,"TESTING")</f>
        <v>3</v>
      </c>
      <c r="K38" s="13">
        <f>COUNTIFS(MASTER!$B$2:$B$2000,$E38,MASTER!$G$2:$G$2000,"BLOCKED")</f>
        <v>1</v>
      </c>
      <c r="L38" s="13">
        <f>COUNTIFS(MASTER!$B$2:$B$2000,$E38,MASTER!$G$2:$G$2000,"FAILED")</f>
        <v>0</v>
      </c>
      <c r="M38" s="14">
        <f t="shared" si="0"/>
        <v>0.1</v>
      </c>
      <c r="N38" s="14">
        <f t="shared" si="1"/>
        <v>0.1</v>
      </c>
    </row>
    <row r="39" spans="1:14" x14ac:dyDescent="0.25">
      <c r="A39" s="15" t="str">
        <f>TESTING!B309&amp;" — "&amp;TESTING!A309</f>
        <v>playwright — RUN-0302</v>
      </c>
      <c r="B39" s="16" t="str">
        <f>TESTING!C309&amp;""</f>
        <v>PASS</v>
      </c>
      <c r="C39" s="12" t="str">
        <f>TESTING!E309&amp;" passed · "&amp;TESTING!F309&amp;" failed · "&amp;TESTING!H309&amp;" skipped"</f>
        <v>59 passed · 0 failed · 1 skipped</v>
      </c>
    </row>
    <row r="40" spans="1:14" ht="15.75" x14ac:dyDescent="0.25">
      <c r="A40" s="15" t="str">
        <f>TESTING!B308&amp;" — "&amp;TESTING!A308</f>
        <v>vitest — RUN-0301</v>
      </c>
      <c r="B40" s="16" t="str">
        <f>TESTING!C308&amp;""</f>
        <v>PASS</v>
      </c>
      <c r="C40" s="12" t="str">
        <f>TESTING!E308&amp;" passed · "&amp;TESTING!F308&amp;" failed · "&amp;TESTING!H308&amp;" skipped"</f>
        <v>364 passed · 0 failed · 0 skipped</v>
      </c>
      <c r="E40" s="5" t="s">
        <v>99</v>
      </c>
    </row>
    <row r="41" spans="1:14" x14ac:dyDescent="0.25">
      <c r="A41" s="15" t="str">
        <f>TESTING!B307&amp;" — "&amp;TESTING!A307</f>
        <v>backend — RUN-0300</v>
      </c>
      <c r="B41" s="16" t="str">
        <f>TESTING!C307&amp;""</f>
        <v>PASS</v>
      </c>
      <c r="C41" s="12" t="str">
        <f>TESTING!E307&amp;" passed · "&amp;TESTING!F307&amp;" failed · "&amp;TESTING!H307&amp;" skipped"</f>
        <v>2566 passed · 0 failed · 11 skipped</v>
      </c>
      <c r="E41" s="10" t="s">
        <v>100</v>
      </c>
      <c r="F41" s="10" t="s">
        <v>101</v>
      </c>
      <c r="G41" s="10" t="s">
        <v>45</v>
      </c>
      <c r="H41" s="10" t="s">
        <v>46</v>
      </c>
      <c r="I41" s="10" t="s">
        <v>47</v>
      </c>
      <c r="J41" s="10" t="s">
        <v>13</v>
      </c>
      <c r="K41" s="10" t="s">
        <v>16</v>
      </c>
      <c r="L41" s="10" t="s">
        <v>19</v>
      </c>
      <c r="M41" s="10" t="s">
        <v>48</v>
      </c>
      <c r="N41" s="10" t="s">
        <v>33</v>
      </c>
    </row>
    <row r="42" spans="1:14" x14ac:dyDescent="0.25">
      <c r="A42" s="15" t="str">
        <f>TESTING!B306&amp;" — "&amp;TESTING!A306</f>
        <v>playwright — RUN-0299</v>
      </c>
      <c r="B42" s="16" t="str">
        <f>TESTING!C306&amp;""</f>
        <v>PASS</v>
      </c>
      <c r="C42" s="12" t="str">
        <f>TESTING!E306&amp;" passed · "&amp;TESTING!F306&amp;" failed · "&amp;TESTING!H306&amp;" skipped"</f>
        <v>59 passed · 0 failed · 1 skipped</v>
      </c>
      <c r="E42" s="15" t="s">
        <v>102</v>
      </c>
      <c r="F42" s="17" t="s">
        <v>103</v>
      </c>
      <c r="G42" s="13">
        <f>COUNTIF(MASTER!$C$2:$C$2000,$E42)</f>
        <v>5</v>
      </c>
      <c r="H42" s="13">
        <f>COUNTIFS(MASTER!$C$2:$C$2000,$E42,MASTER!$G$2:$G$2000,"DONE")</f>
        <v>4</v>
      </c>
      <c r="I42" s="13">
        <f>COUNTIFS(MASTER!$C$2:$C$2000,$E42,MASTER!$G$2:$G$2000,"VERIFIED")+H42</f>
        <v>4</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ref="M42:M65" si="2">IF(G42=0,0,H42/G42)</f>
        <v>0.8</v>
      </c>
      <c r="N42" s="14">
        <f t="shared" ref="N42:N65" si="3">IF(G42=0,0,I42/G42)</f>
        <v>0.8</v>
      </c>
    </row>
    <row r="43" spans="1:14" x14ac:dyDescent="0.25">
      <c r="E43" s="15" t="s">
        <v>104</v>
      </c>
      <c r="F43" s="17" t="s">
        <v>103</v>
      </c>
      <c r="G43" s="13">
        <f>COUNTIF(MASTER!$C$2:$C$2000,$E43)</f>
        <v>7</v>
      </c>
      <c r="H43" s="13">
        <f>COUNTIFS(MASTER!$C$2:$C$2000,$E43,MASTER!$G$2:$G$2000,"DONE")</f>
        <v>7</v>
      </c>
      <c r="I43" s="13">
        <f>COUNTIFS(MASTER!$C$2:$C$2000,$E43,MASTER!$G$2:$G$2000,"VERIFIED")+H43</f>
        <v>7</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1</v>
      </c>
      <c r="N43" s="14">
        <f t="shared" si="3"/>
        <v>1</v>
      </c>
    </row>
    <row r="44" spans="1:14" ht="15.75" x14ac:dyDescent="0.25">
      <c r="A44" s="5" t="s">
        <v>105</v>
      </c>
      <c r="E44" s="15" t="s">
        <v>106</v>
      </c>
      <c r="F44" s="17" t="s">
        <v>103</v>
      </c>
      <c r="G44" s="13">
        <f>COUNTIF(MASTER!$C$2:$C$2000,$E44)</f>
        <v>5</v>
      </c>
      <c r="H44" s="13">
        <f>COUNTIFS(MASTER!$C$2:$C$2000,$E44,MASTER!$G$2:$G$2000,"DONE")</f>
        <v>5</v>
      </c>
      <c r="I44" s="13">
        <f>COUNTIFS(MASTER!$C$2:$C$2000,$E44,MASTER!$G$2:$G$2000,"VERIFIED")+H44</f>
        <v>5</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1</v>
      </c>
      <c r="N44" s="14">
        <f t="shared" si="3"/>
        <v>1</v>
      </c>
    </row>
    <row r="45" spans="1:14" x14ac:dyDescent="0.25">
      <c r="A45" s="17" t="s">
        <v>107</v>
      </c>
      <c r="B45" s="1" t="s">
        <v>108</v>
      </c>
      <c r="E45" s="15" t="s">
        <v>109</v>
      </c>
      <c r="F45" s="17" t="s">
        <v>110</v>
      </c>
      <c r="G45" s="13">
        <f>COUNTIF(MASTER!$C$2:$C$2000,$E45)</f>
        <v>37</v>
      </c>
      <c r="H45" s="13">
        <f>COUNTIFS(MASTER!$C$2:$C$2000,$E45,MASTER!$G$2:$G$2000,"DONE")</f>
        <v>37</v>
      </c>
      <c r="I45" s="13">
        <f>COUNTIFS(MASTER!$C$2:$C$2000,$E45,MASTER!$G$2:$G$2000,"VERIFIED")+H45</f>
        <v>37</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1</v>
      </c>
      <c r="N45" s="14">
        <f t="shared" si="3"/>
        <v>1</v>
      </c>
    </row>
    <row r="46" spans="1:14" x14ac:dyDescent="0.25">
      <c r="A46" s="17" t="s">
        <v>111</v>
      </c>
      <c r="B46" s="1" t="s">
        <v>112</v>
      </c>
      <c r="E46" s="15" t="s">
        <v>113</v>
      </c>
      <c r="F46" s="17" t="s">
        <v>113</v>
      </c>
      <c r="G46" s="13">
        <f>COUNTIF(MASTER!$C$2:$C$2000,$E46)</f>
        <v>7</v>
      </c>
      <c r="H46" s="13">
        <f>COUNTIFS(MASTER!$C$2:$C$2000,$E46,MASTER!$G$2:$G$2000,"DONE")</f>
        <v>7</v>
      </c>
      <c r="I46" s="13">
        <f>COUNTIFS(MASTER!$C$2:$C$2000,$E46,MASTER!$G$2:$G$2000,"VERIFIED")+H46</f>
        <v>7</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14</v>
      </c>
      <c r="H47" s="13">
        <f>COUNTIFS(MASTER!$C$2:$C$2000,$E47,MASTER!$G$2:$G$2000,"DONE")</f>
        <v>13</v>
      </c>
      <c r="I47" s="13">
        <f>COUNTIFS(MASTER!$C$2:$C$2000,$E47,MASTER!$G$2:$G$2000,"VERIFIED")+H47</f>
        <v>13</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0.9285714285714286</v>
      </c>
      <c r="N47" s="14">
        <f t="shared" si="3"/>
        <v>0.9285714285714286</v>
      </c>
    </row>
    <row r="48" spans="1:14" x14ac:dyDescent="0.25">
      <c r="A48" s="17" t="s">
        <v>103</v>
      </c>
      <c r="B48" s="1" t="s">
        <v>117</v>
      </c>
      <c r="E48" s="15" t="s">
        <v>118</v>
      </c>
      <c r="F48" s="17" t="s">
        <v>118</v>
      </c>
      <c r="G48" s="13">
        <f>COUNTIF(MASTER!$C$2:$C$2000,$E48)</f>
        <v>5</v>
      </c>
      <c r="H48" s="13">
        <f>COUNTIFS(MASTER!$C$2:$C$2000,$E48,MASTER!$G$2:$G$2000,"DONE")</f>
        <v>5</v>
      </c>
      <c r="I48" s="13">
        <f>COUNTIFS(MASTER!$C$2:$C$2000,$E48,MASTER!$G$2:$G$2000,"VERIFIED")+H48</f>
        <v>5</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1</v>
      </c>
      <c r="N48" s="14">
        <f t="shared" si="3"/>
        <v>1</v>
      </c>
    </row>
    <row r="49" spans="1:14" x14ac:dyDescent="0.25">
      <c r="A49" s="17" t="s">
        <v>110</v>
      </c>
      <c r="B49" s="1" t="s">
        <v>119</v>
      </c>
      <c r="E49" s="15" t="s">
        <v>120</v>
      </c>
      <c r="F49" s="17" t="s">
        <v>118</v>
      </c>
      <c r="G49" s="13">
        <f>COUNTIF(MASTER!$C$2:$C$2000,$E49)</f>
        <v>3</v>
      </c>
      <c r="H49" s="13">
        <f>COUNTIFS(MASTER!$C$2:$C$2000,$E49,MASTER!$G$2:$G$2000,"DONE")</f>
        <v>3</v>
      </c>
      <c r="I49" s="13">
        <f>COUNTIFS(MASTER!$C$2:$C$2000,$E49,MASTER!$G$2:$G$2000,"VERIFIED")+H49</f>
        <v>3</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113</v>
      </c>
      <c r="B50" s="1" t="s">
        <v>121</v>
      </c>
      <c r="E50" s="15" t="s">
        <v>122</v>
      </c>
      <c r="F50" s="17" t="s">
        <v>122</v>
      </c>
      <c r="G50" s="13">
        <f>COUNTIF(MASTER!$C$2:$C$2000,$E50)</f>
        <v>9</v>
      </c>
      <c r="H50" s="13">
        <f>COUNTIFS(MASTER!$C$2:$C$2000,$E50,MASTER!$G$2:$G$2000,"DONE")</f>
        <v>9</v>
      </c>
      <c r="I50" s="13">
        <f>COUNTIFS(MASTER!$C$2:$C$2000,$E50,MASTER!$G$2:$G$2000,"VERIFIED")+H50</f>
        <v>9</v>
      </c>
      <c r="J50" s="13">
        <f>COUNTIFS(MASTER!$C$2:$C$2000,$E50,MASTER!$G$2:$G$2000,"IN_PROGRESS")+COUNTIFS(MASTER!$C$2:$C$2000,$E50,MASTER!$G$2:$G$2000,"IMPLEMENTED")+COUNTIFS(MASTER!$C$2:$C$2000,$E50,MASTER!$G$2:$G$2000,"TESTING")</f>
        <v>0</v>
      </c>
      <c r="K50" s="13">
        <f>COUNTIFS(MASTER!$C$2:$C$2000,$E50,MASTER!$G$2:$G$2000,"BLOCKED")</f>
        <v>0</v>
      </c>
      <c r="L50" s="13">
        <f>COUNTIFS(MASTER!$C$2:$C$2000,$E50,MASTER!$G$2:$G$2000,"FAILED")</f>
        <v>0</v>
      </c>
      <c r="M50" s="14">
        <f t="shared" si="2"/>
        <v>1</v>
      </c>
      <c r="N50" s="14">
        <f t="shared" si="3"/>
        <v>1</v>
      </c>
    </row>
    <row r="51" spans="1:14" x14ac:dyDescent="0.25">
      <c r="A51" s="17" t="s">
        <v>116</v>
      </c>
      <c r="B51" s="1" t="s">
        <v>123</v>
      </c>
      <c r="E51" s="15" t="s">
        <v>124</v>
      </c>
      <c r="F51" s="17" t="s">
        <v>124</v>
      </c>
      <c r="G51" s="13">
        <f>COUNTIF(MASTER!$C$2:$C$2000,$E51)</f>
        <v>15</v>
      </c>
      <c r="H51" s="13">
        <f>COUNTIFS(MASTER!$C$2:$C$2000,$E51,MASTER!$G$2:$G$2000,"DONE")</f>
        <v>14</v>
      </c>
      <c r="I51" s="13">
        <f>COUNTIFS(MASTER!$C$2:$C$2000,$E51,MASTER!$G$2:$G$2000,"VERIFIED")+H51</f>
        <v>14</v>
      </c>
      <c r="J51" s="13">
        <f>COUNTIFS(MASTER!$C$2:$C$2000,$E51,MASTER!$G$2:$G$2000,"IN_PROGRESS")+COUNTIFS(MASTER!$C$2:$C$2000,$E51,MASTER!$G$2:$G$2000,"IMPLEMENTED")+COUNTIFS(MASTER!$C$2:$C$2000,$E51,MASTER!$G$2:$G$2000,"TESTING")</f>
        <v>0</v>
      </c>
      <c r="K51" s="13">
        <f>COUNTIFS(MASTER!$C$2:$C$2000,$E51,MASTER!$G$2:$G$2000,"BLOCKED")</f>
        <v>1</v>
      </c>
      <c r="L51" s="13">
        <f>COUNTIFS(MASTER!$C$2:$C$2000,$E51,MASTER!$G$2:$G$2000,"FAILED")</f>
        <v>0</v>
      </c>
      <c r="M51" s="14">
        <f t="shared" si="2"/>
        <v>0.93333333333333335</v>
      </c>
      <c r="N51" s="14">
        <f t="shared" si="3"/>
        <v>0.93333333333333335</v>
      </c>
    </row>
    <row r="52" spans="1:14" x14ac:dyDescent="0.25">
      <c r="A52" s="17" t="s">
        <v>118</v>
      </c>
      <c r="B52" s="1" t="s">
        <v>125</v>
      </c>
      <c r="E52" s="15" t="s">
        <v>126</v>
      </c>
      <c r="F52" s="17" t="s">
        <v>124</v>
      </c>
      <c r="G52" s="13">
        <f>COUNTIF(MASTER!$C$2:$C$2000,$E52)</f>
        <v>7</v>
      </c>
      <c r="H52" s="13">
        <f>COUNTIFS(MASTER!$C$2:$C$2000,$E52,MASTER!$G$2:$G$2000,"DONE")</f>
        <v>7</v>
      </c>
      <c r="I52" s="13">
        <f>COUNTIFS(MASTER!$C$2:$C$2000,$E52,MASTER!$G$2:$G$2000,"VERIFIED")+H52</f>
        <v>7</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1</v>
      </c>
      <c r="N52" s="14">
        <f t="shared" si="3"/>
        <v>1</v>
      </c>
    </row>
    <row r="53" spans="1:14" x14ac:dyDescent="0.25">
      <c r="A53" s="17" t="s">
        <v>122</v>
      </c>
      <c r="B53" s="1" t="s">
        <v>127</v>
      </c>
      <c r="E53" s="15" t="s">
        <v>128</v>
      </c>
      <c r="F53" s="17" t="s">
        <v>128</v>
      </c>
      <c r="G53" s="13">
        <f>COUNTIF(MASTER!$C$2:$C$2000,$E53)</f>
        <v>10</v>
      </c>
      <c r="H53" s="13">
        <f>COUNTIFS(MASTER!$C$2:$C$2000,$E53,MASTER!$G$2:$G$2000,"DONE")</f>
        <v>9</v>
      </c>
      <c r="I53" s="13">
        <f>COUNTIFS(MASTER!$C$2:$C$2000,$E53,MASTER!$G$2:$G$2000,"VERIFIED")+H53</f>
        <v>9</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0.9</v>
      </c>
      <c r="N53" s="14">
        <f t="shared" si="3"/>
        <v>0.9</v>
      </c>
    </row>
    <row r="54" spans="1:14" x14ac:dyDescent="0.25">
      <c r="A54" s="17" t="s">
        <v>124</v>
      </c>
      <c r="B54" s="1" t="s">
        <v>129</v>
      </c>
      <c r="E54" s="15" t="s">
        <v>72</v>
      </c>
      <c r="F54" s="17" t="s">
        <v>72</v>
      </c>
      <c r="G54" s="13">
        <f>COUNTIF(MASTER!$C$2:$C$2000,$E54)</f>
        <v>17</v>
      </c>
      <c r="H54" s="13">
        <f>COUNTIFS(MASTER!$C$2:$C$2000,$E54,MASTER!$G$2:$G$2000,"DONE")</f>
        <v>15</v>
      </c>
      <c r="I54" s="13">
        <f>COUNTIFS(MASTER!$C$2:$C$2000,$E54,MASTER!$G$2:$G$2000,"VERIFIED")+H54</f>
        <v>15</v>
      </c>
      <c r="J54" s="13">
        <f>COUNTIFS(MASTER!$C$2:$C$2000,$E54,MASTER!$G$2:$G$2000,"IN_PROGRESS")+COUNTIFS(MASTER!$C$2:$C$2000,$E54,MASTER!$G$2:$G$2000,"IMPLEMENTED")+COUNTIFS(MASTER!$C$2:$C$2000,$E54,MASTER!$G$2:$G$2000,"TESTING")</f>
        <v>1</v>
      </c>
      <c r="K54" s="13">
        <f>COUNTIFS(MASTER!$C$2:$C$2000,$E54,MASTER!$G$2:$G$2000,"BLOCKED")</f>
        <v>1</v>
      </c>
      <c r="L54" s="13">
        <f>COUNTIFS(MASTER!$C$2:$C$2000,$E54,MASTER!$G$2:$G$2000,"FAILED")</f>
        <v>0</v>
      </c>
      <c r="M54" s="14">
        <f t="shared" si="2"/>
        <v>0.88235294117647056</v>
      </c>
      <c r="N54" s="14">
        <f t="shared" si="3"/>
        <v>0.88235294117647056</v>
      </c>
    </row>
    <row r="55" spans="1:14" x14ac:dyDescent="0.25">
      <c r="A55" s="17" t="s">
        <v>128</v>
      </c>
      <c r="B55" s="1" t="s">
        <v>130</v>
      </c>
      <c r="E55" s="15" t="s">
        <v>131</v>
      </c>
      <c r="F55" s="17" t="s">
        <v>132</v>
      </c>
      <c r="G55" s="13">
        <f>COUNTIF(MASTER!$C$2:$C$2000,$E55)</f>
        <v>5</v>
      </c>
      <c r="H55" s="13">
        <f>COUNTIFS(MASTER!$C$2:$C$2000,$E55,MASTER!$G$2:$G$2000,"DONE")</f>
        <v>5</v>
      </c>
      <c r="I55" s="13">
        <f>COUNTIFS(MASTER!$C$2:$C$2000,$E55,MASTER!$G$2:$G$2000,"VERIFIED")+H55</f>
        <v>5</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134</v>
      </c>
      <c r="G56" s="13">
        <f>COUNTIF(MASTER!$C$2:$C$2000,$E56)</f>
        <v>10</v>
      </c>
      <c r="H56" s="13">
        <f>COUNTIFS(MASTER!$C$2:$C$2000,$E56,MASTER!$G$2:$G$2000,"DONE")</f>
        <v>10</v>
      </c>
      <c r="I56" s="13">
        <f>COUNTIFS(MASTER!$C$2:$C$2000,$E56,MASTER!$G$2:$G$2000,"VERIFIED")+H56</f>
        <v>10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132</v>
      </c>
      <c r="B57" s="1" t="s">
        <v>135</v>
      </c>
      <c r="E57" s="15" t="s">
        <v>136</v>
      </c>
      <c r="F57" s="17" t="s">
        <v>134</v>
      </c>
      <c r="G57" s="13">
        <f>COUNTIF(MASTER!$C$2:$C$2000,$E57)</f>
        <v>6</v>
      </c>
      <c r="H57" s="13">
        <f>COUNTIFS(MASTER!$C$2:$C$2000,$E57,MASTER!$G$2:$G$2000,"DONE")</f>
        <v>6</v>
      </c>
      <c r="I57" s="13">
        <f>COUNTIFS(MASTER!$C$2:$C$2000,$E57,MASTER!$G$2:$G$2000,"VERIFIED")+H57</f>
        <v>6</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1</v>
      </c>
      <c r="N57" s="14">
        <f t="shared" si="3"/>
        <v>1</v>
      </c>
    </row>
    <row r="58" spans="1:14" x14ac:dyDescent="0.25">
      <c r="A58" s="17" t="s">
        <v>134</v>
      </c>
      <c r="B58" s="1" t="s">
        <v>137</v>
      </c>
      <c r="E58" s="15" t="s">
        <v>138</v>
      </c>
      <c r="F58" s="17" t="s">
        <v>139</v>
      </c>
      <c r="G58" s="13">
        <f>COUNTIF(MASTER!$C$2:$C$2000,$E58)</f>
        <v>11</v>
      </c>
      <c r="H58" s="13">
        <f>COUNTIFS(MASTER!$C$2:$C$2000,$E58,MASTER!$G$2:$G$2000,"DONE")</f>
        <v>10</v>
      </c>
      <c r="I58" s="13">
        <f>COUNTIFS(MASTER!$C$2:$C$2000,$E58,MASTER!$G$2:$G$2000,"VERIFIED")+H58</f>
        <v>10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0.90909090909090906</v>
      </c>
      <c r="N58" s="14">
        <f t="shared" si="3"/>
        <v>0.90909090909090906</v>
      </c>
    </row>
    <row r="59" spans="1:14" x14ac:dyDescent="0.25">
      <c r="A59" s="17" t="s">
        <v>139</v>
      </c>
      <c r="B59" s="1" t="s">
        <v>140</v>
      </c>
      <c r="E59" s="15" t="s">
        <v>141</v>
      </c>
      <c r="F59" s="17" t="s">
        <v>142</v>
      </c>
      <c r="G59" s="13">
        <f>COUNTIF(MASTER!$C$2:$C$2000,$E59)</f>
        <v>5</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1</v>
      </c>
      <c r="N59" s="14">
        <f t="shared" si="3"/>
        <v>1</v>
      </c>
    </row>
    <row r="60" spans="1:14" x14ac:dyDescent="0.25">
      <c r="A60" s="17" t="s">
        <v>142</v>
      </c>
      <c r="B60" s="1" t="s">
        <v>143</v>
      </c>
      <c r="E60" s="15" t="s">
        <v>144</v>
      </c>
      <c r="F60" s="17" t="s">
        <v>144</v>
      </c>
      <c r="G60" s="13">
        <f>COUNTIF(MASTER!$C$2:$C$2000,$E60)</f>
        <v>7</v>
      </c>
      <c r="H60" s="13">
        <f>COUNTIFS(MASTER!$C$2:$C$2000,$E60,MASTER!$G$2:$G$2000,"DONE")</f>
        <v>6</v>
      </c>
      <c r="I60" s="13">
        <f>COUNTIFS(MASTER!$C$2:$C$2000,$E60,MASTER!$G$2:$G$2000,"VERIFIED")+H60</f>
        <v>6</v>
      </c>
      <c r="J60" s="13">
        <f>COUNTIFS(MASTER!$C$2:$C$2000,$E60,MASTER!$G$2:$G$2000,"IN_PROGRESS")+COUNTIFS(MASTER!$C$2:$C$2000,$E60,MASTER!$G$2:$G$2000,"IMPLEMENTED")+COUNTIFS(MASTER!$C$2:$C$2000,$E60,MASTER!$G$2:$G$2000,"TESTING")</f>
        <v>0</v>
      </c>
      <c r="K60" s="13">
        <f>COUNTIFS(MASTER!$C$2:$C$2000,$E60,MASTER!$G$2:$G$2000,"BLOCKED")</f>
        <v>1</v>
      </c>
      <c r="L60" s="13">
        <f>COUNTIFS(MASTER!$C$2:$C$2000,$E60,MASTER!$G$2:$G$2000,"FAILED")</f>
        <v>0</v>
      </c>
      <c r="M60" s="14">
        <f t="shared" si="2"/>
        <v>0.8571428571428571</v>
      </c>
      <c r="N60" s="14">
        <f t="shared" si="3"/>
        <v>0.8571428571428571</v>
      </c>
    </row>
    <row r="61" spans="1:14" x14ac:dyDescent="0.25">
      <c r="A61" s="17" t="s">
        <v>144</v>
      </c>
      <c r="B61" s="1" t="s">
        <v>145</v>
      </c>
      <c r="E61" s="15" t="s">
        <v>146</v>
      </c>
      <c r="F61" s="17" t="s">
        <v>144</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144</v>
      </c>
      <c r="G62" s="13">
        <f>COUNTIF(MASTER!$C$2:$C$2000,$E62)</f>
        <v>1</v>
      </c>
      <c r="H62" s="13">
        <f>COUNTIFS(MASTER!$C$2:$C$2000,$E62,MASTER!$G$2:$G$2000,"DONE")</f>
        <v>1</v>
      </c>
      <c r="I62" s="13">
        <f>COUNTIFS(MASTER!$C$2:$C$2000,$E62,MASTER!$G$2:$G$2000,"VERIFIED")+H62</f>
        <v>1</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1</v>
      </c>
      <c r="N62" s="14">
        <f t="shared" si="3"/>
        <v>1</v>
      </c>
    </row>
    <row r="63" spans="1:14" x14ac:dyDescent="0.25">
      <c r="A63" s="17" t="s">
        <v>150</v>
      </c>
      <c r="B63" s="1" t="s">
        <v>151</v>
      </c>
      <c r="E63" s="15" t="s">
        <v>152</v>
      </c>
      <c r="F63" s="17" t="s">
        <v>144</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c r="E64" s="15" t="s">
        <v>155</v>
      </c>
      <c r="F64" s="17" t="s">
        <v>144</v>
      </c>
      <c r="G64" s="13">
        <f>COUNTIF(MASTER!$C$2:$C$2000,$E64)</f>
        <v>3</v>
      </c>
      <c r="H64" s="13">
        <f>COUNTIFS(MASTER!$C$2:$C$2000,$E64,MASTER!$G$2:$G$2000,"DONE")</f>
        <v>3</v>
      </c>
      <c r="I64" s="13">
        <f>COUNTIFS(MASTER!$C$2:$C$2000,$E64,MASTER!$G$2:$G$2000,"VERIFIED")+H64</f>
        <v>3</v>
      </c>
      <c r="J64" s="13">
        <f>COUNTIFS(MASTER!$C$2:$C$2000,$E64,MASTER!$G$2:$G$2000,"IN_PROGRESS")+COUNTIFS(MASTER!$C$2:$C$2000,$E64,MASTER!$G$2:$G$2000,"IMPLEMENTED")+COUNTIFS(MASTER!$C$2:$C$2000,$E64,MASTER!$G$2:$G$2000,"TESTING")</f>
        <v>0</v>
      </c>
      <c r="K64" s="13">
        <f>COUNTIFS(MASTER!$C$2:$C$2000,$E64,MASTER!$G$2:$G$2000,"BLOCKED")</f>
        <v>0</v>
      </c>
      <c r="L64" s="13">
        <f>COUNTIFS(MASTER!$C$2:$C$2000,$E64,MASTER!$G$2:$G$2000,"FAILED")</f>
        <v>0</v>
      </c>
      <c r="M64" s="14">
        <f t="shared" si="2"/>
        <v>1</v>
      </c>
      <c r="N64" s="14">
        <f t="shared" si="3"/>
        <v>1</v>
      </c>
    </row>
    <row r="65" spans="1:14" x14ac:dyDescent="0.25">
      <c r="A65" s="17" t="s">
        <v>156</v>
      </c>
      <c r="B65" s="1" t="s">
        <v>157</v>
      </c>
      <c r="E65" s="15" t="s">
        <v>158</v>
      </c>
      <c r="F65" s="17" t="s">
        <v>147</v>
      </c>
      <c r="G65" s="13">
        <f>COUNTIF(MASTER!$C$2:$C$2000,$E65)</f>
        <v>20</v>
      </c>
      <c r="H65" s="13">
        <f>COUNTIFS(MASTER!$C$2:$C$2000,$E65,MASTER!$G$2:$G$2000,"DONE")</f>
        <v>2</v>
      </c>
      <c r="I65" s="13">
        <f>COUNTIFS(MASTER!$C$2:$C$2000,$E65,MASTER!$G$2:$G$2000,"VERIFIED")+H65</f>
        <v>2</v>
      </c>
      <c r="J65" s="13">
        <f>COUNTIFS(MASTER!$C$2:$C$2000,$E65,MASTER!$G$2:$G$2000,"IN_PROGRESS")+COUNTIFS(MASTER!$C$2:$C$2000,$E65,MASTER!$G$2:$G$2000,"IMPLEMENTED")+COUNTIFS(MASTER!$C$2:$C$2000,$E65,MASTER!$G$2:$G$2000,"TESTING")</f>
        <v>3</v>
      </c>
      <c r="K65" s="13">
        <f>COUNTIFS(MASTER!$C$2:$C$2000,$E65,MASTER!$G$2:$G$2000,"BLOCKED")</f>
        <v>1</v>
      </c>
      <c r="L65" s="13">
        <f>COUNTIFS(MASTER!$C$2:$C$2000,$E65,MASTER!$G$2:$G$2000,"FAILED")</f>
        <v>0</v>
      </c>
      <c r="M65" s="14">
        <f t="shared" si="2"/>
        <v>0.1</v>
      </c>
      <c r="N65" s="14">
        <f t="shared" si="3"/>
        <v>0.1</v>
      </c>
    </row>
    <row r="67" spans="1:14" ht="15.75" x14ac:dyDescent="0.25">
      <c r="A67" s="5" t="s">
        <v>159</v>
      </c>
    </row>
    <row r="68" spans="1:14" x14ac:dyDescent="0.25">
      <c r="A68" s="1" t="s">
        <v>160</v>
      </c>
    </row>
    <row r="69" spans="1:14" x14ac:dyDescent="0.25">
      <c r="A69" s="1" t="s">
        <v>161</v>
      </c>
    </row>
    <row r="70" spans="1:14" x14ac:dyDescent="0.25">
      <c r="A70" s="1" t="s">
        <v>162</v>
      </c>
    </row>
    <row r="71" spans="1:14" x14ac:dyDescent="0.25">
      <c r="A71" s="1" t="s">
        <v>163</v>
      </c>
    </row>
    <row r="72" spans="1:14" x14ac:dyDescent="0.25">
      <c r="A72" s="1" t="s">
        <v>164</v>
      </c>
    </row>
    <row r="73" spans="1:14" x14ac:dyDescent="0.25">
      <c r="A73" s="1" t="s">
        <v>165</v>
      </c>
    </row>
  </sheetData>
  <conditionalFormatting sqref="A24:A33">
    <cfRule type="cellIs" dxfId="360" priority="5" operator="equal">
      <formula>"IN_PROGRESS"</formula>
    </cfRule>
    <cfRule type="cellIs" dxfId="359" priority="6" operator="equal">
      <formula>"BLOCKED"</formula>
    </cfRule>
    <cfRule type="cellIs" dxfId="358" priority="7" operator="equal">
      <formula>"IMPLEMENTED"</formula>
    </cfRule>
    <cfRule type="cellIs" dxfId="357" priority="8" operator="equal">
      <formula>"TESTING"</formula>
    </cfRule>
    <cfRule type="cellIs" dxfId="356" priority="9" operator="equal">
      <formula>"VERIFIED"</formula>
    </cfRule>
    <cfRule type="cellIs" dxfId="355" priority="10" operator="equal">
      <formula>"DONE"</formula>
    </cfRule>
    <cfRule type="cellIs" dxfId="354" priority="11" operator="equal">
      <formula>"FAILED"</formula>
    </cfRule>
    <cfRule type="cellIs" dxfId="353" priority="12" operator="equal">
      <formula>"DEFERRED"</formula>
    </cfRule>
    <cfRule type="cellIs" dxfId="352" priority="13" operator="equal">
      <formula>"UNKNOWN"</formula>
    </cfRule>
  </conditionalFormatting>
  <conditionalFormatting sqref="B9:B10">
    <cfRule type="cellIs" dxfId="351" priority="1" operator="greaterThan">
      <formula>0</formula>
    </cfRule>
  </conditionalFormatting>
  <conditionalFormatting sqref="B16">
    <cfRule type="cellIs" dxfId="350" priority="3" operator="greaterThan">
      <formula>0</formula>
    </cfRule>
  </conditionalFormatting>
  <conditionalFormatting sqref="B20">
    <cfRule type="cellIs" dxfId="349" priority="4" operator="greaterThan">
      <formula>0</formula>
    </cfRule>
  </conditionalFormatting>
  <conditionalFormatting sqref="B37:B42">
    <cfRule type="cellIs" dxfId="348" priority="14" operator="equal">
      <formula>"PASS"</formula>
    </cfRule>
    <cfRule type="cellIs" dxfId="347" priority="15" operator="equal">
      <formula>"FAIL"</formula>
    </cfRule>
    <cfRule type="cellIs" dxfId="346" priority="16" operator="equal">
      <formula>"PARTIAL"</formula>
    </cfRule>
  </conditionalFormatting>
  <conditionalFormatting sqref="M19:N38">
    <cfRule type="dataBar" priority="17">
      <dataBar>
        <cfvo type="num" val="0"/>
        <cfvo type="num" val="1"/>
        <color rgb="FF63BE7B"/>
      </dataBar>
    </cfRule>
  </conditionalFormatting>
  <conditionalFormatting sqref="M42:N65">
    <cfRule type="dataBar" priority="18">
      <dataBar>
        <cfvo type="num" val="0"/>
        <cfvo type="num" val="1"/>
        <color rgb="FF63BE7B"/>
      </dataBar>
    </cfRule>
  </conditionalFormatting>
  <hyperlinks>
    <hyperlink ref="F42" location="'DOCUMENT_FIDELITY'!A1" display="DOCUMENT_FIDELITY" xr:uid="{00000000-0004-0000-0000-000000000000}"/>
    <hyperlink ref="F43" location="'DOCUMENT_FIDELITY'!A1" display="DOCUMENT_FIDELITY" xr:uid="{00000000-0004-0000-0000-000001000000}"/>
    <hyperlink ref="F44" location="'DOCUMENT_FIDELITY'!A1" display="DOCUMENT_FIDELITY" xr:uid="{00000000-0004-0000-0000-000002000000}"/>
    <hyperlink ref="A45" location="'DASHBOARD'!A1" display="DASHBOARD" xr:uid="{00000000-0004-0000-0000-000003000000}"/>
    <hyperlink ref="F45" location="'DOCX_OOXML'!A1" display="DOCX_OOXML" xr:uid="{00000000-0004-0000-0000-000004000000}"/>
    <hyperlink ref="A46" location="'MASTER'!A1" display="MASTER" xr:uid="{00000000-0004-0000-0000-000005000000}"/>
    <hyperlink ref="F46" location="'PDF'!A1" display="PDF" xr:uid="{00000000-0004-0000-0000-000006000000}"/>
    <hyperlink ref="A47" location="'CRITICAL_FIXES'!A1" display="CRITICAL_FIXES" xr:uid="{00000000-0004-0000-0000-000007000000}"/>
    <hyperlink ref="F47" location="'EDITOR'!A1" display="EDITOR" xr:uid="{00000000-0004-0000-0000-000008000000}"/>
    <hyperlink ref="A48" location="'DOCUMENT_FIDELITY'!A1" display="DOCUMENT_FIDELITY" xr:uid="{00000000-0004-0000-0000-000009000000}"/>
    <hyperlink ref="F48" location="'FORMATTING'!A1" display="FORMATTING" xr:uid="{00000000-0004-0000-0000-00000A000000}"/>
    <hyperlink ref="A49" location="'DOCX_OOXML'!A1" display="DOCX_OOXML" xr:uid="{00000000-0004-0000-0000-00000B000000}"/>
    <hyperlink ref="F49" location="'FORMATTING'!A1" display="FORMATTING" xr:uid="{00000000-0004-0000-0000-00000C000000}"/>
    <hyperlink ref="A50" location="'PDF'!A1" display="PDF" xr:uid="{00000000-0004-0000-0000-00000D000000}"/>
    <hyperlink ref="F50" location="'AI'!A1" display="AI" xr:uid="{00000000-0004-0000-0000-00000E000000}"/>
    <hyperlink ref="A51" location="'EDITOR'!A1" display="EDITOR" xr:uid="{00000000-0004-0000-0000-00000F000000}"/>
    <hyperlink ref="F51" location="'SECURITY'!A1" display="SECURITY" xr:uid="{00000000-0004-0000-0000-000010000000}"/>
    <hyperlink ref="A52" location="'FORMATTING'!A1" display="FORMATTING" xr:uid="{00000000-0004-0000-0000-000011000000}"/>
    <hyperlink ref="F52" location="'SECURITY'!A1" display="SECURITY" xr:uid="{00000000-0004-0000-0000-000012000000}"/>
    <hyperlink ref="A53" location="'AI'!A1" display="AI" xr:uid="{00000000-0004-0000-0000-000013000000}"/>
    <hyperlink ref="F53" location="'PERFORMANCE'!A1" display="PERFORMANCE" xr:uid="{00000000-0004-0000-0000-000014000000}"/>
    <hyperlink ref="A54" location="'SECURITY'!A1" display="SECURITY" xr:uid="{00000000-0004-0000-0000-000015000000}"/>
    <hyperlink ref="F54" location="'TESTING'!A1" display="TESTING" xr:uid="{00000000-0004-0000-0000-000016000000}"/>
    <hyperlink ref="A55" location="'PERFORMANCE'!A1" display="PERFORMANCE" xr:uid="{00000000-0004-0000-0000-000017000000}"/>
    <hyperlink ref="F55" location="'PRODUCT_FEATURES'!A1" display="PRODUCT_FEATURES" xr:uid="{00000000-0004-0000-0000-000018000000}"/>
    <hyperlink ref="A56" location="'TESTING'!A1" display="TESTING" xr:uid="{00000000-0004-0000-0000-000019000000}"/>
    <hyperlink ref="F56" location="'TRANSLATION'!A1" display="TRANSLATION" xr:uid="{00000000-0004-0000-0000-00001A000000}"/>
    <hyperlink ref="A57" location="'PRODUCT_FEATURES'!A1" display="PRODUCT_FEATURES" xr:uid="{00000000-0004-0000-0000-00001B000000}"/>
    <hyperlink ref="F57" location="'TRANSLATION'!A1" display="TRANSLATION" xr:uid="{00000000-0004-0000-0000-00001C000000}"/>
    <hyperlink ref="A58" location="'TRANSLATION'!A1" display="TRANSLATION" xr:uid="{00000000-0004-0000-0000-00001D000000}"/>
    <hyperlink ref="F58" location="'PDF_TO_EDITABLE'!A1" display="PDF_TO_EDITABLE" xr:uid="{00000000-0004-0000-0000-00001E000000}"/>
    <hyperlink ref="A59" location="'PDF_TO_EDITABLE'!A1" display="PDF_TO_EDITABLE" xr:uid="{00000000-0004-0000-0000-00001F000000}"/>
    <hyperlink ref="F59" location="'BILLING_PLANS'!A1" display="BILLING_PLANS" xr:uid="{00000000-0004-0000-0000-000020000000}"/>
    <hyperlink ref="A60" location="'BILLING_PLANS'!A1" display="BILLING_PLANS" xr:uid="{00000000-0004-0000-0000-000021000000}"/>
    <hyperlink ref="F60" location="'INFRA'!A1" display="INFRA" xr:uid="{00000000-0004-0000-0000-000022000000}"/>
    <hyperlink ref="A61" location="'INFRA'!A1" display="INFRA" xr:uid="{00000000-0004-0000-0000-000023000000}"/>
    <hyperlink ref="F61" location="'INFRA'!A1" display="INFRA" xr:uid="{00000000-0004-0000-0000-000024000000}"/>
    <hyperlink ref="A62" location="'FIRST_RELEASE'!A1" display="FIRST_RELEASE" xr:uid="{00000000-0004-0000-0000-000025000000}"/>
    <hyperlink ref="F62" location="'INFRA'!A1" display="INFRA" xr:uid="{00000000-0004-0000-0000-000026000000}"/>
    <hyperlink ref="A63" location="'CHANGE_LOG'!A1" display="CHANGE_LOG" xr:uid="{00000000-0004-0000-0000-000027000000}"/>
    <hyperlink ref="F63" location="'INFRA'!A1" display="INFRA" xr:uid="{00000000-0004-0000-0000-000028000000}"/>
    <hyperlink ref="A64" location="'SESSION_STATE'!A1" display="SESSION_STATE" xr:uid="{00000000-0004-0000-0000-000029000000}"/>
    <hyperlink ref="F64" location="'INFRA'!A1" display="INFRA" xr:uid="{00000000-0004-0000-0000-00002A000000}"/>
    <hyperlink ref="A65" location="'RELEASE_GATES'!A1" display="RELEASE_GATES" xr:uid="{00000000-0004-0000-0000-00002B000000}"/>
    <hyperlink ref="F65" location="'FIRST_RELEASE'!A1" display="FIRST_RELEASE" xr:uid="{00000000-0004-0000-0000-00002C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214"/>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166</v>
      </c>
      <c r="B1" s="10" t="s">
        <v>43</v>
      </c>
      <c r="C1" s="10" t="s">
        <v>100</v>
      </c>
      <c r="D1" s="10" t="s">
        <v>167</v>
      </c>
      <c r="E1" s="10" t="s">
        <v>168</v>
      </c>
      <c r="F1" s="10" t="s">
        <v>169</v>
      </c>
      <c r="G1" s="10" t="s">
        <v>57</v>
      </c>
      <c r="H1" s="10" t="s">
        <v>170</v>
      </c>
      <c r="I1" s="10" t="s">
        <v>171</v>
      </c>
      <c r="J1" s="10" t="s">
        <v>172</v>
      </c>
      <c r="K1" s="10" t="s">
        <v>173</v>
      </c>
      <c r="L1" s="10" t="s">
        <v>174</v>
      </c>
      <c r="M1" s="10" t="s">
        <v>175</v>
      </c>
      <c r="N1" s="10" t="s">
        <v>176</v>
      </c>
      <c r="O1" s="10" t="s">
        <v>15</v>
      </c>
      <c r="P1" s="10" t="s">
        <v>177</v>
      </c>
      <c r="Q1" s="10" t="s">
        <v>178</v>
      </c>
      <c r="R1" s="10" t="s">
        <v>179</v>
      </c>
      <c r="S1" s="10" t="s">
        <v>180</v>
      </c>
    </row>
    <row r="2" spans="1:19" ht="76.5" x14ac:dyDescent="0.25">
      <c r="A2" s="15" t="s">
        <v>181</v>
      </c>
      <c r="B2" s="16">
        <v>0</v>
      </c>
      <c r="C2" s="12" t="s">
        <v>144</v>
      </c>
      <c r="D2" s="18" t="s">
        <v>182</v>
      </c>
      <c r="E2" s="18" t="s">
        <v>183</v>
      </c>
      <c r="F2" s="12" t="s">
        <v>184</v>
      </c>
      <c r="G2" s="12" t="s">
        <v>78</v>
      </c>
      <c r="H2" s="18" t="s">
        <v>185</v>
      </c>
      <c r="I2" s="18" t="s">
        <v>186</v>
      </c>
      <c r="J2" s="18" t="s">
        <v>187</v>
      </c>
      <c r="K2" s="18"/>
      <c r="L2" s="12" t="s">
        <v>188</v>
      </c>
      <c r="M2" s="19">
        <v>46292.160995370366</v>
      </c>
      <c r="N2" s="19">
        <v>46292.171400462961</v>
      </c>
      <c r="O2" s="19">
        <v>46292.171400462961</v>
      </c>
      <c r="P2" s="12" t="s">
        <v>189</v>
      </c>
      <c r="Q2" s="18"/>
      <c r="R2" s="12"/>
      <c r="S2" s="12"/>
    </row>
    <row r="3" spans="1:19" ht="51" x14ac:dyDescent="0.25">
      <c r="A3" s="15" t="s">
        <v>190</v>
      </c>
      <c r="B3" s="16">
        <v>0</v>
      </c>
      <c r="C3" s="12" t="s">
        <v>144</v>
      </c>
      <c r="D3" s="18" t="s">
        <v>191</v>
      </c>
      <c r="E3" s="18" t="s">
        <v>192</v>
      </c>
      <c r="F3" s="12" t="s">
        <v>184</v>
      </c>
      <c r="G3" s="12" t="s">
        <v>78</v>
      </c>
      <c r="H3" s="18" t="s">
        <v>193</v>
      </c>
      <c r="I3" s="18" t="s">
        <v>194</v>
      </c>
      <c r="J3" s="18" t="s">
        <v>195</v>
      </c>
      <c r="K3" s="18" t="s">
        <v>181</v>
      </c>
      <c r="L3" s="12" t="s">
        <v>188</v>
      </c>
      <c r="M3" s="19">
        <v>46292.161874999998</v>
      </c>
      <c r="N3" s="19">
        <v>46292.171435185177</v>
      </c>
      <c r="O3" s="19">
        <v>46292.171435185177</v>
      </c>
      <c r="P3" s="12" t="s">
        <v>189</v>
      </c>
      <c r="Q3" s="18"/>
      <c r="R3" s="12"/>
      <c r="S3" s="12"/>
    </row>
    <row r="4" spans="1:19" ht="38.25" x14ac:dyDescent="0.25">
      <c r="A4" s="15" t="s">
        <v>196</v>
      </c>
      <c r="B4" s="16">
        <v>0</v>
      </c>
      <c r="C4" s="12" t="s">
        <v>144</v>
      </c>
      <c r="D4" s="18" t="s">
        <v>197</v>
      </c>
      <c r="E4" s="18" t="s">
        <v>198</v>
      </c>
      <c r="F4" s="12" t="s">
        <v>199</v>
      </c>
      <c r="G4" s="12" t="s">
        <v>78</v>
      </c>
      <c r="H4" s="18" t="s">
        <v>200</v>
      </c>
      <c r="I4" s="18" t="s">
        <v>201</v>
      </c>
      <c r="J4" s="18" t="s">
        <v>202</v>
      </c>
      <c r="K4" s="18"/>
      <c r="L4" s="12" t="s">
        <v>188</v>
      </c>
      <c r="M4" s="19">
        <v>46292.161030092589</v>
      </c>
      <c r="N4" s="19">
        <v>46292.171469907407</v>
      </c>
      <c r="O4" s="19">
        <v>46292.171469907407</v>
      </c>
      <c r="P4" s="12" t="s">
        <v>189</v>
      </c>
      <c r="Q4" s="18"/>
      <c r="R4" s="12"/>
      <c r="S4" s="12"/>
    </row>
    <row r="5" spans="1:19" ht="25.5" x14ac:dyDescent="0.25">
      <c r="A5" s="15" t="s">
        <v>203</v>
      </c>
      <c r="B5" s="16">
        <v>0</v>
      </c>
      <c r="C5" s="12" t="s">
        <v>72</v>
      </c>
      <c r="D5" s="18" t="s">
        <v>204</v>
      </c>
      <c r="E5" s="18" t="s">
        <v>205</v>
      </c>
      <c r="F5" s="12" t="s">
        <v>184</v>
      </c>
      <c r="G5" s="12" t="s">
        <v>78</v>
      </c>
      <c r="H5" s="18" t="s">
        <v>206</v>
      </c>
      <c r="I5" s="18" t="s">
        <v>207</v>
      </c>
      <c r="J5" s="18" t="s">
        <v>208</v>
      </c>
      <c r="K5" s="18"/>
      <c r="L5" s="12" t="s">
        <v>188</v>
      </c>
      <c r="M5" s="19">
        <v>46292.167349537027</v>
      </c>
      <c r="N5" s="19">
        <v>46292.17150462963</v>
      </c>
      <c r="O5" s="19">
        <v>46292.17150462963</v>
      </c>
      <c r="P5" s="12" t="s">
        <v>189</v>
      </c>
      <c r="Q5" s="18"/>
      <c r="R5" s="12"/>
      <c r="S5" s="12"/>
    </row>
    <row r="6" spans="1:19" ht="25.5" x14ac:dyDescent="0.25">
      <c r="A6" s="15" t="s">
        <v>209</v>
      </c>
      <c r="B6" s="16">
        <v>0</v>
      </c>
      <c r="C6" s="12" t="s">
        <v>72</v>
      </c>
      <c r="D6" s="18" t="s">
        <v>210</v>
      </c>
      <c r="E6" s="18" t="s">
        <v>211</v>
      </c>
      <c r="F6" s="12" t="s">
        <v>184</v>
      </c>
      <c r="G6" s="12" t="s">
        <v>78</v>
      </c>
      <c r="H6" s="18" t="s">
        <v>212</v>
      </c>
      <c r="I6" s="18" t="s">
        <v>213</v>
      </c>
      <c r="J6" s="18" t="s">
        <v>214</v>
      </c>
      <c r="K6" s="18"/>
      <c r="L6" s="12" t="s">
        <v>188</v>
      </c>
      <c r="M6" s="19">
        <v>46292.167395833327</v>
      </c>
      <c r="N6" s="19">
        <v>46292.171550925923</v>
      </c>
      <c r="O6" s="19">
        <v>46292.171550925923</v>
      </c>
      <c r="P6" s="12" t="s">
        <v>189</v>
      </c>
      <c r="Q6" s="18"/>
      <c r="R6" s="12"/>
      <c r="S6" s="12"/>
    </row>
    <row r="7" spans="1:19" ht="25.5" x14ac:dyDescent="0.25">
      <c r="A7" s="15" t="s">
        <v>215</v>
      </c>
      <c r="B7" s="16">
        <v>0</v>
      </c>
      <c r="C7" s="12" t="s">
        <v>72</v>
      </c>
      <c r="D7" s="18" t="s">
        <v>216</v>
      </c>
      <c r="E7" s="18" t="s">
        <v>217</v>
      </c>
      <c r="F7" s="12" t="s">
        <v>184</v>
      </c>
      <c r="G7" s="12" t="s">
        <v>78</v>
      </c>
      <c r="H7" s="18" t="s">
        <v>218</v>
      </c>
      <c r="I7" s="18" t="s">
        <v>219</v>
      </c>
      <c r="J7" s="18" t="s">
        <v>220</v>
      </c>
      <c r="K7" s="18"/>
      <c r="L7" s="12" t="s">
        <v>188</v>
      </c>
      <c r="M7" s="19">
        <v>46292.167430555557</v>
      </c>
      <c r="N7" s="19">
        <v>46292.171585648153</v>
      </c>
      <c r="O7" s="19">
        <v>46292.171585648153</v>
      </c>
      <c r="P7" s="12" t="s">
        <v>189</v>
      </c>
      <c r="Q7" s="18"/>
      <c r="R7" s="12"/>
      <c r="S7" s="12"/>
    </row>
    <row r="8" spans="1:19" ht="38.25" x14ac:dyDescent="0.25">
      <c r="A8" s="15" t="s">
        <v>221</v>
      </c>
      <c r="B8" s="16">
        <v>0</v>
      </c>
      <c r="C8" s="12" t="s">
        <v>72</v>
      </c>
      <c r="D8" s="18" t="s">
        <v>222</v>
      </c>
      <c r="E8" s="18" t="s">
        <v>223</v>
      </c>
      <c r="F8" s="12" t="s">
        <v>184</v>
      </c>
      <c r="G8" s="12" t="s">
        <v>78</v>
      </c>
      <c r="H8" s="18" t="s">
        <v>224</v>
      </c>
      <c r="I8" s="18" t="s">
        <v>225</v>
      </c>
      <c r="J8" s="18" t="s">
        <v>226</v>
      </c>
      <c r="K8" s="18"/>
      <c r="L8" s="12" t="s">
        <v>188</v>
      </c>
      <c r="M8" s="19">
        <v>46292.16746527778</v>
      </c>
      <c r="N8" s="19">
        <v>46292.171620370369</v>
      </c>
      <c r="O8" s="19">
        <v>46292.171620370369</v>
      </c>
      <c r="P8" s="12" t="s">
        <v>189</v>
      </c>
      <c r="Q8" s="18"/>
      <c r="R8" s="12"/>
      <c r="S8" s="12"/>
    </row>
    <row r="9" spans="1:19" ht="38.25" x14ac:dyDescent="0.25">
      <c r="A9" s="15" t="s">
        <v>227</v>
      </c>
      <c r="B9" s="16">
        <v>0</v>
      </c>
      <c r="C9" s="12" t="s">
        <v>124</v>
      </c>
      <c r="D9" s="18" t="s">
        <v>228</v>
      </c>
      <c r="E9" s="18" t="s">
        <v>229</v>
      </c>
      <c r="F9" s="12" t="s">
        <v>199</v>
      </c>
      <c r="G9" s="12" t="s">
        <v>78</v>
      </c>
      <c r="H9" s="18" t="s">
        <v>230</v>
      </c>
      <c r="I9" s="18" t="s">
        <v>231</v>
      </c>
      <c r="J9" s="18" t="s">
        <v>232</v>
      </c>
      <c r="K9" s="18"/>
      <c r="L9" s="12" t="s">
        <v>188</v>
      </c>
      <c r="M9" s="19">
        <v>46292.167500000003</v>
      </c>
      <c r="N9" s="19">
        <v>46292.171689814822</v>
      </c>
      <c r="O9" s="19">
        <v>46292.171689814822</v>
      </c>
      <c r="P9" s="12" t="s">
        <v>189</v>
      </c>
      <c r="Q9" s="18"/>
      <c r="R9" s="12"/>
      <c r="S9" s="12"/>
    </row>
    <row r="10" spans="1:19" ht="51" x14ac:dyDescent="0.25">
      <c r="A10" s="15" t="s">
        <v>233</v>
      </c>
      <c r="B10" s="16">
        <v>0</v>
      </c>
      <c r="C10" s="12" t="s">
        <v>144</v>
      </c>
      <c r="D10" s="18" t="s">
        <v>234</v>
      </c>
      <c r="E10" s="18" t="s">
        <v>235</v>
      </c>
      <c r="F10" s="12" t="s">
        <v>199</v>
      </c>
      <c r="G10" s="12" t="s">
        <v>78</v>
      </c>
      <c r="H10" s="18" t="s">
        <v>236</v>
      </c>
      <c r="I10" s="18" t="s">
        <v>237</v>
      </c>
      <c r="J10" s="18" t="s">
        <v>238</v>
      </c>
      <c r="K10" s="18"/>
      <c r="L10" s="12" t="s">
        <v>188</v>
      </c>
      <c r="M10" s="19">
        <v>46292.167534722219</v>
      </c>
      <c r="N10" s="19">
        <v>46292.171736111108</v>
      </c>
      <c r="O10" s="19">
        <v>46292.171736111108</v>
      </c>
      <c r="P10" s="12" t="s">
        <v>189</v>
      </c>
      <c r="Q10" s="18" t="s">
        <v>239</v>
      </c>
      <c r="R10" s="12"/>
      <c r="S10" s="12"/>
    </row>
    <row r="11" spans="1:19" ht="38.25" x14ac:dyDescent="0.25">
      <c r="A11" s="15" t="s">
        <v>240</v>
      </c>
      <c r="B11" s="16">
        <v>0</v>
      </c>
      <c r="C11" s="12" t="s">
        <v>72</v>
      </c>
      <c r="D11" s="18" t="s">
        <v>241</v>
      </c>
      <c r="E11" s="18" t="s">
        <v>242</v>
      </c>
      <c r="F11" s="12" t="s">
        <v>199</v>
      </c>
      <c r="G11" s="12" t="s">
        <v>78</v>
      </c>
      <c r="H11" s="18" t="s">
        <v>243</v>
      </c>
      <c r="I11" s="18" t="s">
        <v>244</v>
      </c>
      <c r="J11" s="18" t="s">
        <v>245</v>
      </c>
      <c r="K11" s="18"/>
      <c r="L11" s="12" t="s">
        <v>188</v>
      </c>
      <c r="M11" s="19">
        <v>46292.167569444442</v>
      </c>
      <c r="N11" s="19">
        <v>46292.171655092592</v>
      </c>
      <c r="O11" s="19">
        <v>46292.171655092592</v>
      </c>
      <c r="P11" s="12" t="s">
        <v>189</v>
      </c>
      <c r="Q11" s="18"/>
      <c r="R11" s="12"/>
      <c r="S11" s="12"/>
    </row>
    <row r="12" spans="1:19" ht="38.25" x14ac:dyDescent="0.25">
      <c r="A12" s="15" t="s">
        <v>246</v>
      </c>
      <c r="B12" s="16">
        <v>0</v>
      </c>
      <c r="C12" s="12" t="s">
        <v>155</v>
      </c>
      <c r="D12" s="18" t="s">
        <v>247</v>
      </c>
      <c r="E12" s="18" t="s">
        <v>248</v>
      </c>
      <c r="F12" s="12" t="s">
        <v>184</v>
      </c>
      <c r="G12" s="12" t="s">
        <v>78</v>
      </c>
      <c r="H12" s="18" t="s">
        <v>249</v>
      </c>
      <c r="I12" s="18" t="s">
        <v>250</v>
      </c>
      <c r="J12" s="18" t="s">
        <v>195</v>
      </c>
      <c r="K12" s="18" t="s">
        <v>251</v>
      </c>
      <c r="L12" s="12" t="s">
        <v>188</v>
      </c>
      <c r="M12" s="19">
        <v>46292.16815972222</v>
      </c>
      <c r="N12" s="19">
        <v>46292.171770833331</v>
      </c>
      <c r="O12" s="19">
        <v>46292.171770833331</v>
      </c>
      <c r="P12" s="12" t="s">
        <v>189</v>
      </c>
      <c r="Q12" s="18"/>
      <c r="R12" s="12"/>
      <c r="S12" s="12"/>
    </row>
    <row r="13" spans="1:19" ht="76.5" x14ac:dyDescent="0.25">
      <c r="A13" s="15" t="s">
        <v>252</v>
      </c>
      <c r="B13" s="16">
        <v>1</v>
      </c>
      <c r="C13" s="12" t="s">
        <v>102</v>
      </c>
      <c r="D13" s="18" t="s">
        <v>253</v>
      </c>
      <c r="E13" s="18" t="s">
        <v>254</v>
      </c>
      <c r="F13" s="12" t="s">
        <v>184</v>
      </c>
      <c r="G13" s="12" t="s">
        <v>78</v>
      </c>
      <c r="H13" s="18" t="s">
        <v>255</v>
      </c>
      <c r="I13" s="18" t="s">
        <v>256</v>
      </c>
      <c r="J13" s="18" t="s">
        <v>257</v>
      </c>
      <c r="K13" s="18"/>
      <c r="L13" s="12" t="s">
        <v>258</v>
      </c>
      <c r="M13" s="19">
        <v>46292.175925925927</v>
      </c>
      <c r="N13" s="19">
        <v>46292.196493055562</v>
      </c>
      <c r="O13" s="19">
        <v>46292.196493055562</v>
      </c>
      <c r="P13" s="12" t="s">
        <v>259</v>
      </c>
      <c r="Q13" s="18" t="s">
        <v>260</v>
      </c>
      <c r="R13" s="12"/>
      <c r="S13" s="12" t="s">
        <v>261</v>
      </c>
    </row>
    <row r="14" spans="1:19" ht="38.25" x14ac:dyDescent="0.25">
      <c r="A14" s="15" t="s">
        <v>262</v>
      </c>
      <c r="B14" s="16">
        <v>1</v>
      </c>
      <c r="C14" s="12" t="s">
        <v>102</v>
      </c>
      <c r="D14" s="18" t="s">
        <v>263</v>
      </c>
      <c r="E14" s="18" t="s">
        <v>264</v>
      </c>
      <c r="F14" s="12" t="s">
        <v>184</v>
      </c>
      <c r="G14" s="12" t="s">
        <v>78</v>
      </c>
      <c r="H14" s="18" t="s">
        <v>265</v>
      </c>
      <c r="I14" s="18" t="s">
        <v>266</v>
      </c>
      <c r="J14" s="18" t="s">
        <v>267</v>
      </c>
      <c r="K14" s="18" t="s">
        <v>252</v>
      </c>
      <c r="L14" s="12" t="s">
        <v>268</v>
      </c>
      <c r="M14" s="19">
        <v>46292.189768518518</v>
      </c>
      <c r="N14" s="19">
        <v>46292.196527777778</v>
      </c>
      <c r="O14" s="19">
        <v>46292.196527777778</v>
      </c>
      <c r="P14" s="12" t="s">
        <v>259</v>
      </c>
      <c r="Q14" s="18"/>
      <c r="R14" s="12" t="s">
        <v>252</v>
      </c>
      <c r="S14" s="12" t="s">
        <v>269</v>
      </c>
    </row>
    <row r="15" spans="1:19" ht="76.5" x14ac:dyDescent="0.25">
      <c r="A15" s="15" t="s">
        <v>270</v>
      </c>
      <c r="B15" s="16">
        <v>1</v>
      </c>
      <c r="C15" s="12" t="s">
        <v>102</v>
      </c>
      <c r="D15" s="18" t="s">
        <v>271</v>
      </c>
      <c r="E15" s="18" t="s">
        <v>272</v>
      </c>
      <c r="F15" s="12" t="s">
        <v>184</v>
      </c>
      <c r="G15" s="12" t="s">
        <v>78</v>
      </c>
      <c r="H15" s="18" t="s">
        <v>273</v>
      </c>
      <c r="I15" s="18" t="s">
        <v>274</v>
      </c>
      <c r="J15" s="18" t="s">
        <v>275</v>
      </c>
      <c r="K15" s="18" t="s">
        <v>252</v>
      </c>
      <c r="L15" s="12" t="s">
        <v>258</v>
      </c>
      <c r="M15" s="19">
        <v>46292.189803240741</v>
      </c>
      <c r="N15" s="19">
        <v>46292.196562500001</v>
      </c>
      <c r="O15" s="19">
        <v>46292.196562500001</v>
      </c>
      <c r="P15" s="12" t="s">
        <v>259</v>
      </c>
      <c r="Q15" s="18"/>
      <c r="R15" s="12" t="s">
        <v>252</v>
      </c>
      <c r="S15" s="12" t="s">
        <v>269</v>
      </c>
    </row>
    <row r="16" spans="1:19" ht="51" x14ac:dyDescent="0.25">
      <c r="A16" s="15" t="s">
        <v>276</v>
      </c>
      <c r="B16" s="16">
        <v>1</v>
      </c>
      <c r="C16" s="12" t="s">
        <v>116</v>
      </c>
      <c r="D16" s="18" t="s">
        <v>277</v>
      </c>
      <c r="E16" s="18" t="s">
        <v>278</v>
      </c>
      <c r="F16" s="12" t="s">
        <v>184</v>
      </c>
      <c r="G16" s="12" t="s">
        <v>78</v>
      </c>
      <c r="H16" s="18" t="s">
        <v>279</v>
      </c>
      <c r="I16" s="18" t="s">
        <v>280</v>
      </c>
      <c r="J16" s="18" t="s">
        <v>281</v>
      </c>
      <c r="K16" s="18" t="s">
        <v>262</v>
      </c>
      <c r="L16" s="12" t="s">
        <v>258</v>
      </c>
      <c r="M16" s="19">
        <v>46292.18990740741</v>
      </c>
      <c r="N16" s="19">
        <v>46292.196597222217</v>
      </c>
      <c r="O16" s="19">
        <v>46292.196597222217</v>
      </c>
      <c r="P16" s="12" t="s">
        <v>259</v>
      </c>
      <c r="Q16" s="18"/>
      <c r="R16" s="12"/>
      <c r="S16" s="12" t="s">
        <v>269</v>
      </c>
    </row>
    <row r="17" spans="1:19" ht="51" x14ac:dyDescent="0.25">
      <c r="A17" s="15" t="s">
        <v>282</v>
      </c>
      <c r="B17" s="16">
        <v>1</v>
      </c>
      <c r="C17" s="12" t="s">
        <v>116</v>
      </c>
      <c r="D17" s="18" t="s">
        <v>283</v>
      </c>
      <c r="E17" s="18" t="s">
        <v>284</v>
      </c>
      <c r="F17" s="12" t="s">
        <v>184</v>
      </c>
      <c r="G17" s="12" t="s">
        <v>78</v>
      </c>
      <c r="H17" s="18" t="s">
        <v>279</v>
      </c>
      <c r="I17" s="18" t="s">
        <v>280</v>
      </c>
      <c r="J17" s="18" t="s">
        <v>281</v>
      </c>
      <c r="K17" s="18" t="s">
        <v>262</v>
      </c>
      <c r="L17" s="12" t="s">
        <v>258</v>
      </c>
      <c r="M17" s="19">
        <v>46292.190300925933</v>
      </c>
      <c r="N17" s="19">
        <v>46292.196643518517</v>
      </c>
      <c r="O17" s="19">
        <v>46292.196643518517</v>
      </c>
      <c r="P17" s="12" t="s">
        <v>259</v>
      </c>
      <c r="Q17" s="18"/>
      <c r="R17" s="12"/>
      <c r="S17" s="12" t="s">
        <v>269</v>
      </c>
    </row>
    <row r="18" spans="1:19" ht="51" x14ac:dyDescent="0.25">
      <c r="A18" s="15" t="s">
        <v>285</v>
      </c>
      <c r="B18" s="16">
        <v>1</v>
      </c>
      <c r="C18" s="12" t="s">
        <v>116</v>
      </c>
      <c r="D18" s="18" t="s">
        <v>286</v>
      </c>
      <c r="E18" s="18" t="s">
        <v>287</v>
      </c>
      <c r="F18" s="12" t="s">
        <v>184</v>
      </c>
      <c r="G18" s="12" t="s">
        <v>78</v>
      </c>
      <c r="H18" s="18" t="s">
        <v>279</v>
      </c>
      <c r="I18" s="18" t="s">
        <v>280</v>
      </c>
      <c r="J18" s="18" t="s">
        <v>281</v>
      </c>
      <c r="K18" s="18" t="s">
        <v>262</v>
      </c>
      <c r="L18" s="12" t="s">
        <v>258</v>
      </c>
      <c r="M18" s="19">
        <v>46292.189988425933</v>
      </c>
      <c r="N18" s="19">
        <v>46292.19667824074</v>
      </c>
      <c r="O18" s="19">
        <v>46292.19667824074</v>
      </c>
      <c r="P18" s="12" t="s">
        <v>259</v>
      </c>
      <c r="Q18" s="18"/>
      <c r="R18" s="12"/>
      <c r="S18" s="12" t="s">
        <v>269</v>
      </c>
    </row>
    <row r="19" spans="1:19" ht="51" x14ac:dyDescent="0.25">
      <c r="A19" s="15" t="s">
        <v>288</v>
      </c>
      <c r="B19" s="16">
        <v>1</v>
      </c>
      <c r="C19" s="12" t="s">
        <v>116</v>
      </c>
      <c r="D19" s="18" t="s">
        <v>289</v>
      </c>
      <c r="E19" s="18" t="s">
        <v>290</v>
      </c>
      <c r="F19" s="12" t="s">
        <v>184</v>
      </c>
      <c r="G19" s="12" t="s">
        <v>78</v>
      </c>
      <c r="H19" s="18" t="s">
        <v>279</v>
      </c>
      <c r="I19" s="18" t="s">
        <v>280</v>
      </c>
      <c r="J19" s="18" t="s">
        <v>281</v>
      </c>
      <c r="K19" s="18" t="s">
        <v>291</v>
      </c>
      <c r="L19" s="12" t="s">
        <v>258</v>
      </c>
      <c r="M19" s="19">
        <v>46292.190023148149</v>
      </c>
      <c r="N19" s="19">
        <v>46292.196712962963</v>
      </c>
      <c r="O19" s="19">
        <v>46292.196712962963</v>
      </c>
      <c r="P19" s="12" t="s">
        <v>259</v>
      </c>
      <c r="Q19" s="18"/>
      <c r="R19" s="12"/>
      <c r="S19" s="12" t="s">
        <v>269</v>
      </c>
    </row>
    <row r="20" spans="1:19" ht="63.75" x14ac:dyDescent="0.25">
      <c r="A20" s="15" t="s">
        <v>292</v>
      </c>
      <c r="B20" s="16">
        <v>1</v>
      </c>
      <c r="C20" s="12" t="s">
        <v>116</v>
      </c>
      <c r="D20" s="18" t="s">
        <v>293</v>
      </c>
      <c r="E20" s="18" t="s">
        <v>294</v>
      </c>
      <c r="F20" s="12" t="s">
        <v>184</v>
      </c>
      <c r="G20" s="12" t="s">
        <v>78</v>
      </c>
      <c r="H20" s="18" t="s">
        <v>295</v>
      </c>
      <c r="I20" s="18" t="s">
        <v>296</v>
      </c>
      <c r="J20" s="18" t="s">
        <v>281</v>
      </c>
      <c r="K20" s="18" t="s">
        <v>288</v>
      </c>
      <c r="L20" s="12" t="s">
        <v>258</v>
      </c>
      <c r="M20" s="19">
        <v>46292.190057870372</v>
      </c>
      <c r="N20" s="19">
        <v>46292.196747685193</v>
      </c>
      <c r="O20" s="19">
        <v>46292.196747685193</v>
      </c>
      <c r="P20" s="12" t="s">
        <v>259</v>
      </c>
      <c r="Q20" s="18"/>
      <c r="R20" s="12"/>
      <c r="S20" s="12" t="s">
        <v>269</v>
      </c>
    </row>
    <row r="21" spans="1:19" ht="204" x14ac:dyDescent="0.25">
      <c r="A21" s="15" t="s">
        <v>297</v>
      </c>
      <c r="B21" s="16">
        <v>1</v>
      </c>
      <c r="C21" s="12" t="s">
        <v>116</v>
      </c>
      <c r="D21" s="18" t="s">
        <v>298</v>
      </c>
      <c r="E21" s="18" t="s">
        <v>299</v>
      </c>
      <c r="F21" s="12" t="s">
        <v>199</v>
      </c>
      <c r="G21" s="12" t="s">
        <v>78</v>
      </c>
      <c r="H21" s="18" t="s">
        <v>300</v>
      </c>
      <c r="I21" s="18" t="s">
        <v>301</v>
      </c>
      <c r="J21" s="18" t="s">
        <v>281</v>
      </c>
      <c r="K21" s="18"/>
      <c r="L21" s="12" t="s">
        <v>268</v>
      </c>
      <c r="M21" s="19">
        <v>46292.397581018522</v>
      </c>
      <c r="N21" s="19">
        <v>46292.398900462962</v>
      </c>
      <c r="O21" s="19">
        <v>46292.398900462962</v>
      </c>
      <c r="P21" s="12" t="s">
        <v>302</v>
      </c>
      <c r="Q21" s="18"/>
      <c r="R21" s="12" t="s">
        <v>292</v>
      </c>
      <c r="S21" s="12" t="s">
        <v>303</v>
      </c>
    </row>
    <row r="22" spans="1:19" ht="102" x14ac:dyDescent="0.25">
      <c r="A22" s="15" t="s">
        <v>304</v>
      </c>
      <c r="B22" s="16">
        <v>1</v>
      </c>
      <c r="C22" s="12" t="s">
        <v>116</v>
      </c>
      <c r="D22" s="18" t="s">
        <v>305</v>
      </c>
      <c r="E22" s="18" t="s">
        <v>306</v>
      </c>
      <c r="F22" s="12" t="s">
        <v>199</v>
      </c>
      <c r="G22" s="12" t="s">
        <v>78</v>
      </c>
      <c r="H22" s="18" t="s">
        <v>307</v>
      </c>
      <c r="I22" s="18" t="s">
        <v>308</v>
      </c>
      <c r="J22" s="18" t="s">
        <v>281</v>
      </c>
      <c r="K22" s="18"/>
      <c r="L22" s="12" t="s">
        <v>268</v>
      </c>
      <c r="M22" s="19">
        <v>46292.397627314807</v>
      </c>
      <c r="N22" s="19">
        <v>46292.398935185192</v>
      </c>
      <c r="O22" s="19">
        <v>46292.398935185192</v>
      </c>
      <c r="P22" s="12" t="s">
        <v>302</v>
      </c>
      <c r="Q22" s="18"/>
      <c r="R22" s="12" t="s">
        <v>292</v>
      </c>
      <c r="S22" s="12" t="s">
        <v>309</v>
      </c>
    </row>
    <row r="23" spans="1:19" ht="89.25" x14ac:dyDescent="0.25">
      <c r="A23" s="15" t="s">
        <v>310</v>
      </c>
      <c r="B23" s="16">
        <v>1</v>
      </c>
      <c r="C23" s="12" t="s">
        <v>116</v>
      </c>
      <c r="D23" s="18" t="s">
        <v>311</v>
      </c>
      <c r="E23" s="18" t="s">
        <v>312</v>
      </c>
      <c r="F23" s="12" t="s">
        <v>313</v>
      </c>
      <c r="G23" s="12" t="s">
        <v>78</v>
      </c>
      <c r="H23" s="18" t="s">
        <v>314</v>
      </c>
      <c r="I23" s="18" t="s">
        <v>315</v>
      </c>
      <c r="J23" s="18" t="s">
        <v>281</v>
      </c>
      <c r="K23" s="18"/>
      <c r="L23" s="12" t="s">
        <v>188</v>
      </c>
      <c r="M23" s="19">
        <v>46292.406631944446</v>
      </c>
      <c r="N23" s="19">
        <v>46292.41609953704</v>
      </c>
      <c r="O23" s="19">
        <v>46292.41609953704</v>
      </c>
      <c r="P23" s="12" t="s">
        <v>316</v>
      </c>
      <c r="Q23" s="18"/>
      <c r="R23" s="12" t="s">
        <v>292</v>
      </c>
      <c r="S23" s="12" t="s">
        <v>269</v>
      </c>
    </row>
    <row r="24" spans="1:19" ht="140.25" x14ac:dyDescent="0.25">
      <c r="A24" s="15" t="s">
        <v>317</v>
      </c>
      <c r="B24" s="16">
        <v>1</v>
      </c>
      <c r="C24" s="12" t="s">
        <v>116</v>
      </c>
      <c r="D24" s="18" t="s">
        <v>318</v>
      </c>
      <c r="E24" s="18" t="s">
        <v>319</v>
      </c>
      <c r="F24" s="12" t="s">
        <v>313</v>
      </c>
      <c r="G24" s="12" t="s">
        <v>78</v>
      </c>
      <c r="H24" s="18" t="s">
        <v>320</v>
      </c>
      <c r="I24" s="18" t="s">
        <v>321</v>
      </c>
      <c r="J24" s="18" t="s">
        <v>281</v>
      </c>
      <c r="K24" s="18"/>
      <c r="L24" s="12" t="s">
        <v>188</v>
      </c>
      <c r="M24" s="19">
        <v>46292.397696759261</v>
      </c>
      <c r="N24" s="19">
        <v>46292.416145833333</v>
      </c>
      <c r="O24" s="19">
        <v>46292.416145833333</v>
      </c>
      <c r="P24" s="12" t="s">
        <v>316</v>
      </c>
      <c r="Q24" s="18" t="s">
        <v>322</v>
      </c>
      <c r="R24" s="12" t="s">
        <v>292</v>
      </c>
      <c r="S24" s="12" t="s">
        <v>323</v>
      </c>
    </row>
    <row r="25" spans="1:19" ht="114.75" x14ac:dyDescent="0.25">
      <c r="A25" s="15" t="s">
        <v>324</v>
      </c>
      <c r="B25" s="16">
        <v>1</v>
      </c>
      <c r="C25" s="12" t="s">
        <v>116</v>
      </c>
      <c r="D25" s="18" t="s">
        <v>325</v>
      </c>
      <c r="E25" s="18" t="s">
        <v>326</v>
      </c>
      <c r="F25" s="12" t="s">
        <v>327</v>
      </c>
      <c r="G25" s="12" t="s">
        <v>78</v>
      </c>
      <c r="H25" s="18" t="s">
        <v>328</v>
      </c>
      <c r="I25" s="18" t="s">
        <v>329</v>
      </c>
      <c r="J25" s="18" t="s">
        <v>281</v>
      </c>
      <c r="K25" s="18"/>
      <c r="L25" s="12" t="s">
        <v>188</v>
      </c>
      <c r="M25" s="19">
        <v>46292.397662037038</v>
      </c>
      <c r="N25" s="19">
        <v>46292.398969907408</v>
      </c>
      <c r="O25" s="19">
        <v>46292.398969907408</v>
      </c>
      <c r="P25" s="12" t="s">
        <v>302</v>
      </c>
      <c r="Q25" s="18"/>
      <c r="R25" s="12" t="s">
        <v>292</v>
      </c>
      <c r="S25" s="12" t="s">
        <v>269</v>
      </c>
    </row>
    <row r="26" spans="1:19" ht="25.5" x14ac:dyDescent="0.25">
      <c r="A26" s="15" t="s">
        <v>330</v>
      </c>
      <c r="B26" s="16">
        <v>1</v>
      </c>
      <c r="C26" s="12" t="s">
        <v>116</v>
      </c>
      <c r="D26" s="18" t="s">
        <v>331</v>
      </c>
      <c r="E26" s="18" t="s">
        <v>332</v>
      </c>
      <c r="F26" s="12" t="s">
        <v>184</v>
      </c>
      <c r="G26" s="12" t="s">
        <v>78</v>
      </c>
      <c r="H26" s="18" t="s">
        <v>333</v>
      </c>
      <c r="I26" s="18" t="s">
        <v>334</v>
      </c>
      <c r="J26" s="18" t="s">
        <v>281</v>
      </c>
      <c r="K26" s="18" t="s">
        <v>292</v>
      </c>
      <c r="L26" s="12" t="s">
        <v>258</v>
      </c>
      <c r="M26" s="19">
        <v>46292.193043981482</v>
      </c>
      <c r="N26" s="19">
        <v>46292.196782407409</v>
      </c>
      <c r="O26" s="19">
        <v>46292.196782407409</v>
      </c>
      <c r="P26" s="12" t="s">
        <v>259</v>
      </c>
      <c r="Q26" s="18"/>
      <c r="R26" s="12"/>
      <c r="S26" s="12" t="s">
        <v>269</v>
      </c>
    </row>
    <row r="27" spans="1:19" ht="127.5" x14ac:dyDescent="0.25">
      <c r="A27" s="15" t="s">
        <v>335</v>
      </c>
      <c r="B27" s="16">
        <v>1</v>
      </c>
      <c r="C27" s="12" t="s">
        <v>116</v>
      </c>
      <c r="D27" s="18" t="s">
        <v>336</v>
      </c>
      <c r="E27" s="18" t="s">
        <v>337</v>
      </c>
      <c r="F27" s="12" t="s">
        <v>313</v>
      </c>
      <c r="G27" s="12" t="s">
        <v>78</v>
      </c>
      <c r="H27" s="18" t="s">
        <v>338</v>
      </c>
      <c r="I27" s="18" t="s">
        <v>339</v>
      </c>
      <c r="J27" s="18" t="s">
        <v>281</v>
      </c>
      <c r="K27" s="18"/>
      <c r="L27" s="12" t="s">
        <v>188</v>
      </c>
      <c r="M27" s="19">
        <v>46292.408773148149</v>
      </c>
      <c r="N27" s="19">
        <v>46292.416064814817</v>
      </c>
      <c r="O27" s="19">
        <v>46292.416064814817</v>
      </c>
      <c r="P27" s="12" t="s">
        <v>316</v>
      </c>
      <c r="Q27" s="18"/>
      <c r="R27" s="12"/>
      <c r="S27" s="12" t="s">
        <v>340</v>
      </c>
    </row>
    <row r="28" spans="1:19" ht="89.25" x14ac:dyDescent="0.25">
      <c r="A28" s="15" t="s">
        <v>341</v>
      </c>
      <c r="B28" s="16">
        <v>1</v>
      </c>
      <c r="C28" s="12" t="s">
        <v>109</v>
      </c>
      <c r="D28" s="18" t="s">
        <v>342</v>
      </c>
      <c r="E28" s="18" t="s">
        <v>343</v>
      </c>
      <c r="F28" s="12" t="s">
        <v>184</v>
      </c>
      <c r="G28" s="12" t="s">
        <v>78</v>
      </c>
      <c r="H28" s="18" t="s">
        <v>344</v>
      </c>
      <c r="I28" s="18" t="s">
        <v>345</v>
      </c>
      <c r="J28" s="18" t="s">
        <v>346</v>
      </c>
      <c r="K28" s="18" t="s">
        <v>270</v>
      </c>
      <c r="L28" s="12" t="s">
        <v>258</v>
      </c>
      <c r="M28" s="19">
        <v>46292.189837962957</v>
      </c>
      <c r="N28" s="19">
        <v>46292.196828703702</v>
      </c>
      <c r="O28" s="19">
        <v>46292.196828703702</v>
      </c>
      <c r="P28" s="12" t="s">
        <v>259</v>
      </c>
      <c r="Q28" s="18"/>
      <c r="R28" s="12"/>
      <c r="S28" s="12" t="s">
        <v>269</v>
      </c>
    </row>
    <row r="29" spans="1:19" ht="63.75" x14ac:dyDescent="0.25">
      <c r="A29" s="15" t="s">
        <v>347</v>
      </c>
      <c r="B29" s="16">
        <v>1</v>
      </c>
      <c r="C29" s="12" t="s">
        <v>113</v>
      </c>
      <c r="D29" s="18" t="s">
        <v>348</v>
      </c>
      <c r="E29" s="18" t="s">
        <v>349</v>
      </c>
      <c r="F29" s="12" t="s">
        <v>184</v>
      </c>
      <c r="G29" s="12" t="s">
        <v>78</v>
      </c>
      <c r="H29" s="18" t="s">
        <v>350</v>
      </c>
      <c r="I29" s="18" t="s">
        <v>351</v>
      </c>
      <c r="J29" s="18" t="s">
        <v>346</v>
      </c>
      <c r="K29" s="18" t="s">
        <v>270</v>
      </c>
      <c r="L29" s="12" t="s">
        <v>268</v>
      </c>
      <c r="M29" s="19">
        <v>46292.189872685187</v>
      </c>
      <c r="N29" s="19">
        <v>46292.196863425917</v>
      </c>
      <c r="O29" s="19">
        <v>46292.196863425917</v>
      </c>
      <c r="P29" s="12" t="s">
        <v>259</v>
      </c>
      <c r="Q29" s="18"/>
      <c r="R29" s="12"/>
      <c r="S29" s="12" t="s">
        <v>269</v>
      </c>
    </row>
    <row r="30" spans="1:19" ht="51" x14ac:dyDescent="0.25">
      <c r="A30" s="15" t="s">
        <v>352</v>
      </c>
      <c r="B30" s="16">
        <v>1</v>
      </c>
      <c r="C30" s="12" t="s">
        <v>104</v>
      </c>
      <c r="D30" s="18" t="s">
        <v>353</v>
      </c>
      <c r="E30" s="18" t="s">
        <v>354</v>
      </c>
      <c r="F30" s="12" t="s">
        <v>184</v>
      </c>
      <c r="G30" s="12" t="s">
        <v>78</v>
      </c>
      <c r="H30" s="18" t="s">
        <v>355</v>
      </c>
      <c r="I30" s="18" t="s">
        <v>356</v>
      </c>
      <c r="J30" s="18" t="s">
        <v>257</v>
      </c>
      <c r="K30" s="18"/>
      <c r="L30" s="12" t="s">
        <v>268</v>
      </c>
      <c r="M30" s="19">
        <v>46292.217905092592</v>
      </c>
      <c r="N30" s="19">
        <v>46292.219282407408</v>
      </c>
      <c r="O30" s="19">
        <v>46292.219282407408</v>
      </c>
      <c r="P30" s="12" t="s">
        <v>357</v>
      </c>
      <c r="Q30" s="18"/>
      <c r="R30" s="12"/>
      <c r="S30" s="12" t="s">
        <v>303</v>
      </c>
    </row>
    <row r="31" spans="1:19" ht="204" x14ac:dyDescent="0.25">
      <c r="A31" s="15" t="s">
        <v>358</v>
      </c>
      <c r="B31" s="16">
        <v>1</v>
      </c>
      <c r="C31" s="12" t="s">
        <v>104</v>
      </c>
      <c r="D31" s="18" t="s">
        <v>359</v>
      </c>
      <c r="E31" s="18" t="s">
        <v>360</v>
      </c>
      <c r="F31" s="12" t="s">
        <v>184</v>
      </c>
      <c r="G31" s="12" t="s">
        <v>78</v>
      </c>
      <c r="H31" s="18" t="s">
        <v>361</v>
      </c>
      <c r="I31" s="18" t="s">
        <v>362</v>
      </c>
      <c r="J31" s="18" t="s">
        <v>363</v>
      </c>
      <c r="K31" s="18" t="s">
        <v>352</v>
      </c>
      <c r="L31" s="12" t="s">
        <v>258</v>
      </c>
      <c r="M31" s="19">
        <v>46292.21802083333</v>
      </c>
      <c r="N31" s="19">
        <v>46292.376377314817</v>
      </c>
      <c r="O31" s="19">
        <v>46292.376377314817</v>
      </c>
      <c r="P31" s="12" t="s">
        <v>364</v>
      </c>
      <c r="Q31" s="18" t="s">
        <v>365</v>
      </c>
      <c r="R31" s="12" t="s">
        <v>352</v>
      </c>
      <c r="S31" s="12" t="s">
        <v>366</v>
      </c>
    </row>
    <row r="32" spans="1:19" ht="89.25" x14ac:dyDescent="0.25">
      <c r="A32" s="15" t="s">
        <v>367</v>
      </c>
      <c r="B32" s="16">
        <v>1</v>
      </c>
      <c r="C32" s="12" t="s">
        <v>104</v>
      </c>
      <c r="D32" s="18" t="s">
        <v>368</v>
      </c>
      <c r="E32" s="18" t="s">
        <v>369</v>
      </c>
      <c r="F32" s="12" t="s">
        <v>184</v>
      </c>
      <c r="G32" s="12" t="s">
        <v>78</v>
      </c>
      <c r="H32" s="18" t="s">
        <v>370</v>
      </c>
      <c r="I32" s="18" t="s">
        <v>371</v>
      </c>
      <c r="J32" s="18" t="s">
        <v>346</v>
      </c>
      <c r="K32" s="18" t="s">
        <v>352</v>
      </c>
      <c r="L32" s="12" t="s">
        <v>268</v>
      </c>
      <c r="M32" s="19">
        <v>46292.349918981483</v>
      </c>
      <c r="N32" s="19">
        <v>46292.351134259261</v>
      </c>
      <c r="O32" s="19">
        <v>46292.351134259261</v>
      </c>
      <c r="P32" s="12" t="s">
        <v>372</v>
      </c>
      <c r="Q32" s="18"/>
      <c r="R32" s="12" t="s">
        <v>352</v>
      </c>
      <c r="S32" s="12" t="s">
        <v>373</v>
      </c>
    </row>
    <row r="33" spans="1:19" ht="51" x14ac:dyDescent="0.25">
      <c r="A33" s="15" t="s">
        <v>374</v>
      </c>
      <c r="B33" s="16">
        <v>1</v>
      </c>
      <c r="C33" s="12" t="s">
        <v>104</v>
      </c>
      <c r="D33" s="18" t="s">
        <v>375</v>
      </c>
      <c r="E33" s="18" t="s">
        <v>376</v>
      </c>
      <c r="F33" s="12" t="s">
        <v>184</v>
      </c>
      <c r="G33" s="12" t="s">
        <v>78</v>
      </c>
      <c r="H33" s="18" t="s">
        <v>377</v>
      </c>
      <c r="I33" s="18" t="s">
        <v>378</v>
      </c>
      <c r="J33" s="18" t="s">
        <v>281</v>
      </c>
      <c r="K33" s="18" t="s">
        <v>358</v>
      </c>
      <c r="L33" s="12" t="s">
        <v>268</v>
      </c>
      <c r="M33" s="19">
        <v>46292.217986111107</v>
      </c>
      <c r="N33" s="19">
        <v>46292.219317129631</v>
      </c>
      <c r="O33" s="19">
        <v>46292.219317129631</v>
      </c>
      <c r="P33" s="12" t="s">
        <v>357</v>
      </c>
      <c r="Q33" s="18"/>
      <c r="R33" s="12" t="s">
        <v>352</v>
      </c>
      <c r="S33" s="12" t="s">
        <v>303</v>
      </c>
    </row>
    <row r="34" spans="1:19" ht="51" x14ac:dyDescent="0.25">
      <c r="A34" s="15" t="s">
        <v>379</v>
      </c>
      <c r="B34" s="16">
        <v>1</v>
      </c>
      <c r="C34" s="12" t="s">
        <v>104</v>
      </c>
      <c r="D34" s="18" t="s">
        <v>380</v>
      </c>
      <c r="E34" s="18" t="s">
        <v>381</v>
      </c>
      <c r="F34" s="12" t="s">
        <v>184</v>
      </c>
      <c r="G34" s="12" t="s">
        <v>78</v>
      </c>
      <c r="H34" s="18" t="s">
        <v>382</v>
      </c>
      <c r="I34" s="18" t="s">
        <v>383</v>
      </c>
      <c r="J34" s="18" t="s">
        <v>257</v>
      </c>
      <c r="K34" s="18" t="s">
        <v>352</v>
      </c>
      <c r="L34" s="12" t="s">
        <v>188</v>
      </c>
      <c r="M34" s="19">
        <v>46292.217939814807</v>
      </c>
      <c r="N34" s="19">
        <v>46292.219351851847</v>
      </c>
      <c r="O34" s="19">
        <v>46292.219351851847</v>
      </c>
      <c r="P34" s="12" t="s">
        <v>357</v>
      </c>
      <c r="Q34" s="18"/>
      <c r="R34" s="12" t="s">
        <v>352</v>
      </c>
      <c r="S34" s="12" t="s">
        <v>303</v>
      </c>
    </row>
    <row r="35" spans="1:19" ht="63.75" x14ac:dyDescent="0.25">
      <c r="A35" s="15" t="s">
        <v>384</v>
      </c>
      <c r="B35" s="16">
        <v>1</v>
      </c>
      <c r="C35" s="12" t="s">
        <v>102</v>
      </c>
      <c r="D35" s="18" t="s">
        <v>385</v>
      </c>
      <c r="E35" s="18" t="s">
        <v>386</v>
      </c>
      <c r="F35" s="12" t="s">
        <v>199</v>
      </c>
      <c r="G35" s="12" t="s">
        <v>78</v>
      </c>
      <c r="H35" s="18" t="s">
        <v>387</v>
      </c>
      <c r="I35" s="18" t="s">
        <v>388</v>
      </c>
      <c r="J35" s="18" t="s">
        <v>389</v>
      </c>
      <c r="K35" s="18" t="s">
        <v>379</v>
      </c>
      <c r="L35" s="12" t="s">
        <v>188</v>
      </c>
      <c r="M35" s="19">
        <v>46292.356574074067</v>
      </c>
      <c r="N35" s="19">
        <v>46292.357858796298</v>
      </c>
      <c r="O35" s="19">
        <v>46292.357858796298</v>
      </c>
      <c r="P35" s="12" t="s">
        <v>390</v>
      </c>
      <c r="Q35" s="18" t="s">
        <v>391</v>
      </c>
      <c r="R35" s="12"/>
      <c r="S35" s="12" t="s">
        <v>392</v>
      </c>
    </row>
    <row r="36" spans="1:19" ht="127.5" x14ac:dyDescent="0.25">
      <c r="A36" s="15" t="s">
        <v>393</v>
      </c>
      <c r="B36" s="16">
        <v>1</v>
      </c>
      <c r="C36" s="12" t="s">
        <v>72</v>
      </c>
      <c r="D36" s="18" t="s">
        <v>394</v>
      </c>
      <c r="E36" s="18" t="s">
        <v>395</v>
      </c>
      <c r="F36" s="12" t="s">
        <v>184</v>
      </c>
      <c r="G36" s="12" t="s">
        <v>78</v>
      </c>
      <c r="H36" s="18" t="s">
        <v>396</v>
      </c>
      <c r="I36" s="18" t="s">
        <v>397</v>
      </c>
      <c r="J36" s="18" t="s">
        <v>398</v>
      </c>
      <c r="K36" s="18" t="s">
        <v>399</v>
      </c>
      <c r="L36" s="12" t="s">
        <v>268</v>
      </c>
      <c r="M36" s="19">
        <v>46292.193078703713</v>
      </c>
      <c r="N36" s="19">
        <v>46292.416215277779</v>
      </c>
      <c r="O36" s="19">
        <v>46292.416215277779</v>
      </c>
      <c r="P36" s="12" t="s">
        <v>316</v>
      </c>
      <c r="Q36" s="18"/>
      <c r="R36" s="12"/>
      <c r="S36" s="12" t="s">
        <v>269</v>
      </c>
    </row>
    <row r="37" spans="1:19" ht="51" x14ac:dyDescent="0.25">
      <c r="A37" s="15" t="s">
        <v>400</v>
      </c>
      <c r="B37" s="16">
        <v>1</v>
      </c>
      <c r="C37" s="12" t="s">
        <v>144</v>
      </c>
      <c r="D37" s="18" t="s">
        <v>401</v>
      </c>
      <c r="E37" s="18" t="s">
        <v>402</v>
      </c>
      <c r="F37" s="12" t="s">
        <v>313</v>
      </c>
      <c r="G37" s="12" t="s">
        <v>78</v>
      </c>
      <c r="H37" s="18" t="s">
        <v>403</v>
      </c>
      <c r="I37" s="18" t="s">
        <v>404</v>
      </c>
      <c r="J37" s="18" t="s">
        <v>405</v>
      </c>
      <c r="K37" s="18"/>
      <c r="L37" s="12" t="s">
        <v>188</v>
      </c>
      <c r="M37" s="19">
        <v>46292.218136574083</v>
      </c>
      <c r="N37" s="19">
        <v>46292.219386574077</v>
      </c>
      <c r="O37" s="19">
        <v>46292.219386574077</v>
      </c>
      <c r="P37" s="12" t="s">
        <v>357</v>
      </c>
      <c r="Q37" s="18"/>
      <c r="R37" s="12"/>
      <c r="S37" s="12"/>
    </row>
    <row r="38" spans="1:19" ht="127.5" x14ac:dyDescent="0.25">
      <c r="A38" s="15" t="s">
        <v>406</v>
      </c>
      <c r="B38" s="16">
        <v>1</v>
      </c>
      <c r="C38" s="12" t="s">
        <v>104</v>
      </c>
      <c r="D38" s="18" t="s">
        <v>407</v>
      </c>
      <c r="E38" s="18" t="s">
        <v>408</v>
      </c>
      <c r="F38" s="12" t="s">
        <v>199</v>
      </c>
      <c r="G38" s="12" t="s">
        <v>78</v>
      </c>
      <c r="H38" s="18" t="s">
        <v>409</v>
      </c>
      <c r="I38" s="18" t="s">
        <v>410</v>
      </c>
      <c r="J38" s="18" t="s">
        <v>363</v>
      </c>
      <c r="K38" s="18" t="s">
        <v>352</v>
      </c>
      <c r="L38" s="12" t="s">
        <v>268</v>
      </c>
      <c r="M38" s="19">
        <v>46292.406701388893</v>
      </c>
      <c r="N38" s="19">
        <v>46292.416180555563</v>
      </c>
      <c r="O38" s="19">
        <v>46292.416180555563</v>
      </c>
      <c r="P38" s="12" t="s">
        <v>316</v>
      </c>
      <c r="Q38" s="18" t="s">
        <v>411</v>
      </c>
      <c r="R38" s="12"/>
      <c r="S38" s="12"/>
    </row>
    <row r="39" spans="1:19" ht="165.75" x14ac:dyDescent="0.25">
      <c r="A39" s="15" t="s">
        <v>412</v>
      </c>
      <c r="B39" s="16">
        <v>2</v>
      </c>
      <c r="C39" s="12" t="s">
        <v>122</v>
      </c>
      <c r="D39" s="18" t="s">
        <v>413</v>
      </c>
      <c r="E39" s="18" t="s">
        <v>414</v>
      </c>
      <c r="F39" s="12" t="s">
        <v>184</v>
      </c>
      <c r="G39" s="12" t="s">
        <v>78</v>
      </c>
      <c r="H39" s="18" t="s">
        <v>415</v>
      </c>
      <c r="I39" s="18" t="s">
        <v>416</v>
      </c>
      <c r="J39" s="18" t="s">
        <v>417</v>
      </c>
      <c r="K39" s="18"/>
      <c r="L39" s="12" t="s">
        <v>258</v>
      </c>
      <c r="M39" s="19">
        <v>46292.218055555553</v>
      </c>
      <c r="N39" s="19">
        <v>46292.605937499997</v>
      </c>
      <c r="O39" s="19">
        <v>46292.605937499997</v>
      </c>
      <c r="P39" s="12" t="s">
        <v>418</v>
      </c>
      <c r="Q39" s="18" t="s">
        <v>419</v>
      </c>
      <c r="R39" s="12"/>
      <c r="S39" s="12" t="s">
        <v>420</v>
      </c>
    </row>
    <row r="40" spans="1:19" ht="114.75" x14ac:dyDescent="0.25">
      <c r="A40" s="15" t="s">
        <v>421</v>
      </c>
      <c r="B40" s="16">
        <v>2</v>
      </c>
      <c r="C40" s="12" t="s">
        <v>122</v>
      </c>
      <c r="D40" s="18" t="s">
        <v>422</v>
      </c>
      <c r="E40" s="18" t="s">
        <v>423</v>
      </c>
      <c r="F40" s="12" t="s">
        <v>184</v>
      </c>
      <c r="G40" s="12" t="s">
        <v>78</v>
      </c>
      <c r="H40" s="18" t="s">
        <v>424</v>
      </c>
      <c r="I40" s="18" t="s">
        <v>425</v>
      </c>
      <c r="J40" s="18" t="s">
        <v>417</v>
      </c>
      <c r="K40" s="18" t="s">
        <v>412</v>
      </c>
      <c r="L40" s="12" t="s">
        <v>258</v>
      </c>
      <c r="M40" s="19">
        <v>46292.605706018519</v>
      </c>
      <c r="N40" s="19">
        <v>46292.60597222222</v>
      </c>
      <c r="O40" s="19">
        <v>46292.60597222222</v>
      </c>
      <c r="P40" s="12" t="s">
        <v>418</v>
      </c>
      <c r="Q40" s="18" t="s">
        <v>426</v>
      </c>
      <c r="R40" s="12" t="s">
        <v>412</v>
      </c>
      <c r="S40" s="12" t="s">
        <v>420</v>
      </c>
    </row>
    <row r="41" spans="1:19" ht="127.5" x14ac:dyDescent="0.25">
      <c r="A41" s="15" t="s">
        <v>427</v>
      </c>
      <c r="B41" s="16">
        <v>2</v>
      </c>
      <c r="C41" s="12" t="s">
        <v>122</v>
      </c>
      <c r="D41" s="18" t="s">
        <v>428</v>
      </c>
      <c r="E41" s="18" t="s">
        <v>429</v>
      </c>
      <c r="F41" s="12" t="s">
        <v>184</v>
      </c>
      <c r="G41" s="12" t="s">
        <v>78</v>
      </c>
      <c r="H41" s="18" t="s">
        <v>430</v>
      </c>
      <c r="I41" s="18" t="s">
        <v>431</v>
      </c>
      <c r="J41" s="18" t="s">
        <v>417</v>
      </c>
      <c r="K41" s="18" t="s">
        <v>412</v>
      </c>
      <c r="L41" s="12" t="s">
        <v>268</v>
      </c>
      <c r="M41" s="19">
        <v>46292.605740740742</v>
      </c>
      <c r="N41" s="19">
        <v>46292.60601851852</v>
      </c>
      <c r="O41" s="19">
        <v>46292.60601851852</v>
      </c>
      <c r="P41" s="12" t="s">
        <v>418</v>
      </c>
      <c r="Q41" s="18"/>
      <c r="R41" s="12" t="s">
        <v>412</v>
      </c>
      <c r="S41" s="12" t="s">
        <v>420</v>
      </c>
    </row>
    <row r="42" spans="1:19" ht="102" x14ac:dyDescent="0.25">
      <c r="A42" s="15" t="s">
        <v>432</v>
      </c>
      <c r="B42" s="16">
        <v>2</v>
      </c>
      <c r="C42" s="12" t="s">
        <v>122</v>
      </c>
      <c r="D42" s="18" t="s">
        <v>433</v>
      </c>
      <c r="E42" s="18" t="s">
        <v>434</v>
      </c>
      <c r="F42" s="12" t="s">
        <v>184</v>
      </c>
      <c r="G42" s="12" t="s">
        <v>78</v>
      </c>
      <c r="H42" s="18" t="s">
        <v>435</v>
      </c>
      <c r="I42" s="18" t="s">
        <v>436</v>
      </c>
      <c r="J42" s="18" t="s">
        <v>208</v>
      </c>
      <c r="K42" s="18" t="s">
        <v>427</v>
      </c>
      <c r="L42" s="12" t="s">
        <v>188</v>
      </c>
      <c r="M42" s="19">
        <v>46292.605787037042</v>
      </c>
      <c r="N42" s="19">
        <v>46292.606053240743</v>
      </c>
      <c r="O42" s="19">
        <v>46292.606053240743</v>
      </c>
      <c r="P42" s="12" t="s">
        <v>418</v>
      </c>
      <c r="Q42" s="18"/>
      <c r="R42" s="12" t="s">
        <v>412</v>
      </c>
      <c r="S42" s="12" t="s">
        <v>420</v>
      </c>
    </row>
    <row r="43" spans="1:19" ht="140.25" x14ac:dyDescent="0.25">
      <c r="A43" s="15" t="s">
        <v>437</v>
      </c>
      <c r="B43" s="16">
        <v>2</v>
      </c>
      <c r="C43" s="12" t="s">
        <v>122</v>
      </c>
      <c r="D43" s="18" t="s">
        <v>438</v>
      </c>
      <c r="E43" s="18" t="s">
        <v>439</v>
      </c>
      <c r="F43" s="12" t="s">
        <v>184</v>
      </c>
      <c r="G43" s="12" t="s">
        <v>78</v>
      </c>
      <c r="H43" s="18" t="s">
        <v>440</v>
      </c>
      <c r="I43" s="18" t="s">
        <v>441</v>
      </c>
      <c r="J43" s="18" t="s">
        <v>417</v>
      </c>
      <c r="K43" s="18"/>
      <c r="L43" s="12" t="s">
        <v>268</v>
      </c>
      <c r="M43" s="19">
        <v>46292.606134259258</v>
      </c>
      <c r="N43" s="19">
        <v>46292.606504629628</v>
      </c>
      <c r="O43" s="19">
        <v>46292.606504629628</v>
      </c>
      <c r="P43" s="12" t="s">
        <v>442</v>
      </c>
      <c r="Q43" s="18"/>
      <c r="R43" s="12"/>
      <c r="S43" s="12" t="s">
        <v>443</v>
      </c>
    </row>
    <row r="44" spans="1:19" ht="153" x14ac:dyDescent="0.25">
      <c r="A44" s="15" t="s">
        <v>444</v>
      </c>
      <c r="B44" s="16">
        <v>2</v>
      </c>
      <c r="C44" s="12" t="s">
        <v>122</v>
      </c>
      <c r="D44" s="18" t="s">
        <v>445</v>
      </c>
      <c r="E44" s="18" t="s">
        <v>446</v>
      </c>
      <c r="F44" s="12" t="s">
        <v>184</v>
      </c>
      <c r="G44" s="12" t="s">
        <v>78</v>
      </c>
      <c r="H44" s="18" t="s">
        <v>447</v>
      </c>
      <c r="I44" s="18" t="s">
        <v>448</v>
      </c>
      <c r="J44" s="18" t="s">
        <v>449</v>
      </c>
      <c r="K44" s="18" t="s">
        <v>450</v>
      </c>
      <c r="L44" s="12" t="s">
        <v>258</v>
      </c>
      <c r="M44" s="19">
        <v>46292.606215277781</v>
      </c>
      <c r="N44" s="19">
        <v>46292.606585648151</v>
      </c>
      <c r="O44" s="19">
        <v>46292.606585648151</v>
      </c>
      <c r="P44" s="12" t="s">
        <v>442</v>
      </c>
      <c r="Q44" s="18"/>
      <c r="R44" s="12" t="s">
        <v>437</v>
      </c>
      <c r="S44" s="12" t="s">
        <v>443</v>
      </c>
    </row>
    <row r="45" spans="1:19" ht="102" x14ac:dyDescent="0.25">
      <c r="A45" s="15" t="s">
        <v>451</v>
      </c>
      <c r="B45" s="16">
        <v>2</v>
      </c>
      <c r="C45" s="12" t="s">
        <v>122</v>
      </c>
      <c r="D45" s="18" t="s">
        <v>452</v>
      </c>
      <c r="E45" s="18" t="s">
        <v>453</v>
      </c>
      <c r="F45" s="12" t="s">
        <v>184</v>
      </c>
      <c r="G45" s="12" t="s">
        <v>78</v>
      </c>
      <c r="H45" s="18" t="s">
        <v>454</v>
      </c>
      <c r="I45" s="18" t="s">
        <v>455</v>
      </c>
      <c r="J45" s="18" t="s">
        <v>281</v>
      </c>
      <c r="K45" s="18" t="s">
        <v>444</v>
      </c>
      <c r="L45" s="12" t="s">
        <v>268</v>
      </c>
      <c r="M45" s="19">
        <v>46292.606261574067</v>
      </c>
      <c r="N45" s="19">
        <v>46292.606620370367</v>
      </c>
      <c r="O45" s="19">
        <v>46292.606620370367</v>
      </c>
      <c r="P45" s="12" t="s">
        <v>442</v>
      </c>
      <c r="Q45" s="18"/>
      <c r="R45" s="12" t="s">
        <v>444</v>
      </c>
      <c r="S45" s="12" t="s">
        <v>443</v>
      </c>
    </row>
    <row r="46" spans="1:19" ht="178.5" x14ac:dyDescent="0.25">
      <c r="A46" s="15" t="s">
        <v>456</v>
      </c>
      <c r="B46" s="16">
        <v>2</v>
      </c>
      <c r="C46" s="12" t="s">
        <v>122</v>
      </c>
      <c r="D46" s="18" t="s">
        <v>457</v>
      </c>
      <c r="E46" s="18" t="s">
        <v>458</v>
      </c>
      <c r="F46" s="12" t="s">
        <v>199</v>
      </c>
      <c r="G46" s="12" t="s">
        <v>78</v>
      </c>
      <c r="H46" s="18" t="s">
        <v>459</v>
      </c>
      <c r="I46" s="18" t="s">
        <v>460</v>
      </c>
      <c r="J46" s="18" t="s">
        <v>417</v>
      </c>
      <c r="K46" s="18"/>
      <c r="L46" s="12" t="s">
        <v>268</v>
      </c>
      <c r="M46" s="19">
        <v>46292.60670138889</v>
      </c>
      <c r="N46" s="19">
        <v>46292.606782407413</v>
      </c>
      <c r="O46" s="19">
        <v>46292.606782407413</v>
      </c>
      <c r="P46" s="12" t="s">
        <v>461</v>
      </c>
      <c r="Q46" s="18"/>
      <c r="R46" s="12"/>
      <c r="S46" s="12" t="s">
        <v>420</v>
      </c>
    </row>
    <row r="47" spans="1:19" ht="191.25" x14ac:dyDescent="0.25">
      <c r="A47" s="15" t="s">
        <v>462</v>
      </c>
      <c r="B47" s="16">
        <v>2</v>
      </c>
      <c r="C47" s="12" t="s">
        <v>122</v>
      </c>
      <c r="D47" s="18" t="s">
        <v>463</v>
      </c>
      <c r="E47" s="18" t="s">
        <v>464</v>
      </c>
      <c r="F47" s="12" t="s">
        <v>199</v>
      </c>
      <c r="G47" s="12" t="s">
        <v>78</v>
      </c>
      <c r="H47" s="18" t="s">
        <v>465</v>
      </c>
      <c r="I47" s="18" t="s">
        <v>466</v>
      </c>
      <c r="J47" s="18" t="s">
        <v>417</v>
      </c>
      <c r="K47" s="18"/>
      <c r="L47" s="12" t="s">
        <v>268</v>
      </c>
      <c r="M47" s="19">
        <v>46292.606863425928</v>
      </c>
      <c r="N47" s="19">
        <v>46292.606979166667</v>
      </c>
      <c r="O47" s="19">
        <v>46292.606979166667</v>
      </c>
      <c r="P47" s="12" t="s">
        <v>467</v>
      </c>
      <c r="Q47" s="18"/>
      <c r="R47" s="12"/>
      <c r="S47" s="12"/>
    </row>
    <row r="48" spans="1:19" ht="89.25" x14ac:dyDescent="0.25">
      <c r="A48" s="15" t="s">
        <v>468</v>
      </c>
      <c r="B48" s="16">
        <v>2</v>
      </c>
      <c r="C48" s="12" t="s">
        <v>106</v>
      </c>
      <c r="D48" s="18" t="s">
        <v>469</v>
      </c>
      <c r="E48" s="18" t="s">
        <v>470</v>
      </c>
      <c r="F48" s="12" t="s">
        <v>184</v>
      </c>
      <c r="G48" s="12" t="s">
        <v>78</v>
      </c>
      <c r="H48" s="18" t="s">
        <v>471</v>
      </c>
      <c r="I48" s="18" t="s">
        <v>472</v>
      </c>
      <c r="J48" s="18" t="s">
        <v>257</v>
      </c>
      <c r="K48" s="18"/>
      <c r="L48" s="12" t="s">
        <v>268</v>
      </c>
      <c r="M48" s="19">
        <v>46292.606180555558</v>
      </c>
      <c r="N48" s="19">
        <v>46292.606539351851</v>
      </c>
      <c r="O48" s="19">
        <v>46292.606539351851</v>
      </c>
      <c r="P48" s="12" t="s">
        <v>442</v>
      </c>
      <c r="Q48" s="18"/>
      <c r="R48" s="12"/>
      <c r="S48" s="12" t="s">
        <v>443</v>
      </c>
    </row>
    <row r="49" spans="1:19" ht="102" x14ac:dyDescent="0.25">
      <c r="A49" s="15" t="s">
        <v>473</v>
      </c>
      <c r="B49" s="16">
        <v>2</v>
      </c>
      <c r="C49" s="12" t="s">
        <v>102</v>
      </c>
      <c r="D49" s="18" t="s">
        <v>474</v>
      </c>
      <c r="E49" s="18" t="s">
        <v>475</v>
      </c>
      <c r="F49" s="12" t="s">
        <v>199</v>
      </c>
      <c r="G49" s="12" t="s">
        <v>84</v>
      </c>
      <c r="H49" s="18"/>
      <c r="I49" s="18"/>
      <c r="J49" s="18" t="s">
        <v>449</v>
      </c>
      <c r="K49" s="18" t="s">
        <v>468</v>
      </c>
      <c r="L49" s="12" t="s">
        <v>268</v>
      </c>
      <c r="M49" s="19">
        <v>46292.606296296297</v>
      </c>
      <c r="N49" s="19"/>
      <c r="O49" s="19"/>
      <c r="P49" s="12"/>
      <c r="Q49" s="18" t="s">
        <v>476</v>
      </c>
      <c r="R49" s="12"/>
      <c r="S49" s="12" t="s">
        <v>443</v>
      </c>
    </row>
    <row r="50" spans="1:19" ht="114.75" x14ac:dyDescent="0.25">
      <c r="A50" s="15" t="s">
        <v>477</v>
      </c>
      <c r="B50" s="16">
        <v>3</v>
      </c>
      <c r="C50" s="12" t="s">
        <v>109</v>
      </c>
      <c r="D50" s="18" t="s">
        <v>478</v>
      </c>
      <c r="E50" s="18" t="s">
        <v>479</v>
      </c>
      <c r="F50" s="12" t="s">
        <v>184</v>
      </c>
      <c r="G50" s="12" t="s">
        <v>78</v>
      </c>
      <c r="H50" s="18" t="s">
        <v>480</v>
      </c>
      <c r="I50" s="18" t="s">
        <v>481</v>
      </c>
      <c r="J50" s="18" t="s">
        <v>482</v>
      </c>
      <c r="K50" s="18"/>
      <c r="L50" s="12" t="s">
        <v>268</v>
      </c>
      <c r="M50" s="19">
        <v>46292.607222222221</v>
      </c>
      <c r="N50" s="19">
        <v>46292.607546296298</v>
      </c>
      <c r="O50" s="19">
        <v>46292.607546296298</v>
      </c>
      <c r="P50" s="12" t="s">
        <v>483</v>
      </c>
      <c r="Q50" s="18" t="s">
        <v>484</v>
      </c>
      <c r="R50" s="12"/>
      <c r="S50" s="12" t="s">
        <v>485</v>
      </c>
    </row>
    <row r="51" spans="1:19" ht="229.5" x14ac:dyDescent="0.25">
      <c r="A51" s="15" t="s">
        <v>486</v>
      </c>
      <c r="B51" s="16">
        <v>3</v>
      </c>
      <c r="C51" s="12" t="s">
        <v>109</v>
      </c>
      <c r="D51" s="18" t="s">
        <v>487</v>
      </c>
      <c r="E51" s="18" t="s">
        <v>488</v>
      </c>
      <c r="F51" s="12" t="s">
        <v>184</v>
      </c>
      <c r="G51" s="12" t="s">
        <v>78</v>
      </c>
      <c r="H51" s="18" t="s">
        <v>489</v>
      </c>
      <c r="I51" s="18" t="s">
        <v>490</v>
      </c>
      <c r="J51" s="18" t="s">
        <v>346</v>
      </c>
      <c r="K51" s="18" t="s">
        <v>477</v>
      </c>
      <c r="L51" s="12" t="s">
        <v>258</v>
      </c>
      <c r="M51" s="19">
        <v>46292.607268518521</v>
      </c>
      <c r="N51" s="19">
        <v>46292.607581018521</v>
      </c>
      <c r="O51" s="19">
        <v>46292.607581018521</v>
      </c>
      <c r="P51" s="12" t="s">
        <v>483</v>
      </c>
      <c r="Q51" s="18" t="s">
        <v>491</v>
      </c>
      <c r="R51" s="12" t="s">
        <v>477</v>
      </c>
      <c r="S51" s="12" t="s">
        <v>485</v>
      </c>
    </row>
    <row r="52" spans="1:19" ht="140.25" x14ac:dyDescent="0.25">
      <c r="A52" s="15" t="s">
        <v>492</v>
      </c>
      <c r="B52" s="16">
        <v>3</v>
      </c>
      <c r="C52" s="12" t="s">
        <v>109</v>
      </c>
      <c r="D52" s="18" t="s">
        <v>493</v>
      </c>
      <c r="E52" s="18" t="s">
        <v>494</v>
      </c>
      <c r="F52" s="12" t="s">
        <v>184</v>
      </c>
      <c r="G52" s="12" t="s">
        <v>78</v>
      </c>
      <c r="H52" s="18" t="s">
        <v>495</v>
      </c>
      <c r="I52" s="18" t="s">
        <v>496</v>
      </c>
      <c r="J52" s="18" t="s">
        <v>346</v>
      </c>
      <c r="K52" s="18" t="s">
        <v>477</v>
      </c>
      <c r="L52" s="12" t="s">
        <v>268</v>
      </c>
      <c r="M52" s="19">
        <v>46292.374016203707</v>
      </c>
      <c r="N52" s="19">
        <v>46292.607627314806</v>
      </c>
      <c r="O52" s="19">
        <v>46292.607627314806</v>
      </c>
      <c r="P52" s="12" t="s">
        <v>483</v>
      </c>
      <c r="Q52" s="18" t="s">
        <v>497</v>
      </c>
      <c r="R52" s="12"/>
      <c r="S52" s="12" t="s">
        <v>498</v>
      </c>
    </row>
    <row r="53" spans="1:19" ht="293.25" x14ac:dyDescent="0.25">
      <c r="A53" s="15" t="s">
        <v>499</v>
      </c>
      <c r="B53" s="16">
        <v>3</v>
      </c>
      <c r="C53" s="12" t="s">
        <v>109</v>
      </c>
      <c r="D53" s="18" t="s">
        <v>500</v>
      </c>
      <c r="E53" s="18" t="s">
        <v>501</v>
      </c>
      <c r="F53" s="12" t="s">
        <v>184</v>
      </c>
      <c r="G53" s="12" t="s">
        <v>78</v>
      </c>
      <c r="H53" s="18" t="s">
        <v>502</v>
      </c>
      <c r="I53" s="18" t="s">
        <v>503</v>
      </c>
      <c r="J53" s="18" t="s">
        <v>504</v>
      </c>
      <c r="K53" s="18" t="s">
        <v>486</v>
      </c>
      <c r="L53" s="12" t="s">
        <v>258</v>
      </c>
      <c r="M53" s="19">
        <v>46292.807187500002</v>
      </c>
      <c r="N53" s="19">
        <v>46292.818067129629</v>
      </c>
      <c r="O53" s="19">
        <v>46292.818067129629</v>
      </c>
      <c r="P53" s="12" t="s">
        <v>505</v>
      </c>
      <c r="Q53" s="18" t="s">
        <v>506</v>
      </c>
      <c r="R53" s="12"/>
      <c r="S53" s="12" t="s">
        <v>303</v>
      </c>
    </row>
    <row r="54" spans="1:19" ht="306" x14ac:dyDescent="0.25">
      <c r="A54" s="15" t="s">
        <v>507</v>
      </c>
      <c r="B54" s="16">
        <v>3</v>
      </c>
      <c r="C54" s="12" t="s">
        <v>109</v>
      </c>
      <c r="D54" s="18" t="s">
        <v>508</v>
      </c>
      <c r="E54" s="18" t="s">
        <v>509</v>
      </c>
      <c r="F54" s="12" t="s">
        <v>199</v>
      </c>
      <c r="G54" s="12" t="s">
        <v>78</v>
      </c>
      <c r="H54" s="18" t="s">
        <v>510</v>
      </c>
      <c r="I54" s="18" t="s">
        <v>511</v>
      </c>
      <c r="J54" s="18" t="s">
        <v>504</v>
      </c>
      <c r="K54" s="18" t="s">
        <v>486</v>
      </c>
      <c r="L54" s="12" t="s">
        <v>268</v>
      </c>
      <c r="M54" s="19">
        <v>46292.826909722222</v>
      </c>
      <c r="N54" s="19">
        <v>46292.834537037037</v>
      </c>
      <c r="O54" s="19">
        <v>46292.834537037037</v>
      </c>
      <c r="P54" s="12" t="s">
        <v>512</v>
      </c>
      <c r="Q54" s="18" t="s">
        <v>513</v>
      </c>
      <c r="R54" s="12"/>
      <c r="S54" s="12" t="s">
        <v>303</v>
      </c>
    </row>
    <row r="55" spans="1:19" ht="267.75" x14ac:dyDescent="0.25">
      <c r="A55" s="15" t="s">
        <v>514</v>
      </c>
      <c r="B55" s="16">
        <v>3</v>
      </c>
      <c r="C55" s="12" t="s">
        <v>109</v>
      </c>
      <c r="D55" s="18" t="s">
        <v>515</v>
      </c>
      <c r="E55" s="18" t="s">
        <v>516</v>
      </c>
      <c r="F55" s="12" t="s">
        <v>184</v>
      </c>
      <c r="G55" s="12" t="s">
        <v>78</v>
      </c>
      <c r="H55" s="18" t="s">
        <v>517</v>
      </c>
      <c r="I55" s="18" t="s">
        <v>518</v>
      </c>
      <c r="J55" s="18" t="s">
        <v>519</v>
      </c>
      <c r="K55" s="18" t="s">
        <v>486</v>
      </c>
      <c r="L55" s="12" t="s">
        <v>258</v>
      </c>
      <c r="M55" s="19">
        <v>46292.373935185176</v>
      </c>
      <c r="N55" s="19">
        <v>46294.65284722222</v>
      </c>
      <c r="O55" s="19">
        <v>46294.65284722222</v>
      </c>
      <c r="P55" s="12" t="s">
        <v>520</v>
      </c>
      <c r="Q55" s="18" t="s">
        <v>521</v>
      </c>
      <c r="R55" s="12"/>
      <c r="S55" s="12" t="s">
        <v>303</v>
      </c>
    </row>
    <row r="56" spans="1:19" ht="89.25" x14ac:dyDescent="0.25">
      <c r="A56" s="15" t="s">
        <v>522</v>
      </c>
      <c r="B56" s="16">
        <v>3</v>
      </c>
      <c r="C56" s="12" t="s">
        <v>109</v>
      </c>
      <c r="D56" s="18" t="s">
        <v>523</v>
      </c>
      <c r="E56" s="18" t="s">
        <v>524</v>
      </c>
      <c r="F56" s="12" t="s">
        <v>313</v>
      </c>
      <c r="G56" s="12" t="s">
        <v>78</v>
      </c>
      <c r="H56" s="18" t="s">
        <v>525</v>
      </c>
      <c r="I56" s="18" t="s">
        <v>526</v>
      </c>
      <c r="J56" s="18" t="s">
        <v>519</v>
      </c>
      <c r="K56" s="18"/>
      <c r="L56" s="12" t="s">
        <v>188</v>
      </c>
      <c r="M56" s="19">
        <v>46302.368518518517</v>
      </c>
      <c r="N56" s="19">
        <v>46302.368518518517</v>
      </c>
      <c r="O56" s="19">
        <v>46302.368518518517</v>
      </c>
      <c r="P56" s="12" t="s">
        <v>527</v>
      </c>
      <c r="Q56" s="18" t="s">
        <v>528</v>
      </c>
      <c r="R56" s="12" t="s">
        <v>514</v>
      </c>
      <c r="S56" s="12" t="s">
        <v>303</v>
      </c>
    </row>
    <row r="57" spans="1:19" ht="140.25" x14ac:dyDescent="0.25">
      <c r="A57" s="15" t="s">
        <v>529</v>
      </c>
      <c r="B57" s="16">
        <v>3</v>
      </c>
      <c r="C57" s="12" t="s">
        <v>116</v>
      </c>
      <c r="D57" s="18" t="s">
        <v>530</v>
      </c>
      <c r="E57" s="18" t="s">
        <v>531</v>
      </c>
      <c r="F57" s="12" t="s">
        <v>313</v>
      </c>
      <c r="G57" s="12" t="s">
        <v>84</v>
      </c>
      <c r="H57" s="18"/>
      <c r="I57" s="18"/>
      <c r="J57" s="18" t="s">
        <v>519</v>
      </c>
      <c r="K57" s="18"/>
      <c r="L57" s="12" t="s">
        <v>268</v>
      </c>
      <c r="M57" s="19"/>
      <c r="N57" s="19"/>
      <c r="O57" s="19"/>
      <c r="P57" s="12"/>
      <c r="Q57" s="18" t="s">
        <v>532</v>
      </c>
      <c r="R57" s="12" t="s">
        <v>514</v>
      </c>
      <c r="S57" s="12" t="s">
        <v>303</v>
      </c>
    </row>
    <row r="58" spans="1:19" ht="102" x14ac:dyDescent="0.25">
      <c r="A58" s="15" t="s">
        <v>533</v>
      </c>
      <c r="B58" s="16">
        <v>3</v>
      </c>
      <c r="C58" s="12" t="s">
        <v>116</v>
      </c>
      <c r="D58" s="18" t="s">
        <v>534</v>
      </c>
      <c r="E58" s="18" t="s">
        <v>535</v>
      </c>
      <c r="F58" s="12" t="s">
        <v>313</v>
      </c>
      <c r="G58" s="12" t="s">
        <v>78</v>
      </c>
      <c r="H58" s="18" t="s">
        <v>536</v>
      </c>
      <c r="I58" s="18" t="s">
        <v>537</v>
      </c>
      <c r="J58" s="18" t="s">
        <v>519</v>
      </c>
      <c r="K58" s="18"/>
      <c r="L58" s="12" t="s">
        <v>188</v>
      </c>
      <c r="M58" s="19">
        <v>46302.368807870371</v>
      </c>
      <c r="N58" s="19">
        <v>46302.368807870371</v>
      </c>
      <c r="O58" s="19">
        <v>46302.368807870371</v>
      </c>
      <c r="P58" s="12" t="s">
        <v>538</v>
      </c>
      <c r="Q58" s="18" t="s">
        <v>539</v>
      </c>
      <c r="R58" s="12" t="s">
        <v>514</v>
      </c>
      <c r="S58" s="12" t="s">
        <v>303</v>
      </c>
    </row>
    <row r="59" spans="1:19" ht="242.25" x14ac:dyDescent="0.25">
      <c r="A59" s="15" t="s">
        <v>540</v>
      </c>
      <c r="B59" s="16">
        <v>3</v>
      </c>
      <c r="C59" s="12" t="s">
        <v>109</v>
      </c>
      <c r="D59" s="18" t="s">
        <v>541</v>
      </c>
      <c r="E59" s="18" t="s">
        <v>542</v>
      </c>
      <c r="F59" s="12" t="s">
        <v>184</v>
      </c>
      <c r="G59" s="12" t="s">
        <v>78</v>
      </c>
      <c r="H59" s="18" t="s">
        <v>543</v>
      </c>
      <c r="I59" s="18" t="s">
        <v>544</v>
      </c>
      <c r="J59" s="18" t="s">
        <v>519</v>
      </c>
      <c r="K59" s="18" t="s">
        <v>486</v>
      </c>
      <c r="L59" s="12" t="s">
        <v>258</v>
      </c>
      <c r="M59" s="19">
        <v>46292.373981481483</v>
      </c>
      <c r="N59" s="19">
        <v>46294.696053240739</v>
      </c>
      <c r="O59" s="19">
        <v>46294.696053240739</v>
      </c>
      <c r="P59" s="12" t="s">
        <v>545</v>
      </c>
      <c r="Q59" s="18" t="s">
        <v>546</v>
      </c>
      <c r="R59" s="12"/>
      <c r="S59" s="12" t="s">
        <v>547</v>
      </c>
    </row>
    <row r="60" spans="1:19" ht="408" x14ac:dyDescent="0.25">
      <c r="A60" s="15" t="s">
        <v>548</v>
      </c>
      <c r="B60" s="16">
        <v>3</v>
      </c>
      <c r="C60" s="12" t="s">
        <v>109</v>
      </c>
      <c r="D60" s="18" t="s">
        <v>549</v>
      </c>
      <c r="E60" s="18" t="s">
        <v>550</v>
      </c>
      <c r="F60" s="12" t="s">
        <v>199</v>
      </c>
      <c r="G60" s="12" t="s">
        <v>78</v>
      </c>
      <c r="H60" s="18" t="s">
        <v>551</v>
      </c>
      <c r="I60" s="18" t="s">
        <v>552</v>
      </c>
      <c r="J60" s="18" t="s">
        <v>519</v>
      </c>
      <c r="K60" s="18"/>
      <c r="L60" s="12" t="s">
        <v>268</v>
      </c>
      <c r="M60" s="19">
        <v>46295.566481481481</v>
      </c>
      <c r="N60" s="19">
        <v>46295.589953703697</v>
      </c>
      <c r="O60" s="19">
        <v>46295.589953703697</v>
      </c>
      <c r="P60" s="12" t="s">
        <v>553</v>
      </c>
      <c r="Q60" s="18"/>
      <c r="R60" s="12" t="s">
        <v>540</v>
      </c>
      <c r="S60" s="12" t="s">
        <v>547</v>
      </c>
    </row>
    <row r="61" spans="1:19" ht="242.25" x14ac:dyDescent="0.25">
      <c r="A61" s="15" t="s">
        <v>554</v>
      </c>
      <c r="B61" s="16">
        <v>3</v>
      </c>
      <c r="C61" s="12" t="s">
        <v>109</v>
      </c>
      <c r="D61" s="18" t="s">
        <v>555</v>
      </c>
      <c r="E61" s="18" t="s">
        <v>556</v>
      </c>
      <c r="F61" s="12" t="s">
        <v>327</v>
      </c>
      <c r="G61" s="12" t="s">
        <v>78</v>
      </c>
      <c r="H61" s="18" t="s">
        <v>557</v>
      </c>
      <c r="I61" s="18" t="s">
        <v>558</v>
      </c>
      <c r="J61" s="18" t="s">
        <v>519</v>
      </c>
      <c r="K61" s="18"/>
      <c r="L61" s="12" t="s">
        <v>188</v>
      </c>
      <c r="M61" s="19">
        <v>46302.921712962961</v>
      </c>
      <c r="N61" s="19">
        <v>46302.921712962961</v>
      </c>
      <c r="O61" s="19">
        <v>46302.921712962961</v>
      </c>
      <c r="P61" s="12" t="s">
        <v>559</v>
      </c>
      <c r="Q61" s="18" t="s">
        <v>560</v>
      </c>
      <c r="R61" s="12" t="s">
        <v>540</v>
      </c>
      <c r="S61" s="12" t="s">
        <v>547</v>
      </c>
    </row>
    <row r="62" spans="1:19" ht="191.25" x14ac:dyDescent="0.25">
      <c r="A62" s="15" t="s">
        <v>561</v>
      </c>
      <c r="B62" s="16">
        <v>3</v>
      </c>
      <c r="C62" s="12" t="s">
        <v>109</v>
      </c>
      <c r="D62" s="18" t="s">
        <v>562</v>
      </c>
      <c r="E62" s="18" t="s">
        <v>563</v>
      </c>
      <c r="F62" s="12" t="s">
        <v>327</v>
      </c>
      <c r="G62" s="12" t="s">
        <v>78</v>
      </c>
      <c r="H62" s="18" t="s">
        <v>564</v>
      </c>
      <c r="I62" s="18" t="s">
        <v>565</v>
      </c>
      <c r="J62" s="18" t="s">
        <v>519</v>
      </c>
      <c r="K62" s="18"/>
      <c r="L62" s="12" t="s">
        <v>188</v>
      </c>
      <c r="M62" s="19">
        <v>46303.091087962966</v>
      </c>
      <c r="N62" s="19">
        <v>46303.091087962966</v>
      </c>
      <c r="O62" s="19">
        <v>46303.091087962966</v>
      </c>
      <c r="P62" s="12" t="s">
        <v>566</v>
      </c>
      <c r="Q62" s="18" t="s">
        <v>567</v>
      </c>
      <c r="R62" s="12" t="s">
        <v>540</v>
      </c>
      <c r="S62" s="12" t="s">
        <v>547</v>
      </c>
    </row>
    <row r="63" spans="1:19" ht="204" x14ac:dyDescent="0.25">
      <c r="A63" s="15" t="s">
        <v>568</v>
      </c>
      <c r="B63" s="16">
        <v>3</v>
      </c>
      <c r="C63" s="12" t="s">
        <v>109</v>
      </c>
      <c r="D63" s="18" t="s">
        <v>569</v>
      </c>
      <c r="E63" s="18" t="s">
        <v>570</v>
      </c>
      <c r="F63" s="12" t="s">
        <v>184</v>
      </c>
      <c r="G63" s="12" t="s">
        <v>78</v>
      </c>
      <c r="H63" s="18" t="s">
        <v>571</v>
      </c>
      <c r="I63" s="18" t="s">
        <v>572</v>
      </c>
      <c r="J63" s="18" t="s">
        <v>519</v>
      </c>
      <c r="K63" s="18" t="s">
        <v>486</v>
      </c>
      <c r="L63" s="12" t="s">
        <v>258</v>
      </c>
      <c r="M63" s="19">
        <v>46294.906423611108</v>
      </c>
      <c r="N63" s="19">
        <v>46294.923842592587</v>
      </c>
      <c r="O63" s="19">
        <v>46294.923842592587</v>
      </c>
      <c r="P63" s="12" t="s">
        <v>573</v>
      </c>
      <c r="Q63" s="18" t="s">
        <v>574</v>
      </c>
      <c r="R63" s="12"/>
      <c r="S63" s="12" t="s">
        <v>323</v>
      </c>
    </row>
    <row r="64" spans="1:19" ht="76.5" x14ac:dyDescent="0.25">
      <c r="A64" s="15" t="s">
        <v>575</v>
      </c>
      <c r="B64" s="16">
        <v>3</v>
      </c>
      <c r="C64" s="12" t="s">
        <v>109</v>
      </c>
      <c r="D64" s="18" t="s">
        <v>576</v>
      </c>
      <c r="E64" s="18" t="s">
        <v>577</v>
      </c>
      <c r="F64" s="12" t="s">
        <v>313</v>
      </c>
      <c r="G64" s="12" t="s">
        <v>78</v>
      </c>
      <c r="H64" s="18" t="s">
        <v>578</v>
      </c>
      <c r="I64" s="18" t="s">
        <v>579</v>
      </c>
      <c r="J64" s="18" t="s">
        <v>519</v>
      </c>
      <c r="K64" s="18"/>
      <c r="L64" s="12" t="s">
        <v>268</v>
      </c>
      <c r="M64" s="19">
        <v>46302.369062500002</v>
      </c>
      <c r="N64" s="19">
        <v>46302.369062500002</v>
      </c>
      <c r="O64" s="19">
        <v>46302.369062500002</v>
      </c>
      <c r="P64" s="12" t="s">
        <v>580</v>
      </c>
      <c r="Q64" s="18" t="s">
        <v>581</v>
      </c>
      <c r="R64" s="12" t="s">
        <v>568</v>
      </c>
      <c r="S64" s="12" t="s">
        <v>323</v>
      </c>
    </row>
    <row r="65" spans="1:19" ht="140.25" x14ac:dyDescent="0.25">
      <c r="A65" s="15" t="s">
        <v>582</v>
      </c>
      <c r="B65" s="16">
        <v>3</v>
      </c>
      <c r="C65" s="12" t="s">
        <v>109</v>
      </c>
      <c r="D65" s="18" t="s">
        <v>583</v>
      </c>
      <c r="E65" s="18" t="s">
        <v>584</v>
      </c>
      <c r="F65" s="12" t="s">
        <v>327</v>
      </c>
      <c r="G65" s="12" t="s">
        <v>78</v>
      </c>
      <c r="H65" s="18" t="s">
        <v>585</v>
      </c>
      <c r="I65" s="18" t="s">
        <v>586</v>
      </c>
      <c r="J65" s="18" t="s">
        <v>519</v>
      </c>
      <c r="K65" s="18"/>
      <c r="L65" s="12" t="s">
        <v>268</v>
      </c>
      <c r="M65" s="19">
        <v>46302.939097222217</v>
      </c>
      <c r="N65" s="19">
        <v>46302.939097222217</v>
      </c>
      <c r="O65" s="19">
        <v>46302.939097222217</v>
      </c>
      <c r="P65" s="12" t="s">
        <v>587</v>
      </c>
      <c r="Q65" s="18"/>
      <c r="R65" s="12" t="s">
        <v>568</v>
      </c>
      <c r="S65" s="12" t="s">
        <v>323</v>
      </c>
    </row>
    <row r="66" spans="1:19" ht="369.75" x14ac:dyDescent="0.25">
      <c r="A66" s="15" t="s">
        <v>588</v>
      </c>
      <c r="B66" s="16">
        <v>3</v>
      </c>
      <c r="C66" s="12" t="s">
        <v>109</v>
      </c>
      <c r="D66" s="18" t="s">
        <v>589</v>
      </c>
      <c r="E66" s="18" t="s">
        <v>590</v>
      </c>
      <c r="F66" s="12" t="s">
        <v>184</v>
      </c>
      <c r="G66" s="12" t="s">
        <v>78</v>
      </c>
      <c r="H66" s="18" t="s">
        <v>591</v>
      </c>
      <c r="I66" s="18" t="s">
        <v>592</v>
      </c>
      <c r="J66" s="18" t="s">
        <v>519</v>
      </c>
      <c r="K66" s="18" t="s">
        <v>486</v>
      </c>
      <c r="L66" s="12" t="s">
        <v>268</v>
      </c>
      <c r="M66" s="19">
        <v>46292.190092592587</v>
      </c>
      <c r="N66" s="19">
        <v>46294.95752314815</v>
      </c>
      <c r="O66" s="19">
        <v>46294.95752314815</v>
      </c>
      <c r="P66" s="12" t="s">
        <v>593</v>
      </c>
      <c r="Q66" s="18" t="s">
        <v>594</v>
      </c>
      <c r="R66" s="12"/>
      <c r="S66" s="12" t="s">
        <v>309</v>
      </c>
    </row>
    <row r="67" spans="1:19" ht="89.25" x14ac:dyDescent="0.25">
      <c r="A67" s="15" t="s">
        <v>595</v>
      </c>
      <c r="B67" s="16">
        <v>3</v>
      </c>
      <c r="C67" s="12" t="s">
        <v>109</v>
      </c>
      <c r="D67" s="18" t="s">
        <v>596</v>
      </c>
      <c r="E67" s="18" t="s">
        <v>597</v>
      </c>
      <c r="F67" s="12" t="s">
        <v>313</v>
      </c>
      <c r="G67" s="12" t="s">
        <v>78</v>
      </c>
      <c r="H67" s="18" t="s">
        <v>598</v>
      </c>
      <c r="I67" s="18" t="s">
        <v>599</v>
      </c>
      <c r="J67" s="18" t="s">
        <v>519</v>
      </c>
      <c r="K67" s="18"/>
      <c r="L67" s="12" t="s">
        <v>268</v>
      </c>
      <c r="M67" s="19">
        <v>46302.364317129628</v>
      </c>
      <c r="N67" s="19">
        <v>46302.364317129628</v>
      </c>
      <c r="O67" s="19">
        <v>46302.364317129628</v>
      </c>
      <c r="P67" s="12" t="s">
        <v>600</v>
      </c>
      <c r="Q67" s="18" t="s">
        <v>601</v>
      </c>
      <c r="R67" s="12" t="s">
        <v>588</v>
      </c>
      <c r="S67" s="12" t="s">
        <v>309</v>
      </c>
    </row>
    <row r="68" spans="1:19" ht="127.5" x14ac:dyDescent="0.25">
      <c r="A68" s="15" t="s">
        <v>602</v>
      </c>
      <c r="B68" s="16">
        <v>3</v>
      </c>
      <c r="C68" s="12" t="s">
        <v>109</v>
      </c>
      <c r="D68" s="18" t="s">
        <v>603</v>
      </c>
      <c r="E68" s="18" t="s">
        <v>604</v>
      </c>
      <c r="F68" s="12" t="s">
        <v>327</v>
      </c>
      <c r="G68" s="12" t="s">
        <v>78</v>
      </c>
      <c r="H68" s="18" t="s">
        <v>605</v>
      </c>
      <c r="I68" s="18" t="s">
        <v>606</v>
      </c>
      <c r="J68" s="18" t="s">
        <v>519</v>
      </c>
      <c r="K68" s="18"/>
      <c r="L68" s="12" t="s">
        <v>188</v>
      </c>
      <c r="M68" s="19">
        <v>46302.945914351847</v>
      </c>
      <c r="N68" s="19">
        <v>46302.945914351847</v>
      </c>
      <c r="O68" s="19">
        <v>46302.945914351847</v>
      </c>
      <c r="P68" s="12" t="s">
        <v>607</v>
      </c>
      <c r="Q68" s="18"/>
      <c r="R68" s="12" t="s">
        <v>588</v>
      </c>
      <c r="S68" s="12" t="s">
        <v>309</v>
      </c>
    </row>
    <row r="69" spans="1:19" ht="63.75" x14ac:dyDescent="0.25">
      <c r="A69" s="15" t="s">
        <v>608</v>
      </c>
      <c r="B69" s="16">
        <v>3</v>
      </c>
      <c r="C69" s="12" t="s">
        <v>109</v>
      </c>
      <c r="D69" s="18" t="s">
        <v>609</v>
      </c>
      <c r="E69" s="18" t="s">
        <v>610</v>
      </c>
      <c r="F69" s="12" t="s">
        <v>313</v>
      </c>
      <c r="G69" s="12" t="s">
        <v>78</v>
      </c>
      <c r="H69" s="18" t="s">
        <v>611</v>
      </c>
      <c r="I69" s="18" t="s">
        <v>612</v>
      </c>
      <c r="J69" s="18" t="s">
        <v>613</v>
      </c>
      <c r="K69" s="18"/>
      <c r="L69" s="12" t="s">
        <v>188</v>
      </c>
      <c r="M69" s="19">
        <v>46302.429178240738</v>
      </c>
      <c r="N69" s="19">
        <v>46302.429178240738</v>
      </c>
      <c r="O69" s="19">
        <v>46302.429178240738</v>
      </c>
      <c r="P69" s="12" t="s">
        <v>614</v>
      </c>
      <c r="Q69" s="18" t="s">
        <v>615</v>
      </c>
      <c r="R69" s="12" t="s">
        <v>588</v>
      </c>
      <c r="S69" s="12" t="s">
        <v>309</v>
      </c>
    </row>
    <row r="70" spans="1:19" ht="344.25" x14ac:dyDescent="0.25">
      <c r="A70" s="15" t="s">
        <v>616</v>
      </c>
      <c r="B70" s="16">
        <v>3</v>
      </c>
      <c r="C70" s="12" t="s">
        <v>109</v>
      </c>
      <c r="D70" s="18" t="s">
        <v>617</v>
      </c>
      <c r="E70" s="18" t="s">
        <v>618</v>
      </c>
      <c r="F70" s="12" t="s">
        <v>199</v>
      </c>
      <c r="G70" s="12" t="s">
        <v>78</v>
      </c>
      <c r="H70" s="18" t="s">
        <v>619</v>
      </c>
      <c r="I70" s="18" t="s">
        <v>620</v>
      </c>
      <c r="J70" s="18" t="s">
        <v>346</v>
      </c>
      <c r="K70" s="18" t="s">
        <v>486</v>
      </c>
      <c r="L70" s="12" t="s">
        <v>268</v>
      </c>
      <c r="M70" s="19">
        <v>46295.137453703697</v>
      </c>
      <c r="N70" s="19">
        <v>46295.149537037039</v>
      </c>
      <c r="O70" s="19">
        <v>46295.149537037039</v>
      </c>
      <c r="P70" s="12" t="s">
        <v>621</v>
      </c>
      <c r="Q70" s="18" t="s">
        <v>622</v>
      </c>
      <c r="R70" s="12"/>
      <c r="S70" s="12" t="s">
        <v>303</v>
      </c>
    </row>
    <row r="71" spans="1:19" ht="89.25" x14ac:dyDescent="0.25">
      <c r="A71" s="15" t="s">
        <v>623</v>
      </c>
      <c r="B71" s="16">
        <v>3</v>
      </c>
      <c r="C71" s="12" t="s">
        <v>109</v>
      </c>
      <c r="D71" s="18" t="s">
        <v>624</v>
      </c>
      <c r="E71" s="18" t="s">
        <v>625</v>
      </c>
      <c r="F71" s="12" t="s">
        <v>313</v>
      </c>
      <c r="G71" s="12" t="s">
        <v>78</v>
      </c>
      <c r="H71" s="18" t="s">
        <v>626</v>
      </c>
      <c r="I71" s="18" t="s">
        <v>627</v>
      </c>
      <c r="J71" s="18" t="s">
        <v>346</v>
      </c>
      <c r="K71" s="18"/>
      <c r="L71" s="12" t="s">
        <v>268</v>
      </c>
      <c r="M71" s="19">
        <v>46302.452025462961</v>
      </c>
      <c r="N71" s="19">
        <v>46302.452025462961</v>
      </c>
      <c r="O71" s="19">
        <v>46302.452025462961</v>
      </c>
      <c r="P71" s="12" t="s">
        <v>628</v>
      </c>
      <c r="Q71" s="18" t="s">
        <v>629</v>
      </c>
      <c r="R71" s="12" t="s">
        <v>616</v>
      </c>
      <c r="S71" s="12" t="s">
        <v>303</v>
      </c>
    </row>
    <row r="72" spans="1:19" ht="306" x14ac:dyDescent="0.25">
      <c r="A72" s="15" t="s">
        <v>630</v>
      </c>
      <c r="B72" s="16">
        <v>3</v>
      </c>
      <c r="C72" s="12" t="s">
        <v>109</v>
      </c>
      <c r="D72" s="18" t="s">
        <v>631</v>
      </c>
      <c r="E72" s="18" t="s">
        <v>632</v>
      </c>
      <c r="F72" s="12" t="s">
        <v>199</v>
      </c>
      <c r="G72" s="12" t="s">
        <v>78</v>
      </c>
      <c r="H72" s="18" t="s">
        <v>633</v>
      </c>
      <c r="I72" s="18" t="s">
        <v>634</v>
      </c>
      <c r="J72" s="18" t="s">
        <v>635</v>
      </c>
      <c r="K72" s="18" t="s">
        <v>486</v>
      </c>
      <c r="L72" s="12" t="s">
        <v>268</v>
      </c>
      <c r="M72" s="19">
        <v>46295.149583333332</v>
      </c>
      <c r="N72" s="19">
        <v>46295.315393518518</v>
      </c>
      <c r="O72" s="19">
        <v>46295.315393518518</v>
      </c>
      <c r="P72" s="12" t="s">
        <v>636</v>
      </c>
      <c r="Q72" s="18" t="s">
        <v>637</v>
      </c>
      <c r="R72" s="12"/>
      <c r="S72" s="12" t="s">
        <v>638</v>
      </c>
    </row>
    <row r="73" spans="1:19" ht="89.25" x14ac:dyDescent="0.25">
      <c r="A73" s="15" t="s">
        <v>639</v>
      </c>
      <c r="B73" s="16">
        <v>3</v>
      </c>
      <c r="C73" s="12" t="s">
        <v>109</v>
      </c>
      <c r="D73" s="18" t="s">
        <v>640</v>
      </c>
      <c r="E73" s="18" t="s">
        <v>641</v>
      </c>
      <c r="F73" s="12" t="s">
        <v>313</v>
      </c>
      <c r="G73" s="12" t="s">
        <v>78</v>
      </c>
      <c r="H73" s="18" t="s">
        <v>642</v>
      </c>
      <c r="I73" s="18" t="s">
        <v>643</v>
      </c>
      <c r="J73" s="18" t="s">
        <v>635</v>
      </c>
      <c r="K73" s="18"/>
      <c r="L73" s="12" t="s">
        <v>268</v>
      </c>
      <c r="M73" s="19">
        <v>46302.468935185178</v>
      </c>
      <c r="N73" s="19">
        <v>46302.468935185178</v>
      </c>
      <c r="O73" s="19">
        <v>46302.468935185178</v>
      </c>
      <c r="P73" s="12" t="s">
        <v>644</v>
      </c>
      <c r="Q73" s="18" t="s">
        <v>645</v>
      </c>
      <c r="R73" s="12" t="s">
        <v>630</v>
      </c>
      <c r="S73" s="12" t="s">
        <v>638</v>
      </c>
    </row>
    <row r="74" spans="1:19" ht="409.5" x14ac:dyDescent="0.25">
      <c r="A74" s="15" t="s">
        <v>646</v>
      </c>
      <c r="B74" s="16">
        <v>3</v>
      </c>
      <c r="C74" s="12" t="s">
        <v>109</v>
      </c>
      <c r="D74" s="18" t="s">
        <v>647</v>
      </c>
      <c r="E74" s="18" t="s">
        <v>648</v>
      </c>
      <c r="F74" s="12" t="s">
        <v>199</v>
      </c>
      <c r="G74" s="12" t="s">
        <v>78</v>
      </c>
      <c r="H74" s="18" t="s">
        <v>649</v>
      </c>
      <c r="I74" s="18" t="s">
        <v>650</v>
      </c>
      <c r="J74" s="18" t="s">
        <v>346</v>
      </c>
      <c r="K74" s="18" t="s">
        <v>486</v>
      </c>
      <c r="L74" s="12" t="s">
        <v>188</v>
      </c>
      <c r="M74" s="19">
        <v>46295.315439814818</v>
      </c>
      <c r="N74" s="19">
        <v>46295.344861111109</v>
      </c>
      <c r="O74" s="19">
        <v>46295.344861111109</v>
      </c>
      <c r="P74" s="12" t="s">
        <v>651</v>
      </c>
      <c r="Q74" s="18" t="s">
        <v>652</v>
      </c>
      <c r="R74" s="12"/>
      <c r="S74" s="12" t="s">
        <v>653</v>
      </c>
    </row>
    <row r="75" spans="1:19" ht="408" x14ac:dyDescent="0.25">
      <c r="A75" s="15" t="s">
        <v>654</v>
      </c>
      <c r="B75" s="16">
        <v>3</v>
      </c>
      <c r="C75" s="12" t="s">
        <v>109</v>
      </c>
      <c r="D75" s="18" t="s">
        <v>655</v>
      </c>
      <c r="E75" s="18" t="s">
        <v>656</v>
      </c>
      <c r="F75" s="12" t="s">
        <v>199</v>
      </c>
      <c r="G75" s="12" t="s">
        <v>78</v>
      </c>
      <c r="H75" s="18" t="s">
        <v>657</v>
      </c>
      <c r="I75" s="18" t="s">
        <v>658</v>
      </c>
      <c r="J75" s="18" t="s">
        <v>635</v>
      </c>
      <c r="K75" s="18" t="s">
        <v>486</v>
      </c>
      <c r="L75" s="12" t="s">
        <v>268</v>
      </c>
      <c r="M75" s="19">
        <v>46295.35429398148</v>
      </c>
      <c r="N75" s="19">
        <v>46295.373912037037</v>
      </c>
      <c r="O75" s="19">
        <v>46295.373912037037</v>
      </c>
      <c r="P75" s="12" t="s">
        <v>659</v>
      </c>
      <c r="Q75" s="18" t="s">
        <v>660</v>
      </c>
      <c r="R75" s="12"/>
      <c r="S75" s="12" t="s">
        <v>303</v>
      </c>
    </row>
    <row r="76" spans="1:19" ht="191.25" x14ac:dyDescent="0.25">
      <c r="A76" s="15" t="s">
        <v>661</v>
      </c>
      <c r="B76" s="16">
        <v>3</v>
      </c>
      <c r="C76" s="12" t="s">
        <v>109</v>
      </c>
      <c r="D76" s="18" t="s">
        <v>662</v>
      </c>
      <c r="E76" s="18" t="s">
        <v>663</v>
      </c>
      <c r="F76" s="12" t="s">
        <v>313</v>
      </c>
      <c r="G76" s="12" t="s">
        <v>78</v>
      </c>
      <c r="H76" s="18" t="s">
        <v>664</v>
      </c>
      <c r="I76" s="18" t="s">
        <v>665</v>
      </c>
      <c r="J76" s="18" t="s">
        <v>363</v>
      </c>
      <c r="K76" s="18" t="s">
        <v>654</v>
      </c>
      <c r="L76" s="12" t="s">
        <v>268</v>
      </c>
      <c r="M76" s="19">
        <v>46302.500347222223</v>
      </c>
      <c r="N76" s="19">
        <v>46302.500347222223</v>
      </c>
      <c r="O76" s="19">
        <v>46302.500347222223</v>
      </c>
      <c r="P76" s="12" t="s">
        <v>666</v>
      </c>
      <c r="Q76" s="18" t="s">
        <v>667</v>
      </c>
      <c r="R76" s="12" t="s">
        <v>654</v>
      </c>
      <c r="S76" s="12" t="s">
        <v>303</v>
      </c>
    </row>
    <row r="77" spans="1:19" ht="409.5" x14ac:dyDescent="0.25">
      <c r="A77" s="15" t="s">
        <v>668</v>
      </c>
      <c r="B77" s="16">
        <v>3</v>
      </c>
      <c r="C77" s="12" t="s">
        <v>109</v>
      </c>
      <c r="D77" s="18" t="s">
        <v>669</v>
      </c>
      <c r="E77" s="18" t="s">
        <v>670</v>
      </c>
      <c r="F77" s="12" t="s">
        <v>199</v>
      </c>
      <c r="G77" s="12" t="s">
        <v>78</v>
      </c>
      <c r="H77" s="18" t="s">
        <v>671</v>
      </c>
      <c r="I77" s="18" t="s">
        <v>672</v>
      </c>
      <c r="J77" s="18" t="s">
        <v>635</v>
      </c>
      <c r="K77" s="18" t="s">
        <v>486</v>
      </c>
      <c r="L77" s="12" t="s">
        <v>268</v>
      </c>
      <c r="M77" s="19">
        <v>46295.37395833333</v>
      </c>
      <c r="N77" s="19">
        <v>46295.550324074073</v>
      </c>
      <c r="O77" s="19">
        <v>46295.550324074073</v>
      </c>
      <c r="P77" s="12" t="s">
        <v>673</v>
      </c>
      <c r="Q77" s="18" t="s">
        <v>674</v>
      </c>
      <c r="R77" s="12"/>
      <c r="S77" s="12" t="s">
        <v>653</v>
      </c>
    </row>
    <row r="78" spans="1:19" ht="204" x14ac:dyDescent="0.25">
      <c r="A78" s="15" t="s">
        <v>675</v>
      </c>
      <c r="B78" s="16">
        <v>3</v>
      </c>
      <c r="C78" s="12" t="s">
        <v>109</v>
      </c>
      <c r="D78" s="18" t="s">
        <v>676</v>
      </c>
      <c r="E78" s="18" t="s">
        <v>677</v>
      </c>
      <c r="F78" s="12" t="s">
        <v>313</v>
      </c>
      <c r="G78" s="12" t="s">
        <v>78</v>
      </c>
      <c r="H78" s="18" t="s">
        <v>678</v>
      </c>
      <c r="I78" s="18" t="s">
        <v>679</v>
      </c>
      <c r="J78" s="18" t="s">
        <v>635</v>
      </c>
      <c r="K78" s="18" t="s">
        <v>668</v>
      </c>
      <c r="L78" s="12" t="s">
        <v>268</v>
      </c>
      <c r="M78" s="19">
        <v>46302.524733796286</v>
      </c>
      <c r="N78" s="19">
        <v>46302.524733796286</v>
      </c>
      <c r="O78" s="19">
        <v>46302.524733796286</v>
      </c>
      <c r="P78" s="12" t="s">
        <v>680</v>
      </c>
      <c r="Q78" s="18" t="s">
        <v>681</v>
      </c>
      <c r="R78" s="12" t="s">
        <v>668</v>
      </c>
      <c r="S78" s="12" t="s">
        <v>653</v>
      </c>
    </row>
    <row r="79" spans="1:19" ht="408" x14ac:dyDescent="0.25">
      <c r="A79" s="15" t="s">
        <v>682</v>
      </c>
      <c r="B79" s="16">
        <v>3</v>
      </c>
      <c r="C79" s="12" t="s">
        <v>109</v>
      </c>
      <c r="D79" s="18" t="s">
        <v>683</v>
      </c>
      <c r="E79" s="18" t="s">
        <v>684</v>
      </c>
      <c r="F79" s="12" t="s">
        <v>199</v>
      </c>
      <c r="G79" s="12" t="s">
        <v>78</v>
      </c>
      <c r="H79" s="18" t="s">
        <v>685</v>
      </c>
      <c r="I79" s="18" t="s">
        <v>686</v>
      </c>
      <c r="J79" s="18" t="s">
        <v>346</v>
      </c>
      <c r="K79" s="18" t="s">
        <v>486</v>
      </c>
      <c r="L79" s="12" t="s">
        <v>268</v>
      </c>
      <c r="M79" s="19">
        <v>46295.550358796303</v>
      </c>
      <c r="N79" s="19">
        <v>46295.566446759258</v>
      </c>
      <c r="O79" s="19">
        <v>46295.566446759258</v>
      </c>
      <c r="P79" s="12" t="s">
        <v>687</v>
      </c>
      <c r="Q79" s="18"/>
      <c r="R79" s="12"/>
      <c r="S79" s="12" t="s">
        <v>303</v>
      </c>
    </row>
    <row r="80" spans="1:19" ht="293.25" x14ac:dyDescent="0.25">
      <c r="A80" s="15" t="s">
        <v>688</v>
      </c>
      <c r="B80" s="16">
        <v>3</v>
      </c>
      <c r="C80" s="12" t="s">
        <v>109</v>
      </c>
      <c r="D80" s="18" t="s">
        <v>689</v>
      </c>
      <c r="E80" s="18" t="s">
        <v>690</v>
      </c>
      <c r="F80" s="12" t="s">
        <v>184</v>
      </c>
      <c r="G80" s="12" t="s">
        <v>78</v>
      </c>
      <c r="H80" s="18" t="s">
        <v>691</v>
      </c>
      <c r="I80" s="18" t="s">
        <v>692</v>
      </c>
      <c r="J80" s="18" t="s">
        <v>693</v>
      </c>
      <c r="K80" s="18" t="s">
        <v>499</v>
      </c>
      <c r="L80" s="12" t="s">
        <v>268</v>
      </c>
      <c r="M80" s="19">
        <v>46292.792407407411</v>
      </c>
      <c r="N80" s="19">
        <v>46292.793113425927</v>
      </c>
      <c r="O80" s="19">
        <v>46292.793113425927</v>
      </c>
      <c r="P80" s="12" t="s">
        <v>694</v>
      </c>
      <c r="Q80" s="18" t="s">
        <v>695</v>
      </c>
      <c r="R80" s="12"/>
      <c r="S80" s="12" t="s">
        <v>303</v>
      </c>
    </row>
    <row r="81" spans="1:19" ht="229.5" x14ac:dyDescent="0.25">
      <c r="A81" s="15" t="s">
        <v>696</v>
      </c>
      <c r="B81" s="16">
        <v>3</v>
      </c>
      <c r="C81" s="12" t="s">
        <v>109</v>
      </c>
      <c r="D81" s="18" t="s">
        <v>697</v>
      </c>
      <c r="E81" s="18" t="s">
        <v>698</v>
      </c>
      <c r="F81" s="12" t="s">
        <v>184</v>
      </c>
      <c r="G81" s="12" t="s">
        <v>78</v>
      </c>
      <c r="H81" s="18" t="s">
        <v>699</v>
      </c>
      <c r="I81" s="18" t="s">
        <v>700</v>
      </c>
      <c r="J81" s="18" t="s">
        <v>363</v>
      </c>
      <c r="K81" s="18"/>
      <c r="L81" s="12" t="s">
        <v>188</v>
      </c>
      <c r="M81" s="19">
        <v>46292.374050925922</v>
      </c>
      <c r="N81" s="19">
        <v>46295.115312499998</v>
      </c>
      <c r="O81" s="19">
        <v>46295.115312499998</v>
      </c>
      <c r="P81" s="12" t="s">
        <v>701</v>
      </c>
      <c r="Q81" s="18" t="s">
        <v>702</v>
      </c>
      <c r="R81" s="12"/>
      <c r="S81" s="12" t="s">
        <v>703</v>
      </c>
    </row>
    <row r="82" spans="1:19" ht="267.75" x14ac:dyDescent="0.25">
      <c r="A82" s="15" t="s">
        <v>704</v>
      </c>
      <c r="B82" s="16">
        <v>3</v>
      </c>
      <c r="C82" s="12" t="s">
        <v>118</v>
      </c>
      <c r="D82" s="18" t="s">
        <v>705</v>
      </c>
      <c r="E82" s="18" t="s">
        <v>706</v>
      </c>
      <c r="F82" s="12" t="s">
        <v>184</v>
      </c>
      <c r="G82" s="12" t="s">
        <v>78</v>
      </c>
      <c r="H82" s="18" t="s">
        <v>707</v>
      </c>
      <c r="I82" s="18" t="s">
        <v>708</v>
      </c>
      <c r="J82" s="18" t="s">
        <v>709</v>
      </c>
      <c r="K82" s="18"/>
      <c r="L82" s="12" t="s">
        <v>268</v>
      </c>
      <c r="M82" s="19">
        <v>46294.96601851852</v>
      </c>
      <c r="N82" s="19">
        <v>46295.10664351852</v>
      </c>
      <c r="O82" s="19">
        <v>46295.10664351852</v>
      </c>
      <c r="P82" s="12" t="s">
        <v>710</v>
      </c>
      <c r="Q82" s="18"/>
      <c r="R82" s="12"/>
      <c r="S82" s="12" t="s">
        <v>303</v>
      </c>
    </row>
    <row r="83" spans="1:19" ht="216.75" x14ac:dyDescent="0.25">
      <c r="A83" s="15" t="s">
        <v>711</v>
      </c>
      <c r="B83" s="16">
        <v>3</v>
      </c>
      <c r="C83" s="12" t="s">
        <v>72</v>
      </c>
      <c r="D83" s="18" t="s">
        <v>712</v>
      </c>
      <c r="E83" s="18" t="s">
        <v>713</v>
      </c>
      <c r="F83" s="12" t="s">
        <v>184</v>
      </c>
      <c r="G83" s="12" t="s">
        <v>78</v>
      </c>
      <c r="H83" s="18" t="s">
        <v>714</v>
      </c>
      <c r="I83" s="18" t="s">
        <v>715</v>
      </c>
      <c r="J83" s="18" t="s">
        <v>716</v>
      </c>
      <c r="K83" s="18"/>
      <c r="L83" s="12" t="s">
        <v>188</v>
      </c>
      <c r="M83" s="19">
        <v>46295.115347222221</v>
      </c>
      <c r="N83" s="19">
        <v>46295.122604166667</v>
      </c>
      <c r="O83" s="19">
        <v>46295.122604166667</v>
      </c>
      <c r="P83" s="12" t="s">
        <v>717</v>
      </c>
      <c r="Q83" s="18"/>
      <c r="R83" s="12"/>
      <c r="S83" s="12" t="s">
        <v>392</v>
      </c>
    </row>
    <row r="84" spans="1:19" ht="280.5" x14ac:dyDescent="0.25">
      <c r="A84" s="15" t="s">
        <v>718</v>
      </c>
      <c r="B84" s="16">
        <v>3</v>
      </c>
      <c r="C84" s="12" t="s">
        <v>72</v>
      </c>
      <c r="D84" s="18" t="s">
        <v>719</v>
      </c>
      <c r="E84" s="18" t="s">
        <v>720</v>
      </c>
      <c r="F84" s="12" t="s">
        <v>184</v>
      </c>
      <c r="G84" s="12" t="s">
        <v>78</v>
      </c>
      <c r="H84" s="18" t="s">
        <v>721</v>
      </c>
      <c r="I84" s="18" t="s">
        <v>722</v>
      </c>
      <c r="J84" s="18" t="s">
        <v>208</v>
      </c>
      <c r="K84" s="18" t="s">
        <v>711</v>
      </c>
      <c r="L84" s="12" t="s">
        <v>188</v>
      </c>
      <c r="M84" s="19">
        <v>46295.12263888889</v>
      </c>
      <c r="N84" s="19">
        <v>46295.127291666657</v>
      </c>
      <c r="O84" s="19">
        <v>46295.127291666657</v>
      </c>
      <c r="P84" s="12" t="s">
        <v>723</v>
      </c>
      <c r="Q84" s="18"/>
      <c r="R84" s="12" t="s">
        <v>711</v>
      </c>
      <c r="S84" s="12" t="s">
        <v>392</v>
      </c>
    </row>
    <row r="85" spans="1:19" ht="89.25" x14ac:dyDescent="0.25">
      <c r="A85" s="15" t="s">
        <v>724</v>
      </c>
      <c r="B85" s="16">
        <v>3</v>
      </c>
      <c r="C85" s="12" t="s">
        <v>72</v>
      </c>
      <c r="D85" s="18" t="s">
        <v>725</v>
      </c>
      <c r="E85" s="18" t="s">
        <v>726</v>
      </c>
      <c r="F85" s="12" t="s">
        <v>313</v>
      </c>
      <c r="G85" s="12" t="s">
        <v>66</v>
      </c>
      <c r="H85" s="18" t="s">
        <v>727</v>
      </c>
      <c r="I85" s="18" t="s">
        <v>728</v>
      </c>
      <c r="J85" s="18" t="s">
        <v>208</v>
      </c>
      <c r="K85" s="18"/>
      <c r="L85" s="12" t="s">
        <v>188</v>
      </c>
      <c r="M85" s="19">
        <v>46302.52752314815</v>
      </c>
      <c r="N85" s="19"/>
      <c r="O85" s="19"/>
      <c r="P85" s="12" t="s">
        <v>729</v>
      </c>
      <c r="Q85" s="18" t="s">
        <v>730</v>
      </c>
      <c r="R85" s="12" t="s">
        <v>718</v>
      </c>
      <c r="S85" s="12" t="s">
        <v>392</v>
      </c>
    </row>
    <row r="86" spans="1:19" ht="395.25" x14ac:dyDescent="0.25">
      <c r="A86" s="15" t="s">
        <v>731</v>
      </c>
      <c r="B86" s="16">
        <v>3</v>
      </c>
      <c r="C86" s="12" t="s">
        <v>72</v>
      </c>
      <c r="D86" s="18" t="s">
        <v>732</v>
      </c>
      <c r="E86" s="18" t="s">
        <v>733</v>
      </c>
      <c r="F86" s="12" t="s">
        <v>184</v>
      </c>
      <c r="G86" s="12" t="s">
        <v>78</v>
      </c>
      <c r="H86" s="18" t="s">
        <v>734</v>
      </c>
      <c r="I86" s="18" t="s">
        <v>735</v>
      </c>
      <c r="J86" s="18" t="s">
        <v>208</v>
      </c>
      <c r="K86" s="18" t="s">
        <v>718</v>
      </c>
      <c r="L86" s="12" t="s">
        <v>268</v>
      </c>
      <c r="M86" s="19">
        <v>46295.127337962957</v>
      </c>
      <c r="N86" s="19">
        <v>46295.137418981481</v>
      </c>
      <c r="O86" s="19">
        <v>46295.137418981481</v>
      </c>
      <c r="P86" s="12" t="s">
        <v>736</v>
      </c>
      <c r="Q86" s="18"/>
      <c r="R86" s="12" t="s">
        <v>711</v>
      </c>
      <c r="S86" s="12" t="s">
        <v>392</v>
      </c>
    </row>
    <row r="87" spans="1:19" ht="114.75" x14ac:dyDescent="0.25">
      <c r="A87" s="15" t="s">
        <v>737</v>
      </c>
      <c r="B87" s="16">
        <v>3</v>
      </c>
      <c r="C87" s="12" t="s">
        <v>72</v>
      </c>
      <c r="D87" s="18" t="s">
        <v>738</v>
      </c>
      <c r="E87" s="18" t="s">
        <v>739</v>
      </c>
      <c r="F87" s="12" t="s">
        <v>199</v>
      </c>
      <c r="G87" s="12" t="s">
        <v>78</v>
      </c>
      <c r="H87" s="18" t="s">
        <v>740</v>
      </c>
      <c r="I87" s="18" t="s">
        <v>741</v>
      </c>
      <c r="J87" s="18" t="s">
        <v>208</v>
      </c>
      <c r="K87" s="18" t="s">
        <v>731</v>
      </c>
      <c r="L87" s="12" t="s">
        <v>188</v>
      </c>
      <c r="M87" s="19">
        <v>46292.607303240737</v>
      </c>
      <c r="N87" s="19">
        <v>46292.607662037037</v>
      </c>
      <c r="O87" s="19">
        <v>46292.607662037037</v>
      </c>
      <c r="P87" s="12" t="s">
        <v>483</v>
      </c>
      <c r="Q87" s="18" t="s">
        <v>742</v>
      </c>
      <c r="R87" s="12"/>
      <c r="S87" s="12" t="s">
        <v>392</v>
      </c>
    </row>
    <row r="88" spans="1:19" ht="229.5" x14ac:dyDescent="0.25">
      <c r="A88" s="15" t="s">
        <v>743</v>
      </c>
      <c r="B88" s="16">
        <v>3</v>
      </c>
      <c r="C88" s="12" t="s">
        <v>109</v>
      </c>
      <c r="D88" s="18" t="s">
        <v>744</v>
      </c>
      <c r="E88" s="18" t="s">
        <v>745</v>
      </c>
      <c r="F88" s="12" t="s">
        <v>184</v>
      </c>
      <c r="G88" s="12" t="s">
        <v>78</v>
      </c>
      <c r="H88" s="18" t="s">
        <v>746</v>
      </c>
      <c r="I88" s="18" t="s">
        <v>747</v>
      </c>
      <c r="J88" s="18" t="s">
        <v>363</v>
      </c>
      <c r="K88" s="18" t="s">
        <v>252</v>
      </c>
      <c r="L88" s="12" t="s">
        <v>258</v>
      </c>
      <c r="M88" s="19">
        <v>46294.957870370366</v>
      </c>
      <c r="N88" s="19">
        <v>46294.96597222222</v>
      </c>
      <c r="O88" s="19">
        <v>46294.96597222222</v>
      </c>
      <c r="P88" s="12" t="s">
        <v>748</v>
      </c>
      <c r="Q88" s="18"/>
      <c r="R88" s="12"/>
      <c r="S88" s="12" t="s">
        <v>749</v>
      </c>
    </row>
    <row r="89" spans="1:19" ht="140.25" x14ac:dyDescent="0.25">
      <c r="A89" s="15" t="s">
        <v>750</v>
      </c>
      <c r="B89" s="16">
        <v>3</v>
      </c>
      <c r="C89" s="12" t="s">
        <v>109</v>
      </c>
      <c r="D89" s="18" t="s">
        <v>751</v>
      </c>
      <c r="E89" s="18" t="s">
        <v>752</v>
      </c>
      <c r="F89" s="12" t="s">
        <v>327</v>
      </c>
      <c r="G89" s="12" t="s">
        <v>78</v>
      </c>
      <c r="H89" s="18" t="s">
        <v>753</v>
      </c>
      <c r="I89" s="18" t="s">
        <v>754</v>
      </c>
      <c r="J89" s="18" t="s">
        <v>363</v>
      </c>
      <c r="K89" s="18"/>
      <c r="L89" s="12" t="s">
        <v>188</v>
      </c>
      <c r="M89" s="19">
        <v>46302.96539351852</v>
      </c>
      <c r="N89" s="19">
        <v>46302.96539351852</v>
      </c>
      <c r="O89" s="19">
        <v>46302.96539351852</v>
      </c>
      <c r="P89" s="12" t="s">
        <v>755</v>
      </c>
      <c r="Q89" s="18"/>
      <c r="R89" s="12" t="s">
        <v>743</v>
      </c>
      <c r="S89" s="12" t="s">
        <v>749</v>
      </c>
    </row>
    <row r="90" spans="1:19" ht="357" x14ac:dyDescent="0.25">
      <c r="A90" s="15" t="s">
        <v>756</v>
      </c>
      <c r="B90" s="16">
        <v>3</v>
      </c>
      <c r="C90" s="12" t="s">
        <v>109</v>
      </c>
      <c r="D90" s="18" t="s">
        <v>757</v>
      </c>
      <c r="E90" s="18" t="s">
        <v>758</v>
      </c>
      <c r="F90" s="12" t="s">
        <v>199</v>
      </c>
      <c r="G90" s="12" t="s">
        <v>78</v>
      </c>
      <c r="H90" s="18" t="s">
        <v>759</v>
      </c>
      <c r="I90" s="18" t="s">
        <v>760</v>
      </c>
      <c r="J90" s="18" t="s">
        <v>346</v>
      </c>
      <c r="K90" s="18" t="s">
        <v>486</v>
      </c>
      <c r="L90" s="12" t="s">
        <v>258</v>
      </c>
      <c r="M90" s="19">
        <v>46292.77983796296</v>
      </c>
      <c r="N90" s="19">
        <v>46292.781261574077</v>
      </c>
      <c r="O90" s="19">
        <v>46292.781261574077</v>
      </c>
      <c r="P90" s="12" t="s">
        <v>761</v>
      </c>
      <c r="Q90" s="18" t="s">
        <v>762</v>
      </c>
      <c r="R90" s="12"/>
      <c r="S90" s="12"/>
    </row>
    <row r="91" spans="1:19" ht="127.5" x14ac:dyDescent="0.25">
      <c r="A91" s="15" t="s">
        <v>763</v>
      </c>
      <c r="B91" s="16">
        <v>3</v>
      </c>
      <c r="C91" s="12" t="s">
        <v>109</v>
      </c>
      <c r="D91" s="18" t="s">
        <v>764</v>
      </c>
      <c r="E91" s="18" t="s">
        <v>765</v>
      </c>
      <c r="F91" s="12" t="s">
        <v>199</v>
      </c>
      <c r="G91" s="12" t="s">
        <v>78</v>
      </c>
      <c r="H91" s="18" t="s">
        <v>766</v>
      </c>
      <c r="I91" s="18" t="s">
        <v>767</v>
      </c>
      <c r="J91" s="18" t="s">
        <v>346</v>
      </c>
      <c r="K91" s="18"/>
      <c r="L91" s="12" t="s">
        <v>258</v>
      </c>
      <c r="M91" s="19">
        <v>46294.956192129634</v>
      </c>
      <c r="N91" s="19">
        <v>46294.957557870373</v>
      </c>
      <c r="O91" s="19">
        <v>46294.957557870373</v>
      </c>
      <c r="P91" s="12" t="s">
        <v>593</v>
      </c>
      <c r="Q91" s="18"/>
      <c r="R91" s="12" t="s">
        <v>756</v>
      </c>
      <c r="S91" s="12"/>
    </row>
    <row r="92" spans="1:19" ht="267.75" x14ac:dyDescent="0.25">
      <c r="A92" s="15" t="s">
        <v>768</v>
      </c>
      <c r="B92" s="16">
        <v>3</v>
      </c>
      <c r="C92" s="12" t="s">
        <v>109</v>
      </c>
      <c r="D92" s="18" t="s">
        <v>769</v>
      </c>
      <c r="E92" s="18" t="s">
        <v>770</v>
      </c>
      <c r="F92" s="12" t="s">
        <v>184</v>
      </c>
      <c r="G92" s="12" t="s">
        <v>78</v>
      </c>
      <c r="H92" s="18" t="s">
        <v>771</v>
      </c>
      <c r="I92" s="18" t="s">
        <v>772</v>
      </c>
      <c r="J92" s="18" t="s">
        <v>346</v>
      </c>
      <c r="K92" s="18" t="s">
        <v>756</v>
      </c>
      <c r="L92" s="12" t="s">
        <v>258</v>
      </c>
      <c r="M92" s="19">
        <v>46295.344166666669</v>
      </c>
      <c r="N92" s="19">
        <v>46295.354259259257</v>
      </c>
      <c r="O92" s="19">
        <v>46295.354259259257</v>
      </c>
      <c r="P92" s="12" t="s">
        <v>773</v>
      </c>
      <c r="Q92" s="18" t="s">
        <v>774</v>
      </c>
      <c r="R92" s="12" t="s">
        <v>756</v>
      </c>
      <c r="S92" s="12"/>
    </row>
    <row r="93" spans="1:19" ht="165.75" x14ac:dyDescent="0.25">
      <c r="A93" s="15" t="s">
        <v>775</v>
      </c>
      <c r="B93" s="16">
        <v>3</v>
      </c>
      <c r="C93" s="12" t="s">
        <v>109</v>
      </c>
      <c r="D93" s="18" t="s">
        <v>776</v>
      </c>
      <c r="E93" s="18" t="s">
        <v>777</v>
      </c>
      <c r="F93" s="12" t="s">
        <v>313</v>
      </c>
      <c r="G93" s="12" t="s">
        <v>78</v>
      </c>
      <c r="H93" s="18" t="s">
        <v>778</v>
      </c>
      <c r="I93" s="18" t="s">
        <v>779</v>
      </c>
      <c r="J93" s="18"/>
      <c r="K93" s="18" t="s">
        <v>756</v>
      </c>
      <c r="L93" s="12" t="s">
        <v>268</v>
      </c>
      <c r="M93" s="19">
        <v>46302.636307870373</v>
      </c>
      <c r="N93" s="19">
        <v>46302.636307870373</v>
      </c>
      <c r="O93" s="19">
        <v>46302.636307870373</v>
      </c>
      <c r="P93" s="12" t="s">
        <v>780</v>
      </c>
      <c r="Q93" s="18" t="s">
        <v>781</v>
      </c>
      <c r="R93" s="12"/>
      <c r="S93" s="12"/>
    </row>
    <row r="94" spans="1:19" ht="178.5" x14ac:dyDescent="0.25">
      <c r="A94" s="15" t="s">
        <v>782</v>
      </c>
      <c r="B94" s="16">
        <v>3</v>
      </c>
      <c r="C94" s="12" t="s">
        <v>104</v>
      </c>
      <c r="D94" s="18" t="s">
        <v>783</v>
      </c>
      <c r="E94" s="18" t="s">
        <v>784</v>
      </c>
      <c r="F94" s="12" t="s">
        <v>199</v>
      </c>
      <c r="G94" s="12" t="s">
        <v>78</v>
      </c>
      <c r="H94" s="18" t="s">
        <v>785</v>
      </c>
      <c r="I94" s="18" t="s">
        <v>786</v>
      </c>
      <c r="J94" s="18"/>
      <c r="K94" s="18" t="s">
        <v>756</v>
      </c>
      <c r="L94" s="12" t="s">
        <v>268</v>
      </c>
      <c r="M94" s="19">
        <v>46292.817372685182</v>
      </c>
      <c r="N94" s="19">
        <v>46292.818101851852</v>
      </c>
      <c r="O94" s="19">
        <v>46292.818101851852</v>
      </c>
      <c r="P94" s="12" t="s">
        <v>505</v>
      </c>
      <c r="Q94" s="18" t="s">
        <v>787</v>
      </c>
      <c r="R94" s="12"/>
      <c r="S94" s="12"/>
    </row>
    <row r="95" spans="1:19" ht="102" x14ac:dyDescent="0.25">
      <c r="A95" s="15" t="s">
        <v>788</v>
      </c>
      <c r="B95" s="16">
        <v>3</v>
      </c>
      <c r="C95" s="12" t="s">
        <v>113</v>
      </c>
      <c r="D95" s="18" t="s">
        <v>789</v>
      </c>
      <c r="E95" s="18" t="s">
        <v>790</v>
      </c>
      <c r="F95" s="12" t="s">
        <v>199</v>
      </c>
      <c r="G95" s="12" t="s">
        <v>78</v>
      </c>
      <c r="H95" s="18" t="s">
        <v>791</v>
      </c>
      <c r="I95" s="18" t="s">
        <v>792</v>
      </c>
      <c r="J95" s="18"/>
      <c r="K95" s="18"/>
      <c r="L95" s="12" t="s">
        <v>268</v>
      </c>
      <c r="M95" s="19">
        <v>46294.956238425933</v>
      </c>
      <c r="N95" s="19">
        <v>46294.957604166673</v>
      </c>
      <c r="O95" s="19">
        <v>46294.957604166673</v>
      </c>
      <c r="P95" s="12" t="s">
        <v>593</v>
      </c>
      <c r="Q95" s="18"/>
      <c r="R95" s="12"/>
      <c r="S95" s="12"/>
    </row>
    <row r="96" spans="1:19" ht="191.25" x14ac:dyDescent="0.25">
      <c r="A96" s="15" t="s">
        <v>793</v>
      </c>
      <c r="B96" s="16">
        <v>4</v>
      </c>
      <c r="C96" s="12" t="s">
        <v>124</v>
      </c>
      <c r="D96" s="18" t="s">
        <v>794</v>
      </c>
      <c r="E96" s="18" t="s">
        <v>795</v>
      </c>
      <c r="F96" s="12" t="s">
        <v>184</v>
      </c>
      <c r="G96" s="12" t="s">
        <v>78</v>
      </c>
      <c r="H96" s="18" t="s">
        <v>796</v>
      </c>
      <c r="I96" s="18" t="s">
        <v>797</v>
      </c>
      <c r="J96" s="18" t="s">
        <v>363</v>
      </c>
      <c r="K96" s="18"/>
      <c r="L96" s="12" t="s">
        <v>268</v>
      </c>
      <c r="M96" s="19">
        <v>46295.598460648151</v>
      </c>
      <c r="N96" s="19">
        <v>46295.626087962963</v>
      </c>
      <c r="O96" s="19">
        <v>46295.626087962963</v>
      </c>
      <c r="P96" s="12" t="s">
        <v>798</v>
      </c>
      <c r="Q96" s="18"/>
      <c r="R96" s="12"/>
      <c r="S96" s="12" t="s">
        <v>799</v>
      </c>
    </row>
    <row r="97" spans="1:19" ht="204" x14ac:dyDescent="0.25">
      <c r="A97" s="15" t="s">
        <v>800</v>
      </c>
      <c r="B97" s="16">
        <v>4</v>
      </c>
      <c r="C97" s="12" t="s">
        <v>124</v>
      </c>
      <c r="D97" s="18" t="s">
        <v>801</v>
      </c>
      <c r="E97" s="18" t="s">
        <v>802</v>
      </c>
      <c r="F97" s="12" t="s">
        <v>184</v>
      </c>
      <c r="G97" s="12" t="s">
        <v>78</v>
      </c>
      <c r="H97" s="18" t="s">
        <v>803</v>
      </c>
      <c r="I97" s="18" t="s">
        <v>804</v>
      </c>
      <c r="J97" s="18" t="s">
        <v>363</v>
      </c>
      <c r="K97" s="18"/>
      <c r="L97" s="12" t="s">
        <v>188</v>
      </c>
      <c r="M97" s="19">
        <v>46295.914097222223</v>
      </c>
      <c r="N97" s="19">
        <v>46295.91511574074</v>
      </c>
      <c r="O97" s="19">
        <v>46295.91511574074</v>
      </c>
      <c r="P97" s="12" t="s">
        <v>805</v>
      </c>
      <c r="Q97" s="18"/>
      <c r="R97" s="12"/>
      <c r="S97" s="12" t="s">
        <v>799</v>
      </c>
    </row>
    <row r="98" spans="1:19" ht="267.75" x14ac:dyDescent="0.25">
      <c r="A98" s="15" t="s">
        <v>806</v>
      </c>
      <c r="B98" s="16">
        <v>4</v>
      </c>
      <c r="C98" s="12" t="s">
        <v>124</v>
      </c>
      <c r="D98" s="18" t="s">
        <v>807</v>
      </c>
      <c r="E98" s="18" t="s">
        <v>808</v>
      </c>
      <c r="F98" s="12" t="s">
        <v>184</v>
      </c>
      <c r="G98" s="12" t="s">
        <v>78</v>
      </c>
      <c r="H98" s="18" t="s">
        <v>809</v>
      </c>
      <c r="I98" s="18" t="s">
        <v>810</v>
      </c>
      <c r="J98" s="18" t="s">
        <v>811</v>
      </c>
      <c r="K98" s="18"/>
      <c r="L98" s="12" t="s">
        <v>258</v>
      </c>
      <c r="M98" s="19">
        <v>46295.935115740736</v>
      </c>
      <c r="N98" s="19">
        <v>46295.935868055552</v>
      </c>
      <c r="O98" s="19">
        <v>46295.935868055552</v>
      </c>
      <c r="P98" s="12" t="s">
        <v>812</v>
      </c>
      <c r="Q98" s="18"/>
      <c r="R98" s="12"/>
      <c r="S98" s="12" t="s">
        <v>813</v>
      </c>
    </row>
    <row r="99" spans="1:19" ht="153" x14ac:dyDescent="0.25">
      <c r="A99" s="15" t="s">
        <v>814</v>
      </c>
      <c r="B99" s="16">
        <v>4</v>
      </c>
      <c r="C99" s="12" t="s">
        <v>124</v>
      </c>
      <c r="D99" s="18" t="s">
        <v>815</v>
      </c>
      <c r="E99" s="18" t="s">
        <v>816</v>
      </c>
      <c r="F99" s="12" t="s">
        <v>199</v>
      </c>
      <c r="G99" s="12" t="s">
        <v>78</v>
      </c>
      <c r="H99" s="18" t="s">
        <v>817</v>
      </c>
      <c r="I99" s="18" t="s">
        <v>818</v>
      </c>
      <c r="J99" s="18" t="s">
        <v>811</v>
      </c>
      <c r="K99" s="18"/>
      <c r="L99" s="12" t="s">
        <v>268</v>
      </c>
      <c r="M99" s="19">
        <v>46296.447638888887</v>
      </c>
      <c r="N99" s="19">
        <v>46296.449016203696</v>
      </c>
      <c r="O99" s="19">
        <v>46296.449016203696</v>
      </c>
      <c r="P99" s="12" t="s">
        <v>819</v>
      </c>
      <c r="Q99" s="18"/>
      <c r="R99" s="12"/>
      <c r="S99" s="12" t="s">
        <v>813</v>
      </c>
    </row>
    <row r="100" spans="1:19" ht="255" x14ac:dyDescent="0.25">
      <c r="A100" s="15" t="s">
        <v>820</v>
      </c>
      <c r="B100" s="16">
        <v>4</v>
      </c>
      <c r="C100" s="12" t="s">
        <v>124</v>
      </c>
      <c r="D100" s="18" t="s">
        <v>821</v>
      </c>
      <c r="E100" s="18" t="s">
        <v>822</v>
      </c>
      <c r="F100" s="12" t="s">
        <v>184</v>
      </c>
      <c r="G100" s="12" t="s">
        <v>78</v>
      </c>
      <c r="H100" s="18" t="s">
        <v>823</v>
      </c>
      <c r="I100" s="18" t="s">
        <v>824</v>
      </c>
      <c r="J100" s="18" t="s">
        <v>825</v>
      </c>
      <c r="K100" s="18"/>
      <c r="L100" s="12" t="s">
        <v>268</v>
      </c>
      <c r="M100" s="19">
        <v>46295.949259259258</v>
      </c>
      <c r="N100" s="19">
        <v>46295.95</v>
      </c>
      <c r="O100" s="19">
        <v>46295.95</v>
      </c>
      <c r="P100" s="12" t="s">
        <v>826</v>
      </c>
      <c r="Q100" s="18"/>
      <c r="R100" s="12"/>
      <c r="S100" s="12" t="s">
        <v>827</v>
      </c>
    </row>
    <row r="101" spans="1:19" ht="267.75" x14ac:dyDescent="0.25">
      <c r="A101" s="15" t="s">
        <v>828</v>
      </c>
      <c r="B101" s="16">
        <v>4</v>
      </c>
      <c r="C101" s="12" t="s">
        <v>124</v>
      </c>
      <c r="D101" s="18" t="s">
        <v>829</v>
      </c>
      <c r="E101" s="18" t="s">
        <v>830</v>
      </c>
      <c r="F101" s="12" t="s">
        <v>184</v>
      </c>
      <c r="G101" s="12" t="s">
        <v>78</v>
      </c>
      <c r="H101" s="18" t="s">
        <v>831</v>
      </c>
      <c r="I101" s="18" t="s">
        <v>832</v>
      </c>
      <c r="J101" s="18" t="s">
        <v>346</v>
      </c>
      <c r="K101" s="18"/>
      <c r="L101" s="12" t="s">
        <v>268</v>
      </c>
      <c r="M101" s="19">
        <v>46295.965289351851</v>
      </c>
      <c r="N101" s="19">
        <v>46295.96601851852</v>
      </c>
      <c r="O101" s="19">
        <v>46295.96601851852</v>
      </c>
      <c r="P101" s="12" t="s">
        <v>833</v>
      </c>
      <c r="Q101" s="18"/>
      <c r="R101" s="12"/>
      <c r="S101" s="12" t="s">
        <v>827</v>
      </c>
    </row>
    <row r="102" spans="1:19" ht="216.75" x14ac:dyDescent="0.25">
      <c r="A102" s="15" t="s">
        <v>834</v>
      </c>
      <c r="B102" s="16">
        <v>4</v>
      </c>
      <c r="C102" s="12" t="s">
        <v>124</v>
      </c>
      <c r="D102" s="18" t="s">
        <v>835</v>
      </c>
      <c r="E102" s="18" t="s">
        <v>836</v>
      </c>
      <c r="F102" s="12" t="s">
        <v>199</v>
      </c>
      <c r="G102" s="12" t="s">
        <v>78</v>
      </c>
      <c r="H102" s="18" t="s">
        <v>837</v>
      </c>
      <c r="I102" s="18" t="s">
        <v>838</v>
      </c>
      <c r="J102" s="18" t="s">
        <v>346</v>
      </c>
      <c r="K102" s="18" t="s">
        <v>820</v>
      </c>
      <c r="L102" s="12" t="s">
        <v>188</v>
      </c>
      <c r="M102" s="19">
        <v>46295.985347222217</v>
      </c>
      <c r="N102" s="19">
        <v>46295.986030092587</v>
      </c>
      <c r="O102" s="19">
        <v>46295.986030092587</v>
      </c>
      <c r="P102" s="12" t="s">
        <v>839</v>
      </c>
      <c r="Q102" s="18"/>
      <c r="R102" s="12"/>
      <c r="S102" s="12" t="s">
        <v>827</v>
      </c>
    </row>
    <row r="103" spans="1:19" ht="165.75" x14ac:dyDescent="0.25">
      <c r="A103" s="15" t="s">
        <v>840</v>
      </c>
      <c r="B103" s="16">
        <v>4</v>
      </c>
      <c r="C103" s="12" t="s">
        <v>124</v>
      </c>
      <c r="D103" s="18" t="s">
        <v>841</v>
      </c>
      <c r="E103" s="18" t="s">
        <v>842</v>
      </c>
      <c r="F103" s="12" t="s">
        <v>199</v>
      </c>
      <c r="G103" s="12" t="s">
        <v>78</v>
      </c>
      <c r="H103" s="18" t="s">
        <v>843</v>
      </c>
      <c r="I103" s="18" t="s">
        <v>844</v>
      </c>
      <c r="J103" s="18" t="s">
        <v>811</v>
      </c>
      <c r="K103" s="18"/>
      <c r="L103" s="12" t="s">
        <v>188</v>
      </c>
      <c r="M103" s="19">
        <v>46295.990624999999</v>
      </c>
      <c r="N103" s="19">
        <v>46295.99114583333</v>
      </c>
      <c r="O103" s="19">
        <v>46295.99114583333</v>
      </c>
      <c r="P103" s="12" t="s">
        <v>845</v>
      </c>
      <c r="Q103" s="18"/>
      <c r="R103" s="12"/>
      <c r="S103" s="12"/>
    </row>
    <row r="104" spans="1:19" ht="76.5" x14ac:dyDescent="0.25">
      <c r="A104" s="15" t="s">
        <v>846</v>
      </c>
      <c r="B104" s="16">
        <v>4</v>
      </c>
      <c r="C104" s="12" t="s">
        <v>124</v>
      </c>
      <c r="D104" s="18" t="s">
        <v>847</v>
      </c>
      <c r="E104" s="18" t="s">
        <v>848</v>
      </c>
      <c r="F104" s="12" t="s">
        <v>199</v>
      </c>
      <c r="G104" s="12" t="s">
        <v>78</v>
      </c>
      <c r="H104" s="18" t="s">
        <v>849</v>
      </c>
      <c r="I104" s="18" t="s">
        <v>850</v>
      </c>
      <c r="J104" s="18" t="s">
        <v>417</v>
      </c>
      <c r="K104" s="18" t="s">
        <v>462</v>
      </c>
      <c r="L104" s="12" t="s">
        <v>268</v>
      </c>
      <c r="M104" s="19">
        <v>46292.606898148151</v>
      </c>
      <c r="N104" s="19">
        <v>46292.60701388889</v>
      </c>
      <c r="O104" s="19">
        <v>46292.60701388889</v>
      </c>
      <c r="P104" s="12" t="s">
        <v>467</v>
      </c>
      <c r="Q104" s="18"/>
      <c r="R104" s="12"/>
      <c r="S104" s="12"/>
    </row>
    <row r="105" spans="1:19" ht="191.25" x14ac:dyDescent="0.25">
      <c r="A105" s="15" t="s">
        <v>851</v>
      </c>
      <c r="B105" s="16">
        <v>4</v>
      </c>
      <c r="C105" s="12" t="s">
        <v>124</v>
      </c>
      <c r="D105" s="18" t="s">
        <v>852</v>
      </c>
      <c r="E105" s="18" t="s">
        <v>853</v>
      </c>
      <c r="F105" s="12" t="s">
        <v>199</v>
      </c>
      <c r="G105" s="12" t="s">
        <v>78</v>
      </c>
      <c r="H105" s="18" t="s">
        <v>854</v>
      </c>
      <c r="I105" s="18" t="s">
        <v>855</v>
      </c>
      <c r="J105" s="18" t="s">
        <v>856</v>
      </c>
      <c r="K105" s="18"/>
      <c r="L105" s="12" t="s">
        <v>188</v>
      </c>
      <c r="M105" s="19">
        <v>46296.425092592603</v>
      </c>
      <c r="N105" s="19">
        <v>46296.426018518519</v>
      </c>
      <c r="O105" s="19">
        <v>46296.426018518519</v>
      </c>
      <c r="P105" s="12" t="s">
        <v>857</v>
      </c>
      <c r="Q105" s="18"/>
      <c r="R105" s="12"/>
      <c r="S105" s="12" t="s">
        <v>799</v>
      </c>
    </row>
    <row r="106" spans="1:19" ht="25.5" x14ac:dyDescent="0.25">
      <c r="A106" s="15" t="s">
        <v>858</v>
      </c>
      <c r="B106" s="16">
        <v>4</v>
      </c>
      <c r="C106" s="12" t="s">
        <v>124</v>
      </c>
      <c r="D106" s="18" t="s">
        <v>859</v>
      </c>
      <c r="E106" s="18" t="s">
        <v>860</v>
      </c>
      <c r="F106" s="12" t="s">
        <v>313</v>
      </c>
      <c r="G106" s="12" t="s">
        <v>78</v>
      </c>
      <c r="H106" s="18" t="s">
        <v>861</v>
      </c>
      <c r="I106" s="18" t="s">
        <v>862</v>
      </c>
      <c r="J106" s="18" t="s">
        <v>214</v>
      </c>
      <c r="K106" s="18"/>
      <c r="L106" s="12" t="s">
        <v>268</v>
      </c>
      <c r="M106" s="19">
        <v>46301.615798611107</v>
      </c>
      <c r="N106" s="19">
        <v>46301.615798611107</v>
      </c>
      <c r="O106" s="19">
        <v>46301.615798611107</v>
      </c>
      <c r="P106" s="12" t="s">
        <v>863</v>
      </c>
      <c r="Q106" s="18"/>
      <c r="R106" s="12"/>
      <c r="S106" s="12"/>
    </row>
    <row r="107" spans="1:19" ht="229.5" x14ac:dyDescent="0.25">
      <c r="A107" s="15" t="s">
        <v>864</v>
      </c>
      <c r="B107" s="16">
        <v>4</v>
      </c>
      <c r="C107" s="12" t="s">
        <v>72</v>
      </c>
      <c r="D107" s="18" t="s">
        <v>865</v>
      </c>
      <c r="E107" s="18" t="s">
        <v>866</v>
      </c>
      <c r="F107" s="12" t="s">
        <v>184</v>
      </c>
      <c r="G107" s="12" t="s">
        <v>78</v>
      </c>
      <c r="H107" s="18" t="s">
        <v>867</v>
      </c>
      <c r="I107" s="18" t="s">
        <v>868</v>
      </c>
      <c r="J107" s="18" t="s">
        <v>208</v>
      </c>
      <c r="K107" s="18" t="s">
        <v>869</v>
      </c>
      <c r="L107" s="12" t="s">
        <v>188</v>
      </c>
      <c r="M107" s="19">
        <v>46295.975208333337</v>
      </c>
      <c r="N107" s="19">
        <v>46295.975891203707</v>
      </c>
      <c r="O107" s="19">
        <v>46295.975891203707</v>
      </c>
      <c r="P107" s="12" t="s">
        <v>870</v>
      </c>
      <c r="Q107" s="18"/>
      <c r="R107" s="12"/>
      <c r="S107" s="12" t="s">
        <v>871</v>
      </c>
    </row>
    <row r="108" spans="1:19" ht="63.75" x14ac:dyDescent="0.25">
      <c r="A108" s="15" t="s">
        <v>872</v>
      </c>
      <c r="B108" s="16">
        <v>4</v>
      </c>
      <c r="C108" s="12" t="s">
        <v>124</v>
      </c>
      <c r="D108" s="18" t="s">
        <v>873</v>
      </c>
      <c r="E108" s="18" t="s">
        <v>874</v>
      </c>
      <c r="F108" s="12" t="s">
        <v>313</v>
      </c>
      <c r="G108" s="12" t="s">
        <v>66</v>
      </c>
      <c r="H108" s="18"/>
      <c r="I108" s="18"/>
      <c r="J108" s="18" t="s">
        <v>875</v>
      </c>
      <c r="K108" s="18"/>
      <c r="L108" s="12" t="s">
        <v>188</v>
      </c>
      <c r="M108" s="19">
        <v>46292.170868055553</v>
      </c>
      <c r="N108" s="19"/>
      <c r="O108" s="19"/>
      <c r="P108" s="12"/>
      <c r="Q108" s="18" t="s">
        <v>876</v>
      </c>
      <c r="R108" s="12"/>
      <c r="S108" s="12"/>
    </row>
    <row r="109" spans="1:19" ht="165.75" x14ac:dyDescent="0.25">
      <c r="A109" s="15" t="s">
        <v>877</v>
      </c>
      <c r="B109" s="16">
        <v>4</v>
      </c>
      <c r="C109" s="12" t="s">
        <v>124</v>
      </c>
      <c r="D109" s="18" t="s">
        <v>878</v>
      </c>
      <c r="E109" s="18" t="s">
        <v>879</v>
      </c>
      <c r="F109" s="12" t="s">
        <v>184</v>
      </c>
      <c r="G109" s="12" t="s">
        <v>78</v>
      </c>
      <c r="H109" s="18" t="s">
        <v>880</v>
      </c>
      <c r="I109" s="18" t="s">
        <v>881</v>
      </c>
      <c r="J109" s="18" t="s">
        <v>709</v>
      </c>
      <c r="K109" s="18"/>
      <c r="L109" s="12" t="s">
        <v>258</v>
      </c>
      <c r="M109" s="19">
        <v>46292.397314814807</v>
      </c>
      <c r="N109" s="19">
        <v>46292.399004629631</v>
      </c>
      <c r="O109" s="19">
        <v>46292.399004629631</v>
      </c>
      <c r="P109" s="12" t="s">
        <v>302</v>
      </c>
      <c r="Q109" s="18" t="s">
        <v>882</v>
      </c>
      <c r="R109" s="12"/>
      <c r="S109" s="12"/>
    </row>
    <row r="110" spans="1:19" ht="153" x14ac:dyDescent="0.25">
      <c r="A110" s="15" t="s">
        <v>883</v>
      </c>
      <c r="B110" s="16">
        <v>4</v>
      </c>
      <c r="C110" s="12" t="s">
        <v>124</v>
      </c>
      <c r="D110" s="18" t="s">
        <v>884</v>
      </c>
      <c r="E110" s="18" t="s">
        <v>885</v>
      </c>
      <c r="F110" s="12" t="s">
        <v>199</v>
      </c>
      <c r="G110" s="12" t="s">
        <v>78</v>
      </c>
      <c r="H110" s="18" t="s">
        <v>886</v>
      </c>
      <c r="I110" s="18" t="s">
        <v>887</v>
      </c>
      <c r="J110" s="18"/>
      <c r="K110" s="18"/>
      <c r="L110" s="12" t="s">
        <v>258</v>
      </c>
      <c r="M110" s="19">
        <v>46295.914340277777</v>
      </c>
      <c r="N110" s="19">
        <v>46295.915150462963</v>
      </c>
      <c r="O110" s="19">
        <v>46295.915150462963</v>
      </c>
      <c r="P110" s="12" t="s">
        <v>805</v>
      </c>
      <c r="Q110" s="18" t="s">
        <v>888</v>
      </c>
      <c r="R110" s="12"/>
      <c r="S110" s="12"/>
    </row>
    <row r="111" spans="1:19" ht="38.25" x14ac:dyDescent="0.25">
      <c r="A111" s="15" t="s">
        <v>889</v>
      </c>
      <c r="B111" s="16">
        <v>5</v>
      </c>
      <c r="C111" s="12" t="s">
        <v>128</v>
      </c>
      <c r="D111" s="18" t="s">
        <v>890</v>
      </c>
      <c r="E111" s="18" t="s">
        <v>891</v>
      </c>
      <c r="F111" s="12" t="s">
        <v>184</v>
      </c>
      <c r="G111" s="12" t="s">
        <v>78</v>
      </c>
      <c r="H111" s="18" t="s">
        <v>892</v>
      </c>
      <c r="I111" s="18" t="s">
        <v>893</v>
      </c>
      <c r="J111" s="18" t="s">
        <v>346</v>
      </c>
      <c r="K111" s="18"/>
      <c r="L111" s="12" t="s">
        <v>258</v>
      </c>
      <c r="M111" s="19">
        <v>46301.614942129629</v>
      </c>
      <c r="N111" s="19">
        <v>46301.614942129629</v>
      </c>
      <c r="O111" s="19">
        <v>46301.614942129629</v>
      </c>
      <c r="P111" s="12" t="s">
        <v>894</v>
      </c>
      <c r="Q111" s="18" t="s">
        <v>895</v>
      </c>
      <c r="R111" s="12"/>
      <c r="S111" s="12" t="s">
        <v>896</v>
      </c>
    </row>
    <row r="112" spans="1:19" ht="38.25" x14ac:dyDescent="0.25">
      <c r="A112" s="15" t="s">
        <v>897</v>
      </c>
      <c r="B112" s="16">
        <v>5</v>
      </c>
      <c r="C112" s="12" t="s">
        <v>128</v>
      </c>
      <c r="D112" s="18" t="s">
        <v>898</v>
      </c>
      <c r="E112" s="18" t="s">
        <v>899</v>
      </c>
      <c r="F112" s="12" t="s">
        <v>199</v>
      </c>
      <c r="G112" s="12" t="s">
        <v>78</v>
      </c>
      <c r="H112" s="18" t="s">
        <v>900</v>
      </c>
      <c r="I112" s="18" t="s">
        <v>901</v>
      </c>
      <c r="J112" s="18" t="s">
        <v>902</v>
      </c>
      <c r="K112" s="18"/>
      <c r="L112" s="12" t="s">
        <v>188</v>
      </c>
      <c r="M112" s="19">
        <v>46301.614988425928</v>
      </c>
      <c r="N112" s="19">
        <v>46301.614988425928</v>
      </c>
      <c r="O112" s="19">
        <v>46301.614988425928</v>
      </c>
      <c r="P112" s="12" t="s">
        <v>894</v>
      </c>
      <c r="Q112" s="18" t="s">
        <v>903</v>
      </c>
      <c r="R112" s="12"/>
      <c r="S112" s="12" t="s">
        <v>896</v>
      </c>
    </row>
    <row r="113" spans="1:19" ht="114.75" x14ac:dyDescent="0.25">
      <c r="A113" s="15" t="s">
        <v>904</v>
      </c>
      <c r="B113" s="16">
        <v>5</v>
      </c>
      <c r="C113" s="12" t="s">
        <v>128</v>
      </c>
      <c r="D113" s="18" t="s">
        <v>905</v>
      </c>
      <c r="E113" s="18" t="s">
        <v>906</v>
      </c>
      <c r="F113" s="12" t="s">
        <v>199</v>
      </c>
      <c r="G113" s="12" t="s">
        <v>78</v>
      </c>
      <c r="H113" s="18" t="s">
        <v>907</v>
      </c>
      <c r="I113" s="18" t="s">
        <v>908</v>
      </c>
      <c r="J113" s="18" t="s">
        <v>909</v>
      </c>
      <c r="K113" s="18"/>
      <c r="L113" s="12" t="s">
        <v>258</v>
      </c>
      <c r="M113" s="19">
        <v>46296.494606481479</v>
      </c>
      <c r="N113" s="19">
        <v>46296.494606481479</v>
      </c>
      <c r="O113" s="19">
        <v>46296.494606481479</v>
      </c>
      <c r="P113" s="12" t="s">
        <v>910</v>
      </c>
      <c r="Q113" s="18"/>
      <c r="R113" s="12"/>
      <c r="S113" s="12" t="s">
        <v>340</v>
      </c>
    </row>
    <row r="114" spans="1:19" ht="51" x14ac:dyDescent="0.25">
      <c r="A114" s="15" t="s">
        <v>911</v>
      </c>
      <c r="B114" s="16">
        <v>5</v>
      </c>
      <c r="C114" s="12" t="s">
        <v>128</v>
      </c>
      <c r="D114" s="18" t="s">
        <v>912</v>
      </c>
      <c r="E114" s="18" t="s">
        <v>913</v>
      </c>
      <c r="F114" s="12" t="s">
        <v>199</v>
      </c>
      <c r="G114" s="12" t="s">
        <v>78</v>
      </c>
      <c r="H114" s="18" t="s">
        <v>914</v>
      </c>
      <c r="I114" s="18" t="s">
        <v>915</v>
      </c>
      <c r="J114" s="18" t="s">
        <v>449</v>
      </c>
      <c r="K114" s="18"/>
      <c r="L114" s="12" t="s">
        <v>258</v>
      </c>
      <c r="M114" s="19">
        <v>46301.615023148152</v>
      </c>
      <c r="N114" s="19">
        <v>46301.615023148152</v>
      </c>
      <c r="O114" s="19">
        <v>46301.615023148152</v>
      </c>
      <c r="P114" s="12" t="s">
        <v>894</v>
      </c>
      <c r="Q114" s="18" t="s">
        <v>916</v>
      </c>
      <c r="R114" s="12"/>
      <c r="S114" s="12" t="s">
        <v>340</v>
      </c>
    </row>
    <row r="115" spans="1:19" ht="140.25" x14ac:dyDescent="0.25">
      <c r="A115" s="15" t="s">
        <v>917</v>
      </c>
      <c r="B115" s="16">
        <v>5</v>
      </c>
      <c r="C115" s="12" t="s">
        <v>128</v>
      </c>
      <c r="D115" s="18" t="s">
        <v>918</v>
      </c>
      <c r="E115" s="18" t="s">
        <v>919</v>
      </c>
      <c r="F115" s="12" t="s">
        <v>313</v>
      </c>
      <c r="G115" s="12" t="s">
        <v>78</v>
      </c>
      <c r="H115" s="18" t="s">
        <v>920</v>
      </c>
      <c r="I115" s="18" t="s">
        <v>921</v>
      </c>
      <c r="J115" s="18" t="s">
        <v>281</v>
      </c>
      <c r="K115" s="18"/>
      <c r="L115" s="12" t="s">
        <v>268</v>
      </c>
      <c r="M115" s="19">
        <v>46302.662361111114</v>
      </c>
      <c r="N115" s="19">
        <v>46302.662361111114</v>
      </c>
      <c r="O115" s="19">
        <v>46302.662361111114</v>
      </c>
      <c r="P115" s="12" t="s">
        <v>922</v>
      </c>
      <c r="Q115" s="18"/>
      <c r="R115" s="12"/>
      <c r="S115" s="12" t="s">
        <v>340</v>
      </c>
    </row>
    <row r="116" spans="1:19" ht="204" x14ac:dyDescent="0.25">
      <c r="A116" s="15" t="s">
        <v>923</v>
      </c>
      <c r="B116" s="16">
        <v>5</v>
      </c>
      <c r="C116" s="12" t="s">
        <v>128</v>
      </c>
      <c r="D116" s="18" t="s">
        <v>924</v>
      </c>
      <c r="E116" s="18" t="s">
        <v>925</v>
      </c>
      <c r="F116" s="12" t="s">
        <v>327</v>
      </c>
      <c r="G116" s="12" t="s">
        <v>78</v>
      </c>
      <c r="H116" s="18" t="s">
        <v>926</v>
      </c>
      <c r="I116" s="18" t="s">
        <v>927</v>
      </c>
      <c r="J116" s="18" t="s">
        <v>281</v>
      </c>
      <c r="K116" s="18" t="s">
        <v>917</v>
      </c>
      <c r="L116" s="12" t="s">
        <v>268</v>
      </c>
      <c r="M116" s="19">
        <v>46302.980925925927</v>
      </c>
      <c r="N116" s="19">
        <v>46302.980925925927</v>
      </c>
      <c r="O116" s="19">
        <v>46302.980925925927</v>
      </c>
      <c r="P116" s="12" t="s">
        <v>928</v>
      </c>
      <c r="Q116" s="18" t="s">
        <v>929</v>
      </c>
      <c r="R116" s="12" t="s">
        <v>917</v>
      </c>
      <c r="S116" s="12" t="s">
        <v>340</v>
      </c>
    </row>
    <row r="117" spans="1:19" ht="114.75" x14ac:dyDescent="0.25">
      <c r="A117" s="15" t="s">
        <v>930</v>
      </c>
      <c r="B117" s="16">
        <v>5</v>
      </c>
      <c r="C117" s="12" t="s">
        <v>128</v>
      </c>
      <c r="D117" s="18" t="s">
        <v>931</v>
      </c>
      <c r="E117" s="18" t="s">
        <v>932</v>
      </c>
      <c r="F117" s="12" t="s">
        <v>327</v>
      </c>
      <c r="G117" s="12" t="s">
        <v>60</v>
      </c>
      <c r="H117" s="18"/>
      <c r="I117" s="18"/>
      <c r="J117" s="18" t="s">
        <v>281</v>
      </c>
      <c r="K117" s="18"/>
      <c r="L117" s="12" t="s">
        <v>258</v>
      </c>
      <c r="M117" s="19"/>
      <c r="N117" s="19"/>
      <c r="O117" s="19"/>
      <c r="P117" s="12"/>
      <c r="Q117" s="18"/>
      <c r="R117" s="12" t="s">
        <v>923</v>
      </c>
      <c r="S117" s="12" t="s">
        <v>340</v>
      </c>
    </row>
    <row r="118" spans="1:19" ht="38.25" x14ac:dyDescent="0.25">
      <c r="A118" s="15" t="s">
        <v>933</v>
      </c>
      <c r="B118" s="16">
        <v>5</v>
      </c>
      <c r="C118" s="12" t="s">
        <v>128</v>
      </c>
      <c r="D118" s="18" t="s">
        <v>934</v>
      </c>
      <c r="E118" s="18" t="s">
        <v>935</v>
      </c>
      <c r="F118" s="12" t="s">
        <v>313</v>
      </c>
      <c r="G118" s="12" t="s">
        <v>78</v>
      </c>
      <c r="H118" s="18" t="s">
        <v>936</v>
      </c>
      <c r="I118" s="18" t="s">
        <v>937</v>
      </c>
      <c r="J118" s="18" t="s">
        <v>938</v>
      </c>
      <c r="K118" s="18"/>
      <c r="L118" s="12" t="s">
        <v>188</v>
      </c>
      <c r="M118" s="19">
        <v>46301.615069444437</v>
      </c>
      <c r="N118" s="19">
        <v>46301.615069444437</v>
      </c>
      <c r="O118" s="19">
        <v>46301.615069444437</v>
      </c>
      <c r="P118" s="12" t="s">
        <v>894</v>
      </c>
      <c r="Q118" s="18" t="s">
        <v>939</v>
      </c>
      <c r="R118" s="12"/>
      <c r="S118" s="12"/>
    </row>
    <row r="119" spans="1:19" ht="51" x14ac:dyDescent="0.25">
      <c r="A119" s="15" t="s">
        <v>940</v>
      </c>
      <c r="B119" s="16">
        <v>5</v>
      </c>
      <c r="C119" s="12" t="s">
        <v>128</v>
      </c>
      <c r="D119" s="18" t="s">
        <v>941</v>
      </c>
      <c r="E119" s="18" t="s">
        <v>942</v>
      </c>
      <c r="F119" s="12" t="s">
        <v>199</v>
      </c>
      <c r="G119" s="12" t="s">
        <v>78</v>
      </c>
      <c r="H119" s="18" t="s">
        <v>943</v>
      </c>
      <c r="I119" s="18" t="s">
        <v>944</v>
      </c>
      <c r="J119" s="18" t="s">
        <v>945</v>
      </c>
      <c r="K119" s="18"/>
      <c r="L119" s="12" t="s">
        <v>188</v>
      </c>
      <c r="M119" s="19">
        <v>46296.44767361111</v>
      </c>
      <c r="N119" s="19">
        <v>46301.615162037036</v>
      </c>
      <c r="O119" s="19">
        <v>46301.615162037036</v>
      </c>
      <c r="P119" s="12" t="s">
        <v>894</v>
      </c>
      <c r="Q119" s="18" t="s">
        <v>946</v>
      </c>
      <c r="R119" s="12"/>
      <c r="S119" s="12" t="s">
        <v>947</v>
      </c>
    </row>
    <row r="120" spans="1:19" ht="76.5" x14ac:dyDescent="0.25">
      <c r="A120" s="15" t="s">
        <v>948</v>
      </c>
      <c r="B120" s="16">
        <v>6</v>
      </c>
      <c r="C120" s="12" t="s">
        <v>126</v>
      </c>
      <c r="D120" s="18" t="s">
        <v>949</v>
      </c>
      <c r="E120" s="18" t="s">
        <v>950</v>
      </c>
      <c r="F120" s="12" t="s">
        <v>184</v>
      </c>
      <c r="G120" s="12" t="s">
        <v>78</v>
      </c>
      <c r="H120" s="18" t="s">
        <v>951</v>
      </c>
      <c r="I120" s="18" t="s">
        <v>952</v>
      </c>
      <c r="J120" s="18" t="s">
        <v>449</v>
      </c>
      <c r="K120" s="18"/>
      <c r="L120" s="12" t="s">
        <v>268</v>
      </c>
      <c r="M120" s="19">
        <v>46296.64025462963</v>
      </c>
      <c r="N120" s="19">
        <v>46296.64025462963</v>
      </c>
      <c r="O120" s="19">
        <v>46296.64025462963</v>
      </c>
      <c r="P120" s="12" t="s">
        <v>953</v>
      </c>
      <c r="Q120" s="18"/>
      <c r="R120" s="12"/>
      <c r="S120" s="12" t="s">
        <v>954</v>
      </c>
    </row>
    <row r="121" spans="1:19" ht="114.75" x14ac:dyDescent="0.25">
      <c r="A121" s="15" t="s">
        <v>955</v>
      </c>
      <c r="B121" s="16">
        <v>6</v>
      </c>
      <c r="C121" s="12" t="s">
        <v>126</v>
      </c>
      <c r="D121" s="18" t="s">
        <v>956</v>
      </c>
      <c r="E121" s="18" t="s">
        <v>957</v>
      </c>
      <c r="F121" s="12" t="s">
        <v>184</v>
      </c>
      <c r="G121" s="12" t="s">
        <v>78</v>
      </c>
      <c r="H121" s="18" t="s">
        <v>958</v>
      </c>
      <c r="I121" s="18" t="s">
        <v>959</v>
      </c>
      <c r="J121" s="18" t="s">
        <v>960</v>
      </c>
      <c r="K121" s="18" t="s">
        <v>948</v>
      </c>
      <c r="L121" s="12" t="s">
        <v>258</v>
      </c>
      <c r="M121" s="19">
        <v>46296.640381944453</v>
      </c>
      <c r="N121" s="19">
        <v>46296.657175925917</v>
      </c>
      <c r="O121" s="19">
        <v>46296.657175925917</v>
      </c>
      <c r="P121" s="12" t="s">
        <v>961</v>
      </c>
      <c r="Q121" s="18"/>
      <c r="R121" s="12"/>
      <c r="S121" s="12" t="s">
        <v>954</v>
      </c>
    </row>
    <row r="122" spans="1:19" ht="102" x14ac:dyDescent="0.25">
      <c r="A122" s="15" t="s">
        <v>962</v>
      </c>
      <c r="B122" s="16">
        <v>6</v>
      </c>
      <c r="C122" s="12" t="s">
        <v>126</v>
      </c>
      <c r="D122" s="18" t="s">
        <v>963</v>
      </c>
      <c r="E122" s="18" t="s">
        <v>964</v>
      </c>
      <c r="F122" s="12" t="s">
        <v>184</v>
      </c>
      <c r="G122" s="12" t="s">
        <v>78</v>
      </c>
      <c r="H122" s="18" t="s">
        <v>965</v>
      </c>
      <c r="I122" s="18" t="s">
        <v>966</v>
      </c>
      <c r="J122" s="18" t="s">
        <v>960</v>
      </c>
      <c r="K122" s="18" t="s">
        <v>948</v>
      </c>
      <c r="L122" s="12" t="s">
        <v>268</v>
      </c>
      <c r="M122" s="19">
        <v>46296.657476851848</v>
      </c>
      <c r="N122" s="19">
        <v>46296.673993055563</v>
      </c>
      <c r="O122" s="19">
        <v>46296.673993055563</v>
      </c>
      <c r="P122" s="12" t="s">
        <v>967</v>
      </c>
      <c r="Q122" s="18"/>
      <c r="R122" s="12"/>
      <c r="S122" s="12" t="s">
        <v>954</v>
      </c>
    </row>
    <row r="123" spans="1:19" ht="63.75" x14ac:dyDescent="0.25">
      <c r="A123" s="15" t="s">
        <v>968</v>
      </c>
      <c r="B123" s="16">
        <v>6</v>
      </c>
      <c r="C123" s="12" t="s">
        <v>126</v>
      </c>
      <c r="D123" s="18" t="s">
        <v>969</v>
      </c>
      <c r="E123" s="18" t="s">
        <v>970</v>
      </c>
      <c r="F123" s="12" t="s">
        <v>184</v>
      </c>
      <c r="G123" s="12" t="s">
        <v>78</v>
      </c>
      <c r="H123" s="18" t="s">
        <v>971</v>
      </c>
      <c r="I123" s="18" t="s">
        <v>972</v>
      </c>
      <c r="J123" s="18" t="s">
        <v>960</v>
      </c>
      <c r="K123" s="18"/>
      <c r="L123" s="12" t="s">
        <v>268</v>
      </c>
      <c r="M123" s="19">
        <v>46296.674305555563</v>
      </c>
      <c r="N123" s="19">
        <v>46296.683622685188</v>
      </c>
      <c r="O123" s="19">
        <v>46296.683622685188</v>
      </c>
      <c r="P123" s="12" t="s">
        <v>973</v>
      </c>
      <c r="Q123" s="18"/>
      <c r="R123" s="12"/>
      <c r="S123" s="12" t="s">
        <v>954</v>
      </c>
    </row>
    <row r="124" spans="1:19" ht="38.25" x14ac:dyDescent="0.25">
      <c r="A124" s="15" t="s">
        <v>974</v>
      </c>
      <c r="B124" s="16">
        <v>6</v>
      </c>
      <c r="C124" s="12" t="s">
        <v>126</v>
      </c>
      <c r="D124" s="18" t="s">
        <v>975</v>
      </c>
      <c r="E124" s="18" t="s">
        <v>976</v>
      </c>
      <c r="F124" s="12" t="s">
        <v>184</v>
      </c>
      <c r="G124" s="12" t="s">
        <v>78</v>
      </c>
      <c r="H124" s="18" t="s">
        <v>977</v>
      </c>
      <c r="I124" s="18" t="s">
        <v>978</v>
      </c>
      <c r="J124" s="18" t="s">
        <v>960</v>
      </c>
      <c r="K124" s="18"/>
      <c r="L124" s="12" t="s">
        <v>258</v>
      </c>
      <c r="M124" s="19">
        <v>46296.683877314812</v>
      </c>
      <c r="N124" s="19">
        <v>46301.615520833337</v>
      </c>
      <c r="O124" s="19">
        <v>46301.615520833337</v>
      </c>
      <c r="P124" s="12" t="s">
        <v>979</v>
      </c>
      <c r="Q124" s="18"/>
      <c r="R124" s="12"/>
      <c r="S124" s="12" t="s">
        <v>954</v>
      </c>
    </row>
    <row r="125" spans="1:19" ht="25.5" x14ac:dyDescent="0.25">
      <c r="A125" s="15" t="s">
        <v>980</v>
      </c>
      <c r="B125" s="16">
        <v>6</v>
      </c>
      <c r="C125" s="12" t="s">
        <v>126</v>
      </c>
      <c r="D125" s="18" t="s">
        <v>981</v>
      </c>
      <c r="E125" s="18" t="s">
        <v>982</v>
      </c>
      <c r="F125" s="12" t="s">
        <v>199</v>
      </c>
      <c r="G125" s="12" t="s">
        <v>78</v>
      </c>
      <c r="H125" s="18" t="s">
        <v>983</v>
      </c>
      <c r="I125" s="18" t="s">
        <v>984</v>
      </c>
      <c r="J125" s="18" t="s">
        <v>449</v>
      </c>
      <c r="K125" s="18"/>
      <c r="L125" s="12" t="s">
        <v>188</v>
      </c>
      <c r="M125" s="19">
        <v>46301.615567129629</v>
      </c>
      <c r="N125" s="19">
        <v>46301.615567129629</v>
      </c>
      <c r="O125" s="19">
        <v>46301.615567129629</v>
      </c>
      <c r="P125" s="12" t="s">
        <v>985</v>
      </c>
      <c r="Q125" s="18"/>
      <c r="R125" s="12"/>
      <c r="S125" s="12" t="s">
        <v>954</v>
      </c>
    </row>
    <row r="126" spans="1:19" ht="38.25" x14ac:dyDescent="0.25">
      <c r="A126" s="15" t="s">
        <v>986</v>
      </c>
      <c r="B126" s="16">
        <v>6</v>
      </c>
      <c r="C126" s="12" t="s">
        <v>126</v>
      </c>
      <c r="D126" s="18" t="s">
        <v>987</v>
      </c>
      <c r="E126" s="18" t="s">
        <v>988</v>
      </c>
      <c r="F126" s="12" t="s">
        <v>313</v>
      </c>
      <c r="G126" s="12" t="s">
        <v>78</v>
      </c>
      <c r="H126" s="18" t="s">
        <v>989</v>
      </c>
      <c r="I126" s="18" t="s">
        <v>990</v>
      </c>
      <c r="J126" s="18" t="s">
        <v>449</v>
      </c>
      <c r="K126" s="18" t="s">
        <v>948</v>
      </c>
      <c r="L126" s="12" t="s">
        <v>188</v>
      </c>
      <c r="M126" s="19">
        <v>46301.615613425929</v>
      </c>
      <c r="N126" s="19">
        <v>46301.615613425929</v>
      </c>
      <c r="O126" s="19">
        <v>46301.615613425929</v>
      </c>
      <c r="P126" s="12" t="s">
        <v>979</v>
      </c>
      <c r="Q126" s="18"/>
      <c r="R126" s="12"/>
      <c r="S126" s="12"/>
    </row>
    <row r="127" spans="1:19" ht="25.5" x14ac:dyDescent="0.25">
      <c r="A127" s="15" t="s">
        <v>991</v>
      </c>
      <c r="B127" s="16">
        <v>6</v>
      </c>
      <c r="C127" s="12" t="s">
        <v>141</v>
      </c>
      <c r="D127" s="18" t="s">
        <v>992</v>
      </c>
      <c r="E127" s="18" t="s">
        <v>993</v>
      </c>
      <c r="F127" s="12" t="s">
        <v>184</v>
      </c>
      <c r="G127" s="12" t="s">
        <v>78</v>
      </c>
      <c r="H127" s="18" t="s">
        <v>994</v>
      </c>
      <c r="I127" s="18" t="s">
        <v>995</v>
      </c>
      <c r="J127" s="18" t="s">
        <v>996</v>
      </c>
      <c r="K127" s="18"/>
      <c r="L127" s="12" t="s">
        <v>268</v>
      </c>
      <c r="M127" s="19">
        <v>46301.615335648137</v>
      </c>
      <c r="N127" s="19">
        <v>46301.615335648137</v>
      </c>
      <c r="O127" s="19">
        <v>46301.615335648137</v>
      </c>
      <c r="P127" s="12" t="s">
        <v>997</v>
      </c>
      <c r="Q127" s="18"/>
      <c r="R127" s="12"/>
      <c r="S127" s="12" t="s">
        <v>998</v>
      </c>
    </row>
    <row r="128" spans="1:19" ht="38.25" x14ac:dyDescent="0.25">
      <c r="A128" s="15" t="s">
        <v>999</v>
      </c>
      <c r="B128" s="16">
        <v>6</v>
      </c>
      <c r="C128" s="12" t="s">
        <v>141</v>
      </c>
      <c r="D128" s="18" t="s">
        <v>1000</v>
      </c>
      <c r="E128" s="18" t="s">
        <v>1001</v>
      </c>
      <c r="F128" s="12" t="s">
        <v>199</v>
      </c>
      <c r="G128" s="12" t="s">
        <v>78</v>
      </c>
      <c r="H128" s="18" t="s">
        <v>1002</v>
      </c>
      <c r="I128" s="18" t="s">
        <v>1003</v>
      </c>
      <c r="J128" s="18" t="s">
        <v>996</v>
      </c>
      <c r="K128" s="18" t="s">
        <v>991</v>
      </c>
      <c r="L128" s="12" t="s">
        <v>188</v>
      </c>
      <c r="M128" s="19">
        <v>46301.615381944437</v>
      </c>
      <c r="N128" s="19">
        <v>46301.615381944437</v>
      </c>
      <c r="O128" s="19">
        <v>46301.615381944437</v>
      </c>
      <c r="P128" s="12" t="s">
        <v>997</v>
      </c>
      <c r="Q128" s="18"/>
      <c r="R128" s="12"/>
      <c r="S128" s="12"/>
    </row>
    <row r="129" spans="1:19" ht="102" x14ac:dyDescent="0.25">
      <c r="A129" s="15" t="s">
        <v>1004</v>
      </c>
      <c r="B129" s="16">
        <v>6</v>
      </c>
      <c r="C129" s="12" t="s">
        <v>141</v>
      </c>
      <c r="D129" s="18" t="s">
        <v>1005</v>
      </c>
      <c r="E129" s="18" t="s">
        <v>1006</v>
      </c>
      <c r="F129" s="12" t="s">
        <v>184</v>
      </c>
      <c r="G129" s="12" t="s">
        <v>78</v>
      </c>
      <c r="H129" s="18" t="s">
        <v>1007</v>
      </c>
      <c r="I129" s="18" t="s">
        <v>1008</v>
      </c>
      <c r="J129" s="18" t="s">
        <v>449</v>
      </c>
      <c r="K129" s="18" t="s">
        <v>991</v>
      </c>
      <c r="L129" s="12" t="s">
        <v>258</v>
      </c>
      <c r="M129" s="19">
        <v>46296.63181712963</v>
      </c>
      <c r="N129" s="19">
        <v>46301.615300925929</v>
      </c>
      <c r="O129" s="19">
        <v>46301.615300925929</v>
      </c>
      <c r="P129" s="12" t="s">
        <v>997</v>
      </c>
      <c r="Q129" s="18" t="s">
        <v>1009</v>
      </c>
      <c r="R129" s="12"/>
      <c r="S129" s="12" t="s">
        <v>998</v>
      </c>
    </row>
    <row r="130" spans="1:19" ht="63.75" x14ac:dyDescent="0.25">
      <c r="A130" s="15" t="s">
        <v>1010</v>
      </c>
      <c r="B130" s="16">
        <v>6</v>
      </c>
      <c r="C130" s="12" t="s">
        <v>141</v>
      </c>
      <c r="D130" s="18" t="s">
        <v>1011</v>
      </c>
      <c r="E130" s="18" t="s">
        <v>1012</v>
      </c>
      <c r="F130" s="12" t="s">
        <v>199</v>
      </c>
      <c r="G130" s="12" t="s">
        <v>78</v>
      </c>
      <c r="H130" s="18" t="s">
        <v>1013</v>
      </c>
      <c r="I130" s="18" t="s">
        <v>1014</v>
      </c>
      <c r="J130" s="18" t="s">
        <v>996</v>
      </c>
      <c r="K130" s="18"/>
      <c r="L130" s="12" t="s">
        <v>268</v>
      </c>
      <c r="M130" s="19">
        <v>46301.615474537037</v>
      </c>
      <c r="N130" s="19">
        <v>46301.615474537037</v>
      </c>
      <c r="O130" s="19">
        <v>46301.615474537037</v>
      </c>
      <c r="P130" s="12" t="s">
        <v>1015</v>
      </c>
      <c r="Q130" s="18"/>
      <c r="R130" s="12"/>
      <c r="S130" s="12"/>
    </row>
    <row r="131" spans="1:19" ht="25.5" x14ac:dyDescent="0.25">
      <c r="A131" s="15" t="s">
        <v>1016</v>
      </c>
      <c r="B131" s="16">
        <v>6</v>
      </c>
      <c r="C131" s="12" t="s">
        <v>141</v>
      </c>
      <c r="D131" s="18" t="s">
        <v>1017</v>
      </c>
      <c r="E131" s="18" t="s">
        <v>1018</v>
      </c>
      <c r="F131" s="12" t="s">
        <v>199</v>
      </c>
      <c r="G131" s="12" t="s">
        <v>78</v>
      </c>
      <c r="H131" s="18" t="s">
        <v>1019</v>
      </c>
      <c r="I131" s="18" t="s">
        <v>1020</v>
      </c>
      <c r="J131" s="18" t="s">
        <v>449</v>
      </c>
      <c r="K131" s="18" t="s">
        <v>991</v>
      </c>
      <c r="L131" s="12" t="s">
        <v>268</v>
      </c>
      <c r="M131" s="19">
        <v>46301.615428240737</v>
      </c>
      <c r="N131" s="19">
        <v>46301.615428240737</v>
      </c>
      <c r="O131" s="19">
        <v>46301.615428240737</v>
      </c>
      <c r="P131" s="12" t="s">
        <v>997</v>
      </c>
      <c r="Q131" s="18"/>
      <c r="R131" s="12"/>
      <c r="S131" s="12" t="s">
        <v>1021</v>
      </c>
    </row>
    <row r="132" spans="1:19" ht="38.25" x14ac:dyDescent="0.25">
      <c r="A132" s="15" t="s">
        <v>1022</v>
      </c>
      <c r="B132" s="16">
        <v>7</v>
      </c>
      <c r="C132" s="12" t="s">
        <v>113</v>
      </c>
      <c r="D132" s="18" t="s">
        <v>1023</v>
      </c>
      <c r="E132" s="18" t="s">
        <v>1024</v>
      </c>
      <c r="F132" s="12" t="s">
        <v>184</v>
      </c>
      <c r="G132" s="12" t="s">
        <v>78</v>
      </c>
      <c r="H132" s="18" t="s">
        <v>1025</v>
      </c>
      <c r="I132" s="18" t="s">
        <v>1026</v>
      </c>
      <c r="J132" s="18" t="s">
        <v>1027</v>
      </c>
      <c r="K132" s="18"/>
      <c r="L132" s="12" t="s">
        <v>258</v>
      </c>
      <c r="M132" s="19">
        <v>46301.615659722222</v>
      </c>
      <c r="N132" s="19">
        <v>46301.615659722222</v>
      </c>
      <c r="O132" s="19">
        <v>46301.615659722222</v>
      </c>
      <c r="P132" s="12" t="s">
        <v>1028</v>
      </c>
      <c r="Q132" s="18"/>
      <c r="R132" s="12"/>
      <c r="S132" s="12"/>
    </row>
    <row r="133" spans="1:19" ht="25.5" x14ac:dyDescent="0.25">
      <c r="A133" s="15" t="s">
        <v>1029</v>
      </c>
      <c r="B133" s="16">
        <v>7</v>
      </c>
      <c r="C133" s="12" t="s">
        <v>113</v>
      </c>
      <c r="D133" s="18" t="s">
        <v>1030</v>
      </c>
      <c r="E133" s="18" t="s">
        <v>1031</v>
      </c>
      <c r="F133" s="12" t="s">
        <v>184</v>
      </c>
      <c r="G133" s="12" t="s">
        <v>78</v>
      </c>
      <c r="H133" s="18" t="s">
        <v>1032</v>
      </c>
      <c r="I133" s="18" t="s">
        <v>1033</v>
      </c>
      <c r="J133" s="18" t="s">
        <v>1027</v>
      </c>
      <c r="K133" s="18" t="s">
        <v>1022</v>
      </c>
      <c r="L133" s="12" t="s">
        <v>268</v>
      </c>
      <c r="M133" s="19">
        <v>46301.615706018521</v>
      </c>
      <c r="N133" s="19">
        <v>46301.615706018521</v>
      </c>
      <c r="O133" s="19">
        <v>46301.615706018521</v>
      </c>
      <c r="P133" s="12" t="s">
        <v>1028</v>
      </c>
      <c r="Q133" s="18"/>
      <c r="R133" s="12"/>
      <c r="S133" s="12"/>
    </row>
    <row r="134" spans="1:19" x14ac:dyDescent="0.25">
      <c r="A134" s="15" t="s">
        <v>1034</v>
      </c>
      <c r="B134" s="16">
        <v>7</v>
      </c>
      <c r="C134" s="12" t="s">
        <v>113</v>
      </c>
      <c r="D134" s="18" t="s">
        <v>1035</v>
      </c>
      <c r="E134" s="18" t="s">
        <v>1036</v>
      </c>
      <c r="F134" s="12" t="s">
        <v>199</v>
      </c>
      <c r="G134" s="12" t="s">
        <v>78</v>
      </c>
      <c r="H134" s="18" t="s">
        <v>1037</v>
      </c>
      <c r="I134" s="18" t="s">
        <v>1033</v>
      </c>
      <c r="J134" s="18" t="s">
        <v>1027</v>
      </c>
      <c r="K134" s="18" t="s">
        <v>1022</v>
      </c>
      <c r="L134" s="12" t="s">
        <v>188</v>
      </c>
      <c r="M134" s="19">
        <v>46301.615752314807</v>
      </c>
      <c r="N134" s="19">
        <v>46301.615752314807</v>
      </c>
      <c r="O134" s="19">
        <v>46301.615752314807</v>
      </c>
      <c r="P134" s="12" t="s">
        <v>1028</v>
      </c>
      <c r="Q134" s="18"/>
      <c r="R134" s="12"/>
      <c r="S134" s="12"/>
    </row>
    <row r="135" spans="1:19" ht="89.25" x14ac:dyDescent="0.25">
      <c r="A135" s="15" t="s">
        <v>1038</v>
      </c>
      <c r="B135" s="16">
        <v>8</v>
      </c>
      <c r="C135" s="12" t="s">
        <v>138</v>
      </c>
      <c r="D135" s="18" t="s">
        <v>1039</v>
      </c>
      <c r="E135" s="18" t="s">
        <v>1040</v>
      </c>
      <c r="F135" s="12" t="s">
        <v>184</v>
      </c>
      <c r="G135" s="12" t="s">
        <v>78</v>
      </c>
      <c r="H135" s="18" t="s">
        <v>1041</v>
      </c>
      <c r="I135" s="18" t="s">
        <v>1042</v>
      </c>
      <c r="J135" s="18" t="s">
        <v>257</v>
      </c>
      <c r="K135" s="18" t="s">
        <v>1022</v>
      </c>
      <c r="L135" s="12" t="s">
        <v>268</v>
      </c>
      <c r="M135" s="19">
        <v>46301.640949074077</v>
      </c>
      <c r="N135" s="19">
        <v>46301.819004629629</v>
      </c>
      <c r="O135" s="19">
        <v>46301.819004629629</v>
      </c>
      <c r="P135" s="12" t="s">
        <v>1043</v>
      </c>
      <c r="Q135" s="18" t="s">
        <v>1044</v>
      </c>
      <c r="R135" s="12"/>
      <c r="S135" s="12"/>
    </row>
    <row r="136" spans="1:19" ht="114.75" x14ac:dyDescent="0.25">
      <c r="A136" s="15" t="s">
        <v>1045</v>
      </c>
      <c r="B136" s="16">
        <v>8</v>
      </c>
      <c r="C136" s="12" t="s">
        <v>138</v>
      </c>
      <c r="D136" s="18" t="s">
        <v>1046</v>
      </c>
      <c r="E136" s="18" t="s">
        <v>1047</v>
      </c>
      <c r="F136" s="12" t="s">
        <v>184</v>
      </c>
      <c r="G136" s="12" t="s">
        <v>78</v>
      </c>
      <c r="H136" s="18" t="s">
        <v>1048</v>
      </c>
      <c r="I136" s="18" t="s">
        <v>1049</v>
      </c>
      <c r="J136" s="18" t="s">
        <v>1050</v>
      </c>
      <c r="K136" s="18" t="s">
        <v>1038</v>
      </c>
      <c r="L136" s="12" t="s">
        <v>258</v>
      </c>
      <c r="M136" s="19">
        <v>46301.819050925929</v>
      </c>
      <c r="N136" s="19">
        <v>46301.819050925929</v>
      </c>
      <c r="O136" s="19">
        <v>46301.819050925929</v>
      </c>
      <c r="P136" s="12" t="s">
        <v>1043</v>
      </c>
      <c r="Q136" s="18" t="s">
        <v>1051</v>
      </c>
      <c r="R136" s="12"/>
      <c r="S136" s="12"/>
    </row>
    <row r="137" spans="1:19" ht="76.5" x14ac:dyDescent="0.25">
      <c r="A137" s="15" t="s">
        <v>1052</v>
      </c>
      <c r="B137" s="16">
        <v>8</v>
      </c>
      <c r="C137" s="12" t="s">
        <v>138</v>
      </c>
      <c r="D137" s="18" t="s">
        <v>1053</v>
      </c>
      <c r="E137" s="18" t="s">
        <v>1054</v>
      </c>
      <c r="F137" s="12" t="s">
        <v>199</v>
      </c>
      <c r="G137" s="12" t="s">
        <v>78</v>
      </c>
      <c r="H137" s="18" t="s">
        <v>1055</v>
      </c>
      <c r="I137" s="18" t="s">
        <v>1056</v>
      </c>
      <c r="J137" s="18" t="s">
        <v>1050</v>
      </c>
      <c r="K137" s="18" t="s">
        <v>1038</v>
      </c>
      <c r="L137" s="12" t="s">
        <v>268</v>
      </c>
      <c r="M137" s="19">
        <v>46301.832326388889</v>
      </c>
      <c r="N137" s="19">
        <v>46301.847650462973</v>
      </c>
      <c r="O137" s="19">
        <v>46301.847650462973</v>
      </c>
      <c r="P137" s="12" t="s">
        <v>1057</v>
      </c>
      <c r="Q137" s="18" t="s">
        <v>1058</v>
      </c>
      <c r="R137" s="12"/>
      <c r="S137" s="12"/>
    </row>
    <row r="138" spans="1:19" ht="89.25" x14ac:dyDescent="0.25">
      <c r="A138" s="15" t="s">
        <v>1059</v>
      </c>
      <c r="B138" s="16">
        <v>8</v>
      </c>
      <c r="C138" s="12" t="s">
        <v>138</v>
      </c>
      <c r="D138" s="18" t="s">
        <v>1060</v>
      </c>
      <c r="E138" s="18" t="s">
        <v>1061</v>
      </c>
      <c r="F138" s="12" t="s">
        <v>199</v>
      </c>
      <c r="G138" s="12" t="s">
        <v>78</v>
      </c>
      <c r="H138" s="18" t="s">
        <v>1062</v>
      </c>
      <c r="I138" s="18" t="s">
        <v>1063</v>
      </c>
      <c r="J138" s="18" t="s">
        <v>1050</v>
      </c>
      <c r="K138" s="18" t="s">
        <v>1045</v>
      </c>
      <c r="L138" s="12" t="s">
        <v>258</v>
      </c>
      <c r="M138" s="19">
        <v>46301.847685185188</v>
      </c>
      <c r="N138" s="19">
        <v>46301.857673611114</v>
      </c>
      <c r="O138" s="19">
        <v>46301.857673611114</v>
      </c>
      <c r="P138" s="12" t="s">
        <v>1064</v>
      </c>
      <c r="Q138" s="18" t="s">
        <v>1065</v>
      </c>
      <c r="R138" s="12"/>
      <c r="S138" s="12"/>
    </row>
    <row r="139" spans="1:19" ht="89.25" x14ac:dyDescent="0.25">
      <c r="A139" s="15" t="s">
        <v>1066</v>
      </c>
      <c r="B139" s="16">
        <v>8</v>
      </c>
      <c r="C139" s="12" t="s">
        <v>138</v>
      </c>
      <c r="D139" s="18" t="s">
        <v>1067</v>
      </c>
      <c r="E139" s="18" t="s">
        <v>1068</v>
      </c>
      <c r="F139" s="12" t="s">
        <v>184</v>
      </c>
      <c r="G139" s="12" t="s">
        <v>78</v>
      </c>
      <c r="H139" s="18" t="s">
        <v>1069</v>
      </c>
      <c r="I139" s="18" t="s">
        <v>1070</v>
      </c>
      <c r="J139" s="18" t="s">
        <v>1050</v>
      </c>
      <c r="K139" s="18" t="s">
        <v>1045</v>
      </c>
      <c r="L139" s="12" t="s">
        <v>268</v>
      </c>
      <c r="M139" s="19">
        <v>46301.819131944438</v>
      </c>
      <c r="N139" s="19">
        <v>46301.832280092603</v>
      </c>
      <c r="O139" s="19">
        <v>46301.832280092603</v>
      </c>
      <c r="P139" s="12" t="s">
        <v>1071</v>
      </c>
      <c r="Q139" s="18" t="s">
        <v>1072</v>
      </c>
      <c r="R139" s="12"/>
      <c r="S139" s="12"/>
    </row>
    <row r="140" spans="1:19" ht="51" x14ac:dyDescent="0.25">
      <c r="A140" s="15" t="s">
        <v>1073</v>
      </c>
      <c r="B140" s="16">
        <v>8</v>
      </c>
      <c r="C140" s="12" t="s">
        <v>138</v>
      </c>
      <c r="D140" s="18" t="s">
        <v>1074</v>
      </c>
      <c r="E140" s="18" t="s">
        <v>1075</v>
      </c>
      <c r="F140" s="12" t="s">
        <v>199</v>
      </c>
      <c r="G140" s="12" t="s">
        <v>78</v>
      </c>
      <c r="H140" s="18" t="s">
        <v>1076</v>
      </c>
      <c r="I140" s="18" t="s">
        <v>1077</v>
      </c>
      <c r="J140" s="18" t="s">
        <v>1078</v>
      </c>
      <c r="K140" s="18"/>
      <c r="L140" s="12" t="s">
        <v>268</v>
      </c>
      <c r="M140" s="19">
        <v>46301.857719907413</v>
      </c>
      <c r="N140" s="19">
        <v>46301.868402777778</v>
      </c>
      <c r="O140" s="19">
        <v>46301.868402777778</v>
      </c>
      <c r="P140" s="12" t="s">
        <v>1079</v>
      </c>
      <c r="Q140" s="18" t="s">
        <v>1080</v>
      </c>
      <c r="R140" s="12"/>
      <c r="S140" s="12"/>
    </row>
    <row r="141" spans="1:19" ht="76.5" x14ac:dyDescent="0.25">
      <c r="A141" s="15" t="s">
        <v>1081</v>
      </c>
      <c r="B141" s="16">
        <v>8</v>
      </c>
      <c r="C141" s="12" t="s">
        <v>138</v>
      </c>
      <c r="D141" s="18" t="s">
        <v>1082</v>
      </c>
      <c r="E141" s="18" t="s">
        <v>1083</v>
      </c>
      <c r="F141" s="12" t="s">
        <v>199</v>
      </c>
      <c r="G141" s="12" t="s">
        <v>78</v>
      </c>
      <c r="H141" s="18" t="s">
        <v>1084</v>
      </c>
      <c r="I141" s="18" t="s">
        <v>1085</v>
      </c>
      <c r="J141" s="18" t="s">
        <v>1086</v>
      </c>
      <c r="K141" s="18" t="s">
        <v>1066</v>
      </c>
      <c r="L141" s="12" t="s">
        <v>268</v>
      </c>
      <c r="M141" s="19">
        <v>46301.868449074071</v>
      </c>
      <c r="N141" s="19">
        <v>46301.883750000001</v>
      </c>
      <c r="O141" s="19">
        <v>46301.883750000001</v>
      </c>
      <c r="P141" s="12" t="s">
        <v>1087</v>
      </c>
      <c r="Q141" s="18" t="s">
        <v>1088</v>
      </c>
      <c r="R141" s="12"/>
      <c r="S141" s="12"/>
    </row>
    <row r="142" spans="1:19" ht="76.5" x14ac:dyDescent="0.25">
      <c r="A142" s="15" t="s">
        <v>1089</v>
      </c>
      <c r="B142" s="16">
        <v>8</v>
      </c>
      <c r="C142" s="12" t="s">
        <v>138</v>
      </c>
      <c r="D142" s="18" t="s">
        <v>1090</v>
      </c>
      <c r="E142" s="18" t="s">
        <v>1091</v>
      </c>
      <c r="F142" s="12" t="s">
        <v>184</v>
      </c>
      <c r="G142" s="12" t="s">
        <v>78</v>
      </c>
      <c r="H142" s="18" t="s">
        <v>1092</v>
      </c>
      <c r="I142" s="18" t="s">
        <v>1093</v>
      </c>
      <c r="J142" s="18" t="s">
        <v>208</v>
      </c>
      <c r="K142" s="18" t="s">
        <v>1045</v>
      </c>
      <c r="L142" s="12" t="s">
        <v>188</v>
      </c>
      <c r="M142" s="19">
        <v>46301.615879629629</v>
      </c>
      <c r="N142" s="19">
        <v>46301.819097222222</v>
      </c>
      <c r="O142" s="19">
        <v>46301.819097222222</v>
      </c>
      <c r="P142" s="12" t="s">
        <v>1043</v>
      </c>
      <c r="Q142" s="18" t="s">
        <v>1094</v>
      </c>
      <c r="R142" s="12"/>
      <c r="S142" s="12"/>
    </row>
    <row r="143" spans="1:19" ht="89.25" x14ac:dyDescent="0.25">
      <c r="A143" s="15" t="s">
        <v>1095</v>
      </c>
      <c r="B143" s="16">
        <v>8</v>
      </c>
      <c r="C143" s="12" t="s">
        <v>113</v>
      </c>
      <c r="D143" s="18" t="s">
        <v>1096</v>
      </c>
      <c r="E143" s="18" t="s">
        <v>1097</v>
      </c>
      <c r="F143" s="12" t="s">
        <v>327</v>
      </c>
      <c r="G143" s="12" t="s">
        <v>78</v>
      </c>
      <c r="H143" s="18" t="s">
        <v>1098</v>
      </c>
      <c r="I143" s="18" t="s">
        <v>1099</v>
      </c>
      <c r="J143" s="18" t="s">
        <v>363</v>
      </c>
      <c r="K143" s="18"/>
      <c r="L143" s="12" t="s">
        <v>188</v>
      </c>
      <c r="M143" s="19">
        <v>46303.100335648152</v>
      </c>
      <c r="N143" s="19">
        <v>46303.100335648152</v>
      </c>
      <c r="O143" s="19">
        <v>46303.100335648152</v>
      </c>
      <c r="P143" s="12" t="s">
        <v>1100</v>
      </c>
      <c r="Q143" s="18"/>
      <c r="R143" s="12"/>
      <c r="S143" s="12"/>
    </row>
    <row r="144" spans="1:19" ht="114.75" x14ac:dyDescent="0.25">
      <c r="A144" s="15" t="s">
        <v>1101</v>
      </c>
      <c r="B144" s="16">
        <v>9</v>
      </c>
      <c r="C144" s="12" t="s">
        <v>138</v>
      </c>
      <c r="D144" s="18" t="s">
        <v>1102</v>
      </c>
      <c r="E144" s="18" t="s">
        <v>1103</v>
      </c>
      <c r="F144" s="12" t="s">
        <v>313</v>
      </c>
      <c r="G144" s="12" t="s">
        <v>78</v>
      </c>
      <c r="H144" s="18" t="s">
        <v>1104</v>
      </c>
      <c r="I144" s="18" t="s">
        <v>1105</v>
      </c>
      <c r="J144" s="18" t="s">
        <v>1106</v>
      </c>
      <c r="K144" s="18" t="s">
        <v>1038</v>
      </c>
      <c r="L144" s="12" t="s">
        <v>268</v>
      </c>
      <c r="M144" s="19">
        <v>46302.680891203701</v>
      </c>
      <c r="N144" s="19">
        <v>46302.680891203701</v>
      </c>
      <c r="O144" s="19">
        <v>46302.680891203701</v>
      </c>
      <c r="P144" s="12" t="s">
        <v>1107</v>
      </c>
      <c r="Q144" s="18"/>
      <c r="R144" s="12"/>
      <c r="S144" s="12"/>
    </row>
    <row r="145" spans="1:19" ht="153" x14ac:dyDescent="0.25">
      <c r="A145" s="15" t="s">
        <v>1108</v>
      </c>
      <c r="B145" s="16">
        <v>9</v>
      </c>
      <c r="C145" s="12" t="s">
        <v>138</v>
      </c>
      <c r="D145" s="18" t="s">
        <v>1109</v>
      </c>
      <c r="E145" s="18" t="s">
        <v>1110</v>
      </c>
      <c r="F145" s="12" t="s">
        <v>327</v>
      </c>
      <c r="G145" s="12" t="s">
        <v>78</v>
      </c>
      <c r="H145" s="18" t="s">
        <v>1111</v>
      </c>
      <c r="I145" s="18" t="s">
        <v>1112</v>
      </c>
      <c r="J145" s="18" t="s">
        <v>1106</v>
      </c>
      <c r="K145" s="18" t="s">
        <v>1101</v>
      </c>
      <c r="L145" s="12" t="s">
        <v>268</v>
      </c>
      <c r="M145" s="19">
        <v>46303.055833333332</v>
      </c>
      <c r="N145" s="19">
        <v>46303.055833333332</v>
      </c>
      <c r="O145" s="19">
        <v>46303.055833333332</v>
      </c>
      <c r="P145" s="12" t="s">
        <v>1113</v>
      </c>
      <c r="Q145" s="18" t="s">
        <v>1114</v>
      </c>
      <c r="R145" s="12" t="s">
        <v>1101</v>
      </c>
      <c r="S145" s="12"/>
    </row>
    <row r="146" spans="1:19" ht="89.25" x14ac:dyDescent="0.25">
      <c r="A146" s="15" t="s">
        <v>1115</v>
      </c>
      <c r="B146" s="16">
        <v>9</v>
      </c>
      <c r="C146" s="12" t="s">
        <v>138</v>
      </c>
      <c r="D146" s="18" t="s">
        <v>1116</v>
      </c>
      <c r="E146" s="18" t="s">
        <v>1117</v>
      </c>
      <c r="F146" s="12" t="s">
        <v>327</v>
      </c>
      <c r="G146" s="12" t="s">
        <v>60</v>
      </c>
      <c r="H146" s="18"/>
      <c r="I146" s="18"/>
      <c r="J146" s="18" t="s">
        <v>281</v>
      </c>
      <c r="K146" s="18"/>
      <c r="L146" s="12" t="s">
        <v>258</v>
      </c>
      <c r="M146" s="19"/>
      <c r="N146" s="19"/>
      <c r="O146" s="19"/>
      <c r="P146" s="12"/>
      <c r="Q146" s="18"/>
      <c r="R146" s="12" t="s">
        <v>1108</v>
      </c>
      <c r="S146" s="12"/>
    </row>
    <row r="147" spans="1:19" ht="127.5" x14ac:dyDescent="0.25">
      <c r="A147" s="15" t="s">
        <v>1118</v>
      </c>
      <c r="B147" s="16">
        <v>9</v>
      </c>
      <c r="C147" s="12" t="s">
        <v>113</v>
      </c>
      <c r="D147" s="18" t="s">
        <v>1119</v>
      </c>
      <c r="E147" s="18" t="s">
        <v>1120</v>
      </c>
      <c r="F147" s="12" t="s">
        <v>313</v>
      </c>
      <c r="G147" s="12" t="s">
        <v>78</v>
      </c>
      <c r="H147" s="18" t="s">
        <v>1121</v>
      </c>
      <c r="I147" s="18" t="s">
        <v>1122</v>
      </c>
      <c r="J147" s="18" t="s">
        <v>1050</v>
      </c>
      <c r="K147" s="18"/>
      <c r="L147" s="12" t="s">
        <v>268</v>
      </c>
      <c r="M147" s="19">
        <v>46302.676979166667</v>
      </c>
      <c r="N147" s="19">
        <v>46302.676979166667</v>
      </c>
      <c r="O147" s="19">
        <v>46302.676979166667</v>
      </c>
      <c r="P147" s="12" t="s">
        <v>1123</v>
      </c>
      <c r="Q147" s="18" t="s">
        <v>1124</v>
      </c>
      <c r="R147" s="12"/>
      <c r="S147" s="12"/>
    </row>
    <row r="148" spans="1:19" ht="25.5" x14ac:dyDescent="0.25">
      <c r="A148" s="15" t="s">
        <v>1125</v>
      </c>
      <c r="B148" s="16">
        <v>10</v>
      </c>
      <c r="C148" s="12" t="s">
        <v>134</v>
      </c>
      <c r="D148" s="18" t="s">
        <v>1126</v>
      </c>
      <c r="E148" s="18" t="s">
        <v>1127</v>
      </c>
      <c r="F148" s="12" t="s">
        <v>184</v>
      </c>
      <c r="G148" s="12" t="s">
        <v>78</v>
      </c>
      <c r="H148" s="18" t="s">
        <v>1128</v>
      </c>
      <c r="I148" s="18" t="s">
        <v>1129</v>
      </c>
      <c r="J148" s="18" t="s">
        <v>1130</v>
      </c>
      <c r="K148" s="18"/>
      <c r="L148" s="12" t="s">
        <v>258</v>
      </c>
      <c r="M148" s="19">
        <v>46301.890613425923</v>
      </c>
      <c r="N148" s="19">
        <v>46301.890613425923</v>
      </c>
      <c r="O148" s="19">
        <v>46301.890613425923</v>
      </c>
      <c r="P148" s="12" t="s">
        <v>1131</v>
      </c>
      <c r="Q148" s="18" t="s">
        <v>1132</v>
      </c>
      <c r="R148" s="12"/>
      <c r="S148" s="12"/>
    </row>
    <row r="149" spans="1:19" ht="25.5" x14ac:dyDescent="0.25">
      <c r="A149" s="15" t="s">
        <v>1133</v>
      </c>
      <c r="B149" s="16">
        <v>10</v>
      </c>
      <c r="C149" s="12" t="s">
        <v>134</v>
      </c>
      <c r="D149" s="18" t="s">
        <v>1134</v>
      </c>
      <c r="E149" s="18" t="s">
        <v>1135</v>
      </c>
      <c r="F149" s="12" t="s">
        <v>184</v>
      </c>
      <c r="G149" s="12" t="s">
        <v>78</v>
      </c>
      <c r="H149" s="18" t="s">
        <v>1128</v>
      </c>
      <c r="I149" s="18" t="s">
        <v>1129</v>
      </c>
      <c r="J149" s="18" t="s">
        <v>1130</v>
      </c>
      <c r="K149" s="18" t="s">
        <v>1125</v>
      </c>
      <c r="L149" s="12" t="s">
        <v>268</v>
      </c>
      <c r="M149" s="19">
        <v>46301.890648148154</v>
      </c>
      <c r="N149" s="19">
        <v>46301.890648148154</v>
      </c>
      <c r="O149" s="19">
        <v>46301.890648148154</v>
      </c>
      <c r="P149" s="12" t="s">
        <v>1131</v>
      </c>
      <c r="Q149" s="18" t="s">
        <v>1132</v>
      </c>
      <c r="R149" s="12"/>
      <c r="S149" s="12"/>
    </row>
    <row r="150" spans="1:19" ht="25.5" x14ac:dyDescent="0.25">
      <c r="A150" s="15" t="s">
        <v>1136</v>
      </c>
      <c r="B150" s="16">
        <v>10</v>
      </c>
      <c r="C150" s="12" t="s">
        <v>134</v>
      </c>
      <c r="D150" s="18" t="s">
        <v>1137</v>
      </c>
      <c r="E150" s="18" t="s">
        <v>1138</v>
      </c>
      <c r="F150" s="12" t="s">
        <v>184</v>
      </c>
      <c r="G150" s="12" t="s">
        <v>78</v>
      </c>
      <c r="H150" s="18" t="s">
        <v>1128</v>
      </c>
      <c r="I150" s="18" t="s">
        <v>1129</v>
      </c>
      <c r="J150" s="18" t="s">
        <v>1130</v>
      </c>
      <c r="K150" s="18" t="s">
        <v>1125</v>
      </c>
      <c r="L150" s="12" t="s">
        <v>258</v>
      </c>
      <c r="M150" s="19">
        <v>46301.890694444453</v>
      </c>
      <c r="N150" s="19">
        <v>46301.890694444453</v>
      </c>
      <c r="O150" s="19">
        <v>46301.890694444453</v>
      </c>
      <c r="P150" s="12" t="s">
        <v>1131</v>
      </c>
      <c r="Q150" s="18" t="s">
        <v>1132</v>
      </c>
      <c r="R150" s="12"/>
      <c r="S150" s="12"/>
    </row>
    <row r="151" spans="1:19" ht="76.5" x14ac:dyDescent="0.25">
      <c r="A151" s="15" t="s">
        <v>1139</v>
      </c>
      <c r="B151" s="16">
        <v>10</v>
      </c>
      <c r="C151" s="12" t="s">
        <v>134</v>
      </c>
      <c r="D151" s="18" t="s">
        <v>1140</v>
      </c>
      <c r="E151" s="18" t="s">
        <v>1141</v>
      </c>
      <c r="F151" s="12" t="s">
        <v>199</v>
      </c>
      <c r="G151" s="12" t="s">
        <v>78</v>
      </c>
      <c r="H151" s="18" t="s">
        <v>1142</v>
      </c>
      <c r="I151" s="18" t="s">
        <v>1143</v>
      </c>
      <c r="J151" s="18" t="s">
        <v>1144</v>
      </c>
      <c r="K151" s="18" t="s">
        <v>1125</v>
      </c>
      <c r="L151" s="12" t="s">
        <v>268</v>
      </c>
      <c r="M151" s="19">
        <v>46301.890740740739</v>
      </c>
      <c r="N151" s="19">
        <v>46301.923171296286</v>
      </c>
      <c r="O151" s="19">
        <v>46301.923171296286</v>
      </c>
      <c r="P151" s="12" t="s">
        <v>1145</v>
      </c>
      <c r="Q151" s="18" t="s">
        <v>1146</v>
      </c>
      <c r="R151" s="12"/>
      <c r="S151" s="12"/>
    </row>
    <row r="152" spans="1:19" ht="76.5" x14ac:dyDescent="0.25">
      <c r="A152" s="15" t="s">
        <v>1147</v>
      </c>
      <c r="B152" s="16">
        <v>10</v>
      </c>
      <c r="C152" s="12" t="s">
        <v>134</v>
      </c>
      <c r="D152" s="18" t="s">
        <v>1148</v>
      </c>
      <c r="E152" s="18" t="s">
        <v>1149</v>
      </c>
      <c r="F152" s="12" t="s">
        <v>184</v>
      </c>
      <c r="G152" s="12" t="s">
        <v>78</v>
      </c>
      <c r="H152" s="18" t="s">
        <v>1142</v>
      </c>
      <c r="I152" s="18" t="s">
        <v>1143</v>
      </c>
      <c r="J152" s="18" t="s">
        <v>232</v>
      </c>
      <c r="K152" s="18" t="s">
        <v>1150</v>
      </c>
      <c r="L152" s="12" t="s">
        <v>268</v>
      </c>
      <c r="M152" s="19">
        <v>46301.923217592594</v>
      </c>
      <c r="N152" s="19">
        <v>46301.923217592594</v>
      </c>
      <c r="O152" s="19">
        <v>46301.923217592594</v>
      </c>
      <c r="P152" s="12" t="s">
        <v>1145</v>
      </c>
      <c r="Q152" s="18" t="s">
        <v>1146</v>
      </c>
      <c r="R152" s="12"/>
      <c r="S152" s="12"/>
    </row>
    <row r="153" spans="1:19" ht="76.5" x14ac:dyDescent="0.25">
      <c r="A153" s="15" t="s">
        <v>1151</v>
      </c>
      <c r="B153" s="16">
        <v>10</v>
      </c>
      <c r="C153" s="12" t="s">
        <v>134</v>
      </c>
      <c r="D153" s="18" t="s">
        <v>1152</v>
      </c>
      <c r="E153" s="18" t="s">
        <v>1153</v>
      </c>
      <c r="F153" s="12" t="s">
        <v>184</v>
      </c>
      <c r="G153" s="12" t="s">
        <v>78</v>
      </c>
      <c r="H153" s="18" t="s">
        <v>1142</v>
      </c>
      <c r="I153" s="18" t="s">
        <v>1143</v>
      </c>
      <c r="J153" s="18" t="s">
        <v>232</v>
      </c>
      <c r="K153" s="18" t="s">
        <v>1136</v>
      </c>
      <c r="L153" s="12" t="s">
        <v>268</v>
      </c>
      <c r="M153" s="19">
        <v>46301.923263888893</v>
      </c>
      <c r="N153" s="19">
        <v>46301.923263888893</v>
      </c>
      <c r="O153" s="19">
        <v>46301.923263888893</v>
      </c>
      <c r="P153" s="12" t="s">
        <v>1145</v>
      </c>
      <c r="Q153" s="18" t="s">
        <v>1146</v>
      </c>
      <c r="R153" s="12"/>
      <c r="S153" s="12"/>
    </row>
    <row r="154" spans="1:19" ht="76.5" x14ac:dyDescent="0.25">
      <c r="A154" s="15" t="s">
        <v>1154</v>
      </c>
      <c r="B154" s="16">
        <v>10</v>
      </c>
      <c r="C154" s="12" t="s">
        <v>134</v>
      </c>
      <c r="D154" s="18" t="s">
        <v>1155</v>
      </c>
      <c r="E154" s="18" t="s">
        <v>1156</v>
      </c>
      <c r="F154" s="12" t="s">
        <v>199</v>
      </c>
      <c r="G154" s="12" t="s">
        <v>78</v>
      </c>
      <c r="H154" s="18" t="s">
        <v>1142</v>
      </c>
      <c r="I154" s="18" t="s">
        <v>1143</v>
      </c>
      <c r="J154" s="18" t="s">
        <v>257</v>
      </c>
      <c r="K154" s="18"/>
      <c r="L154" s="12" t="s">
        <v>188</v>
      </c>
      <c r="M154" s="19">
        <v>46301.923310185193</v>
      </c>
      <c r="N154" s="19">
        <v>46301.923310185193</v>
      </c>
      <c r="O154" s="19">
        <v>46301.923310185193</v>
      </c>
      <c r="P154" s="12" t="s">
        <v>1145</v>
      </c>
      <c r="Q154" s="18" t="s">
        <v>1146</v>
      </c>
      <c r="R154" s="12"/>
      <c r="S154" s="12"/>
    </row>
    <row r="155" spans="1:19" ht="76.5" x14ac:dyDescent="0.25">
      <c r="A155" s="15" t="s">
        <v>1157</v>
      </c>
      <c r="B155" s="16">
        <v>10</v>
      </c>
      <c r="C155" s="12" t="s">
        <v>134</v>
      </c>
      <c r="D155" s="18" t="s">
        <v>1158</v>
      </c>
      <c r="E155" s="18" t="s">
        <v>1159</v>
      </c>
      <c r="F155" s="12" t="s">
        <v>184</v>
      </c>
      <c r="G155" s="12" t="s">
        <v>78</v>
      </c>
      <c r="H155" s="18" t="s">
        <v>1142</v>
      </c>
      <c r="I155" s="18" t="s">
        <v>1143</v>
      </c>
      <c r="J155" s="18" t="s">
        <v>214</v>
      </c>
      <c r="K155" s="18" t="s">
        <v>1147</v>
      </c>
      <c r="L155" s="12" t="s">
        <v>268</v>
      </c>
      <c r="M155" s="19">
        <v>46301.923356481479</v>
      </c>
      <c r="N155" s="19">
        <v>46301.923356481479</v>
      </c>
      <c r="O155" s="19">
        <v>46301.923356481479</v>
      </c>
      <c r="P155" s="12" t="s">
        <v>1145</v>
      </c>
      <c r="Q155" s="18" t="s">
        <v>1146</v>
      </c>
      <c r="R155" s="12"/>
      <c r="S155" s="12"/>
    </row>
    <row r="156" spans="1:19" ht="76.5" x14ac:dyDescent="0.25">
      <c r="A156" s="15" t="s">
        <v>1160</v>
      </c>
      <c r="B156" s="16">
        <v>10</v>
      </c>
      <c r="C156" s="12" t="s">
        <v>134</v>
      </c>
      <c r="D156" s="18" t="s">
        <v>1161</v>
      </c>
      <c r="E156" s="18" t="s">
        <v>1162</v>
      </c>
      <c r="F156" s="12" t="s">
        <v>199</v>
      </c>
      <c r="G156" s="12" t="s">
        <v>78</v>
      </c>
      <c r="H156" s="18" t="s">
        <v>1142</v>
      </c>
      <c r="I156" s="18" t="s">
        <v>1143</v>
      </c>
      <c r="J156" s="18" t="s">
        <v>996</v>
      </c>
      <c r="K156" s="18" t="s">
        <v>991</v>
      </c>
      <c r="L156" s="12" t="s">
        <v>188</v>
      </c>
      <c r="M156" s="19">
        <v>46301.923414351862</v>
      </c>
      <c r="N156" s="19">
        <v>46301.923414351862</v>
      </c>
      <c r="O156" s="19">
        <v>46301.923414351862</v>
      </c>
      <c r="P156" s="12" t="s">
        <v>1145</v>
      </c>
      <c r="Q156" s="18" t="s">
        <v>1146</v>
      </c>
      <c r="R156" s="12"/>
      <c r="S156" s="12"/>
    </row>
    <row r="157" spans="1:19" ht="76.5" x14ac:dyDescent="0.25">
      <c r="A157" s="15" t="s">
        <v>1163</v>
      </c>
      <c r="B157" s="16">
        <v>10</v>
      </c>
      <c r="C157" s="12" t="s">
        <v>134</v>
      </c>
      <c r="D157" s="18" t="s">
        <v>1164</v>
      </c>
      <c r="E157" s="18" t="s">
        <v>1165</v>
      </c>
      <c r="F157" s="12" t="s">
        <v>184</v>
      </c>
      <c r="G157" s="12" t="s">
        <v>78</v>
      </c>
      <c r="H157" s="18" t="s">
        <v>1142</v>
      </c>
      <c r="I157" s="18" t="s">
        <v>1143</v>
      </c>
      <c r="J157" s="18" t="s">
        <v>208</v>
      </c>
      <c r="K157" s="18" t="s">
        <v>1151</v>
      </c>
      <c r="L157" s="12" t="s">
        <v>188</v>
      </c>
      <c r="M157" s="19">
        <v>46301.923460648148</v>
      </c>
      <c r="N157" s="19">
        <v>46301.923460648148</v>
      </c>
      <c r="O157" s="19">
        <v>46301.923460648148</v>
      </c>
      <c r="P157" s="12" t="s">
        <v>1145</v>
      </c>
      <c r="Q157" s="18" t="s">
        <v>1146</v>
      </c>
      <c r="R157" s="12"/>
      <c r="S157" s="12"/>
    </row>
    <row r="158" spans="1:19" ht="38.25" x14ac:dyDescent="0.25">
      <c r="A158" s="15" t="s">
        <v>1166</v>
      </c>
      <c r="B158" s="16">
        <v>11</v>
      </c>
      <c r="C158" s="12" t="s">
        <v>136</v>
      </c>
      <c r="D158" s="18" t="s">
        <v>1167</v>
      </c>
      <c r="E158" s="18" t="s">
        <v>1168</v>
      </c>
      <c r="F158" s="12" t="s">
        <v>184</v>
      </c>
      <c r="G158" s="12" t="s">
        <v>78</v>
      </c>
      <c r="H158" s="18" t="s">
        <v>1169</v>
      </c>
      <c r="I158" s="18" t="s">
        <v>1170</v>
      </c>
      <c r="J158" s="18" t="s">
        <v>1171</v>
      </c>
      <c r="K158" s="18"/>
      <c r="L158" s="12" t="s">
        <v>268</v>
      </c>
      <c r="M158" s="19">
        <v>46302.364791666667</v>
      </c>
      <c r="N158" s="19">
        <v>46302.364791666667</v>
      </c>
      <c r="O158" s="19">
        <v>46302.364791666667</v>
      </c>
      <c r="P158" s="12" t="s">
        <v>1172</v>
      </c>
      <c r="Q158" s="18" t="s">
        <v>1173</v>
      </c>
      <c r="R158" s="12"/>
      <c r="S158" s="12" t="s">
        <v>1174</v>
      </c>
    </row>
    <row r="159" spans="1:19" ht="38.25" x14ac:dyDescent="0.25">
      <c r="A159" s="15" t="s">
        <v>1175</v>
      </c>
      <c r="B159" s="16">
        <v>11</v>
      </c>
      <c r="C159" s="12" t="s">
        <v>136</v>
      </c>
      <c r="D159" s="18" t="s">
        <v>1176</v>
      </c>
      <c r="E159" s="18" t="s">
        <v>1177</v>
      </c>
      <c r="F159" s="12" t="s">
        <v>184</v>
      </c>
      <c r="G159" s="12" t="s">
        <v>78</v>
      </c>
      <c r="H159" s="18" t="s">
        <v>1169</v>
      </c>
      <c r="I159" s="18" t="s">
        <v>1170</v>
      </c>
      <c r="J159" s="18" t="s">
        <v>1171</v>
      </c>
      <c r="K159" s="18" t="s">
        <v>1166</v>
      </c>
      <c r="L159" s="12" t="s">
        <v>268</v>
      </c>
      <c r="M159" s="19">
        <v>46302.364837962959</v>
      </c>
      <c r="N159" s="19">
        <v>46302.364837962959</v>
      </c>
      <c r="O159" s="19">
        <v>46302.364837962959</v>
      </c>
      <c r="P159" s="12" t="s">
        <v>1172</v>
      </c>
      <c r="Q159" s="18" t="s">
        <v>1178</v>
      </c>
      <c r="R159" s="12" t="s">
        <v>1166</v>
      </c>
      <c r="S159" s="12" t="s">
        <v>1174</v>
      </c>
    </row>
    <row r="160" spans="1:19" ht="63.75" x14ac:dyDescent="0.25">
      <c r="A160" s="15" t="s">
        <v>1179</v>
      </c>
      <c r="B160" s="16">
        <v>11</v>
      </c>
      <c r="C160" s="12" t="s">
        <v>136</v>
      </c>
      <c r="D160" s="18" t="s">
        <v>1180</v>
      </c>
      <c r="E160" s="18" t="s">
        <v>1181</v>
      </c>
      <c r="F160" s="12" t="s">
        <v>184</v>
      </c>
      <c r="G160" s="12" t="s">
        <v>78</v>
      </c>
      <c r="H160" s="18" t="s">
        <v>1169</v>
      </c>
      <c r="I160" s="18" t="s">
        <v>1170</v>
      </c>
      <c r="J160" s="18" t="s">
        <v>346</v>
      </c>
      <c r="K160" s="18" t="s">
        <v>1175</v>
      </c>
      <c r="L160" s="12" t="s">
        <v>258</v>
      </c>
      <c r="M160" s="19">
        <v>46302.364884259259</v>
      </c>
      <c r="N160" s="19">
        <v>46302.364884259259</v>
      </c>
      <c r="O160" s="19">
        <v>46302.364884259259</v>
      </c>
      <c r="P160" s="12" t="s">
        <v>1172</v>
      </c>
      <c r="Q160" s="18" t="s">
        <v>1182</v>
      </c>
      <c r="R160" s="12" t="s">
        <v>1175</v>
      </c>
      <c r="S160" s="12" t="s">
        <v>1174</v>
      </c>
    </row>
    <row r="161" spans="1:19" ht="38.25" x14ac:dyDescent="0.25">
      <c r="A161" s="15" t="s">
        <v>1183</v>
      </c>
      <c r="B161" s="16">
        <v>11</v>
      </c>
      <c r="C161" s="12" t="s">
        <v>136</v>
      </c>
      <c r="D161" s="18" t="s">
        <v>1184</v>
      </c>
      <c r="E161" s="18" t="s">
        <v>1185</v>
      </c>
      <c r="F161" s="12" t="s">
        <v>199</v>
      </c>
      <c r="G161" s="12" t="s">
        <v>78</v>
      </c>
      <c r="H161" s="18" t="s">
        <v>1169</v>
      </c>
      <c r="I161" s="18" t="s">
        <v>1170</v>
      </c>
      <c r="J161" s="18" t="s">
        <v>346</v>
      </c>
      <c r="K161" s="18" t="s">
        <v>1175</v>
      </c>
      <c r="L161" s="12" t="s">
        <v>268</v>
      </c>
      <c r="M161" s="19">
        <v>46302.364930555559</v>
      </c>
      <c r="N161" s="19">
        <v>46302.364930555559</v>
      </c>
      <c r="O161" s="19">
        <v>46302.364930555559</v>
      </c>
      <c r="P161" s="12" t="s">
        <v>1172</v>
      </c>
      <c r="Q161" s="18" t="s">
        <v>1186</v>
      </c>
      <c r="R161" s="12" t="s">
        <v>1175</v>
      </c>
      <c r="S161" s="12" t="s">
        <v>1174</v>
      </c>
    </row>
    <row r="162" spans="1:19" ht="102" x14ac:dyDescent="0.25">
      <c r="A162" s="15" t="s">
        <v>1187</v>
      </c>
      <c r="B162" s="16">
        <v>11</v>
      </c>
      <c r="C162" s="12" t="s">
        <v>136</v>
      </c>
      <c r="D162" s="18" t="s">
        <v>1188</v>
      </c>
      <c r="E162" s="18" t="s">
        <v>1189</v>
      </c>
      <c r="F162" s="12" t="s">
        <v>313</v>
      </c>
      <c r="G162" s="12" t="s">
        <v>78</v>
      </c>
      <c r="H162" s="18" t="s">
        <v>1190</v>
      </c>
      <c r="I162" s="18" t="s">
        <v>1191</v>
      </c>
      <c r="J162" s="18" t="s">
        <v>214</v>
      </c>
      <c r="K162" s="18" t="s">
        <v>1175</v>
      </c>
      <c r="L162" s="12" t="s">
        <v>188</v>
      </c>
      <c r="M162" s="19">
        <v>46302.690972222219</v>
      </c>
      <c r="N162" s="19">
        <v>46302.690972222219</v>
      </c>
      <c r="O162" s="19">
        <v>46302.690972222219</v>
      </c>
      <c r="P162" s="12" t="s">
        <v>1192</v>
      </c>
      <c r="Q162" s="18"/>
      <c r="R162" s="12" t="s">
        <v>1175</v>
      </c>
      <c r="S162" s="12"/>
    </row>
    <row r="163" spans="1:19" ht="38.25" x14ac:dyDescent="0.25">
      <c r="A163" s="15" t="s">
        <v>1193</v>
      </c>
      <c r="B163" s="16">
        <v>11</v>
      </c>
      <c r="C163" s="12" t="s">
        <v>136</v>
      </c>
      <c r="D163" s="18" t="s">
        <v>1194</v>
      </c>
      <c r="E163" s="18" t="s">
        <v>1195</v>
      </c>
      <c r="F163" s="12" t="s">
        <v>184</v>
      </c>
      <c r="G163" s="12" t="s">
        <v>78</v>
      </c>
      <c r="H163" s="18" t="s">
        <v>1169</v>
      </c>
      <c r="I163" s="18" t="s">
        <v>1170</v>
      </c>
      <c r="J163" s="18" t="s">
        <v>208</v>
      </c>
      <c r="K163" s="18" t="s">
        <v>1179</v>
      </c>
      <c r="L163" s="12" t="s">
        <v>188</v>
      </c>
      <c r="M163" s="19">
        <v>46302.364976851852</v>
      </c>
      <c r="N163" s="19">
        <v>46302.364976851852</v>
      </c>
      <c r="O163" s="19">
        <v>46302.364976851852</v>
      </c>
      <c r="P163" s="12" t="s">
        <v>1172</v>
      </c>
      <c r="Q163" s="18" t="s">
        <v>1196</v>
      </c>
      <c r="R163" s="12" t="s">
        <v>1179</v>
      </c>
      <c r="S163" s="12" t="s">
        <v>1174</v>
      </c>
    </row>
    <row r="164" spans="1:19" ht="89.25" x14ac:dyDescent="0.25">
      <c r="A164" s="15" t="s">
        <v>1197</v>
      </c>
      <c r="B164" s="16">
        <v>12</v>
      </c>
      <c r="C164" s="12" t="s">
        <v>118</v>
      </c>
      <c r="D164" s="18" t="s">
        <v>1198</v>
      </c>
      <c r="E164" s="18" t="s">
        <v>1199</v>
      </c>
      <c r="F164" s="12" t="s">
        <v>199</v>
      </c>
      <c r="G164" s="12" t="s">
        <v>78</v>
      </c>
      <c r="H164" s="18" t="s">
        <v>1200</v>
      </c>
      <c r="I164" s="18" t="s">
        <v>1201</v>
      </c>
      <c r="J164" s="18" t="s">
        <v>709</v>
      </c>
      <c r="K164" s="18" t="s">
        <v>540</v>
      </c>
      <c r="L164" s="12" t="s">
        <v>268</v>
      </c>
      <c r="M164" s="19">
        <v>46302.365358796298</v>
      </c>
      <c r="N164" s="19">
        <v>46302.365358796298</v>
      </c>
      <c r="O164" s="19">
        <v>46302.365358796298</v>
      </c>
      <c r="P164" s="12" t="s">
        <v>1202</v>
      </c>
      <c r="Q164" s="18" t="s">
        <v>1203</v>
      </c>
      <c r="R164" s="12"/>
      <c r="S164" s="12"/>
    </row>
    <row r="165" spans="1:19" ht="89.25" x14ac:dyDescent="0.25">
      <c r="A165" s="15" t="s">
        <v>1204</v>
      </c>
      <c r="B165" s="16">
        <v>12</v>
      </c>
      <c r="C165" s="12" t="s">
        <v>118</v>
      </c>
      <c r="D165" s="18" t="s">
        <v>1205</v>
      </c>
      <c r="E165" s="18" t="s">
        <v>1206</v>
      </c>
      <c r="F165" s="12" t="s">
        <v>199</v>
      </c>
      <c r="G165" s="12" t="s">
        <v>78</v>
      </c>
      <c r="H165" s="18" t="s">
        <v>1200</v>
      </c>
      <c r="I165" s="18" t="s">
        <v>1201</v>
      </c>
      <c r="J165" s="18" t="s">
        <v>709</v>
      </c>
      <c r="K165" s="18"/>
      <c r="L165" s="12" t="s">
        <v>268</v>
      </c>
      <c r="M165" s="19">
        <v>46302.365405092591</v>
      </c>
      <c r="N165" s="19">
        <v>46302.365405092591</v>
      </c>
      <c r="O165" s="19">
        <v>46302.365405092591</v>
      </c>
      <c r="P165" s="12" t="s">
        <v>1202</v>
      </c>
      <c r="Q165" s="18" t="s">
        <v>1207</v>
      </c>
      <c r="R165" s="12"/>
      <c r="S165" s="12"/>
    </row>
    <row r="166" spans="1:19" ht="89.25" x14ac:dyDescent="0.25">
      <c r="A166" s="15" t="s">
        <v>1208</v>
      </c>
      <c r="B166" s="16">
        <v>12</v>
      </c>
      <c r="C166" s="12" t="s">
        <v>118</v>
      </c>
      <c r="D166" s="18" t="s">
        <v>1209</v>
      </c>
      <c r="E166" s="18" t="s">
        <v>1210</v>
      </c>
      <c r="F166" s="12" t="s">
        <v>199</v>
      </c>
      <c r="G166" s="12" t="s">
        <v>78</v>
      </c>
      <c r="H166" s="18" t="s">
        <v>1200</v>
      </c>
      <c r="I166" s="18" t="s">
        <v>1201</v>
      </c>
      <c r="J166" s="18" t="s">
        <v>214</v>
      </c>
      <c r="K166" s="18"/>
      <c r="L166" s="12" t="s">
        <v>188</v>
      </c>
      <c r="M166" s="19">
        <v>46302.365451388891</v>
      </c>
      <c r="N166" s="19">
        <v>46302.365451388891</v>
      </c>
      <c r="O166" s="19">
        <v>46302.365451388891</v>
      </c>
      <c r="P166" s="12" t="s">
        <v>1202</v>
      </c>
      <c r="Q166" s="18" t="s">
        <v>1211</v>
      </c>
      <c r="R166" s="12"/>
      <c r="S166" s="12"/>
    </row>
    <row r="167" spans="1:19" ht="38.25" x14ac:dyDescent="0.25">
      <c r="A167" s="15" t="s">
        <v>1212</v>
      </c>
      <c r="B167" s="16">
        <v>12</v>
      </c>
      <c r="C167" s="12" t="s">
        <v>118</v>
      </c>
      <c r="D167" s="18" t="s">
        <v>1213</v>
      </c>
      <c r="E167" s="18" t="s">
        <v>1214</v>
      </c>
      <c r="F167" s="12" t="s">
        <v>199</v>
      </c>
      <c r="G167" s="12" t="s">
        <v>78</v>
      </c>
      <c r="H167" s="18" t="s">
        <v>1215</v>
      </c>
      <c r="I167" s="18" t="s">
        <v>1216</v>
      </c>
      <c r="J167" s="18" t="s">
        <v>417</v>
      </c>
      <c r="K167" s="18"/>
      <c r="L167" s="12" t="s">
        <v>188</v>
      </c>
      <c r="M167" s="19">
        <v>46292.397361111107</v>
      </c>
      <c r="N167" s="19">
        <v>46292.399050925917</v>
      </c>
      <c r="O167" s="19">
        <v>46292.399050925917</v>
      </c>
      <c r="P167" s="12" t="s">
        <v>302</v>
      </c>
      <c r="Q167" s="18"/>
      <c r="R167" s="12"/>
      <c r="S167" s="12"/>
    </row>
    <row r="168" spans="1:19" ht="76.5" x14ac:dyDescent="0.25">
      <c r="A168" s="15" t="s">
        <v>1217</v>
      </c>
      <c r="B168" s="16">
        <v>13</v>
      </c>
      <c r="C168" s="12" t="s">
        <v>120</v>
      </c>
      <c r="D168" s="18" t="s">
        <v>1218</v>
      </c>
      <c r="E168" s="18" t="s">
        <v>1219</v>
      </c>
      <c r="F168" s="12" t="s">
        <v>199</v>
      </c>
      <c r="G168" s="12" t="s">
        <v>78</v>
      </c>
      <c r="H168" s="18" t="s">
        <v>1220</v>
      </c>
      <c r="I168" s="18" t="s">
        <v>1221</v>
      </c>
      <c r="J168" s="18" t="s">
        <v>709</v>
      </c>
      <c r="K168" s="18" t="s">
        <v>358</v>
      </c>
      <c r="L168" s="12" t="s">
        <v>268</v>
      </c>
      <c r="M168" s="19">
        <v>46302.365798611107</v>
      </c>
      <c r="N168" s="19">
        <v>46302.365798611107</v>
      </c>
      <c r="O168" s="19">
        <v>46302.365798611107</v>
      </c>
      <c r="P168" s="12" t="s">
        <v>1222</v>
      </c>
      <c r="Q168" s="18" t="s">
        <v>1223</v>
      </c>
      <c r="R168" s="12"/>
      <c r="S168" s="12"/>
    </row>
    <row r="169" spans="1:19" ht="76.5" x14ac:dyDescent="0.25">
      <c r="A169" s="15" t="s">
        <v>1224</v>
      </c>
      <c r="B169" s="16">
        <v>13</v>
      </c>
      <c r="C169" s="12" t="s">
        <v>120</v>
      </c>
      <c r="D169" s="18" t="s">
        <v>1225</v>
      </c>
      <c r="E169" s="18" t="s">
        <v>1226</v>
      </c>
      <c r="F169" s="12" t="s">
        <v>199</v>
      </c>
      <c r="G169" s="12" t="s">
        <v>78</v>
      </c>
      <c r="H169" s="18" t="s">
        <v>1220</v>
      </c>
      <c r="I169" s="18" t="s">
        <v>1221</v>
      </c>
      <c r="J169" s="18" t="s">
        <v>232</v>
      </c>
      <c r="K169" s="18" t="s">
        <v>468</v>
      </c>
      <c r="L169" s="12" t="s">
        <v>268</v>
      </c>
      <c r="M169" s="19">
        <v>46302.365844907406</v>
      </c>
      <c r="N169" s="19">
        <v>46302.365844907406</v>
      </c>
      <c r="O169" s="19">
        <v>46302.365844907406</v>
      </c>
      <c r="P169" s="12" t="s">
        <v>1222</v>
      </c>
      <c r="Q169" s="18" t="s">
        <v>1227</v>
      </c>
      <c r="R169" s="12"/>
      <c r="S169" s="12"/>
    </row>
    <row r="170" spans="1:19" ht="76.5" x14ac:dyDescent="0.25">
      <c r="A170" s="15" t="s">
        <v>1228</v>
      </c>
      <c r="B170" s="16">
        <v>13</v>
      </c>
      <c r="C170" s="12" t="s">
        <v>120</v>
      </c>
      <c r="D170" s="18" t="s">
        <v>1229</v>
      </c>
      <c r="E170" s="18" t="s">
        <v>1230</v>
      </c>
      <c r="F170" s="12" t="s">
        <v>313</v>
      </c>
      <c r="G170" s="12" t="s">
        <v>78</v>
      </c>
      <c r="H170" s="18" t="s">
        <v>1231</v>
      </c>
      <c r="I170" s="18" t="s">
        <v>1232</v>
      </c>
      <c r="J170" s="18" t="s">
        <v>417</v>
      </c>
      <c r="K170" s="18"/>
      <c r="L170" s="12" t="s">
        <v>188</v>
      </c>
      <c r="M170" s="19">
        <v>46302.707743055558</v>
      </c>
      <c r="N170" s="19">
        <v>46302.707743055558</v>
      </c>
      <c r="O170" s="19">
        <v>46302.707743055558</v>
      </c>
      <c r="P170" s="12" t="s">
        <v>1233</v>
      </c>
      <c r="Q170" s="18"/>
      <c r="R170" s="12"/>
      <c r="S170" s="12"/>
    </row>
    <row r="171" spans="1:19" ht="63.75" x14ac:dyDescent="0.25">
      <c r="A171" s="15" t="s">
        <v>1234</v>
      </c>
      <c r="B171" s="16">
        <v>14</v>
      </c>
      <c r="C171" s="12" t="s">
        <v>106</v>
      </c>
      <c r="D171" s="18" t="s">
        <v>1235</v>
      </c>
      <c r="E171" s="18" t="s">
        <v>1236</v>
      </c>
      <c r="F171" s="12" t="s">
        <v>184</v>
      </c>
      <c r="G171" s="12" t="s">
        <v>78</v>
      </c>
      <c r="H171" s="18" t="s">
        <v>1237</v>
      </c>
      <c r="I171" s="18" t="s">
        <v>1238</v>
      </c>
      <c r="J171" s="18" t="s">
        <v>214</v>
      </c>
      <c r="K171" s="18" t="s">
        <v>468</v>
      </c>
      <c r="L171" s="12" t="s">
        <v>268</v>
      </c>
      <c r="M171" s="19">
        <v>46302.366180555553</v>
      </c>
      <c r="N171" s="19">
        <v>46302.366180555553</v>
      </c>
      <c r="O171" s="19">
        <v>46302.366180555553</v>
      </c>
      <c r="P171" s="12" t="s">
        <v>1239</v>
      </c>
      <c r="Q171" s="18" t="s">
        <v>1240</v>
      </c>
      <c r="R171" s="12"/>
      <c r="S171" s="12" t="s">
        <v>443</v>
      </c>
    </row>
    <row r="172" spans="1:19" ht="102" x14ac:dyDescent="0.25">
      <c r="A172" s="15" t="s">
        <v>1241</v>
      </c>
      <c r="B172" s="16">
        <v>14</v>
      </c>
      <c r="C172" s="12" t="s">
        <v>106</v>
      </c>
      <c r="D172" s="18" t="s">
        <v>1242</v>
      </c>
      <c r="E172" s="18" t="s">
        <v>1243</v>
      </c>
      <c r="F172" s="12" t="s">
        <v>184</v>
      </c>
      <c r="G172" s="12" t="s">
        <v>78</v>
      </c>
      <c r="H172" s="18" t="s">
        <v>1237</v>
      </c>
      <c r="I172" s="18" t="s">
        <v>1238</v>
      </c>
      <c r="J172" s="18" t="s">
        <v>1244</v>
      </c>
      <c r="K172" s="18" t="s">
        <v>468</v>
      </c>
      <c r="L172" s="12" t="s">
        <v>258</v>
      </c>
      <c r="M172" s="19">
        <v>46302.366226851853</v>
      </c>
      <c r="N172" s="19">
        <v>46302.366226851853</v>
      </c>
      <c r="O172" s="19">
        <v>46302.366226851853</v>
      </c>
      <c r="P172" s="12" t="s">
        <v>1239</v>
      </c>
      <c r="Q172" s="18" t="s">
        <v>1245</v>
      </c>
      <c r="R172" s="12" t="s">
        <v>1234</v>
      </c>
      <c r="S172" s="12" t="s">
        <v>443</v>
      </c>
    </row>
    <row r="173" spans="1:19" ht="127.5" x14ac:dyDescent="0.25">
      <c r="A173" s="15" t="s">
        <v>1246</v>
      </c>
      <c r="B173" s="16">
        <v>14</v>
      </c>
      <c r="C173" s="12" t="s">
        <v>106</v>
      </c>
      <c r="D173" s="18" t="s">
        <v>1247</v>
      </c>
      <c r="E173" s="18" t="s">
        <v>1248</v>
      </c>
      <c r="F173" s="12" t="s">
        <v>313</v>
      </c>
      <c r="G173" s="12" t="s">
        <v>78</v>
      </c>
      <c r="H173" s="18" t="s">
        <v>1249</v>
      </c>
      <c r="I173" s="18" t="s">
        <v>1250</v>
      </c>
      <c r="J173" s="18" t="s">
        <v>232</v>
      </c>
      <c r="K173" s="18" t="s">
        <v>468</v>
      </c>
      <c r="L173" s="12" t="s">
        <v>268</v>
      </c>
      <c r="M173" s="19">
        <v>46302.733923611107</v>
      </c>
      <c r="N173" s="19">
        <v>46302.733923611107</v>
      </c>
      <c r="O173" s="19">
        <v>46302.733923611107</v>
      </c>
      <c r="P173" s="12" t="s">
        <v>1251</v>
      </c>
      <c r="Q173" s="18" t="s">
        <v>1252</v>
      </c>
      <c r="R173" s="12"/>
      <c r="S173" s="12"/>
    </row>
    <row r="174" spans="1:19" ht="89.25" x14ac:dyDescent="0.25">
      <c r="A174" s="15" t="s">
        <v>1253</v>
      </c>
      <c r="B174" s="16">
        <v>14</v>
      </c>
      <c r="C174" s="12" t="s">
        <v>106</v>
      </c>
      <c r="D174" s="18" t="s">
        <v>1254</v>
      </c>
      <c r="E174" s="18" t="s">
        <v>1255</v>
      </c>
      <c r="F174" s="12" t="s">
        <v>313</v>
      </c>
      <c r="G174" s="12" t="s">
        <v>78</v>
      </c>
      <c r="H174" s="18" t="s">
        <v>1256</v>
      </c>
      <c r="I174" s="18" t="s">
        <v>1257</v>
      </c>
      <c r="J174" s="18" t="s">
        <v>232</v>
      </c>
      <c r="K174" s="18" t="s">
        <v>654</v>
      </c>
      <c r="L174" s="12" t="s">
        <v>268</v>
      </c>
      <c r="M174" s="19">
        <v>46302.751793981479</v>
      </c>
      <c r="N174" s="19">
        <v>46302.751793981479</v>
      </c>
      <c r="O174" s="19">
        <v>46302.751793981479</v>
      </c>
      <c r="P174" s="12" t="s">
        <v>1258</v>
      </c>
      <c r="Q174" s="18"/>
      <c r="R174" s="12"/>
      <c r="S174" s="12"/>
    </row>
    <row r="175" spans="1:19" ht="89.25" x14ac:dyDescent="0.25">
      <c r="A175" s="15" t="s">
        <v>1259</v>
      </c>
      <c r="B175" s="16">
        <v>15</v>
      </c>
      <c r="C175" s="12" t="s">
        <v>131</v>
      </c>
      <c r="D175" s="18" t="s">
        <v>1260</v>
      </c>
      <c r="E175" s="18" t="s">
        <v>1261</v>
      </c>
      <c r="F175" s="12" t="s">
        <v>313</v>
      </c>
      <c r="G175" s="12" t="s">
        <v>78</v>
      </c>
      <c r="H175" s="18" t="s">
        <v>1262</v>
      </c>
      <c r="I175" s="18" t="s">
        <v>1263</v>
      </c>
      <c r="J175" s="18" t="s">
        <v>1264</v>
      </c>
      <c r="K175" s="18"/>
      <c r="L175" s="12" t="s">
        <v>268</v>
      </c>
      <c r="M175" s="19">
        <v>46302.856273148151</v>
      </c>
      <c r="N175" s="19">
        <v>46302.856273148151</v>
      </c>
      <c r="O175" s="19">
        <v>46302.856273148151</v>
      </c>
      <c r="P175" s="12" t="s">
        <v>1265</v>
      </c>
      <c r="Q175" s="18" t="s">
        <v>1266</v>
      </c>
      <c r="R175" s="12"/>
      <c r="S175" s="12"/>
    </row>
    <row r="176" spans="1:19" ht="102" x14ac:dyDescent="0.25">
      <c r="A176" s="15" t="s">
        <v>1267</v>
      </c>
      <c r="B176" s="16">
        <v>15</v>
      </c>
      <c r="C176" s="12" t="s">
        <v>131</v>
      </c>
      <c r="D176" s="18" t="s">
        <v>1268</v>
      </c>
      <c r="E176" s="18" t="s">
        <v>1269</v>
      </c>
      <c r="F176" s="12" t="s">
        <v>313</v>
      </c>
      <c r="G176" s="12" t="s">
        <v>78</v>
      </c>
      <c r="H176" s="18" t="s">
        <v>1270</v>
      </c>
      <c r="I176" s="18" t="s">
        <v>1271</v>
      </c>
      <c r="J176" s="18" t="s">
        <v>1264</v>
      </c>
      <c r="K176" s="18" t="s">
        <v>889</v>
      </c>
      <c r="L176" s="12" t="s">
        <v>188</v>
      </c>
      <c r="M176" s="19">
        <v>46302.873078703713</v>
      </c>
      <c r="N176" s="19">
        <v>46302.873078703713</v>
      </c>
      <c r="O176" s="19">
        <v>46302.873078703713</v>
      </c>
      <c r="P176" s="12" t="s">
        <v>1272</v>
      </c>
      <c r="Q176" s="18" t="s">
        <v>1273</v>
      </c>
      <c r="R176" s="12"/>
      <c r="S176" s="12"/>
    </row>
    <row r="177" spans="1:19" ht="140.25" x14ac:dyDescent="0.25">
      <c r="A177" s="15" t="s">
        <v>1274</v>
      </c>
      <c r="B177" s="16">
        <v>15</v>
      </c>
      <c r="C177" s="12" t="s">
        <v>131</v>
      </c>
      <c r="D177" s="18" t="s">
        <v>1275</v>
      </c>
      <c r="E177" s="18" t="s">
        <v>1276</v>
      </c>
      <c r="F177" s="12" t="s">
        <v>327</v>
      </c>
      <c r="G177" s="12" t="s">
        <v>78</v>
      </c>
      <c r="H177" s="18" t="s">
        <v>1277</v>
      </c>
      <c r="I177" s="18" t="s">
        <v>1278</v>
      </c>
      <c r="J177" s="18" t="s">
        <v>1264</v>
      </c>
      <c r="K177" s="18" t="s">
        <v>1151</v>
      </c>
      <c r="L177" s="12" t="s">
        <v>268</v>
      </c>
      <c r="M177" s="19">
        <v>46303.069062499999</v>
      </c>
      <c r="N177" s="19">
        <v>46303.069062499999</v>
      </c>
      <c r="O177" s="19">
        <v>46303.069062499999</v>
      </c>
      <c r="P177" s="12" t="s">
        <v>1279</v>
      </c>
      <c r="Q177" s="18"/>
      <c r="R177" s="12"/>
      <c r="S177" s="12"/>
    </row>
    <row r="178" spans="1:19" ht="63.75" x14ac:dyDescent="0.25">
      <c r="A178" s="15" t="s">
        <v>1280</v>
      </c>
      <c r="B178" s="16">
        <v>16</v>
      </c>
      <c r="C178" s="12" t="s">
        <v>131</v>
      </c>
      <c r="D178" s="18" t="s">
        <v>1281</v>
      </c>
      <c r="E178" s="18" t="s">
        <v>1282</v>
      </c>
      <c r="F178" s="12" t="s">
        <v>199</v>
      </c>
      <c r="G178" s="12" t="s">
        <v>78</v>
      </c>
      <c r="H178" s="18" t="s">
        <v>1283</v>
      </c>
      <c r="I178" s="18" t="s">
        <v>1284</v>
      </c>
      <c r="J178" s="18" t="s">
        <v>709</v>
      </c>
      <c r="K178" s="18" t="s">
        <v>1217</v>
      </c>
      <c r="L178" s="12" t="s">
        <v>188</v>
      </c>
      <c r="M178" s="19">
        <v>46302.366608796299</v>
      </c>
      <c r="N178" s="19">
        <v>46302.366608796299</v>
      </c>
      <c r="O178" s="19">
        <v>46302.366608796299</v>
      </c>
      <c r="P178" s="12" t="s">
        <v>1285</v>
      </c>
      <c r="Q178" s="18" t="s">
        <v>1286</v>
      </c>
      <c r="R178" s="12"/>
      <c r="S178" s="12"/>
    </row>
    <row r="179" spans="1:19" ht="63.75" x14ac:dyDescent="0.25">
      <c r="A179" s="15" t="s">
        <v>1287</v>
      </c>
      <c r="B179" s="16">
        <v>16</v>
      </c>
      <c r="C179" s="12" t="s">
        <v>131</v>
      </c>
      <c r="D179" s="18" t="s">
        <v>1288</v>
      </c>
      <c r="E179" s="18" t="s">
        <v>1289</v>
      </c>
      <c r="F179" s="12" t="s">
        <v>199</v>
      </c>
      <c r="G179" s="12" t="s">
        <v>78</v>
      </c>
      <c r="H179" s="18" t="s">
        <v>1290</v>
      </c>
      <c r="I179" s="18" t="s">
        <v>1291</v>
      </c>
      <c r="J179" s="18" t="s">
        <v>214</v>
      </c>
      <c r="K179" s="18"/>
      <c r="L179" s="12" t="s">
        <v>188</v>
      </c>
      <c r="M179" s="19">
        <v>46302.366666666669</v>
      </c>
      <c r="N179" s="19">
        <v>46302.366666666669</v>
      </c>
      <c r="O179" s="19">
        <v>46302.366666666669</v>
      </c>
      <c r="P179" s="12" t="s">
        <v>1285</v>
      </c>
      <c r="Q179" s="18" t="s">
        <v>1292</v>
      </c>
      <c r="R179" s="12"/>
      <c r="S179" s="12"/>
    </row>
    <row r="180" spans="1:19" ht="51" x14ac:dyDescent="0.25">
      <c r="A180" s="15" t="s">
        <v>1293</v>
      </c>
      <c r="B180" s="16">
        <v>5</v>
      </c>
      <c r="C180" s="12" t="s">
        <v>146</v>
      </c>
      <c r="D180" s="18" t="s">
        <v>1294</v>
      </c>
      <c r="E180" s="18" t="s">
        <v>1295</v>
      </c>
      <c r="F180" s="12" t="s">
        <v>199</v>
      </c>
      <c r="G180" s="12" t="s">
        <v>78</v>
      </c>
      <c r="H180" s="18" t="s">
        <v>1296</v>
      </c>
      <c r="I180" s="18" t="s">
        <v>1297</v>
      </c>
      <c r="J180" s="18" t="s">
        <v>1264</v>
      </c>
      <c r="K180" s="18"/>
      <c r="L180" s="12" t="s">
        <v>268</v>
      </c>
      <c r="M180" s="19">
        <v>46301.615115740737</v>
      </c>
      <c r="N180" s="19">
        <v>46301.615115740737</v>
      </c>
      <c r="O180" s="19">
        <v>46301.615115740737</v>
      </c>
      <c r="P180" s="12" t="s">
        <v>894</v>
      </c>
      <c r="Q180" s="18" t="s">
        <v>1298</v>
      </c>
      <c r="R180" s="12"/>
      <c r="S180" s="12"/>
    </row>
    <row r="181" spans="1:19" ht="89.25" x14ac:dyDescent="0.25">
      <c r="A181" s="15" t="s">
        <v>1299</v>
      </c>
      <c r="B181" s="16">
        <v>5</v>
      </c>
      <c r="C181" s="12" t="s">
        <v>128</v>
      </c>
      <c r="D181" s="18" t="s">
        <v>1300</v>
      </c>
      <c r="E181" s="18" t="s">
        <v>1301</v>
      </c>
      <c r="F181" s="12" t="s">
        <v>313</v>
      </c>
      <c r="G181" s="12" t="s">
        <v>78</v>
      </c>
      <c r="H181" s="18" t="s">
        <v>1302</v>
      </c>
      <c r="I181" s="18" t="s">
        <v>1303</v>
      </c>
      <c r="J181" s="18" t="s">
        <v>1304</v>
      </c>
      <c r="K181" s="18" t="s">
        <v>911</v>
      </c>
      <c r="L181" s="12" t="s">
        <v>268</v>
      </c>
      <c r="M181" s="19">
        <v>46301.615925925929</v>
      </c>
      <c r="N181" s="19">
        <v>46301.640243055554</v>
      </c>
      <c r="O181" s="19">
        <v>46301.640243055554</v>
      </c>
      <c r="P181" s="12" t="s">
        <v>1305</v>
      </c>
      <c r="Q181" s="18" t="s">
        <v>1306</v>
      </c>
      <c r="R181" s="12"/>
      <c r="S181" s="12"/>
    </row>
    <row r="182" spans="1:19" ht="38.25" x14ac:dyDescent="0.25">
      <c r="A182" s="15" t="s">
        <v>1307</v>
      </c>
      <c r="B182" s="16">
        <v>6</v>
      </c>
      <c r="C182" s="12" t="s">
        <v>149</v>
      </c>
      <c r="D182" s="18" t="s">
        <v>1308</v>
      </c>
      <c r="E182" s="18" t="s">
        <v>1309</v>
      </c>
      <c r="F182" s="12" t="s">
        <v>199</v>
      </c>
      <c r="G182" s="12" t="s">
        <v>78</v>
      </c>
      <c r="H182" s="18" t="s">
        <v>1310</v>
      </c>
      <c r="I182" s="18" t="s">
        <v>1311</v>
      </c>
      <c r="J182" s="18" t="s">
        <v>482</v>
      </c>
      <c r="K182" s="18" t="s">
        <v>477</v>
      </c>
      <c r="L182" s="12" t="s">
        <v>268</v>
      </c>
      <c r="M182" s="19">
        <v>46301.615844907406</v>
      </c>
      <c r="N182" s="19">
        <v>46301.615844907406</v>
      </c>
      <c r="O182" s="19">
        <v>46301.615844907406</v>
      </c>
      <c r="P182" s="12" t="s">
        <v>863</v>
      </c>
      <c r="Q182" s="18"/>
      <c r="R182" s="12"/>
      <c r="S182" s="12"/>
    </row>
    <row r="183" spans="1:19" ht="51" x14ac:dyDescent="0.25">
      <c r="A183" s="15" t="s">
        <v>1312</v>
      </c>
      <c r="B183" s="16">
        <v>6</v>
      </c>
      <c r="C183" s="12" t="s">
        <v>72</v>
      </c>
      <c r="D183" s="18" t="s">
        <v>1313</v>
      </c>
      <c r="E183" s="18" t="s">
        <v>1314</v>
      </c>
      <c r="F183" s="12" t="s">
        <v>313</v>
      </c>
      <c r="G183" s="12" t="s">
        <v>78</v>
      </c>
      <c r="H183" s="18" t="s">
        <v>1315</v>
      </c>
      <c r="I183" s="18" t="s">
        <v>1316</v>
      </c>
      <c r="J183" s="18" t="s">
        <v>1317</v>
      </c>
      <c r="K183" s="18" t="s">
        <v>1004</v>
      </c>
      <c r="L183" s="12" t="s">
        <v>188</v>
      </c>
      <c r="M183" s="19">
        <v>46301.615254629629</v>
      </c>
      <c r="N183" s="19">
        <v>46301.615254629629</v>
      </c>
      <c r="O183" s="19">
        <v>46301.615254629629</v>
      </c>
      <c r="P183" s="12" t="s">
        <v>894</v>
      </c>
      <c r="Q183" s="18" t="s">
        <v>1318</v>
      </c>
      <c r="R183" s="12"/>
      <c r="S183" s="12"/>
    </row>
    <row r="184" spans="1:19" ht="89.25" x14ac:dyDescent="0.25">
      <c r="A184" s="15" t="s">
        <v>1319</v>
      </c>
      <c r="B184" s="16">
        <v>16</v>
      </c>
      <c r="C184" s="12" t="s">
        <v>152</v>
      </c>
      <c r="D184" s="18" t="s">
        <v>1320</v>
      </c>
      <c r="E184" s="18" t="s">
        <v>1321</v>
      </c>
      <c r="F184" s="12" t="s">
        <v>199</v>
      </c>
      <c r="G184" s="12" t="s">
        <v>78</v>
      </c>
      <c r="H184" s="18" t="s">
        <v>1322</v>
      </c>
      <c r="I184" s="18" t="s">
        <v>1323</v>
      </c>
      <c r="J184" s="18" t="s">
        <v>1244</v>
      </c>
      <c r="K184" s="18"/>
      <c r="L184" s="12" t="s">
        <v>268</v>
      </c>
      <c r="M184" s="19">
        <v>46302.367025462961</v>
      </c>
      <c r="N184" s="19">
        <v>46302.367025462961</v>
      </c>
      <c r="O184" s="19">
        <v>46302.367025462961</v>
      </c>
      <c r="P184" s="12" t="s">
        <v>1324</v>
      </c>
      <c r="Q184" s="18" t="s">
        <v>1325</v>
      </c>
      <c r="R184" s="12"/>
      <c r="S184" s="12" t="s">
        <v>1326</v>
      </c>
    </row>
    <row r="185" spans="1:19" ht="51" x14ac:dyDescent="0.25">
      <c r="A185" s="15" t="s">
        <v>1327</v>
      </c>
      <c r="B185" s="16">
        <v>16</v>
      </c>
      <c r="C185" s="12" t="s">
        <v>152</v>
      </c>
      <c r="D185" s="18" t="s">
        <v>1328</v>
      </c>
      <c r="E185" s="18" t="s">
        <v>1329</v>
      </c>
      <c r="F185" s="12" t="s">
        <v>199</v>
      </c>
      <c r="G185" s="12" t="s">
        <v>78</v>
      </c>
      <c r="H185" s="18" t="s">
        <v>1322</v>
      </c>
      <c r="I185" s="18" t="s">
        <v>1323</v>
      </c>
      <c r="J185" s="18" t="s">
        <v>1244</v>
      </c>
      <c r="K185" s="18"/>
      <c r="L185" s="12" t="s">
        <v>188</v>
      </c>
      <c r="M185" s="19">
        <v>46302.367071759261</v>
      </c>
      <c r="N185" s="19">
        <v>46302.367071759261</v>
      </c>
      <c r="O185" s="19">
        <v>46302.367071759261</v>
      </c>
      <c r="P185" s="12" t="s">
        <v>1324</v>
      </c>
      <c r="Q185" s="18" t="s">
        <v>1330</v>
      </c>
      <c r="R185" s="12"/>
      <c r="S185" s="12" t="s">
        <v>1326</v>
      </c>
    </row>
    <row r="186" spans="1:19" ht="165.75" x14ac:dyDescent="0.25">
      <c r="A186" s="15" t="s">
        <v>1331</v>
      </c>
      <c r="B186" s="16">
        <v>16</v>
      </c>
      <c r="C186" s="12" t="s">
        <v>152</v>
      </c>
      <c r="D186" s="18" t="s">
        <v>1332</v>
      </c>
      <c r="E186" s="18" t="s">
        <v>1333</v>
      </c>
      <c r="F186" s="12" t="s">
        <v>313</v>
      </c>
      <c r="G186" s="12" t="s">
        <v>78</v>
      </c>
      <c r="H186" s="18" t="s">
        <v>1334</v>
      </c>
      <c r="I186" s="18" t="s">
        <v>1335</v>
      </c>
      <c r="J186" s="18" t="s">
        <v>1244</v>
      </c>
      <c r="K186" s="18" t="s">
        <v>1319</v>
      </c>
      <c r="L186" s="12" t="s">
        <v>188</v>
      </c>
      <c r="M186" s="19">
        <v>46302.894976851851</v>
      </c>
      <c r="N186" s="19">
        <v>46302.894976851851</v>
      </c>
      <c r="O186" s="19">
        <v>46302.894976851851</v>
      </c>
      <c r="P186" s="12" t="s">
        <v>1336</v>
      </c>
      <c r="Q186" s="18"/>
      <c r="R186" s="12"/>
      <c r="S186" s="12" t="s">
        <v>1326</v>
      </c>
    </row>
    <row r="187" spans="1:19" ht="76.5" x14ac:dyDescent="0.25">
      <c r="A187" s="15" t="s">
        <v>1337</v>
      </c>
      <c r="B187" s="16">
        <v>17</v>
      </c>
      <c r="C187" s="12" t="s">
        <v>144</v>
      </c>
      <c r="D187" s="18" t="s">
        <v>1338</v>
      </c>
      <c r="E187" s="18" t="s">
        <v>1339</v>
      </c>
      <c r="F187" s="12" t="s">
        <v>199</v>
      </c>
      <c r="G187" s="12" t="s">
        <v>66</v>
      </c>
      <c r="H187" s="18"/>
      <c r="I187" s="18"/>
      <c r="J187" s="18" t="s">
        <v>1340</v>
      </c>
      <c r="K187" s="18"/>
      <c r="L187" s="12" t="s">
        <v>258</v>
      </c>
      <c r="M187" s="19">
        <v>46302.367546296293</v>
      </c>
      <c r="N187" s="19"/>
      <c r="O187" s="19"/>
      <c r="P187" s="12"/>
      <c r="Q187" s="18" t="s">
        <v>1341</v>
      </c>
      <c r="R187" s="12"/>
      <c r="S187" s="12" t="s">
        <v>1326</v>
      </c>
    </row>
    <row r="188" spans="1:19" ht="38.25" x14ac:dyDescent="0.25">
      <c r="A188" s="15" t="s">
        <v>1342</v>
      </c>
      <c r="B188" s="16">
        <v>17</v>
      </c>
      <c r="C188" s="12" t="s">
        <v>144</v>
      </c>
      <c r="D188" s="18" t="s">
        <v>1343</v>
      </c>
      <c r="E188" s="18" t="s">
        <v>1344</v>
      </c>
      <c r="F188" s="12" t="s">
        <v>184</v>
      </c>
      <c r="G188" s="12" t="s">
        <v>78</v>
      </c>
      <c r="H188" s="18" t="s">
        <v>1345</v>
      </c>
      <c r="I188" s="18" t="s">
        <v>1346</v>
      </c>
      <c r="J188" s="18" t="s">
        <v>1347</v>
      </c>
      <c r="K188" s="18" t="s">
        <v>718</v>
      </c>
      <c r="L188" s="12" t="s">
        <v>268</v>
      </c>
      <c r="M188" s="19">
        <v>46301.615208333344</v>
      </c>
      <c r="N188" s="19">
        <v>46301.615208333344</v>
      </c>
      <c r="O188" s="19">
        <v>46301.615208333344</v>
      </c>
      <c r="P188" s="12" t="s">
        <v>894</v>
      </c>
      <c r="Q188" s="18"/>
      <c r="R188" s="12"/>
      <c r="S188" s="12" t="s">
        <v>1348</v>
      </c>
    </row>
    <row r="189" spans="1:19" ht="25.5" x14ac:dyDescent="0.25">
      <c r="A189" s="15" t="s">
        <v>1349</v>
      </c>
      <c r="B189" s="16">
        <v>17</v>
      </c>
      <c r="C189" s="12" t="s">
        <v>72</v>
      </c>
      <c r="D189" s="18" t="s">
        <v>1350</v>
      </c>
      <c r="E189" s="18" t="s">
        <v>1351</v>
      </c>
      <c r="F189" s="12" t="s">
        <v>184</v>
      </c>
      <c r="G189" s="12" t="s">
        <v>78</v>
      </c>
      <c r="H189" s="18" t="s">
        <v>1352</v>
      </c>
      <c r="I189" s="18" t="s">
        <v>1353</v>
      </c>
      <c r="J189" s="18" t="s">
        <v>220</v>
      </c>
      <c r="K189" s="18"/>
      <c r="L189" s="12" t="s">
        <v>268</v>
      </c>
      <c r="M189" s="19">
        <v>46301.640289351853</v>
      </c>
      <c r="N189" s="19">
        <v>46301.640289351853</v>
      </c>
      <c r="O189" s="19">
        <v>46301.640289351853</v>
      </c>
      <c r="P189" s="12" t="s">
        <v>1354</v>
      </c>
      <c r="Q189" s="18"/>
      <c r="R189" s="12"/>
      <c r="S189" s="12"/>
    </row>
    <row r="190" spans="1:19" ht="76.5" x14ac:dyDescent="0.25">
      <c r="A190" s="15" t="s">
        <v>1355</v>
      </c>
      <c r="B190" s="16">
        <v>17</v>
      </c>
      <c r="C190" s="12" t="s">
        <v>72</v>
      </c>
      <c r="D190" s="18" t="s">
        <v>1356</v>
      </c>
      <c r="E190" s="18" t="s">
        <v>1357</v>
      </c>
      <c r="F190" s="12" t="s">
        <v>199</v>
      </c>
      <c r="G190" s="12" t="s">
        <v>78</v>
      </c>
      <c r="H190" s="18" t="s">
        <v>1358</v>
      </c>
      <c r="I190" s="18" t="s">
        <v>1359</v>
      </c>
      <c r="J190" s="18" t="s">
        <v>902</v>
      </c>
      <c r="K190" s="18" t="s">
        <v>897</v>
      </c>
      <c r="L190" s="12" t="s">
        <v>188</v>
      </c>
      <c r="M190" s="19">
        <v>46302.367442129631</v>
      </c>
      <c r="N190" s="19">
        <v>46302.367442129631</v>
      </c>
      <c r="O190" s="19">
        <v>46302.367442129631</v>
      </c>
      <c r="P190" s="12" t="s">
        <v>1360</v>
      </c>
      <c r="Q190" s="18" t="s">
        <v>1361</v>
      </c>
      <c r="R190" s="12"/>
      <c r="S190" s="12"/>
    </row>
    <row r="191" spans="1:19" ht="89.25" x14ac:dyDescent="0.25">
      <c r="A191" s="15" t="s">
        <v>1362</v>
      </c>
      <c r="B191" s="16">
        <v>17</v>
      </c>
      <c r="C191" s="12" t="s">
        <v>72</v>
      </c>
      <c r="D191" s="18" t="s">
        <v>1363</v>
      </c>
      <c r="E191" s="18" t="s">
        <v>1364</v>
      </c>
      <c r="F191" s="12" t="s">
        <v>313</v>
      </c>
      <c r="G191" s="12" t="s">
        <v>69</v>
      </c>
      <c r="H191" s="18" t="s">
        <v>1365</v>
      </c>
      <c r="I191" s="18" t="s">
        <v>1366</v>
      </c>
      <c r="J191" s="18" t="s">
        <v>220</v>
      </c>
      <c r="K191" s="18"/>
      <c r="L191" s="12" t="s">
        <v>188</v>
      </c>
      <c r="M191" s="19">
        <v>46302.898645833331</v>
      </c>
      <c r="N191" s="19"/>
      <c r="O191" s="19"/>
      <c r="P191" s="12" t="s">
        <v>1367</v>
      </c>
      <c r="Q191" s="18"/>
      <c r="R191" s="12"/>
      <c r="S191" s="12"/>
    </row>
    <row r="192" spans="1:19" ht="102" x14ac:dyDescent="0.25">
      <c r="A192" s="15" t="s">
        <v>1368</v>
      </c>
      <c r="B192" s="16">
        <v>17</v>
      </c>
      <c r="C192" s="12" t="s">
        <v>72</v>
      </c>
      <c r="D192" s="18" t="s">
        <v>1369</v>
      </c>
      <c r="E192" s="18" t="s">
        <v>1370</v>
      </c>
      <c r="F192" s="12" t="s">
        <v>327</v>
      </c>
      <c r="G192" s="12" t="s">
        <v>78</v>
      </c>
      <c r="H192" s="18" t="s">
        <v>1371</v>
      </c>
      <c r="I192" s="18" t="s">
        <v>1372</v>
      </c>
      <c r="J192" s="18" t="s">
        <v>1373</v>
      </c>
      <c r="K192" s="18"/>
      <c r="L192" s="12" t="s">
        <v>188</v>
      </c>
      <c r="M192" s="19">
        <v>46303.07099537037</v>
      </c>
      <c r="N192" s="19">
        <v>46303.07099537037</v>
      </c>
      <c r="O192" s="19">
        <v>46303.07099537037</v>
      </c>
      <c r="P192" s="12" t="s">
        <v>1374</v>
      </c>
      <c r="Q192" s="18"/>
      <c r="R192" s="12"/>
      <c r="S192" s="12"/>
    </row>
    <row r="193" spans="1:19" ht="63.75" x14ac:dyDescent="0.25">
      <c r="A193" s="15" t="s">
        <v>1375</v>
      </c>
      <c r="B193" s="16">
        <v>18</v>
      </c>
      <c r="C193" s="12" t="s">
        <v>155</v>
      </c>
      <c r="D193" s="18" t="s">
        <v>1376</v>
      </c>
      <c r="E193" s="18" t="s">
        <v>1377</v>
      </c>
      <c r="F193" s="12" t="s">
        <v>184</v>
      </c>
      <c r="G193" s="12" t="s">
        <v>78</v>
      </c>
      <c r="H193" s="18" t="s">
        <v>1378</v>
      </c>
      <c r="I193" s="18" t="s">
        <v>1379</v>
      </c>
      <c r="J193" s="18" t="s">
        <v>195</v>
      </c>
      <c r="K193" s="18"/>
      <c r="L193" s="12" t="s">
        <v>188</v>
      </c>
      <c r="M193" s="19">
        <v>46302.367800925917</v>
      </c>
      <c r="N193" s="19">
        <v>46302.367800925917</v>
      </c>
      <c r="O193" s="19">
        <v>46302.367800925917</v>
      </c>
      <c r="P193" s="12" t="s">
        <v>1380</v>
      </c>
      <c r="Q193" s="18" t="s">
        <v>1381</v>
      </c>
      <c r="R193" s="12"/>
      <c r="S193" s="12"/>
    </row>
    <row r="194" spans="1:19" ht="63.75" x14ac:dyDescent="0.25">
      <c r="A194" s="15" t="s">
        <v>1382</v>
      </c>
      <c r="B194" s="16">
        <v>18</v>
      </c>
      <c r="C194" s="12" t="s">
        <v>155</v>
      </c>
      <c r="D194" s="18" t="s">
        <v>1383</v>
      </c>
      <c r="E194" s="18" t="s">
        <v>1384</v>
      </c>
      <c r="F194" s="12" t="s">
        <v>199</v>
      </c>
      <c r="G194" s="12" t="s">
        <v>78</v>
      </c>
      <c r="H194" s="18" t="s">
        <v>1385</v>
      </c>
      <c r="I194" s="18" t="s">
        <v>1386</v>
      </c>
      <c r="J194" s="18" t="s">
        <v>195</v>
      </c>
      <c r="K194" s="18"/>
      <c r="L194" s="12" t="s">
        <v>188</v>
      </c>
      <c r="M194" s="19">
        <v>46292.414097222223</v>
      </c>
      <c r="N194" s="19">
        <v>46302.3675</v>
      </c>
      <c r="O194" s="19">
        <v>46302.3675</v>
      </c>
      <c r="P194" s="12" t="s">
        <v>1387</v>
      </c>
      <c r="Q194" s="18" t="s">
        <v>1388</v>
      </c>
      <c r="R194" s="12"/>
      <c r="S194" s="12"/>
    </row>
    <row r="195" spans="1:19" ht="89.25" x14ac:dyDescent="0.25">
      <c r="A195" s="15" t="s">
        <v>1389</v>
      </c>
      <c r="B195" s="16">
        <v>19</v>
      </c>
      <c r="C195" s="12" t="s">
        <v>158</v>
      </c>
      <c r="D195" s="18" t="s">
        <v>1390</v>
      </c>
      <c r="E195" s="18" t="s">
        <v>1391</v>
      </c>
      <c r="F195" s="12" t="s">
        <v>184</v>
      </c>
      <c r="G195" s="12" t="s">
        <v>78</v>
      </c>
      <c r="H195" s="18" t="s">
        <v>1392</v>
      </c>
      <c r="I195" s="18" t="s">
        <v>1393</v>
      </c>
      <c r="J195" s="18" t="s">
        <v>1394</v>
      </c>
      <c r="K195" s="18"/>
      <c r="L195" s="12" t="s">
        <v>188</v>
      </c>
      <c r="M195" s="19">
        <v>46308.595995370371</v>
      </c>
      <c r="N195" s="19">
        <v>46308.595995370371</v>
      </c>
      <c r="O195" s="19">
        <v>46308.595995370371</v>
      </c>
      <c r="P195" s="12" t="s">
        <v>1395</v>
      </c>
      <c r="Q195" s="18" t="s">
        <v>1396</v>
      </c>
      <c r="R195" s="12"/>
      <c r="S195" s="12"/>
    </row>
    <row r="196" spans="1:19" ht="89.25" x14ac:dyDescent="0.25">
      <c r="A196" s="15" t="s">
        <v>1397</v>
      </c>
      <c r="B196" s="16">
        <v>19</v>
      </c>
      <c r="C196" s="12" t="s">
        <v>158</v>
      </c>
      <c r="D196" s="18" t="s">
        <v>1398</v>
      </c>
      <c r="E196" s="18" t="s">
        <v>1399</v>
      </c>
      <c r="F196" s="12" t="s">
        <v>184</v>
      </c>
      <c r="G196" s="12" t="s">
        <v>66</v>
      </c>
      <c r="H196" s="18"/>
      <c r="I196" s="18"/>
      <c r="J196" s="18" t="s">
        <v>1400</v>
      </c>
      <c r="K196" s="18" t="s">
        <v>1389</v>
      </c>
      <c r="L196" s="12" t="s">
        <v>258</v>
      </c>
      <c r="M196" s="19">
        <v>46308.596261574072</v>
      </c>
      <c r="N196" s="19"/>
      <c r="O196" s="19"/>
      <c r="P196" s="12"/>
      <c r="Q196" s="18" t="s">
        <v>1401</v>
      </c>
      <c r="R196" s="12"/>
      <c r="S196" s="12"/>
    </row>
    <row r="197" spans="1:19" ht="76.5" x14ac:dyDescent="0.25">
      <c r="A197" s="15" t="s">
        <v>1402</v>
      </c>
      <c r="B197" s="16">
        <v>19</v>
      </c>
      <c r="C197" s="12" t="s">
        <v>158</v>
      </c>
      <c r="D197" s="18" t="s">
        <v>1403</v>
      </c>
      <c r="E197" s="18" t="s">
        <v>1404</v>
      </c>
      <c r="F197" s="12" t="s">
        <v>184</v>
      </c>
      <c r="G197" s="12" t="s">
        <v>60</v>
      </c>
      <c r="H197" s="18"/>
      <c r="I197" s="18"/>
      <c r="J197" s="18" t="s">
        <v>1400</v>
      </c>
      <c r="K197" s="18" t="s">
        <v>1397</v>
      </c>
      <c r="L197" s="12" t="s">
        <v>268</v>
      </c>
      <c r="M197" s="19"/>
      <c r="N197" s="19"/>
      <c r="O197" s="19"/>
      <c r="P197" s="12"/>
      <c r="Q197" s="18" t="s">
        <v>1405</v>
      </c>
      <c r="R197" s="12"/>
      <c r="S197" s="12"/>
    </row>
    <row r="198" spans="1:19" ht="114.75" x14ac:dyDescent="0.25">
      <c r="A198" s="15" t="s">
        <v>1406</v>
      </c>
      <c r="B198" s="16">
        <v>19</v>
      </c>
      <c r="C198" s="12" t="s">
        <v>158</v>
      </c>
      <c r="D198" s="18" t="s">
        <v>1407</v>
      </c>
      <c r="E198" s="18" t="s">
        <v>1408</v>
      </c>
      <c r="F198" s="12" t="s">
        <v>184</v>
      </c>
      <c r="G198" s="12" t="s">
        <v>78</v>
      </c>
      <c r="H198" s="18" t="s">
        <v>1409</v>
      </c>
      <c r="I198" s="18" t="s">
        <v>1410</v>
      </c>
      <c r="J198" s="18" t="s">
        <v>1411</v>
      </c>
      <c r="K198" s="18"/>
      <c r="L198" s="12" t="s">
        <v>268</v>
      </c>
      <c r="M198" s="19">
        <v>46308.596041666657</v>
      </c>
      <c r="N198" s="19">
        <v>46308.596041666657</v>
      </c>
      <c r="O198" s="19">
        <v>46308.596041666657</v>
      </c>
      <c r="P198" s="12" t="s">
        <v>1395</v>
      </c>
      <c r="Q198" s="18" t="s">
        <v>1412</v>
      </c>
      <c r="R198" s="12"/>
      <c r="S198" s="12"/>
    </row>
    <row r="199" spans="1:19" ht="63.75" x14ac:dyDescent="0.25">
      <c r="A199" s="15" t="s">
        <v>1413</v>
      </c>
      <c r="B199" s="16">
        <v>19</v>
      </c>
      <c r="C199" s="12" t="s">
        <v>158</v>
      </c>
      <c r="D199" s="18" t="s">
        <v>1414</v>
      </c>
      <c r="E199" s="18" t="s">
        <v>1415</v>
      </c>
      <c r="F199" s="12" t="s">
        <v>184</v>
      </c>
      <c r="G199" s="12" t="s">
        <v>63</v>
      </c>
      <c r="H199" s="18" t="s">
        <v>1416</v>
      </c>
      <c r="I199" s="18"/>
      <c r="J199" s="18" t="s">
        <v>1411</v>
      </c>
      <c r="K199" s="18" t="s">
        <v>1402</v>
      </c>
      <c r="L199" s="12" t="s">
        <v>268</v>
      </c>
      <c r="M199" s="19">
        <v>46308.596203703702</v>
      </c>
      <c r="N199" s="19"/>
      <c r="O199" s="19"/>
      <c r="P199" s="12"/>
      <c r="Q199" s="18" t="s">
        <v>1417</v>
      </c>
      <c r="R199" s="12"/>
      <c r="S199" s="12"/>
    </row>
    <row r="200" spans="1:19" ht="114.75" x14ac:dyDescent="0.25">
      <c r="A200" s="15" t="s">
        <v>1418</v>
      </c>
      <c r="B200" s="16">
        <v>19</v>
      </c>
      <c r="C200" s="12" t="s">
        <v>158</v>
      </c>
      <c r="D200" s="18" t="s">
        <v>1419</v>
      </c>
      <c r="E200" s="18" t="s">
        <v>1420</v>
      </c>
      <c r="F200" s="12" t="s">
        <v>184</v>
      </c>
      <c r="G200" s="12" t="s">
        <v>69</v>
      </c>
      <c r="H200" s="18" t="s">
        <v>1421</v>
      </c>
      <c r="I200" s="18" t="s">
        <v>1422</v>
      </c>
      <c r="J200" s="18" t="s">
        <v>1423</v>
      </c>
      <c r="K200" s="18"/>
      <c r="L200" s="12" t="s">
        <v>268</v>
      </c>
      <c r="M200" s="19">
        <v>46308.596099537041</v>
      </c>
      <c r="N200" s="19"/>
      <c r="O200" s="19"/>
      <c r="P200" s="12" t="s">
        <v>1395</v>
      </c>
      <c r="Q200" s="18" t="s">
        <v>1424</v>
      </c>
      <c r="R200" s="12"/>
      <c r="S200" s="12"/>
    </row>
    <row r="201" spans="1:19" ht="89.25" x14ac:dyDescent="0.25">
      <c r="A201" s="15" t="s">
        <v>1425</v>
      </c>
      <c r="B201" s="16">
        <v>19</v>
      </c>
      <c r="C201" s="12" t="s">
        <v>158</v>
      </c>
      <c r="D201" s="18" t="s">
        <v>1426</v>
      </c>
      <c r="E201" s="18" t="s">
        <v>1427</v>
      </c>
      <c r="F201" s="12" t="s">
        <v>184</v>
      </c>
      <c r="G201" s="12" t="s">
        <v>69</v>
      </c>
      <c r="H201" s="18" t="s">
        <v>1428</v>
      </c>
      <c r="I201" s="18" t="s">
        <v>1429</v>
      </c>
      <c r="J201" s="18" t="s">
        <v>1430</v>
      </c>
      <c r="K201" s="18" t="s">
        <v>1402</v>
      </c>
      <c r="L201" s="12" t="s">
        <v>268</v>
      </c>
      <c r="M201" s="19">
        <v>46308.59615740741</v>
      </c>
      <c r="N201" s="19"/>
      <c r="O201" s="19"/>
      <c r="P201" s="12" t="s">
        <v>1431</v>
      </c>
      <c r="Q201" s="18" t="s">
        <v>1432</v>
      </c>
      <c r="R201" s="12"/>
      <c r="S201" s="12"/>
    </row>
    <row r="202" spans="1:19" ht="51" x14ac:dyDescent="0.25">
      <c r="A202" s="15" t="s">
        <v>1433</v>
      </c>
      <c r="B202" s="16">
        <v>19</v>
      </c>
      <c r="C202" s="12" t="s">
        <v>158</v>
      </c>
      <c r="D202" s="18" t="s">
        <v>1434</v>
      </c>
      <c r="E202" s="18" t="s">
        <v>1435</v>
      </c>
      <c r="F202" s="12" t="s">
        <v>199</v>
      </c>
      <c r="G202" s="12" t="s">
        <v>60</v>
      </c>
      <c r="H202" s="18"/>
      <c r="I202" s="18"/>
      <c r="J202" s="18" t="s">
        <v>1430</v>
      </c>
      <c r="K202" s="18" t="s">
        <v>1436</v>
      </c>
      <c r="L202" s="12" t="s">
        <v>188</v>
      </c>
      <c r="M202" s="19"/>
      <c r="N202" s="19"/>
      <c r="O202" s="19"/>
      <c r="P202" s="12"/>
      <c r="Q202" s="18" t="s">
        <v>1437</v>
      </c>
      <c r="R202" s="12"/>
      <c r="S202" s="12"/>
    </row>
    <row r="203" spans="1:19" ht="76.5" x14ac:dyDescent="0.25">
      <c r="A203" s="15" t="s">
        <v>1438</v>
      </c>
      <c r="B203" s="16">
        <v>19</v>
      </c>
      <c r="C203" s="12" t="s">
        <v>158</v>
      </c>
      <c r="D203" s="18" t="s">
        <v>1439</v>
      </c>
      <c r="E203" s="18" t="s">
        <v>1440</v>
      </c>
      <c r="F203" s="12" t="s">
        <v>184</v>
      </c>
      <c r="G203" s="12" t="s">
        <v>60</v>
      </c>
      <c r="H203" s="18"/>
      <c r="I203" s="18"/>
      <c r="J203" s="18" t="s">
        <v>1394</v>
      </c>
      <c r="K203" s="18" t="s">
        <v>1441</v>
      </c>
      <c r="L203" s="12" t="s">
        <v>258</v>
      </c>
      <c r="M203" s="19"/>
      <c r="N203" s="19"/>
      <c r="O203" s="19"/>
      <c r="P203" s="12"/>
      <c r="Q203" s="18" t="s">
        <v>1424</v>
      </c>
      <c r="R203" s="12"/>
      <c r="S203" s="12"/>
    </row>
    <row r="204" spans="1:19" ht="63.75" x14ac:dyDescent="0.25">
      <c r="A204" s="15" t="s">
        <v>1436</v>
      </c>
      <c r="B204" s="16">
        <v>19</v>
      </c>
      <c r="C204" s="12" t="s">
        <v>158</v>
      </c>
      <c r="D204" s="18" t="s">
        <v>1442</v>
      </c>
      <c r="E204" s="18" t="s">
        <v>1443</v>
      </c>
      <c r="F204" s="12" t="s">
        <v>184</v>
      </c>
      <c r="G204" s="12" t="s">
        <v>60</v>
      </c>
      <c r="H204" s="18"/>
      <c r="I204" s="18"/>
      <c r="J204" s="18" t="s">
        <v>1394</v>
      </c>
      <c r="K204" s="18" t="s">
        <v>1438</v>
      </c>
      <c r="L204" s="12" t="s">
        <v>258</v>
      </c>
      <c r="M204" s="19"/>
      <c r="N204" s="19"/>
      <c r="O204" s="19"/>
      <c r="P204" s="12"/>
      <c r="Q204" s="18" t="s">
        <v>1444</v>
      </c>
      <c r="R204" s="12"/>
      <c r="S204" s="12"/>
    </row>
    <row r="205" spans="1:19" ht="51" x14ac:dyDescent="0.25">
      <c r="A205" s="15" t="s">
        <v>1445</v>
      </c>
      <c r="B205" s="16">
        <v>19</v>
      </c>
      <c r="C205" s="12" t="s">
        <v>158</v>
      </c>
      <c r="D205" s="18" t="s">
        <v>1446</v>
      </c>
      <c r="E205" s="18" t="s">
        <v>1447</v>
      </c>
      <c r="F205" s="12" t="s">
        <v>184</v>
      </c>
      <c r="G205" s="12" t="s">
        <v>60</v>
      </c>
      <c r="H205" s="18"/>
      <c r="I205" s="18"/>
      <c r="J205" s="18" t="s">
        <v>1448</v>
      </c>
      <c r="K205" s="18" t="s">
        <v>1436</v>
      </c>
      <c r="L205" s="12" t="s">
        <v>258</v>
      </c>
      <c r="M205" s="19"/>
      <c r="N205" s="19"/>
      <c r="O205" s="19"/>
      <c r="P205" s="12"/>
      <c r="Q205" s="18" t="s">
        <v>1424</v>
      </c>
      <c r="R205" s="12"/>
      <c r="S205" s="12"/>
    </row>
    <row r="206" spans="1:19" ht="63.75" x14ac:dyDescent="0.25">
      <c r="A206" s="15" t="s">
        <v>1449</v>
      </c>
      <c r="B206" s="16">
        <v>19</v>
      </c>
      <c r="C206" s="12" t="s">
        <v>158</v>
      </c>
      <c r="D206" s="18" t="s">
        <v>1450</v>
      </c>
      <c r="E206" s="18" t="s">
        <v>1451</v>
      </c>
      <c r="F206" s="12" t="s">
        <v>199</v>
      </c>
      <c r="G206" s="12" t="s">
        <v>60</v>
      </c>
      <c r="H206" s="18"/>
      <c r="I206" s="18"/>
      <c r="J206" s="18" t="s">
        <v>1394</v>
      </c>
      <c r="K206" s="18" t="s">
        <v>1436</v>
      </c>
      <c r="L206" s="12" t="s">
        <v>188</v>
      </c>
      <c r="M206" s="19"/>
      <c r="N206" s="19"/>
      <c r="O206" s="19"/>
      <c r="P206" s="12"/>
      <c r="Q206" s="18" t="s">
        <v>1452</v>
      </c>
      <c r="R206" s="12"/>
      <c r="S206" s="12"/>
    </row>
    <row r="207" spans="1:19" ht="38.25" x14ac:dyDescent="0.25">
      <c r="A207" s="15" t="s">
        <v>1453</v>
      </c>
      <c r="B207" s="16">
        <v>19</v>
      </c>
      <c r="C207" s="12" t="s">
        <v>158</v>
      </c>
      <c r="D207" s="18" t="s">
        <v>1454</v>
      </c>
      <c r="E207" s="18" t="s">
        <v>1455</v>
      </c>
      <c r="F207" s="12" t="s">
        <v>199</v>
      </c>
      <c r="G207" s="12" t="s">
        <v>60</v>
      </c>
      <c r="H207" s="18"/>
      <c r="I207" s="18"/>
      <c r="J207" s="18" t="s">
        <v>1456</v>
      </c>
      <c r="K207" s="18" t="s">
        <v>1389</v>
      </c>
      <c r="L207" s="12" t="s">
        <v>188</v>
      </c>
      <c r="M207" s="19"/>
      <c r="N207" s="19"/>
      <c r="O207" s="19"/>
      <c r="P207" s="12"/>
      <c r="Q207" s="18" t="s">
        <v>1424</v>
      </c>
      <c r="R207" s="12"/>
      <c r="S207" s="12"/>
    </row>
    <row r="208" spans="1:19" ht="63.75" x14ac:dyDescent="0.25">
      <c r="A208" s="15" t="s">
        <v>1457</v>
      </c>
      <c r="B208" s="16">
        <v>19</v>
      </c>
      <c r="C208" s="12" t="s">
        <v>158</v>
      </c>
      <c r="D208" s="18" t="s">
        <v>1458</v>
      </c>
      <c r="E208" s="18" t="s">
        <v>1459</v>
      </c>
      <c r="F208" s="12" t="s">
        <v>313</v>
      </c>
      <c r="G208" s="12" t="s">
        <v>60</v>
      </c>
      <c r="H208" s="18"/>
      <c r="I208" s="18"/>
      <c r="J208" s="18" t="s">
        <v>1460</v>
      </c>
      <c r="K208" s="18" t="s">
        <v>1436</v>
      </c>
      <c r="L208" s="12" t="s">
        <v>268</v>
      </c>
      <c r="M208" s="19"/>
      <c r="N208" s="19"/>
      <c r="O208" s="19"/>
      <c r="P208" s="12"/>
      <c r="Q208" s="18" t="s">
        <v>1461</v>
      </c>
      <c r="R208" s="12"/>
      <c r="S208" s="12"/>
    </row>
    <row r="209" spans="1:19" ht="51" x14ac:dyDescent="0.25">
      <c r="A209" s="15" t="s">
        <v>1462</v>
      </c>
      <c r="B209" s="16">
        <v>19</v>
      </c>
      <c r="C209" s="12" t="s">
        <v>158</v>
      </c>
      <c r="D209" s="18" t="s">
        <v>1463</v>
      </c>
      <c r="E209" s="18" t="s">
        <v>1464</v>
      </c>
      <c r="F209" s="12" t="s">
        <v>313</v>
      </c>
      <c r="G209" s="12" t="s">
        <v>60</v>
      </c>
      <c r="H209" s="18"/>
      <c r="I209" s="18"/>
      <c r="J209" s="18" t="s">
        <v>1430</v>
      </c>
      <c r="K209" s="18" t="s">
        <v>1436</v>
      </c>
      <c r="L209" s="12" t="s">
        <v>188</v>
      </c>
      <c r="M209" s="19"/>
      <c r="N209" s="19"/>
      <c r="O209" s="19"/>
      <c r="P209" s="12"/>
      <c r="Q209" s="18" t="s">
        <v>1465</v>
      </c>
      <c r="R209" s="12"/>
      <c r="S209" s="12"/>
    </row>
    <row r="210" spans="1:19" ht="51" x14ac:dyDescent="0.25">
      <c r="A210" s="15" t="s">
        <v>1466</v>
      </c>
      <c r="B210" s="16">
        <v>19</v>
      </c>
      <c r="C210" s="12" t="s">
        <v>158</v>
      </c>
      <c r="D210" s="18" t="s">
        <v>1467</v>
      </c>
      <c r="E210" s="18" t="s">
        <v>1468</v>
      </c>
      <c r="F210" s="12" t="s">
        <v>313</v>
      </c>
      <c r="G210" s="12" t="s">
        <v>60</v>
      </c>
      <c r="H210" s="18"/>
      <c r="I210" s="18"/>
      <c r="J210" s="18" t="s">
        <v>1469</v>
      </c>
      <c r="K210" s="18" t="s">
        <v>1436</v>
      </c>
      <c r="L210" s="12" t="s">
        <v>188</v>
      </c>
      <c r="M210" s="19"/>
      <c r="N210" s="19"/>
      <c r="O210" s="19"/>
      <c r="P210" s="12"/>
      <c r="Q210" s="18" t="s">
        <v>1470</v>
      </c>
      <c r="R210" s="12"/>
      <c r="S210" s="12"/>
    </row>
    <row r="211" spans="1:19" ht="38.25" x14ac:dyDescent="0.25">
      <c r="A211" s="15" t="s">
        <v>1471</v>
      </c>
      <c r="B211" s="16">
        <v>19</v>
      </c>
      <c r="C211" s="12" t="s">
        <v>158</v>
      </c>
      <c r="D211" s="18" t="s">
        <v>1472</v>
      </c>
      <c r="E211" s="18" t="s">
        <v>1473</v>
      </c>
      <c r="F211" s="12" t="s">
        <v>313</v>
      </c>
      <c r="G211" s="12" t="s">
        <v>60</v>
      </c>
      <c r="H211" s="18"/>
      <c r="I211" s="18"/>
      <c r="J211" s="18" t="s">
        <v>1474</v>
      </c>
      <c r="K211" s="18" t="s">
        <v>1436</v>
      </c>
      <c r="L211" s="12" t="s">
        <v>268</v>
      </c>
      <c r="M211" s="19"/>
      <c r="N211" s="19"/>
      <c r="O211" s="19"/>
      <c r="P211" s="12"/>
      <c r="Q211" s="18" t="s">
        <v>1465</v>
      </c>
      <c r="R211" s="12"/>
      <c r="S211" s="12"/>
    </row>
    <row r="212" spans="1:19" ht="38.25" x14ac:dyDescent="0.25">
      <c r="A212" s="15" t="s">
        <v>1475</v>
      </c>
      <c r="B212" s="16">
        <v>19</v>
      </c>
      <c r="C212" s="12" t="s">
        <v>158</v>
      </c>
      <c r="D212" s="18" t="s">
        <v>1476</v>
      </c>
      <c r="E212" s="18" t="s">
        <v>1477</v>
      </c>
      <c r="F212" s="12" t="s">
        <v>313</v>
      </c>
      <c r="G212" s="12" t="s">
        <v>60</v>
      </c>
      <c r="H212" s="18"/>
      <c r="I212" s="18"/>
      <c r="J212" s="18" t="s">
        <v>1478</v>
      </c>
      <c r="K212" s="18" t="s">
        <v>1436</v>
      </c>
      <c r="L212" s="12" t="s">
        <v>268</v>
      </c>
      <c r="M212" s="19"/>
      <c r="N212" s="19"/>
      <c r="O212" s="19"/>
      <c r="P212" s="12"/>
      <c r="Q212" s="18" t="s">
        <v>1479</v>
      </c>
      <c r="R212" s="12"/>
      <c r="S212" s="12"/>
    </row>
    <row r="213" spans="1:19" ht="51" x14ac:dyDescent="0.25">
      <c r="A213" s="15" t="s">
        <v>1480</v>
      </c>
      <c r="B213" s="16">
        <v>19</v>
      </c>
      <c r="C213" s="12" t="s">
        <v>158</v>
      </c>
      <c r="D213" s="18" t="s">
        <v>1481</v>
      </c>
      <c r="E213" s="18" t="s">
        <v>1482</v>
      </c>
      <c r="F213" s="12" t="s">
        <v>199</v>
      </c>
      <c r="G213" s="12" t="s">
        <v>60</v>
      </c>
      <c r="H213" s="18"/>
      <c r="I213" s="18"/>
      <c r="J213" s="18" t="s">
        <v>1394</v>
      </c>
      <c r="K213" s="18" t="s">
        <v>1436</v>
      </c>
      <c r="L213" s="12" t="s">
        <v>188</v>
      </c>
      <c r="M213" s="19"/>
      <c r="N213" s="19"/>
      <c r="O213" s="19"/>
      <c r="P213" s="12"/>
      <c r="Q213" s="18" t="s">
        <v>1483</v>
      </c>
      <c r="R213" s="12"/>
      <c r="S213" s="12"/>
    </row>
    <row r="214" spans="1:19" ht="63.75" x14ac:dyDescent="0.25">
      <c r="A214" s="15" t="s">
        <v>1484</v>
      </c>
      <c r="B214" s="16">
        <v>19</v>
      </c>
      <c r="C214" s="12" t="s">
        <v>158</v>
      </c>
      <c r="D214" s="18" t="s">
        <v>1485</v>
      </c>
      <c r="E214" s="18" t="s">
        <v>1486</v>
      </c>
      <c r="F214" s="12" t="s">
        <v>199</v>
      </c>
      <c r="G214" s="12" t="s">
        <v>60</v>
      </c>
      <c r="H214" s="18"/>
      <c r="I214" s="18"/>
      <c r="J214" s="18" t="s">
        <v>1411</v>
      </c>
      <c r="K214" s="18" t="s">
        <v>1406</v>
      </c>
      <c r="L214" s="12" t="s">
        <v>188</v>
      </c>
      <c r="M214" s="19"/>
      <c r="N214" s="19"/>
      <c r="O214" s="19"/>
      <c r="P214" s="12"/>
      <c r="Q214" s="18" t="s">
        <v>1487</v>
      </c>
      <c r="R214" s="12"/>
      <c r="S214" s="12"/>
    </row>
  </sheetData>
  <autoFilter ref="A1:S214" xr:uid="{00000000-0009-0000-0000-000001000000}"/>
  <conditionalFormatting sqref="F2:F2000">
    <cfRule type="cellIs" dxfId="345" priority="10" operator="equal">
      <formula>"P0"</formula>
    </cfRule>
    <cfRule type="cellIs" dxfId="344" priority="11" operator="equal">
      <formula>"P1"</formula>
    </cfRule>
  </conditionalFormatting>
  <conditionalFormatting sqref="G2:G2000">
    <cfRule type="cellIs" dxfId="343" priority="1" operator="equal">
      <formula>"IN_PROGRESS"</formula>
    </cfRule>
    <cfRule type="cellIs" dxfId="342" priority="2" operator="equal">
      <formula>"BLOCKED"</formula>
    </cfRule>
    <cfRule type="cellIs" dxfId="341" priority="3" operator="equal">
      <formula>"IMPLEMENTED"</formula>
    </cfRule>
    <cfRule type="cellIs" dxfId="340" priority="4" operator="equal">
      <formula>"TESTING"</formula>
    </cfRule>
    <cfRule type="cellIs" dxfId="339" priority="5" operator="equal">
      <formula>"VERIFIED"</formula>
    </cfRule>
    <cfRule type="cellIs" dxfId="338" priority="6" operator="equal">
      <formula>"DONE"</formula>
    </cfRule>
    <cfRule type="cellIs" dxfId="337" priority="7" operator="equal">
      <formula>"FAILED"</formula>
    </cfRule>
    <cfRule type="cellIs" dxfId="336" priority="8" operator="equal">
      <formula>"DEFERRED"</formula>
    </cfRule>
    <cfRule type="cellIs" dxfId="33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"CORE,FIDELITY,REVIEW,DOCX,PDF,EDITOR,FORMATTING,HEALTH,AI,SECURITY,ACCOUNT,PERFORMANCE,TESTING,PRODUCT,TRANSLATION,FONT,P2E,BILLING,INFRA,JOBS,STORAGE,OBSERVABILITY,DOCS,RELEASE"</formula1>
    </dataValidation>
    <dataValidation type="whole" allowBlank="1" showErrorMessage="1" errorTitle="Invalid phase" error="Phase is a whole number 0-19." sqref="B2:B2000" xr:uid="{00000000-0002-0000-0100-000004000000}">
      <formula1>0</formula1>
      <formula2>19</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2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1488</v>
      </c>
    </row>
    <row r="2" spans="1:10" x14ac:dyDescent="0.25">
      <c r="A2" s="4" t="s">
        <v>1489</v>
      </c>
    </row>
    <row r="3" spans="1:10" x14ac:dyDescent="0.25">
      <c r="A3" s="6" t="s">
        <v>1490</v>
      </c>
      <c r="B3" s="6" t="s">
        <v>1491</v>
      </c>
      <c r="C3" s="6" t="s">
        <v>13</v>
      </c>
      <c r="D3" s="6" t="s">
        <v>16</v>
      </c>
      <c r="E3" s="6" t="s">
        <v>1492</v>
      </c>
      <c r="F3" s="6" t="s">
        <v>1493</v>
      </c>
      <c r="G3" s="6" t="s">
        <v>1494</v>
      </c>
      <c r="H3" s="6" t="s">
        <v>36</v>
      </c>
    </row>
    <row r="4" spans="1:10" x14ac:dyDescent="0.25">
      <c r="A4" s="7">
        <f>COUNTA(A8:A27)</f>
        <v>20</v>
      </c>
      <c r="B4" s="7">
        <f>COUNTIF(B8:B27,"RESOLVED")</f>
        <v>19</v>
      </c>
      <c r="C4" s="7">
        <f>COUNTIF(B8:B27,"IN_PROGRESS")</f>
        <v>0</v>
      </c>
      <c r="D4" s="7">
        <f>COUNTIF(B8:B27,"BLOCKED")</f>
        <v>1</v>
      </c>
      <c r="E4" s="7">
        <f>COUNTIF(B8:B27,"OPEN")</f>
        <v>0</v>
      </c>
      <c r="F4" s="7">
        <f>COUNTIF(MASTER!$F$2:$F$2000,"P0")</f>
        <v>95</v>
      </c>
      <c r="G4" s="7">
        <f>COUNTIFS(MASTER!$F$2:$F$2000,"P0",MASTER!$G$2:$G$2000,"DONE")</f>
        <v>87</v>
      </c>
      <c r="H4" s="7">
        <f>F4-G4</f>
        <v>8</v>
      </c>
    </row>
    <row r="6" spans="1:10" ht="15.75" x14ac:dyDescent="0.25">
      <c r="A6" s="5" t="s">
        <v>1495</v>
      </c>
    </row>
    <row r="7" spans="1:10" x14ac:dyDescent="0.25">
      <c r="A7" s="10" t="s">
        <v>1496</v>
      </c>
      <c r="B7" s="10" t="s">
        <v>57</v>
      </c>
      <c r="C7" s="10" t="s">
        <v>1497</v>
      </c>
      <c r="D7" s="10" t="s">
        <v>1498</v>
      </c>
      <c r="E7" s="10" t="s">
        <v>45</v>
      </c>
      <c r="F7" s="10" t="s">
        <v>46</v>
      </c>
      <c r="G7" s="10" t="s">
        <v>1499</v>
      </c>
      <c r="H7" s="10" t="s">
        <v>1500</v>
      </c>
      <c r="I7" s="10" t="s">
        <v>1501</v>
      </c>
      <c r="J7" s="10" t="s">
        <v>178</v>
      </c>
    </row>
    <row r="8" spans="1:10" ht="25.5" x14ac:dyDescent="0.25">
      <c r="A8" s="15" t="s">
        <v>269</v>
      </c>
      <c r="B8" s="12" t="str">
        <f t="shared" ref="B8:B27" si="0">IF(E8=0,"OPEN",IF(F8=E8,"RESOLVED",IF(I8&gt;0,"BLOCKED",IF(H8+F8&gt;0,"IN_PROGRESS","OPEN"))))</f>
        <v>RESOLVED</v>
      </c>
      <c r="C8" s="14">
        <f t="shared" ref="C8:C27" si="1">IF(E8=0,0,F8/E8)</f>
        <v>1</v>
      </c>
      <c r="D8" s="18" t="s">
        <v>1502</v>
      </c>
      <c r="E8" s="16">
        <f t="shared" ref="E8:E27" si="2">IF(LEN(SUBSTITUTE($G8," ",""))=0,0,LEN(SUBSTITUTE($G8," ",""))-LEN(SUBSTITUTE(SUBSTITUTE($G8," ",""),",",""))+1)</f>
        <v>5</v>
      </c>
      <c r="F8" s="16">
        <f>SUMPRODUCT(ISNUMBER(SEARCH(","&amp;MASTER!$A$2:$A$2000&amp;",",","&amp;SUBSTITUTE($G8," ","")&amp;","))*((MASTER!$G$2:$G$2000="DONE")))</f>
        <v>5</v>
      </c>
      <c r="G8" s="18" t="s">
        <v>1503</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420</v>
      </c>
      <c r="B9" s="12" t="str">
        <f t="shared" si="0"/>
        <v>RESOLVED</v>
      </c>
      <c r="C9" s="14">
        <f t="shared" si="1"/>
        <v>1</v>
      </c>
      <c r="D9" s="18" t="s">
        <v>1504</v>
      </c>
      <c r="E9" s="16">
        <f t="shared" si="2"/>
        <v>4</v>
      </c>
      <c r="F9" s="16">
        <f>SUMPRODUCT(ISNUMBER(SEARCH(","&amp;MASTER!$A$2:$A$2000&amp;",",","&amp;SUBSTITUTE($G9," ","")&amp;","))*((MASTER!$G$2:$G$2000="DONE")))</f>
        <v>4</v>
      </c>
      <c r="G9" s="18" t="s">
        <v>1505</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1506</v>
      </c>
    </row>
    <row r="10" spans="1:10" ht="25.5" x14ac:dyDescent="0.25">
      <c r="A10" s="15" t="s">
        <v>303</v>
      </c>
      <c r="B10" s="12" t="str">
        <f t="shared" si="0"/>
        <v>RESOLVED</v>
      </c>
      <c r="C10" s="14">
        <f t="shared" si="1"/>
        <v>1</v>
      </c>
      <c r="D10" s="18" t="s">
        <v>1507</v>
      </c>
      <c r="E10" s="16">
        <f t="shared" si="2"/>
        <v>5</v>
      </c>
      <c r="F10" s="16">
        <f>SUMPRODUCT(ISNUMBER(SEARCH(","&amp;MASTER!$A$2:$A$2000&amp;",",","&amp;SUBSTITUTE($G10," ","")&amp;","))*((MASTER!$G$2:$G$2000="DONE")))</f>
        <v>5</v>
      </c>
      <c r="G10" s="18" t="s">
        <v>1508</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547</v>
      </c>
      <c r="B11" s="12" t="str">
        <f t="shared" si="0"/>
        <v>RESOLVED</v>
      </c>
      <c r="C11" s="14">
        <f t="shared" si="1"/>
        <v>1</v>
      </c>
      <c r="D11" s="18" t="s">
        <v>1509</v>
      </c>
      <c r="E11" s="16">
        <f t="shared" si="2"/>
        <v>1</v>
      </c>
      <c r="F11" s="16">
        <f>SUMPRODUCT(ISNUMBER(SEARCH(","&amp;MASTER!$A$2:$A$2000&amp;",",","&amp;SUBSTITUTE($G11," ","")&amp;","))*((MASTER!$G$2:$G$2000="DONE")))</f>
        <v>1</v>
      </c>
      <c r="G11" s="18" t="s">
        <v>540</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1510</v>
      </c>
    </row>
    <row r="12" spans="1:10" ht="63.75" x14ac:dyDescent="0.25">
      <c r="A12" s="15" t="s">
        <v>443</v>
      </c>
      <c r="B12" s="12" t="str">
        <f t="shared" si="0"/>
        <v>RESOLVED</v>
      </c>
      <c r="C12" s="14">
        <f t="shared" si="1"/>
        <v>1</v>
      </c>
      <c r="D12" s="18" t="s">
        <v>1511</v>
      </c>
      <c r="E12" s="16">
        <f t="shared" si="2"/>
        <v>4</v>
      </c>
      <c r="F12" s="16">
        <f>SUMPRODUCT(ISNUMBER(SEARCH(","&amp;MASTER!$A$2:$A$2000&amp;",",","&amp;SUBSTITUTE($G12," ","")&amp;","))*((MASTER!$G$2:$G$2000="DONE")))</f>
        <v>4</v>
      </c>
      <c r="G12" s="18" t="s">
        <v>1512</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1513</v>
      </c>
    </row>
    <row r="13" spans="1:10" ht="25.5" x14ac:dyDescent="0.25">
      <c r="A13" s="15" t="s">
        <v>653</v>
      </c>
      <c r="B13" s="12" t="str">
        <f t="shared" si="0"/>
        <v>RESOLVED</v>
      </c>
      <c r="C13" s="14">
        <f t="shared" si="1"/>
        <v>1</v>
      </c>
      <c r="D13" s="18" t="s">
        <v>1514</v>
      </c>
      <c r="E13" s="16">
        <f t="shared" si="2"/>
        <v>3</v>
      </c>
      <c r="F13" s="16">
        <f>SUMPRODUCT(ISNUMBER(SEARCH(","&amp;MASTER!$A$2:$A$2000&amp;",",","&amp;SUBSTITUTE($G13," ","")&amp;","))*((MASTER!$G$2:$G$2000="DONE")))</f>
        <v>3</v>
      </c>
      <c r="G13" s="18" t="s">
        <v>1515</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309</v>
      </c>
      <c r="B14" s="12" t="str">
        <f t="shared" si="0"/>
        <v>RESOLVED</v>
      </c>
      <c r="C14" s="14">
        <f t="shared" si="1"/>
        <v>1</v>
      </c>
      <c r="D14" s="18" t="s">
        <v>1516</v>
      </c>
      <c r="E14" s="16">
        <f t="shared" si="2"/>
        <v>1</v>
      </c>
      <c r="F14" s="16">
        <f>SUMPRODUCT(ISNUMBER(SEARCH(","&amp;MASTER!$A$2:$A$2000&amp;",",","&amp;SUBSTITUTE($G14," ","")&amp;","))*((MASTER!$G$2:$G$2000="DONE")))</f>
        <v>1</v>
      </c>
      <c r="G14" s="18" t="s">
        <v>588</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323</v>
      </c>
      <c r="B15" s="12" t="str">
        <f t="shared" si="0"/>
        <v>RESOLVED</v>
      </c>
      <c r="C15" s="14">
        <f t="shared" si="1"/>
        <v>1</v>
      </c>
      <c r="D15" s="18" t="s">
        <v>1517</v>
      </c>
      <c r="E15" s="16">
        <f t="shared" si="2"/>
        <v>1</v>
      </c>
      <c r="F15" s="16">
        <f>SUMPRODUCT(ISNUMBER(SEARCH(","&amp;MASTER!$A$2:$A$2000&amp;",",","&amp;SUBSTITUTE($G15," ","")&amp;","))*((MASTER!$G$2:$G$2000="DONE")))</f>
        <v>1</v>
      </c>
      <c r="G15" s="18" t="s">
        <v>568</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813</v>
      </c>
      <c r="B16" s="12" t="str">
        <f t="shared" si="0"/>
        <v>RESOLVED</v>
      </c>
      <c r="C16" s="14">
        <f t="shared" si="1"/>
        <v>1</v>
      </c>
      <c r="D16" s="18" t="s">
        <v>1518</v>
      </c>
      <c r="E16" s="16">
        <f t="shared" si="2"/>
        <v>2</v>
      </c>
      <c r="F16" s="16">
        <f>SUMPRODUCT(ISNUMBER(SEARCH(","&amp;MASTER!$A$2:$A$2000&amp;",",","&amp;SUBSTITUTE($G16," ","")&amp;","))*((MASTER!$G$2:$G$2000="DONE")))</f>
        <v>2</v>
      </c>
      <c r="G16" s="18" t="s">
        <v>1519</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896</v>
      </c>
      <c r="B17" s="12" t="str">
        <f t="shared" si="0"/>
        <v>RESOLVED</v>
      </c>
      <c r="C17" s="14">
        <f t="shared" si="1"/>
        <v>1</v>
      </c>
      <c r="D17" s="18" t="s">
        <v>1520</v>
      </c>
      <c r="E17" s="16">
        <f t="shared" si="2"/>
        <v>1</v>
      </c>
      <c r="F17" s="16">
        <f>SUMPRODUCT(ISNUMBER(SEARCH(","&amp;MASTER!$A$2:$A$2000&amp;",",","&amp;SUBSTITUTE($G17," ","")&amp;","))*((MASTER!$G$2:$G$2000="DONE")))</f>
        <v>1</v>
      </c>
      <c r="G17" s="18" t="s">
        <v>889</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998</v>
      </c>
      <c r="B18" s="12" t="str">
        <f t="shared" si="0"/>
        <v>RESOLVED</v>
      </c>
      <c r="C18" s="14">
        <f t="shared" si="1"/>
        <v>1</v>
      </c>
      <c r="D18" s="18" t="s">
        <v>1521</v>
      </c>
      <c r="E18" s="16">
        <f t="shared" si="2"/>
        <v>1</v>
      </c>
      <c r="F18" s="16">
        <f>SUMPRODUCT(ISNUMBER(SEARCH(","&amp;MASTER!$A$2:$A$2000&amp;",",","&amp;SUBSTITUTE($G18," ","")&amp;","))*((MASTER!$G$2:$G$2000="DONE")))</f>
        <v>1</v>
      </c>
      <c r="G18" s="18" t="s">
        <v>1004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799</v>
      </c>
      <c r="B19" s="12" t="str">
        <f t="shared" si="0"/>
        <v>RESOLVED</v>
      </c>
      <c r="C19" s="14">
        <f t="shared" si="1"/>
        <v>1</v>
      </c>
      <c r="D19" s="18" t="s">
        <v>1522</v>
      </c>
      <c r="E19" s="16">
        <f t="shared" si="2"/>
        <v>2</v>
      </c>
      <c r="F19" s="16">
        <f>SUMPRODUCT(ISNUMBER(SEARCH(","&amp;MASTER!$A$2:$A$2000&amp;",",","&amp;SUBSTITUTE($G19," ","")&amp;","))*((MASTER!$G$2:$G$2000="DONE")))</f>
        <v>2</v>
      </c>
      <c r="G19" s="18" t="s">
        <v>1523</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827</v>
      </c>
      <c r="B20" s="12" t="str">
        <f t="shared" si="0"/>
        <v>RESOLVED</v>
      </c>
      <c r="C20" s="14">
        <f t="shared" si="1"/>
        <v>1</v>
      </c>
      <c r="D20" s="18" t="s">
        <v>1524</v>
      </c>
      <c r="E20" s="16">
        <f t="shared" si="2"/>
        <v>3</v>
      </c>
      <c r="F20" s="16">
        <f>SUMPRODUCT(ISNUMBER(SEARCH(","&amp;MASTER!$A$2:$A$2000&amp;",",","&amp;SUBSTITUTE($G20," ","")&amp;","))*((MASTER!$G$2:$G$2000="DONE")))</f>
        <v>3</v>
      </c>
      <c r="G20" s="18" t="s">
        <v>1525</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954</v>
      </c>
      <c r="B21" s="12" t="str">
        <f t="shared" si="0"/>
        <v>RESOLVED</v>
      </c>
      <c r="C21" s="14">
        <f t="shared" si="1"/>
        <v>1</v>
      </c>
      <c r="D21" s="18" t="s">
        <v>1526</v>
      </c>
      <c r="E21" s="16">
        <f t="shared" si="2"/>
        <v>4</v>
      </c>
      <c r="F21" s="16">
        <f>SUMPRODUCT(ISNUMBER(SEARCH(","&amp;MASTER!$A$2:$A$2000&amp;",",","&amp;SUBSTITUTE($G21," ","")&amp;","))*((MASTER!$G$2:$G$2000="DONE")))</f>
        <v>4</v>
      </c>
      <c r="G21" s="18" t="s">
        <v>1527</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1326</v>
      </c>
      <c r="B22" s="12" t="str">
        <f t="shared" si="0"/>
        <v>BLOCKED</v>
      </c>
      <c r="C22" s="14">
        <f t="shared" si="1"/>
        <v>0.66666666666666663</v>
      </c>
      <c r="D22" s="18" t="s">
        <v>1528</v>
      </c>
      <c r="E22" s="16">
        <f t="shared" si="2"/>
        <v>3</v>
      </c>
      <c r="F22" s="16">
        <f>SUMPRODUCT(ISNUMBER(SEARCH(","&amp;MASTER!$A$2:$A$2000&amp;",",","&amp;SUBSTITUTE($G22," ","")&amp;","))*((MASTER!$G$2:$G$2000="DONE")))</f>
        <v>2</v>
      </c>
      <c r="G22" s="18" t="s">
        <v>1529</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340</v>
      </c>
      <c r="B23" s="12" t="str">
        <f t="shared" si="0"/>
        <v>RESOLVED</v>
      </c>
      <c r="C23" s="14">
        <f t="shared" si="1"/>
        <v>1</v>
      </c>
      <c r="D23" s="18" t="s">
        <v>1530</v>
      </c>
      <c r="E23" s="16">
        <f t="shared" si="2"/>
        <v>2</v>
      </c>
      <c r="F23" s="16">
        <f>SUMPRODUCT(ISNUMBER(SEARCH(","&amp;MASTER!$A$2:$A$2000&amp;",",","&amp;SUBSTITUTE($G23," ","")&amp;","))*((MASTER!$G$2:$G$2000="DONE")))</f>
        <v>2</v>
      </c>
      <c r="G23" s="18" t="s">
        <v>1531</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1174</v>
      </c>
      <c r="B24" s="12" t="str">
        <f t="shared" si="0"/>
        <v>RESOLVED</v>
      </c>
      <c r="C24" s="14">
        <f t="shared" si="1"/>
        <v>1</v>
      </c>
      <c r="D24" s="18" t="s">
        <v>1532</v>
      </c>
      <c r="E24" s="16">
        <f t="shared" si="2"/>
        <v>2</v>
      </c>
      <c r="F24" s="16">
        <f>SUMPRODUCT(ISNUMBER(SEARCH(","&amp;MASTER!$A$2:$A$2000&amp;",",","&amp;SUBSTITUTE($G24," ","")&amp;","))*((MASTER!$G$2:$G$2000="DONE")))</f>
        <v>2</v>
      </c>
      <c r="G24" s="18" t="s">
        <v>1533</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638</v>
      </c>
      <c r="B25" s="12" t="str">
        <f t="shared" si="0"/>
        <v>RESOLVED</v>
      </c>
      <c r="C25" s="14">
        <f t="shared" si="1"/>
        <v>1</v>
      </c>
      <c r="D25" s="18" t="s">
        <v>1534</v>
      </c>
      <c r="E25" s="16">
        <f t="shared" si="2"/>
        <v>2</v>
      </c>
      <c r="F25" s="16">
        <f>SUMPRODUCT(ISNUMBER(SEARCH(","&amp;MASTER!$A$2:$A$2000&amp;",",","&amp;SUBSTITUTE($G25," ","")&amp;","))*((MASTER!$G$2:$G$2000="DONE")))</f>
        <v>2</v>
      </c>
      <c r="G25" s="18" t="s">
        <v>1535</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1536</v>
      </c>
    </row>
    <row r="26" spans="1:12" ht="25.5" x14ac:dyDescent="0.25">
      <c r="A26" s="15" t="s">
        <v>1537</v>
      </c>
      <c r="B26" s="12" t="str">
        <f t="shared" si="0"/>
        <v>RESOLVED</v>
      </c>
      <c r="C26" s="14">
        <f t="shared" si="1"/>
        <v>1</v>
      </c>
      <c r="D26" s="18" t="s">
        <v>1538</v>
      </c>
      <c r="E26" s="16">
        <f t="shared" si="2"/>
        <v>4</v>
      </c>
      <c r="F26" s="16">
        <f>SUMPRODUCT(ISNUMBER(SEARCH(","&amp;MASTER!$A$2:$A$2000&amp;",",","&amp;SUBSTITUTE($G26," ","")&amp;","))*((MASTER!$G$2:$G$2000="DONE")))</f>
        <v>4</v>
      </c>
      <c r="G26" s="18" t="s">
        <v>1539</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392</v>
      </c>
      <c r="B27" s="12" t="str">
        <f t="shared" si="0"/>
        <v>RESOLVED</v>
      </c>
      <c r="C27" s="14">
        <f t="shared" si="1"/>
        <v>1</v>
      </c>
      <c r="D27" s="18" t="s">
        <v>1540</v>
      </c>
      <c r="E27" s="16">
        <f t="shared" si="2"/>
        <v>3</v>
      </c>
      <c r="F27" s="16">
        <f>SUMPRODUCT(ISNUMBER(SEARCH(","&amp;MASTER!$A$2:$A$2000&amp;",",","&amp;SUBSTITUTE($G27," ","")&amp;","))*((MASTER!$G$2:$G$2000="DONE")))</f>
        <v>3</v>
      </c>
      <c r="G27" s="18" t="s">
        <v>1541</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1542</v>
      </c>
    </row>
    <row r="31" spans="1:12" x14ac:dyDescent="0.25">
      <c r="A31" s="10" t="s">
        <v>166</v>
      </c>
      <c r="B31" s="10" t="s">
        <v>100</v>
      </c>
      <c r="C31" s="10" t="s">
        <v>43</v>
      </c>
      <c r="D31" s="10" t="s">
        <v>167</v>
      </c>
      <c r="E31" s="10" t="s">
        <v>169</v>
      </c>
      <c r="F31" s="10" t="s">
        <v>57</v>
      </c>
      <c r="G31" s="10" t="s">
        <v>170</v>
      </c>
      <c r="H31" s="10" t="s">
        <v>171</v>
      </c>
      <c r="I31" s="10" t="s">
        <v>15</v>
      </c>
      <c r="J31" s="10" t="s">
        <v>177</v>
      </c>
      <c r="K31" s="10" t="s">
        <v>178</v>
      </c>
      <c r="L31" s="10" t="s">
        <v>179</v>
      </c>
    </row>
    <row r="32" spans="1:12" x14ac:dyDescent="0.25">
      <c r="A32" s="15" t="s">
        <v>181</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190</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203</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209</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215</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221</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246</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252</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262</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270</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276</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282</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285</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288</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292</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330</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341</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347</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352</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358</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367</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374</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379</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393</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412</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421</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427</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432</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437</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444</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451</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468</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477</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486</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492</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499</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514</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540</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568</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588</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688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696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704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711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718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731</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743</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768</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793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800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806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820</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828</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864</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877</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889</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948</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955</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962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968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974</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991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1004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1022</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1029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1038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1045</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1066</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1089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1125</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1133</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1136</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1147</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1151</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1157</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1163</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1166</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1175</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1179</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1193</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1234</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1241</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1342</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1349</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1375</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row r="117" spans="1:12" x14ac:dyDescent="0.25">
      <c r="A117" s="15" t="s">
        <v>1389</v>
      </c>
      <c r="B117" s="12" t="str">
        <f>IFERROR(INDEX(MASTER!$C$2:$C$2000,MATCH($A117,MASTER!$A$2:$A$2000,0))&amp;"","")</f>
        <v>RELEASE</v>
      </c>
      <c r="C117" s="16">
        <f>IFERROR(INDEX(MASTER!$B$2:$B$2000,MATCH($A117,MASTER!$A$2:$A$2000,0)),"")</f>
        <v>19</v>
      </c>
      <c r="D117" s="12" t="str">
        <f>IFERROR(INDEX(MASTER!$D$2:$D$2000,MATCH($A117,MASTER!$A$2:$A$2000,0))&amp;"","")</f>
        <v>Release scope and feature freeze</v>
      </c>
      <c r="E117" s="12" t="str">
        <f>IFERROR(INDEX(MASTER!$F$2:$F$2000,MATCH($A117,MASTER!$A$2:$A$2000,0))&amp;"","")</f>
        <v>P0</v>
      </c>
      <c r="F117" s="12" t="str">
        <f>IFERROR(INDEX(MASTER!$G$2:$G$2000,MATCH($A117,MASTER!$A$2:$A$2000,0))&amp;"","NOT IN MASTER")</f>
        <v>DONE</v>
      </c>
      <c r="G117" s="12" t="str">
        <f>IFERROR(INDEX(MASTER!$H$2:$H$2000,MATCH($A117,MASTER!$A$2:$A$2000,0))&amp;"","")</f>
        <v>Scope agreed with the owner in chat on 2026-10-13 (Vercel Hobby; billing off; no e-mail domain; uploads/downloads under 4.5 MB) and written down in docs/deployment/vercel.md 'Limits of this release'.</v>
      </c>
      <c r="H117" s="12" t="str">
        <f>IFERROR(INDEX(MASTER!$I$2:$I$2000,MATCH($A117,MASTER!$A$2:$A$2000,0))&amp;"","")</f>
        <v>Owner's answers recorded 2026-10-13; docs/deployment/vercel.md committed in 68a89a9.</v>
      </c>
      <c r="I117" s="19">
        <f>IFERROR(IF(INDEX(MASTER!$O$2:$O$2000,MATCH($A117,MASTER!$A$2:$A$2000,0))="","",INDEX(MASTER!$O$2:$O$2000,MATCH($A117,MASTER!$A$2:$A$2000,0))),"")</f>
        <v>46308.595995370371</v>
      </c>
      <c r="J117" s="12" t="str">
        <f>IFERROR(INDEX(MASTER!$P$2:$P$2000,MATCH($A117,MASTER!$A$2:$A$2000,0))&amp;"","")</f>
        <v>68a89a9</v>
      </c>
      <c r="K117" s="12" t="str">
        <f>IFERROR(INDEX(MASTER!$Q$2:$Q$2000,MATCH($A117,MASTER!$A$2:$A$2000,0))&amp;"","")</f>
        <v>Mandatory before launch: yes. Owner approved: Vercel Hobby, billing off, no e-mail domain, 4.5 MB limit (2026-10-13).</v>
      </c>
      <c r="L117" s="12" t="str">
        <f>IFERROR(INDEX(MASTER!$R$2:$R$2000,MATCH($A117,MASTER!$A$2:$A$2000,0))&amp;"","")</f>
        <v/>
      </c>
    </row>
    <row r="118" spans="1:12" x14ac:dyDescent="0.25">
      <c r="A118" s="15" t="s">
        <v>1397</v>
      </c>
      <c r="B118" s="12" t="str">
        <f>IFERROR(INDEX(MASTER!$C$2:$C$2000,MATCH($A118,MASTER!$A$2:$A$2000,0))&amp;"","")</f>
        <v>RELEASE</v>
      </c>
      <c r="C118" s="16">
        <f>IFERROR(INDEX(MASTER!$B$2:$B$2000,MATCH($A118,MASTER!$A$2:$A$2000,0)),"")</f>
        <v>19</v>
      </c>
      <c r="D118" s="12" t="str">
        <f>IFERROR(INDEX(MASTER!$D$2:$D$2000,MATCH($A118,MASTER!$A$2:$A$2000,0))&amp;"","")</f>
        <v>Vercel project with frontend + backend services</v>
      </c>
      <c r="E118" s="12" t="str">
        <f>IFERROR(INDEX(MASTER!$F$2:$F$2000,MATCH($A118,MASTER!$A$2:$A$2000,0))&amp;"","")</f>
        <v>P0</v>
      </c>
      <c r="F118" s="12" t="str">
        <f>IFERROR(INDEX(MASTER!$G$2:$G$2000,MATCH($A118,MASTER!$A$2:$A$2000,0))&amp;"","NOT IN MASTER")</f>
        <v>BLOCKED</v>
      </c>
      <c r="G118" s="12" t="str">
        <f>IFERROR(INDEX(MASTER!$H$2:$H$2000,MATCH($A118,MASTER!$A$2:$A$2000,0))&amp;"","")</f>
        <v/>
      </c>
      <c r="H118" s="12" t="str">
        <f>IFERROR(INDEX(MASTER!$I$2:$I$2000,MATCH($A118,MASTER!$A$2:$A$2000,0))&amp;"","")</f>
        <v/>
      </c>
      <c r="I118" s="19" t="str">
        <f>IFERROR(IF(INDEX(MASTER!$O$2:$O$2000,MATCH($A118,MASTER!$A$2:$A$2000,0))="","",INDEX(MASTER!$O$2:$O$2000,MATCH($A118,MASTER!$A$2:$A$2000,0))),"")</f>
        <v/>
      </c>
      <c r="J118" s="12" t="str">
        <f>IFERROR(INDEX(MASTER!$P$2:$P$2000,MATCH($A118,MASTER!$A$2:$A$2000,0))&amp;"","")</f>
        <v/>
      </c>
      <c r="K118" s="12" t="str">
        <f>IFERROR(INDEX(MASTER!$Q$2:$Q$2000,MATCH($A118,MASTER!$A$2:$A$2000,0))&amp;"","")</f>
        <v>Mandatory before launch: yes. BLOCKED 2026-10-13: the Vercel connector's token is not authorized for the account's team scope 'drajeto' (403 on list/create project). Owner: re-authorize the Vercel connector for that scope, or import Drajeto07/claude in the Vercel dashboard (framework Services from vercel.json).</v>
      </c>
      <c r="L118" s="12" t="str">
        <f>IFERROR(INDEX(MASTER!$R$2:$R$2000,MATCH($A118,MASTER!$A$2:$A$2000,0))&amp;"","")</f>
        <v/>
      </c>
    </row>
    <row r="119" spans="1:12" x14ac:dyDescent="0.25">
      <c r="A119" s="15" t="s">
        <v>1402</v>
      </c>
      <c r="B119" s="12" t="str">
        <f>IFERROR(INDEX(MASTER!$C$2:$C$2000,MATCH($A119,MASTER!$A$2:$A$2000,0))&amp;"","")</f>
        <v>RELEASE</v>
      </c>
      <c r="C119" s="16">
        <f>IFERROR(INDEX(MASTER!$B$2:$B$2000,MATCH($A119,MASTER!$A$2:$A$2000,0)),"")</f>
        <v>19</v>
      </c>
      <c r="D119" s="12" t="str">
        <f>IFERROR(INDEX(MASTER!$D$2:$D$2000,MATCH($A119,MASTER!$A$2:$A$2000,0))&amp;"","")</f>
        <v>Production settings and secrets in Vercel</v>
      </c>
      <c r="E119" s="12" t="str">
        <f>IFERROR(INDEX(MASTER!$F$2:$F$2000,MATCH($A119,MASTER!$A$2:$A$2000,0))&amp;"","")</f>
        <v>P0</v>
      </c>
      <c r="F119" s="12" t="str">
        <f>IFERROR(INDEX(MASTER!$G$2:$G$2000,MATCH($A119,MASTER!$A$2:$A$2000,0))&amp;"","NOT IN MASTER")</f>
        <v>NOT_STARTED</v>
      </c>
      <c r="G119" s="12" t="str">
        <f>IFERROR(INDEX(MASTER!$H$2:$H$2000,MATCH($A119,MASTER!$A$2:$A$2000,0))&amp;"","")</f>
        <v/>
      </c>
      <c r="H119" s="12" t="str">
        <f>IFERROR(INDEX(MASTER!$I$2:$I$2000,MATCH($A119,MASTER!$A$2:$A$2000,0))&amp;"","")</f>
        <v/>
      </c>
      <c r="I119" s="19" t="str">
        <f>IFERROR(IF(INDEX(MASTER!$O$2:$O$2000,MATCH($A119,MASTER!$A$2:$A$2000,0))="","",INDEX(MASTER!$O$2:$O$2000,MATCH($A119,MASTER!$A$2:$A$2000,0))),"")</f>
        <v/>
      </c>
      <c r="J119" s="12" t="str">
        <f>IFERROR(INDEX(MASTER!$P$2:$P$2000,MATCH($A119,MASTER!$A$2:$A$2000,0))&amp;"","")</f>
        <v/>
      </c>
      <c r="K119" s="12" t="str">
        <f>IFERROR(INDEX(MASTER!$Q$2:$Q$2000,MATCH($A119,MASTER!$A$2:$A$2000,0))&amp;"","")</f>
        <v>Mandatory before launch: yes. Secrets entered by the owner in the Vercel dashboard only.</v>
      </c>
      <c r="L119" s="12" t="str">
        <f>IFERROR(INDEX(MASTER!$R$2:$R$2000,MATCH($A119,MASTER!$A$2:$A$2000,0))&amp;"","")</f>
        <v/>
      </c>
    </row>
    <row r="120" spans="1:12" x14ac:dyDescent="0.25">
      <c r="A120" s="15" t="s">
        <v>1406</v>
      </c>
      <c r="B120" s="12" t="str">
        <f>IFERROR(INDEX(MASTER!$C$2:$C$2000,MATCH($A120,MASTER!$A$2:$A$2000,0))&amp;"","")</f>
        <v>RELEASE</v>
      </c>
      <c r="C120" s="16">
        <f>IFERROR(INDEX(MASTER!$B$2:$B$2000,MATCH($A120,MASTER!$A$2:$A$2000,0)),"")</f>
        <v>19</v>
      </c>
      <c r="D120" s="12" t="str">
        <f>IFERROR(INDEX(MASTER!$D$2:$D$2000,MATCH($A120,MASTER!$A$2:$A$2000,0))&amp;"","")</f>
        <v>Production database: restored, schema current, RLS on</v>
      </c>
      <c r="E120" s="12" t="str">
        <f>IFERROR(INDEX(MASTER!$F$2:$F$2000,MATCH($A120,MASTER!$A$2:$A$2000,0))&amp;"","")</f>
        <v>P0</v>
      </c>
      <c r="F120" s="12" t="str">
        <f>IFERROR(INDEX(MASTER!$G$2:$G$2000,MATCH($A120,MASTER!$A$2:$A$2000,0))&amp;"","NOT IN MASTER")</f>
        <v>DONE</v>
      </c>
      <c r="G120" s="12" t="str">
        <f>IFERROR(INDEX(MASTER!$H$2:$H$2000,MATCH($A120,MASTER!$A$2:$A$2000,0))&amp;"","")</f>
        <v>Supabase connector: restore_project -&gt; ACTIVE_HEALTHY (eu-central-1, Postgres 17); SQL: alembic_version = d41f7a60c9e2 = `alembic heads` of the code; list_migrations: 14 applied, the last d41f7a60c9e2; security advisors: only rls_enabled_no_policy (INFO) on all 16 public tables (RLS on, no policies by design: the API connects as owner). Holds 1 account and 8 documents from development (REL-020).</v>
      </c>
      <c r="H120" s="12" t="str">
        <f>IFERROR(INDEX(MASTER!$I$2:$I$2000,MATCH($A120,MASTER!$A$2:$A$2000,0))&amp;"","")</f>
        <v>Supabase get_project, execute_sql (alembic_version), list_migrations, get_advisors(security) on 2026-10-13.</v>
      </c>
      <c r="I120" s="19">
        <f>IFERROR(IF(INDEX(MASTER!$O$2:$O$2000,MATCH($A120,MASTER!$A$2:$A$2000,0))="","",INDEX(MASTER!$O$2:$O$2000,MATCH($A120,MASTER!$A$2:$A$2000,0))),"")</f>
        <v>46308.596041666657</v>
      </c>
      <c r="J120" s="12" t="str">
        <f>IFERROR(INDEX(MASTER!$P$2:$P$2000,MATCH($A120,MASTER!$A$2:$A$2000,0))&amp;"","")</f>
        <v>68a89a9</v>
      </c>
      <c r="K120" s="12" t="str">
        <f>IFERROR(INDEX(MASTER!$Q$2:$Q$2000,MATCH($A120,MASTER!$A$2:$A$2000,0))&amp;"","")</f>
        <v>Mandatory before launch: yes. Restored from paused 2026-10-13 with the owner's approval.</v>
      </c>
      <c r="L120" s="12" t="str">
        <f>IFERROR(INDEX(MASTER!$R$2:$R$2000,MATCH($A120,MASTER!$A$2:$A$2000,0))&amp;"","")</f>
        <v/>
      </c>
    </row>
    <row r="121" spans="1:12" x14ac:dyDescent="0.25">
      <c r="A121" s="15" t="s">
        <v>1413</v>
      </c>
      <c r="B121" s="12" t="str">
        <f>IFERROR(INDEX(MASTER!$C$2:$C$2000,MATCH($A121,MASTER!$A$2:$A$2000,0))&amp;"","")</f>
        <v>RELEASE</v>
      </c>
      <c r="C121" s="16">
        <f>IFERROR(INDEX(MASTER!$B$2:$B$2000,MATCH($A121,MASTER!$A$2:$A$2000,0)),"")</f>
        <v>19</v>
      </c>
      <c r="D121" s="12" t="str">
        <f>IFERROR(INDEX(MASTER!$D$2:$D$2000,MATCH($A121,MASTER!$A$2:$A$2000,0))&amp;"","")</f>
        <v>File storage: private Supabase Storage bucket over S3</v>
      </c>
      <c r="E121" s="12" t="str">
        <f>IFERROR(INDEX(MASTER!$F$2:$F$2000,MATCH($A121,MASTER!$A$2:$A$2000,0))&amp;"","")</f>
        <v>P0</v>
      </c>
      <c r="F121" s="12" t="str">
        <f>IFERROR(INDEX(MASTER!$G$2:$G$2000,MATCH($A121,MASTER!$A$2:$A$2000,0))&amp;"","NOT IN MASTER")</f>
        <v>IN_PROGRESS</v>
      </c>
      <c r="G121" s="12" t="str">
        <f>IFERROR(INDEX(MASTER!$H$2:$H$2000,MATCH($A121,MASTER!$A$2:$A$2000,0))&amp;"","")</f>
        <v>Private bucket smartdoc-files created in Supabase Storage (storage.buckets public=false) on 2026-10-13. Waiting: an S3 access key pair created by the owner (Supabase -&gt; Storage -&gt; S3 Connection) and entered in Vercel.</v>
      </c>
      <c r="H121" s="12" t="str">
        <f>IFERROR(INDEX(MASTER!$I$2:$I$2000,MATCH($A121,MASTER!$A$2:$A$2000,0))&amp;"","")</f>
        <v/>
      </c>
      <c r="I121" s="19" t="str">
        <f>IFERROR(IF(INDEX(MASTER!$O$2:$O$2000,MATCH($A121,MASTER!$A$2:$A$2000,0))="","",INDEX(MASTER!$O$2:$O$2000,MATCH($A121,MASTER!$A$2:$A$2000,0))),"")</f>
        <v/>
      </c>
      <c r="J121" s="12" t="str">
        <f>IFERROR(INDEX(MASTER!$P$2:$P$2000,MATCH($A121,MASTER!$A$2:$A$2000,0))&amp;"","")</f>
        <v/>
      </c>
      <c r="K121" s="12" t="str">
        <f>IFERROR(INDEX(MASTER!$Q$2:$Q$2000,MATCH($A121,MASTER!$A$2:$A$2000,0))&amp;"","")</f>
        <v>Mandatory before launch: yes. Bucket created 2026-10-13; keys: owner (Supabase -&gt; Storage -&gt; S3 Connection).</v>
      </c>
      <c r="L121" s="12" t="str">
        <f>IFERROR(INDEX(MASTER!$R$2:$R$2000,MATCH($A121,MASTER!$A$2:$A$2000,0))&amp;"","")</f>
        <v/>
      </c>
    </row>
    <row r="122" spans="1:12" x14ac:dyDescent="0.25">
      <c r="A122" s="15" t="s">
        <v>1418</v>
      </c>
      <c r="B122" s="12" t="str">
        <f>IFERROR(INDEX(MASTER!$C$2:$C$2000,MATCH($A122,MASTER!$A$2:$A$2000,0))&amp;"","")</f>
        <v>RELEASE</v>
      </c>
      <c r="C122" s="16">
        <f>IFERROR(INDEX(MASTER!$B$2:$B$2000,MATCH($A122,MASTER!$A$2:$A$2000,0)),"")</f>
        <v>19</v>
      </c>
      <c r="D122" s="12" t="str">
        <f>IFERROR(INDEX(MASTER!$D$2:$D$2000,MATCH($A122,MASTER!$A$2:$A$2000,0))&amp;"","")</f>
        <v>Serverless-ready configuration in code</v>
      </c>
      <c r="E122" s="12" t="str">
        <f>IFERROR(INDEX(MASTER!$F$2:$F$2000,MATCH($A122,MASTER!$A$2:$A$2000,0))&amp;"","")</f>
        <v>P0</v>
      </c>
      <c r="F122" s="12" t="str">
        <f>IFERROR(INDEX(MASTER!$G$2:$G$2000,MATCH($A122,MASTER!$A$2:$A$2000,0))&amp;"","NOT IN MASTER")</f>
        <v>IMPLEMENTED</v>
      </c>
      <c r="G122" s="12" t="str">
        <f>IFERROR(INDEX(MASTER!$H$2:$H$2000,MATCH($A122,MASTER!$A$2:$A$2000,0))&amp;"","")</f>
        <v>vercel.json (services frontend/backend, rewrites /api/* -&gt; backend, binding API_INTERNAL_URL); backend/Dockerfile.vercel; frontend client.ts/proxy.ts same-origin mode; config.browser_origins (VERCEL_URL ...); db/session.engine_options (DATABASE_POOLER=transaction: NullPool, statement cache off, unique prepared names); docs/deployment/vercel.md.</v>
      </c>
      <c r="H122" s="12" t="str">
        <f>IFERROR(INDEX(MASTER!$I$2:$I$2000,MATCH($A122,MASTER!$A$2:$A$2000,0))&amp;"","")</f>
        <v>backend tests/test_release_config.py (4) + test_config (11 in run); frontend services/api/client.test.ts (10); full backend run 2577 passed + 1 stub fixed (9/9 in its file). Not yet verified on a deployment (REL-009).</v>
      </c>
      <c r="I122" s="19" t="str">
        <f>IFERROR(IF(INDEX(MASTER!$O$2:$O$2000,MATCH($A122,MASTER!$A$2:$A$2000,0))="","",INDEX(MASTER!$O$2:$O$2000,MATCH($A122,MASTER!$A$2:$A$2000,0))),"")</f>
        <v/>
      </c>
      <c r="J122" s="12" t="str">
        <f>IFERROR(INDEX(MASTER!$P$2:$P$2000,MATCH($A122,MASTER!$A$2:$A$2000,0))&amp;"","")</f>
        <v>68a89a9</v>
      </c>
      <c r="K122" s="12" t="str">
        <f>IFERROR(INDEX(MASTER!$Q$2:$Q$2000,MATCH($A122,MASTER!$A$2:$A$2000,0))&amp;"","")</f>
        <v>Mandatory before launch: yes.</v>
      </c>
      <c r="L122" s="12" t="str">
        <f>IFERROR(INDEX(MASTER!$R$2:$R$2000,MATCH($A122,MASTER!$A$2:$A$2000,0))&amp;"","")</f>
        <v/>
      </c>
    </row>
    <row r="123" spans="1:12" x14ac:dyDescent="0.25">
      <c r="A123" s="15" t="s">
        <v>1425</v>
      </c>
      <c r="B123" s="12" t="str">
        <f>IFERROR(INDEX(MASTER!$C$2:$C$2000,MATCH($A123,MASTER!$A$2:$A$2000,0))&amp;"","")</f>
        <v>RELEASE</v>
      </c>
      <c r="C123" s="16">
        <f>IFERROR(INDEX(MASTER!$B$2:$B$2000,MATCH($A123,MASTER!$A$2:$A$2000,0)),"")</f>
        <v>19</v>
      </c>
      <c r="D123" s="12" t="str">
        <f>IFERROR(INDEX(MASTER!$D$2:$D$2000,MATCH($A123,MASTER!$A$2:$A$2000,0))&amp;"","")</f>
        <v>Error monitoring (Sentry, backend)</v>
      </c>
      <c r="E123" s="12" t="str">
        <f>IFERROR(INDEX(MASTER!$F$2:$F$2000,MATCH($A123,MASTER!$A$2:$A$2000,0))&amp;"","")</f>
        <v>P0</v>
      </c>
      <c r="F123" s="12" t="str">
        <f>IFERROR(INDEX(MASTER!$G$2:$G$2000,MATCH($A123,MASTER!$A$2:$A$2000,0))&amp;"","NOT IN MASTER")</f>
        <v>IMPLEMENTED</v>
      </c>
      <c r="G123" s="12" t="str">
        <f>IFERROR(INDEX(MASTER!$H$2:$H$2000,MATCH($A123,MASTER!$A$2:$A$2000,0))&amp;"","")</f>
        <v>backend/app/monitoring.py (init_monitoring, scrub) called from app/main.py; settings SENTRY_DSN, SENTRY_ENVIRONMENT, SENTRY_TRACES_SAMPLE_RATE; sentry-sdk 2.70.0 direct dependency; Sentry project drajeto/smartdoc-backend created (EU, python-fastapi) with a DSN.</v>
      </c>
      <c r="H123" s="12" t="str">
        <f>IFERROR(INDEX(MASTER!$I$2:$I$2000,MATCH($A123,MASTER!$A$2:$A$2000,0))&amp;"","")</f>
        <v>backend tests/test_monitoring.py (3: off without DSN; real SDK with a captured transport: the error and request id reported, the body/cookie/Authorization/query/local variable not; scrub unit test). Pending: SENTRY_DSN in Vercel and a test event from the deployment.</v>
      </c>
      <c r="I123" s="19" t="str">
        <f>IFERROR(IF(INDEX(MASTER!$O$2:$O$2000,MATCH($A123,MASTER!$A$2:$A$2000,0))="","",INDEX(MASTER!$O$2:$O$2000,MATCH($A123,MASTER!$A$2:$A$2000,0))),"")</f>
        <v/>
      </c>
      <c r="J123" s="12" t="str">
        <f>IFERROR(INDEX(MASTER!$P$2:$P$2000,MATCH($A123,MASTER!$A$2:$A$2000,0))&amp;"","")</f>
        <v>c25b124</v>
      </c>
      <c r="K123" s="12" t="str">
        <f>IFERROR(INDEX(MASTER!$Q$2:$Q$2000,MATCH($A123,MASTER!$A$2:$A$2000,0))&amp;"","")</f>
        <v>Mandatory before launch: yes. Project created 2026-10-13 (EU region).</v>
      </c>
      <c r="L123" s="12" t="str">
        <f>IFERROR(INDEX(MASTER!$R$2:$R$2000,MATCH($A123,MASTER!$A$2:$A$2000,0))&amp;"","")</f>
        <v/>
      </c>
    </row>
    <row r="124" spans="1:12" x14ac:dyDescent="0.25">
      <c r="A124" s="15" t="s">
        <v>1438</v>
      </c>
      <c r="B124" s="12" t="str">
        <f>IFERROR(INDEX(MASTER!$C$2:$C$2000,MATCH($A124,MASTER!$A$2:$A$2000,0))&amp;"","")</f>
        <v>RELEASE</v>
      </c>
      <c r="C124" s="16">
        <f>IFERROR(INDEX(MASTER!$B$2:$B$2000,MATCH($A124,MASTER!$A$2:$A$2000,0)),"")</f>
        <v>19</v>
      </c>
      <c r="D124" s="12" t="str">
        <f>IFERROR(INDEX(MASTER!$D$2:$D$2000,MATCH($A124,MASTER!$A$2:$A$2000,0))&amp;"","")</f>
        <v>Preview deployment and smoke test</v>
      </c>
      <c r="E124" s="12" t="str">
        <f>IFERROR(INDEX(MASTER!$F$2:$F$2000,MATCH($A124,MASTER!$A$2:$A$2000,0))&amp;"","")</f>
        <v>P0</v>
      </c>
      <c r="F124" s="12" t="str">
        <f>IFERROR(INDEX(MASTER!$G$2:$G$2000,MATCH($A124,MASTER!$A$2:$A$2000,0))&amp;"","NOT IN MASTER")</f>
        <v>NOT_STARTED</v>
      </c>
      <c r="G124" s="12" t="str">
        <f>IFERROR(INDEX(MASTER!$H$2:$H$2000,MATCH($A124,MASTER!$A$2:$A$2000,0))&amp;"","")</f>
        <v/>
      </c>
      <c r="H124" s="12" t="str">
        <f>IFERROR(INDEX(MASTER!$I$2:$I$2000,MATCH($A124,MASTER!$A$2:$A$2000,0))&amp;"","")</f>
        <v/>
      </c>
      <c r="I124" s="19" t="str">
        <f>IFERROR(IF(INDEX(MASTER!$O$2:$O$2000,MATCH($A124,MASTER!$A$2:$A$2000,0))="","",INDEX(MASTER!$O$2:$O$2000,MATCH($A124,MASTER!$A$2:$A$2000,0))),"")</f>
        <v/>
      </c>
      <c r="J124" s="12" t="str">
        <f>IFERROR(INDEX(MASTER!$P$2:$P$2000,MATCH($A124,MASTER!$A$2:$A$2000,0))&amp;"","")</f>
        <v/>
      </c>
      <c r="K124" s="12" t="str">
        <f>IFERROR(INDEX(MASTER!$Q$2:$Q$2000,MATCH($A124,MASTER!$A$2:$A$2000,0))&amp;"","")</f>
        <v>Mandatory before launch: yes.</v>
      </c>
      <c r="L124" s="12" t="str">
        <f>IFERROR(INDEX(MASTER!$R$2:$R$2000,MATCH($A124,MASTER!$A$2:$A$2000,0))&amp;"","")</f>
        <v/>
      </c>
    </row>
    <row r="125" spans="1:12" x14ac:dyDescent="0.25">
      <c r="A125" s="15" t="s">
        <v>1436</v>
      </c>
      <c r="B125" s="12" t="str">
        <f>IFERROR(INDEX(MASTER!$C$2:$C$2000,MATCH($A125,MASTER!$A$2:$A$2000,0))&amp;"","")</f>
        <v>RELEASE</v>
      </c>
      <c r="C125" s="16">
        <f>IFERROR(INDEX(MASTER!$B$2:$B$2000,MATCH($A125,MASTER!$A$2:$A$2000,0)),"")</f>
        <v>19</v>
      </c>
      <c r="D125" s="12" t="str">
        <f>IFERROR(INDEX(MASTER!$D$2:$D$2000,MATCH($A125,MASTER!$A$2:$A$2000,0))&amp;"","")</f>
        <v>Production deployment and live acceptance</v>
      </c>
      <c r="E125" s="12" t="str">
        <f>IFERROR(INDEX(MASTER!$F$2:$F$2000,MATCH($A125,MASTER!$A$2:$A$2000,0))&amp;"","")</f>
        <v>P0</v>
      </c>
      <c r="F125" s="12" t="str">
        <f>IFERROR(INDEX(MASTER!$G$2:$G$2000,MATCH($A125,MASTER!$A$2:$A$2000,0))&amp;"","NOT IN MASTER")</f>
        <v>NOT_STARTED</v>
      </c>
      <c r="G125" s="12" t="str">
        <f>IFERROR(INDEX(MASTER!$H$2:$H$2000,MATCH($A125,MASTER!$A$2:$A$2000,0))&amp;"","")</f>
        <v/>
      </c>
      <c r="H125" s="12" t="str">
        <f>IFERROR(INDEX(MASTER!$I$2:$I$2000,MATCH($A125,MASTER!$A$2:$A$2000,0))&amp;"","")</f>
        <v/>
      </c>
      <c r="I125" s="19" t="str">
        <f>IFERROR(IF(INDEX(MASTER!$O$2:$O$2000,MATCH($A125,MASTER!$A$2:$A$2000,0))="","",INDEX(MASTER!$O$2:$O$2000,MATCH($A125,MASTER!$A$2:$A$2000,0))),"")</f>
        <v/>
      </c>
      <c r="J125" s="12" t="str">
        <f>IFERROR(INDEX(MASTER!$P$2:$P$2000,MATCH($A125,MASTER!$A$2:$A$2000,0))&amp;"","")</f>
        <v/>
      </c>
      <c r="K125" s="12" t="str">
        <f>IFERROR(INDEX(MASTER!$Q$2:$Q$2000,MATCH($A125,MASTER!$A$2:$A$2000,0))&amp;"","")</f>
        <v>Mandatory before launch: yes. Needs the owner's go-ahead (public).</v>
      </c>
      <c r="L125" s="12" t="str">
        <f>IFERROR(INDEX(MASTER!$R$2:$R$2000,MATCH($A125,MASTER!$A$2:$A$2000,0))&amp;"","")</f>
        <v/>
      </c>
    </row>
    <row r="126" spans="1:12" x14ac:dyDescent="0.25">
      <c r="A126" s="15" t="s">
        <v>1445</v>
      </c>
      <c r="B126" s="12" t="str">
        <f>IFERROR(INDEX(MASTER!$C$2:$C$2000,MATCH($A126,MASTER!$A$2:$A$2000,0))&amp;"","")</f>
        <v>RELEASE</v>
      </c>
      <c r="C126" s="16">
        <f>IFERROR(INDEX(MASTER!$B$2:$B$2000,MATCH($A126,MASTER!$A$2:$A$2000,0)),"")</f>
        <v>19</v>
      </c>
      <c r="D126" s="12" t="str">
        <f>IFERROR(INDEX(MASTER!$D$2:$D$2000,MATCH($A126,MASTER!$A$2:$A$2000,0))&amp;"","")</f>
        <v>Cross-user isolation on the live deployment</v>
      </c>
      <c r="E126" s="12" t="str">
        <f>IFERROR(INDEX(MASTER!$F$2:$F$2000,MATCH($A126,MASTER!$A$2:$A$2000,0))&amp;"","")</f>
        <v>P0</v>
      </c>
      <c r="F126" s="12" t="str">
        <f>IFERROR(INDEX(MASTER!$G$2:$G$2000,MATCH($A126,MASTER!$A$2:$A$2000,0))&amp;"","NOT IN MASTER")</f>
        <v>NOT_STARTED</v>
      </c>
      <c r="G126" s="12" t="str">
        <f>IFERROR(INDEX(MASTER!$H$2:$H$2000,MATCH($A126,MASTER!$A$2:$A$2000,0))&amp;"","")</f>
        <v/>
      </c>
      <c r="H126" s="12" t="str">
        <f>IFERROR(INDEX(MASTER!$I$2:$I$2000,MATCH($A126,MASTER!$A$2:$A$2000,0))&amp;"","")</f>
        <v/>
      </c>
      <c r="I126" s="19" t="str">
        <f>IFERROR(IF(INDEX(MASTER!$O$2:$O$2000,MATCH($A126,MASTER!$A$2:$A$2000,0))="","",INDEX(MASTER!$O$2:$O$2000,MATCH($A126,MASTER!$A$2:$A$2000,0))),"")</f>
        <v/>
      </c>
      <c r="J126" s="12" t="str">
        <f>IFERROR(INDEX(MASTER!$P$2:$P$2000,MATCH($A126,MASTER!$A$2:$A$2000,0))&amp;"","")</f>
        <v/>
      </c>
      <c r="K126" s="12" t="str">
        <f>IFERROR(INDEX(MASTER!$Q$2:$Q$2000,MATCH($A126,MASTER!$A$2:$A$2000,0))&amp;"","")</f>
        <v>Mandatory before launch: yes.</v>
      </c>
      <c r="L126" s="12" t="str">
        <f>IFERROR(INDEX(MASTER!$R$2:$R$2000,MATCH($A126,MASTER!$A$2:$A$2000,0))&amp;"","")</f>
        <v/>
      </c>
    </row>
  </sheetData>
  <autoFilter ref="A31:L126" xr:uid="{00000000-0009-0000-0000-000002000000}"/>
  <conditionalFormatting sqref="B8:B27">
    <cfRule type="cellIs" dxfId="334" priority="1" operator="equal">
      <formula>"RESOLVED"</formula>
    </cfRule>
    <cfRule type="cellIs" dxfId="333" priority="2" operator="equal">
      <formula>"IN_PROGRESS"</formula>
    </cfRule>
    <cfRule type="cellIs" dxfId="332" priority="3" operator="equal">
      <formula>"BLOCKED"</formula>
    </cfRule>
    <cfRule type="cellIs" dxfId="331" priority="4" operator="equal">
      <formula>"OPEN"</formula>
    </cfRule>
  </conditionalFormatting>
  <conditionalFormatting sqref="C8:C27">
    <cfRule type="dataBar" priority="5">
      <dataBar>
        <cfvo type="num" val="0"/>
        <cfvo type="num" val="1"/>
        <color rgb="FF63BE7B"/>
      </dataBar>
    </cfRule>
  </conditionalFormatting>
  <conditionalFormatting sqref="E32:E126">
    <cfRule type="cellIs" dxfId="330" priority="24" operator="equal">
      <formula>"P0"</formula>
    </cfRule>
    <cfRule type="cellIs" dxfId="329" priority="25" operator="equal">
      <formula>"P1"</formula>
    </cfRule>
  </conditionalFormatting>
  <conditionalFormatting sqref="F32:F126">
    <cfRule type="cellIs" dxfId="328" priority="6" operator="equal">
      <formula>"DONE"</formula>
    </cfRule>
    <cfRule type="cellIs" dxfId="327" priority="7" operator="equal">
      <formula>"VERIFIED"</formula>
    </cfRule>
    <cfRule type="cellIs" dxfId="326" priority="8" operator="equal">
      <formula>"IN_PROGRESS"</formula>
    </cfRule>
    <cfRule type="cellIs" dxfId="325" priority="9" operator="equal">
      <formula>"IMPLEMENTED"</formula>
    </cfRule>
    <cfRule type="cellIs" dxfId="324" priority="10" operator="equal">
      <formula>"TESTING"</formula>
    </cfRule>
    <cfRule type="cellIs" dxfId="323" priority="11" operator="equal">
      <formula>"BLOCKED"</formula>
    </cfRule>
    <cfRule type="cellIs" dxfId="322" priority="12" operator="equal">
      <formula>"FAILED"</formula>
    </cfRule>
    <cfRule type="cellIs" dxfId="321" priority="13" operator="equal">
      <formula>"DEFERRED"</formula>
    </cfRule>
    <cfRule type="cellIs" dxfId="320" priority="14" operator="equal">
      <formula>"UNKNOWN"</formula>
    </cfRule>
    <cfRule type="cellIs" dxfId="319" priority="15" operator="equal">
      <formula>"PASS"</formula>
    </cfRule>
    <cfRule type="cellIs" dxfId="318" priority="16" operator="equal">
      <formula>"FAIL"</formula>
    </cfRule>
    <cfRule type="cellIs" dxfId="317" priority="17" operator="equal">
      <formula>"PARTIAL"</formula>
    </cfRule>
    <cfRule type="cellIs" dxfId="316" priority="18" operator="equal">
      <formula>"RESOLVED"</formula>
    </cfRule>
    <cfRule type="cellIs" dxfId="315" priority="19" operator="equal">
      <formula>"OPEN"</formula>
    </cfRule>
    <cfRule type="cellIs" dxfId="314" priority="20" operator="equal">
      <formula>"WITHIN"</formula>
    </cfRule>
    <cfRule type="cellIs" dxfId="313" priority="21" operator="equal">
      <formula>"OVER"</formula>
    </cfRule>
    <cfRule type="cellIs" dxfId="312" priority="22" operator="equal">
      <formula>"NOW"</formula>
    </cfRule>
    <cfRule type="cellIs" dxfId="31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1543</v>
      </c>
    </row>
    <row r="2" spans="1:12" x14ac:dyDescent="0.25">
      <c r="A2" s="4" t="s">
        <v>1544</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16</v>
      </c>
      <c r="C4" s="7">
        <f>COUNTIFS(MASTER!$C$2:$C$2000,"CORE",MASTER!$G$2:$G$2000,"VERIFIED")+COUNTIFS(MASTER!$C$2:$C$2000,"FIDELITY",MASTER!$G$2:$G$2000,"VERIFIED")+COUNTIFS(MASTER!$C$2:$C$2000,"REVIEW",MASTER!$G$2:$G$2000,"VERIFIED")+B4</f>
        <v>16</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0.94117647058823528</v>
      </c>
      <c r="H4" s="9">
        <f>IF(A4=0,0,C4/A4)</f>
        <v>0.94117647058823528</v>
      </c>
    </row>
    <row r="6" spans="1:12" ht="15.75" x14ac:dyDescent="0.25">
      <c r="A6" s="5" t="s">
        <v>1545</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252</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262</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270</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352</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358</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367</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374</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379</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384</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406</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468</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473</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782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1234</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1241</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1246</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DONE</v>
      </c>
      <c r="G23" s="12" t="str">
        <f>IFERROR(INDEX(MASTER!$H$2:$H$2000,MATCH($A23,MASTER!$A$2:$A$2000,0))&amp;"","")</f>
        <v>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v>
      </c>
      <c r="H23" s="12" t="str">
        <f>IFERROR(INDEX(MASTER!$I$2:$I$2000,MATCH($A23,MASTER!$A$2:$A$2000,0))&amp;"","")</f>
        <v>backend/tests/test_repair.py (8; 11/11 mutations); RepairSection.test.tsx (2); ReviewPanel.test.tsx; e2e review.spec.ts (+1); security suite; backend 2452/11 (+deflaked account-deletion test, 858c8ec), Vitest 303, Playwright 54</v>
      </c>
      <c r="I23" s="19">
        <f>IFERROR(IF(INDEX(MASTER!$O$2:$O$2000,MATCH($A23,MASTER!$A$2:$A$2000,0))="","",INDEX(MASTER!$O$2:$O$2000,MATCH($A23,MASTER!$A$2:$A$2000,0))),"")</f>
        <v>46302.733923611107</v>
      </c>
      <c r="J23" s="12" t="str">
        <f>IFERROR(INDEX(MASTER!$P$2:$P$2000,MATCH($A23,MASTER!$A$2:$A$2000,0))&amp;"","")</f>
        <v>a1c91e8</v>
      </c>
      <c r="K23" s="12" t="str">
        <f>IFERROR(INDEX(MASTER!$Q$2:$Q$2000,MATCH($A23,MASTER!$A$2:$A$2000,0))&amp;"","")</f>
        <v>The editor's table plugin already draws a short row padded; the stored table changes when the repair is accepted (or the table is edited). Malformed input / unsupported structures have no automatic fix.</v>
      </c>
      <c r="L23" s="12" t="str">
        <f>IFERROR(INDEX(MASTER!$R$2:$R$2000,MATCH($A23,MASTER!$A$2:$A$2000,0))&amp;"","")</f>
        <v/>
      </c>
    </row>
    <row r="24" spans="1:12" x14ac:dyDescent="0.25">
      <c r="A24" s="15" t="s">
        <v>1253</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DONE</v>
      </c>
      <c r="G24" s="12" t="str">
        <f>IFERROR(INDEX(MASTER!$H$2:$H$2000,MATCH($A24,MASTER!$A$2:$A$2000,0))&amp;"","")</f>
        <v>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v>
      </c>
      <c r="H24" s="12" t="str">
        <f>IFERROR(INDEX(MASTER!$I$2:$I$2000,MATCH($A24,MASTER!$A$2:$A$2000,0))&amp;"","")</f>
        <v>backend/tests/test_clean_copy.py (3; 11/11 mutations); CleanCopySection.test.tsx (2); e2e tracked-changes.spec.ts (+1, a07); security suite; backend 2460/11, Vitest 305, Playwright 55</v>
      </c>
      <c r="I24" s="19">
        <f>IFERROR(IF(INDEX(MASTER!$O$2:$O$2000,MATCH($A24,MASTER!$A$2:$A$2000,0))="","",INDEX(MASTER!$O$2:$O$2000,MATCH($A24,MASTER!$A$2:$A$2000,0))),"")</f>
        <v>46302.751793981479</v>
      </c>
      <c r="J24" s="12" t="str">
        <f>IFERROR(INDEX(MASTER!$P$2:$P$2000,MATCH($A24,MASTER!$A$2:$A$2000,0))&amp;"","")</f>
        <v>842999c</v>
      </c>
      <c r="K24" s="12" t="str">
        <f>IFERROR(INDEX(MASTER!$Q$2:$Q$2000,MATCH($A24,MASTER!$A$2:$A$2000,0))&amp;"","")</f>
        <v/>
      </c>
      <c r="L24" s="12" t="str">
        <f>IFERROR(INDEX(MASTER!$R$2:$R$2000,MATCH($A24,MASTER!$A$2:$A$2000,0))&amp;"","")</f>
        <v/>
      </c>
    </row>
  </sheetData>
  <autoFilter ref="A7:L24" xr:uid="{00000000-0009-0000-0000-000003000000}"/>
  <conditionalFormatting sqref="E8:E24">
    <cfRule type="cellIs" dxfId="310" priority="19" operator="equal">
      <formula>"P0"</formula>
    </cfRule>
    <cfRule type="cellIs" dxfId="309" priority="20" operator="equal">
      <formula>"P1"</formula>
    </cfRule>
  </conditionalFormatting>
  <conditionalFormatting sqref="F8:F24">
    <cfRule type="cellIs" dxfId="308" priority="1" operator="equal">
      <formula>"DONE"</formula>
    </cfRule>
    <cfRule type="cellIs" dxfId="307" priority="2" operator="equal">
      <formula>"VERIFIED"</formula>
    </cfRule>
    <cfRule type="cellIs" dxfId="306" priority="3" operator="equal">
      <formula>"IN_PROGRESS"</formula>
    </cfRule>
    <cfRule type="cellIs" dxfId="305" priority="4" operator="equal">
      <formula>"IMPLEMENTED"</formula>
    </cfRule>
    <cfRule type="cellIs" dxfId="304" priority="5" operator="equal">
      <formula>"TESTING"</formula>
    </cfRule>
    <cfRule type="cellIs" dxfId="303" priority="6" operator="equal">
      <formula>"BLOCKED"</formula>
    </cfRule>
    <cfRule type="cellIs" dxfId="302" priority="7" operator="equal">
      <formula>"FAILED"</formula>
    </cfRule>
    <cfRule type="cellIs" dxfId="301" priority="8" operator="equal">
      <formula>"DEFERRED"</formula>
    </cfRule>
    <cfRule type="cellIs" dxfId="300" priority="9" operator="equal">
      <formula>"UNKNOWN"</formula>
    </cfRule>
    <cfRule type="cellIs" dxfId="299" priority="10" operator="equal">
      <formula>"PASS"</formula>
    </cfRule>
    <cfRule type="cellIs" dxfId="298" priority="11" operator="equal">
      <formula>"FAIL"</formula>
    </cfRule>
    <cfRule type="cellIs" dxfId="297" priority="12" operator="equal">
      <formula>"PARTIAL"</formula>
    </cfRule>
    <cfRule type="cellIs" dxfId="296" priority="13" operator="equal">
      <formula>"RESOLVED"</formula>
    </cfRule>
    <cfRule type="cellIs" dxfId="295" priority="14" operator="equal">
      <formula>"OPEN"</formula>
    </cfRule>
    <cfRule type="cellIs" dxfId="294" priority="15" operator="equal">
      <formula>"WITHIN"</formula>
    </cfRule>
    <cfRule type="cellIs" dxfId="293" priority="16" operator="equal">
      <formula>"OVER"</formula>
    </cfRule>
    <cfRule type="cellIs" dxfId="292" priority="17" operator="equal">
      <formula>"NOW"</formula>
    </cfRule>
    <cfRule type="cellIs" dxfId="29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1546</v>
      </c>
    </row>
    <row r="2" spans="1:12" x14ac:dyDescent="0.25">
      <c r="A2" s="4" t="s">
        <v>1547</v>
      </c>
    </row>
    <row r="3" spans="1:12" x14ac:dyDescent="0.25">
      <c r="A3" s="6" t="s">
        <v>45</v>
      </c>
      <c r="B3" s="6" t="s">
        <v>46</v>
      </c>
      <c r="C3" s="6" t="s">
        <v>47</v>
      </c>
      <c r="D3" s="6" t="s">
        <v>13</v>
      </c>
      <c r="E3" s="6" t="s">
        <v>16</v>
      </c>
      <c r="F3" s="6" t="s">
        <v>19</v>
      </c>
      <c r="G3" s="6" t="s">
        <v>48</v>
      </c>
      <c r="H3" s="6" t="s">
        <v>33</v>
      </c>
    </row>
    <row r="4" spans="1:12" x14ac:dyDescent="0.25">
      <c r="A4" s="7">
        <f>COUNTIF(MASTER!$C$2:$C$2000,"DOCX")</f>
        <v>37</v>
      </c>
      <c r="B4" s="7">
        <f>COUNTIFS(MASTER!$C$2:$C$2000,"DOCX",MASTER!$G$2:$G$2000,"DONE")</f>
        <v>37</v>
      </c>
      <c r="C4" s="7">
        <f>COUNTIFS(MASTER!$C$2:$C$2000,"DOCX",MASTER!$G$2:$G$2000,"VERIFIED")+B4</f>
        <v>37</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1</v>
      </c>
      <c r="H4" s="9">
        <f>IF(A4=0,0,C4/A4)</f>
        <v>1</v>
      </c>
    </row>
    <row r="6" spans="1:12" ht="15.75" x14ac:dyDescent="0.25">
      <c r="A6" s="5" t="s">
        <v>1545</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341</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477</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486</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492</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499</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507</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514</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522</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540</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548</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554</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DONE</v>
      </c>
      <c r="G18" s="12" t="str">
        <f>IFERROR(INDEX(MASTER!$H$2:$H$2000,MATCH($A18,MASTER!$A$2:$A$2000,0))&amp;"","")</f>
        <v>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v>
      </c>
      <c r="H18" s="12" t="str">
        <f>IFERROR(INDEX(MASTER!$I$2:$I$2000,MATCH($A18,MASTER!$A$2:$A$2000,0))&amp;"","")</f>
        <v>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v>
      </c>
      <c r="I18" s="19">
        <f>IFERROR(IF(INDEX(MASTER!$O$2:$O$2000,MATCH($A18,MASTER!$A$2:$A$2000,0))="","",INDEX(MASTER!$O$2:$O$2000,MATCH($A18,MASTER!$A$2:$A$2000,0))),"")</f>
        <v>46302.921712962961</v>
      </c>
      <c r="J18" s="12" t="str">
        <f>IFERROR(INDEX(MASTER!$P$2:$P$2000,MATCH($A18,MASTER!$A$2:$A$2000,0))&amp;"","")</f>
        <v>a779e0a</v>
      </c>
      <c r="K18" s="12" t="str">
        <f>IFERROR(INDEX(MASTER!$Q$2:$Q$2000,MATCH($A18,MASTER!$A$2:$A$2000,0))&amp;"","")</f>
        <v>Number words in a language (cardinalText, ordinalText, hindiCounting, thaiCounting, vietnameseCounting) still numbered 1, 2, 3 and reported: DOCX-016C. Labels past Word's caps (repeated letters from 200/780, Hebrew past 392 wraps implemented) differ only where lists never reach.</v>
      </c>
      <c r="L18" s="12" t="str">
        <f>IFERROR(INDEX(MASTER!$R$2:$R$2000,MATCH($A18,MASTER!$A$2:$A$2000,0))&amp;"","")</f>
        <v>DOCX-016</v>
      </c>
    </row>
    <row r="19" spans="1:12" x14ac:dyDescent="0.25">
      <c r="A19" s="15" t="s">
        <v>561</v>
      </c>
      <c r="B19" s="12" t="str">
        <f>IFERROR(INDEX(MASTER!$C$2:$C$2000,MATCH($A19,MASTER!$A$2:$A$2000,0))&amp;"","")</f>
        <v>DOCX</v>
      </c>
      <c r="C19" s="16">
        <f>IFERROR(INDEX(MASTER!$B$2:$B$2000,MATCH($A19,MASTER!$A$2:$A$2000,0)),"")</f>
        <v>3</v>
      </c>
      <c r="D19" s="12" t="str">
        <f>IFERROR(INDEX(MASTER!$D$2:$D$2000,MATCH($A19,MASTER!$A$2:$A$2000,0))&amp;"","")</f>
        <v>Numbers spelled in words in their language</v>
      </c>
      <c r="E19" s="12" t="str">
        <f>IFERROR(INDEX(MASTER!$F$2:$F$2000,MATCH($A19,MASTER!$A$2:$A$2000,0))&amp;"","")</f>
        <v>P3</v>
      </c>
      <c r="F19" s="12" t="str">
        <f>IFERROR(INDEX(MASTER!$G$2:$G$2000,MATCH($A19,MASTER!$A$2:$A$2000,0))&amp;"","NOT IN MASTER")</f>
        <v>DONE</v>
      </c>
      <c r="G19" s="12" t="str">
        <f>IFERROR(INDEX(MASTER!$H$2:$H$2000,MATCH($A19,MASTER!$A$2:$A$2000,0))&amp;"","")</f>
        <v>number_formats.py WORD_FORMATS, _english (&lt;=999,999), _bulgarian (&lt;=999, Word's forms), spelled, words_language_known; ListNumbering.language; format_number/level_label/item_label take the language; parser _list_language + note for other languages; PDF labels in it; docx_export _mark_language on list item paragraph marks; editor numberFormats.ts/listLabels.ts mirror, listNumbering attr + documentToTiptap/tiptapToDocument carry language; Word read the exported labels back: Първият., Вторият., One., Two.; fixture word_number_words.json extended with a third Word round (34 more values each)</v>
      </c>
      <c r="H19" s="12" t="str">
        <f>IFERROR(INDEX(MASTER!$I$2:$I$2000,MATCH($A19,MASTER!$A$2:$A$2000,0))&amp;"","")</f>
        <v>backend tests/test_number_formats.py (Word's labels en-US&lt;=999,999 and bg-BG&lt;=999 for both styles, list keeps style+language through import/PDF/Word export with paragraph-mark lang, German shown as numbers + note, Hindi still reported); test_docx_numbering, test_nested_blocks_api, golden JSON regenerated (language: null); full backend run 2566 passed/11 skipped + the 2 tests fixed after it (60 passed in their files); Vitest 364; Playwright full 59 passed/1 skipped; mutations 9/9</v>
      </c>
      <c r="I19" s="19">
        <f>IFERROR(IF(INDEX(MASTER!$O$2:$O$2000,MATCH($A19,MASTER!$A$2:$A$2000,0))="","",INDEX(MASTER!$O$2:$O$2000,MATCH($A19,MASTER!$A$2:$A$2000,0))),"")</f>
        <v>46303.091087962966</v>
      </c>
      <c r="J19" s="12" t="str">
        <f>IFERROR(INDEX(MASTER!$P$2:$P$2000,MATCH($A19,MASTER!$A$2:$A$2000,0))&amp;"","")</f>
        <v>f3a3c0c</v>
      </c>
      <c r="K19" s="12" t="str">
        <f>IFERROR(INDEX(MASTER!$Q$2:$Q$2000,MATCH($A19,MASTER!$A$2:$A$2000,0))&amp;"","")</f>
        <v>Hindi, Thai and Vietnamese counting still 1, 2, 3 and reported; words in languages other than English/Bulgarian shown as numbers (kept for Word).</v>
      </c>
      <c r="L19" s="12" t="str">
        <f>IFERROR(INDEX(MASTER!$R$2:$R$2000,MATCH($A19,MASTER!$A$2:$A$2000,0))&amp;"","")</f>
        <v>DOCX-016</v>
      </c>
    </row>
    <row r="20" spans="1:12" x14ac:dyDescent="0.25">
      <c r="A20" s="15" t="s">
        <v>568</v>
      </c>
      <c r="B20" s="12" t="str">
        <f>IFERROR(INDEX(MASTER!$C$2:$C$2000,MATCH($A20,MASTER!$A$2:$A$2000,0))&amp;"","")</f>
        <v>DOCX</v>
      </c>
      <c r="C20" s="16">
        <f>IFERROR(INDEX(MASTER!$B$2:$B$2000,MATCH($A20,MASTER!$A$2:$A$2000,0)),"")</f>
        <v>3</v>
      </c>
      <c r="D20" s="12" t="str">
        <f>IFERROR(INDEX(MASTER!$D$2:$D$2000,MATCH($A20,MASTER!$A$2:$A$2000,0))&amp;"","")</f>
        <v>Table engine</v>
      </c>
      <c r="E20" s="12" t="str">
        <f>IFERROR(INDEX(MASTER!$F$2:$F$2000,MATCH($A20,MASTER!$A$2:$A$2000,0))&amp;"","")</f>
        <v>P0</v>
      </c>
      <c r="F20" s="12" t="str">
        <f>IFERROR(INDEX(MASTER!$G$2:$G$2000,MATCH($A20,MASTER!$A$2:$A$2000,0))&amp;"","NOT IN MASTER")</f>
        <v>DONE</v>
      </c>
      <c r="G20" s="12" t="str">
        <f>IFERROR(INDEX(MASTER!$H$2:$H$2000,MATCH($A20,MASTER!$A$2:$A$2000,0))&amp;"","")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20" s="12" t="str">
        <f>IFERROR(INDEX(MASTER!$I$2:$I$2000,MATCH($A20,MASTER!$A$2:$A$2000,0))&amp;"","")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20" s="19">
        <f>IFERROR(IF(INDEX(MASTER!$O$2:$O$2000,MATCH($A20,MASTER!$A$2:$A$2000,0))="","",INDEX(MASTER!$O$2:$O$2000,MATCH($A20,MASTER!$A$2:$A$2000,0))),"")</f>
        <v>46294.923842592587</v>
      </c>
      <c r="J20" s="12" t="str">
        <f>IFERROR(INDEX(MASTER!$P$2:$P$2000,MATCH($A20,MASTER!$A$2:$A$2000,0))&amp;"","")</f>
        <v>62e7957</v>
      </c>
      <c r="K20" s="12" t="str">
        <f>IFERROR(INDEX(MASTER!$Q$2:$Q$2000,MATCH($A20,MASTER!$A$2:$A$2000,0))&amp;"","")</f>
        <v>From EDIT-011 (2026-09-27): add per-cell alignment and column widths to the model (the editor's cell align/colwidth, Word tcW/tblGrid, PDF colWidths); until then the editor names them as not kept.</v>
      </c>
      <c r="L20" s="12" t="str">
        <f>IFERROR(INDEX(MASTER!$R$2:$R$2000,MATCH($A20,MASTER!$A$2:$A$2000,0))&amp;"","")</f>
        <v/>
      </c>
    </row>
    <row r="21" spans="1:12" x14ac:dyDescent="0.25">
      <c r="A21" s="15" t="s">
        <v>575</v>
      </c>
      <c r="B21" s="12" t="str">
        <f>IFERROR(INDEX(MASTER!$C$2:$C$2000,MATCH($A21,MASTER!$A$2:$A$2000,0))&amp;"","")</f>
        <v>DOCX</v>
      </c>
      <c r="C21" s="16">
        <f>IFERROR(INDEX(MASTER!$B$2:$B$2000,MATCH($A21,MASTER!$A$2:$A$2000,0)),"")</f>
        <v>3</v>
      </c>
      <c r="D21" s="12" t="str">
        <f>IFERROR(INDEX(MASTER!$D$2:$D$2000,MATCH($A21,MASTER!$A$2:$A$2000,0))&amp;"","")</f>
        <v>Draw a table style's banded rows and first/last columns</v>
      </c>
      <c r="E21" s="12" t="str">
        <f>IFERROR(INDEX(MASTER!$F$2:$F$2000,MATCH($A21,MASTER!$A$2:$A$2000,0))&amp;"","")</f>
        <v>P2</v>
      </c>
      <c r="F21" s="12" t="str">
        <f>IFERROR(INDEX(MASTER!$G$2:$G$2000,MATCH($A21,MASTER!$A$2:$A$2000,0))&amp;"","NOT IN MASTER")</f>
        <v>DONE</v>
      </c>
      <c r="G21" s="12" t="str">
        <f>IFERROR(INDEX(MASTER!$H$2:$H$2000,MATCH($A21,MASTER!$A$2:$A$2000,0))&amp;"","")</f>
        <v>parsers/docx_tables.py (PositionLook, StyleLook.conditionals, position_look), parsers/docx.py (_styled_run), capabilities.py, docs/docx/README.md; golden 16-table-engine</v>
      </c>
      <c r="H21" s="12" t="str">
        <f>IFERROR(INDEX(MASTER!$I$2:$I$2000,MATCH($A21,MASTER!$A$2:$A$2000,0))&amp;"","")</f>
        <v>tests/test_docx_tables.py (3 new + header test), 6/6 mutations</v>
      </c>
      <c r="I21" s="19">
        <f>IFERROR(IF(INDEX(MASTER!$O$2:$O$2000,MATCH($A21,MASTER!$A$2:$A$2000,0))="","",INDEX(MASTER!$O$2:$O$2000,MATCH($A21,MASTER!$A$2:$A$2000,0))),"")</f>
        <v>46302.369062500002</v>
      </c>
      <c r="J21" s="12" t="str">
        <f>IFERROR(INDEX(MASTER!$P$2:$P$2000,MATCH($A21,MASTER!$A$2:$A$2000,0))&amp;"","")</f>
        <v>b7573d6</v>
      </c>
      <c r="K21" s="12" t="str">
        <f>IFERROR(INDEX(MASTER!$Q$2:$Q$2000,MATCH($A21,MASTER!$A$2:$A$2000,0))&amp;"","")</f>
        <v>2026-10-07: conditional formats resolved per cell in Word's order from tblLook, band sizes kept; own shading/run formatting win; borders by position still reported.</v>
      </c>
      <c r="L21" s="12" t="str">
        <f>IFERROR(INDEX(MASTER!$R$2:$R$2000,MATCH($A21,MASTER!$A$2:$A$2000,0))&amp;"","")</f>
        <v>DOCX-017</v>
      </c>
    </row>
    <row r="22" spans="1:12" x14ac:dyDescent="0.25">
      <c r="A22" s="15" t="s">
        <v>582</v>
      </c>
      <c r="B22" s="12" t="str">
        <f>IFERROR(INDEX(MASTER!$C$2:$C$2000,MATCH($A22,MASTER!$A$2:$A$2000,0))&amp;"","")</f>
        <v>DOCX</v>
      </c>
      <c r="C22" s="16">
        <f>IFERROR(INDEX(MASTER!$B$2:$B$2000,MATCH($A22,MASTER!$A$2:$A$2000,0)),"")</f>
        <v>3</v>
      </c>
      <c r="D22" s="12" t="str">
        <f>IFERROR(INDEX(MASTER!$D$2:$D$2000,MATCH($A22,MASTER!$A$2:$A$2000,0))&amp;"","")</f>
        <v>Float tables with text around them here and in a PDF</v>
      </c>
      <c r="E22" s="12" t="str">
        <f>IFERROR(INDEX(MASTER!$F$2:$F$2000,MATCH($A22,MASTER!$A$2:$A$2000,0))&amp;"","")</f>
        <v>P3</v>
      </c>
      <c r="F22" s="12" t="str">
        <f>IFERROR(INDEX(MASTER!$G$2:$G$2000,MATCH($A22,MASTER!$A$2:$A$2000,0))&amp;"","NOT IN MASTER")</f>
        <v>DONE</v>
      </c>
      <c r="G22" s="12" t="str">
        <f>IFERROR(INDEX(MASTER!$H$2:$H$2000,MATCH($A22,MASTER!$A$2:$A$2000,0))&amp;"","")</f>
        <v>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v>
      </c>
      <c r="H22" s="12" t="str">
        <f>IFERROR(INDEX(MASTER!$I$2:$I$2000,MATCH($A22,MASTER!$A$2:$A$2000,0))&amp;"","")</f>
        <v>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v>
      </c>
      <c r="I22" s="19">
        <f>IFERROR(IF(INDEX(MASTER!$O$2:$O$2000,MATCH($A22,MASTER!$A$2:$A$2000,0))="","",INDEX(MASTER!$O$2:$O$2000,MATCH($A22,MASTER!$A$2:$A$2000,0))),"")</f>
        <v>46302.939097222217</v>
      </c>
      <c r="J22" s="12" t="str">
        <f>IFERROR(INDEX(MASTER!$P$2:$P$2000,MATCH($A22,MASTER!$A$2:$A$2000,0))&amp;"","")</f>
        <v>0fcf8bf</v>
      </c>
      <c r="K22" s="12" t="str">
        <f>IFERROR(INDEX(MASTER!$Q$2:$Q$2000,MATCH($A22,MASTER!$A$2:$A$2000,0))&amp;"","")</f>
        <v/>
      </c>
      <c r="L22" s="12" t="str">
        <f>IFERROR(INDEX(MASTER!$R$2:$R$2000,MATCH($A22,MASTER!$A$2:$A$2000,0))&amp;"","")</f>
        <v>DOCX-017</v>
      </c>
    </row>
    <row r="23" spans="1:12" x14ac:dyDescent="0.25">
      <c r="A23" s="15" t="s">
        <v>588</v>
      </c>
      <c r="B23" s="12" t="str">
        <f>IFERROR(INDEX(MASTER!$C$2:$C$2000,MATCH($A23,MASTER!$A$2:$A$2000,0))&amp;"","")</f>
        <v>DOCX</v>
      </c>
      <c r="C23" s="16">
        <f>IFERROR(INDEX(MASTER!$B$2:$B$2000,MATCH($A23,MASTER!$A$2:$A$2000,0)),"")</f>
        <v>3</v>
      </c>
      <c r="D23" s="12" t="str">
        <f>IFERROR(INDEX(MASTER!$D$2:$D$2000,MATCH($A23,MASTER!$A$2:$A$2000,0))&amp;"","")</f>
        <v>Images</v>
      </c>
      <c r="E23" s="12" t="str">
        <f>IFERROR(INDEX(MASTER!$F$2:$F$2000,MATCH($A23,MASTER!$A$2:$A$2000,0))&amp;"","")</f>
        <v>P0</v>
      </c>
      <c r="F23" s="12" t="str">
        <f>IFERROR(INDEX(MASTER!$G$2:$G$2000,MATCH($A23,MASTER!$A$2:$A$2000,0))&amp;"","NOT IN MASTER")</f>
        <v>DONE</v>
      </c>
      <c r="G23" s="12" t="str">
        <f>IFERROR(INDEX(MASTER!$H$2:$H$2000,MATCH($A23,MASTER!$A$2:$A$2000,0))&amp;"","")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3" s="12" t="str">
        <f>IFERROR(INDEX(MASTER!$I$2:$I$2000,MATCH($A23,MASTER!$A$2:$A$2000,0))&amp;"","")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3" s="19">
        <f>IFERROR(IF(INDEX(MASTER!$O$2:$O$2000,MATCH($A23,MASTER!$A$2:$A$2000,0))="","",INDEX(MASTER!$O$2:$O$2000,MATCH($A23,MASTER!$A$2:$A$2000,0))),"")</f>
        <v>46294.95752314815</v>
      </c>
      <c r="J23" s="12" t="str">
        <f>IFERROR(INDEX(MASTER!$P$2:$P$2000,MATCH($A23,MASTER!$A$2:$A$2000,0))&amp;"","")</f>
        <v>17dfd4d</v>
      </c>
      <c r="K23" s="12" t="str">
        <f>IFERROR(INDEX(MASTER!$Q$2:$Q$2000,MATCH($A23,MASTER!$A$2:$A$2000,0))&amp;"","")</f>
        <v>Alt text + title now exported (docPr descr/title) with DOCX-001; crop, rotation, WEBP still open.</v>
      </c>
      <c r="L23" s="12" t="str">
        <f>IFERROR(INDEX(MASTER!$R$2:$R$2000,MATCH($A23,MASTER!$A$2:$A$2000,0))&amp;"","")</f>
        <v/>
      </c>
    </row>
    <row r="24" spans="1:12" x14ac:dyDescent="0.25">
      <c r="A24" s="15" t="s">
        <v>595</v>
      </c>
      <c r="B24" s="12" t="str">
        <f>IFERROR(INDEX(MASTER!$C$2:$C$2000,MATCH($A24,MASTER!$A$2:$A$2000,0))&amp;"","")</f>
        <v>DOCX</v>
      </c>
      <c r="C24" s="16">
        <f>IFERROR(INDEX(MASTER!$B$2:$B$2000,MATCH($A24,MASTER!$A$2:$A$2000,0)),"")</f>
        <v>3</v>
      </c>
      <c r="D24" s="12" t="str">
        <f>IFERROR(INDEX(MASTER!$D$2:$D$2000,MATCH($A24,MASTER!$A$2:$A$2000,0))&amp;"","")</f>
        <v>Float pictures and wrap text around them here and in a PDF</v>
      </c>
      <c r="E24" s="12" t="str">
        <f>IFERROR(INDEX(MASTER!$F$2:$F$2000,MATCH($A24,MASTER!$A$2:$A$2000,0))&amp;"","")</f>
        <v>P2</v>
      </c>
      <c r="F24" s="12" t="str">
        <f>IFERROR(INDEX(MASTER!$G$2:$G$2000,MATCH($A24,MASTER!$A$2:$A$2000,0))&amp;"","NOT IN MASTER")</f>
        <v>DONE</v>
      </c>
      <c r="G24" s="12" t="str">
        <f>IFERROR(INDEX(MASTER!$H$2:$H$2000,MATCH($A24,MASTER!$A$2:$A$2000,0))&amp;"","")</f>
        <v>parsers/docx_pictures.py float_side, models/document.py ImagePlacement.side, parsers/docx.py (_text_column, notes), export/pdf_export.py (ImageAndFlowables), frontend editor/floatWrap.ts + pictureLook.ts; capabilities.py, docs/docx/README.md; manifests a04/a13/17</v>
      </c>
      <c r="H24" s="12" t="str">
        <f>IFERROR(INDEX(MASTER!$I$2:$I$2000,MATCH($A24,MASTER!$A$2:$A$2000,0))&amp;"","")</f>
        <v>tests/test_docx_pictures.py (16 new), pictureLook.test.ts (1 new), e2e/pictures.spec.ts (1 new); 5/5 mutations</v>
      </c>
      <c r="I24" s="19">
        <f>IFERROR(IF(INDEX(MASTER!$O$2:$O$2000,MATCH($A24,MASTER!$A$2:$A$2000,0))="","",INDEX(MASTER!$O$2:$O$2000,MATCH($A24,MASTER!$A$2:$A$2000,0))),"")</f>
        <v>46302.364317129628</v>
      </c>
      <c r="J24" s="12" t="str">
        <f>IFERROR(INDEX(MASTER!$P$2:$P$2000,MATCH($A24,MASTER!$A$2:$A$2000,0))&amp;"","")</f>
        <v>eb9009b</v>
      </c>
      <c r="K24" s="12" t="str">
        <f>IFERROR(INDEX(MASTER!$Q$2:$Q$2000,MATCH($A24,MASTER!$A$2:$A$2000,0))&amp;"","")</f>
        <v>2026-10-07: side from alignment or position; PDF wraps line by line; the editor (a flex column, no CSS floats) wraps block by block via floatWrap.ts. Behind/in front/top-and-bottom/centred stay in line.</v>
      </c>
      <c r="L24" s="12" t="str">
        <f>IFERROR(INDEX(MASTER!$R$2:$R$2000,MATCH($A24,MASTER!$A$2:$A$2000,0))&amp;"","")</f>
        <v>DOCX-018</v>
      </c>
    </row>
    <row r="25" spans="1:12" x14ac:dyDescent="0.25">
      <c r="A25" s="15" t="s">
        <v>602</v>
      </c>
      <c r="B25" s="12" t="str">
        <f>IFERROR(INDEX(MASTER!$C$2:$C$2000,MATCH($A25,MASTER!$A$2:$A$2000,0))&amp;"","")</f>
        <v>DOCX</v>
      </c>
      <c r="C25" s="16">
        <f>IFERROR(INDEX(MASTER!$B$2:$B$2000,MATCH($A25,MASTER!$A$2:$A$2000,0)),"")</f>
        <v>3</v>
      </c>
      <c r="D25" s="12" t="str">
        <f>IFERROR(INDEX(MASTER!$D$2:$D$2000,MATCH($A25,MASTER!$A$2:$A$2000,0))&amp;"","")</f>
        <v>Crop and turn pictures in the editor</v>
      </c>
      <c r="E25" s="12" t="str">
        <f>IFERROR(INDEX(MASTER!$F$2:$F$2000,MATCH($A25,MASTER!$A$2:$A$2000,0))&amp;"","")</f>
        <v>P3</v>
      </c>
      <c r="F25" s="12" t="str">
        <f>IFERROR(INDEX(MASTER!$G$2:$G$2000,MATCH($A25,MASTER!$A$2:$A$2000,0))&amp;"","NOT IN MASTER")</f>
        <v>DONE</v>
      </c>
      <c r="G25" s="12" t="str">
        <f>IFERROR(INDEX(MASTER!$H$2:$H$2000,MATCH($A25,MASTER!$A$2:$A$2000,0))&amp;"","")</f>
        <v>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v>
      </c>
      <c r="H25" s="12" t="str">
        <f>IFERROR(INDEX(MASTER!$I$2:$I$2000,MATCH($A25,MASTER!$A$2:$A$2000,0))&amp;"","")</f>
        <v>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v>
      </c>
      <c r="I25" s="19">
        <f>IFERROR(IF(INDEX(MASTER!$O$2:$O$2000,MATCH($A25,MASTER!$A$2:$A$2000,0))="","",INDEX(MASTER!$O$2:$O$2000,MATCH($A25,MASTER!$A$2:$A$2000,0))),"")</f>
        <v>46302.945914351847</v>
      </c>
      <c r="J25" s="12" t="str">
        <f>IFERROR(INDEX(MASTER!$P$2:$P$2000,MATCH($A25,MASTER!$A$2:$A$2000,0))&amp;"","")</f>
        <v>2366310</v>
      </c>
      <c r="K25" s="12" t="str">
        <f>IFERROR(INDEX(MASTER!$Q$2:$Q$2000,MATCH($A25,MASTER!$A$2:$A$2000,0))&amp;"","")</f>
        <v/>
      </c>
      <c r="L25" s="12" t="str">
        <f>IFERROR(INDEX(MASTER!$R$2:$R$2000,MATCH($A25,MASTER!$A$2:$A$2000,0))&amp;"","")</f>
        <v>DOCX-018</v>
      </c>
    </row>
    <row r="26" spans="1:12" x14ac:dyDescent="0.25">
      <c r="A26" s="15" t="s">
        <v>608</v>
      </c>
      <c r="B26" s="12" t="str">
        <f>IFERROR(INDEX(MASTER!$C$2:$C$2000,MATCH($A26,MASTER!$A$2:$A$2000,0))&amp;"","")</f>
        <v>DOCX</v>
      </c>
      <c r="C26" s="16">
        <f>IFERROR(INDEX(MASTER!$B$2:$B$2000,MATCH($A26,MASTER!$A$2:$A$2000,0)),"")</f>
        <v>3</v>
      </c>
      <c r="D26" s="12" t="str">
        <f>IFERROR(INDEX(MASTER!$D$2:$D$2000,MATCH($A26,MASTER!$A$2:$A$2000,0))&amp;"","")</f>
        <v>An SVG picture's PNG copy named</v>
      </c>
      <c r="E26" s="12" t="str">
        <f>IFERROR(INDEX(MASTER!$F$2:$F$2000,MATCH($A26,MASTER!$A$2:$A$2000,0))&amp;"","")</f>
        <v>P2</v>
      </c>
      <c r="F26" s="12" t="str">
        <f>IFERROR(INDEX(MASTER!$G$2:$G$2000,MATCH($A26,MASTER!$A$2:$A$2000,0))&amp;"","NOT IN MASTER")</f>
        <v>DONE</v>
      </c>
      <c r="G26" s="12" t="str">
        <f>IFERROR(INDEX(MASTER!$H$2:$H$2000,MATCH($A26,MASTER!$A$2:$A$2000,0))&amp;"","")</f>
        <v>parsers/docx.py (_image note), parsers/docx_pictures.py SVG_BLIP, export/docx_export.py _lost_in, capabilities.py, docs/docx/README.md; a04 manifest</v>
      </c>
      <c r="H26" s="12" t="str">
        <f>IFERROR(INDEX(MASTER!$I$2:$I$2000,MATCH($A26,MASTER!$A$2:$A$2000,0))&amp;"","")</f>
        <v>tests/test_docx_pictures.py::test_an_svg_picture_is_named_where_its_png_copy_stands_in_for_it; 2/2 mutations</v>
      </c>
      <c r="I26" s="19">
        <f>IFERROR(IF(INDEX(MASTER!$O$2:$O$2000,MATCH($A26,MASTER!$A$2:$A$2000,0))="","",INDEX(MASTER!$O$2:$O$2000,MATCH($A26,MASTER!$A$2:$A$2000,0))),"")</f>
        <v>46302.429178240738</v>
      </c>
      <c r="J26" s="12" t="str">
        <f>IFERROR(INDEX(MASTER!$P$2:$P$2000,MATCH($A26,MASTER!$A$2:$A$2000,0))&amp;"","")</f>
        <v>5c026b5</v>
      </c>
      <c r="K26" s="12" t="str">
        <f>IFERROR(INDEX(MASTER!$Q$2:$Q$2000,MATCH($A26,MASTER!$A$2:$A$2000,0))&amp;"","")</f>
        <v>2026-10-07: named at import (docx.image.svg) and in the rewritten-blocks report when written anew.</v>
      </c>
      <c r="L26" s="12" t="str">
        <f>IFERROR(INDEX(MASTER!$R$2:$R$2000,MATCH($A26,MASTER!$A$2:$A$2000,0))&amp;"","")</f>
        <v>DOCX-018</v>
      </c>
    </row>
    <row r="27" spans="1:12" x14ac:dyDescent="0.25">
      <c r="A27" s="15" t="s">
        <v>616</v>
      </c>
      <c r="B27" s="12" t="str">
        <f>IFERROR(INDEX(MASTER!$C$2:$C$2000,MATCH($A27,MASTER!$A$2:$A$2000,0))&amp;"","")</f>
        <v>DOCX</v>
      </c>
      <c r="C27" s="16">
        <f>IFERROR(INDEX(MASTER!$B$2:$B$2000,MATCH($A27,MASTER!$A$2:$A$2000,0)),"")</f>
        <v>3</v>
      </c>
      <c r="D27" s="12" t="str">
        <f>IFERROR(INDEX(MASTER!$D$2:$D$2000,MATCH($A27,MASTER!$A$2:$A$2000,0))&amp;"","")</f>
        <v>Drawings and text boxes preserved</v>
      </c>
      <c r="E27" s="12" t="str">
        <f>IFERROR(INDEX(MASTER!$F$2:$F$2000,MATCH($A27,MASTER!$A$2:$A$2000,0))&amp;"","")</f>
        <v>P1</v>
      </c>
      <c r="F27" s="12" t="str">
        <f>IFERROR(INDEX(MASTER!$G$2:$G$2000,MATCH($A27,MASTER!$A$2:$A$2000,0))&amp;"","NOT IN MASTER")</f>
        <v>DONE</v>
      </c>
      <c r="G27" s="12" t="str">
        <f>IFERROR(INDEX(MASTER!$H$2:$H$2000,MATCH($A27,MASTER!$A$2:$A$2000,0))&amp;"","")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7" s="12" t="str">
        <f>IFERROR(INDEX(MASTER!$I$2:$I$2000,MATCH($A27,MASTER!$A$2:$A$2000,0))&amp;"","")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7" s="19">
        <f>IFERROR(IF(INDEX(MASTER!$O$2:$O$2000,MATCH($A27,MASTER!$A$2:$A$2000,0))="","",INDEX(MASTER!$O$2:$O$2000,MATCH($A27,MASTER!$A$2:$A$2000,0))),"")</f>
        <v>46295.149537037039</v>
      </c>
      <c r="J27" s="12" t="str">
        <f>IFERROR(INDEX(MASTER!$P$2:$P$2000,MATCH($A27,MASTER!$A$2:$A$2000,0))&amp;"","")</f>
        <v>9b2249d</v>
      </c>
      <c r="K27" s="12" t="str">
        <f>IFERROR(INDEX(MASTER!$Q$2:$Q$2000,MATCH($A27,MASTER!$A$2:$A$2000,0))&amp;"","")</f>
        <v>DOCX-028: text boxes and drawings in unchanged paragraphs are copied as they are (grouped with their anchor paragraph).</v>
      </c>
      <c r="L27" s="12" t="str">
        <f>IFERROR(INDEX(MASTER!$R$2:$R$2000,MATCH($A27,MASTER!$A$2:$A$2000,0))&amp;"","")</f>
        <v/>
      </c>
    </row>
    <row r="28" spans="1:12" x14ac:dyDescent="0.25">
      <c r="A28" s="15" t="s">
        <v>623</v>
      </c>
      <c r="B28" s="12" t="str">
        <f>IFERROR(INDEX(MASTER!$C$2:$C$2000,MATCH($A28,MASTER!$A$2:$A$2000,0))&amp;"","")</f>
        <v>DOCX</v>
      </c>
      <c r="C28" s="16">
        <f>IFERROR(INDEX(MASTER!$B$2:$B$2000,MATCH($A28,MASTER!$A$2:$A$2000,0)),"")</f>
        <v>3</v>
      </c>
      <c r="D28" s="12" t="str">
        <f>IFERROR(INDEX(MASTER!$D$2:$D$2000,MATCH($A28,MASTER!$A$2:$A$2000,0))&amp;"","")</f>
        <v>Text boxes as boxes</v>
      </c>
      <c r="E28" s="12" t="str">
        <f>IFERROR(INDEX(MASTER!$F$2:$F$2000,MATCH($A28,MASTER!$A$2:$A$2000,0))&amp;"","")</f>
        <v>P2</v>
      </c>
      <c r="F28" s="12" t="str">
        <f>IFERROR(INDEX(MASTER!$G$2:$G$2000,MATCH($A28,MASTER!$A$2:$A$2000,0))&amp;"","NOT IN MASTER")</f>
        <v>DONE</v>
      </c>
      <c r="G28" s="12" t="str">
        <f>IFERROR(INDEX(MASTER!$H$2:$H$2000,MATCH($A28,MASTER!$A$2:$A$2000,0))&amp;"","")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8" s="12" t="str">
        <f>IFERROR(INDEX(MASTER!$I$2:$I$2000,MATCH($A28,MASTER!$A$2:$A$2000,0))&amp;"","")</f>
        <v>tests/test_text_boxes.py (6), test_docx_fidelity.py (VML box), textBox.test.ts (3), e2e/text-boxes.spec.ts; Word gate 60/60 (a09 keeps its boxes); 5/5 mutations</v>
      </c>
      <c r="I28" s="19">
        <f>IFERROR(IF(INDEX(MASTER!$O$2:$O$2000,MATCH($A28,MASTER!$A$2:$A$2000,0))="","",INDEX(MASTER!$O$2:$O$2000,MATCH($A28,MASTER!$A$2:$A$2000,0))),"")</f>
        <v>46302.452025462961</v>
      </c>
      <c r="J28" s="12" t="str">
        <f>IFERROR(INDEX(MASTER!$P$2:$P$2000,MATCH($A28,MASTER!$A$2:$A$2000,0))&amp;"","")</f>
        <v>d0e90fe</v>
      </c>
      <c r="K28" s="12" t="str">
        <f>IFERROR(INDEX(MASTER!$Q$2:$Q$2000,MATCH($A28,MASTER!$A$2:$A$2000,0))&amp;"","")</f>
        <v>2026-10-07: a box here, in a PDF and in Word; floating ones wrapped; exact position not editable; theme colours not read; translation skips it (said).</v>
      </c>
      <c r="L28" s="12" t="str">
        <f>IFERROR(INDEX(MASTER!$R$2:$R$2000,MATCH($A28,MASTER!$A$2:$A$2000,0))&amp;"","")</f>
        <v>DOCX-019</v>
      </c>
    </row>
    <row r="29" spans="1:12" x14ac:dyDescent="0.25">
      <c r="A29" s="15" t="s">
        <v>630</v>
      </c>
      <c r="B29" s="12" t="str">
        <f>IFERROR(INDEX(MASTER!$C$2:$C$2000,MATCH($A29,MASTER!$A$2:$A$2000,0))&amp;"","")</f>
        <v>DOCX</v>
      </c>
      <c r="C29" s="16">
        <f>IFERROR(INDEX(MASTER!$B$2:$B$2000,MATCH($A29,MASTER!$A$2:$A$2000,0)),"")</f>
        <v>3</v>
      </c>
      <c r="D29" s="12" t="str">
        <f>IFERROR(INDEX(MASTER!$D$2:$D$2000,MATCH($A29,MASTER!$A$2:$A$2000,0))&amp;"","")</f>
        <v>Fields</v>
      </c>
      <c r="E29" s="12" t="str">
        <f>IFERROR(INDEX(MASTER!$F$2:$F$2000,MATCH($A29,MASTER!$A$2:$A$2000,0))&amp;"","")</f>
        <v>P1</v>
      </c>
      <c r="F29" s="12" t="str">
        <f>IFERROR(INDEX(MASTER!$G$2:$G$2000,MATCH($A29,MASTER!$A$2:$A$2000,0))&amp;"","NOT IN MASTER")</f>
        <v>DONE</v>
      </c>
      <c r="G29" s="12" t="str">
        <f>IFERROR(INDEX(MASTER!$H$2:$H$2000,MATCH($A29,MASTER!$A$2:$A$2000,0))&amp;"","")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9" s="12" t="str">
        <f>IFERROR(INDEX(MASTER!$I$2:$I$2000,MATCH($A29,MASTER!$A$2:$A$2000,0))&amp;"","")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9" s="19">
        <f>IFERROR(IF(INDEX(MASTER!$O$2:$O$2000,MATCH($A29,MASTER!$A$2:$A$2000,0))="","",INDEX(MASTER!$O$2:$O$2000,MATCH($A29,MASTER!$A$2:$A$2000,0))),"")</f>
        <v>46295.315393518518</v>
      </c>
      <c r="J29" s="12" t="str">
        <f>IFERROR(INDEX(MASTER!$P$2:$P$2000,MATCH($A29,MASTER!$A$2:$A$2000,0))&amp;"","")</f>
        <v>2d8ad45</v>
      </c>
      <c r="K29" s="12" t="str">
        <f>IFERROR(INDEX(MASTER!$Q$2:$Q$2000,MATCH($A29,MASTER!$A$2:$A$2000,0))&amp;"","")</f>
        <v>DOCX-028: field codes in unchanged blocks are copied as they are; a field spanning paragraphs is never copied half (self-contained check).</v>
      </c>
      <c r="L29" s="12" t="str">
        <f>IFERROR(INDEX(MASTER!$R$2:$R$2000,MATCH($A29,MASTER!$A$2:$A$2000,0))&amp;"","")</f>
        <v/>
      </c>
    </row>
    <row r="30" spans="1:12" x14ac:dyDescent="0.25">
      <c r="A30" s="15" t="s">
        <v>639</v>
      </c>
      <c r="B30" s="12" t="str">
        <f>IFERROR(INDEX(MASTER!$C$2:$C$2000,MATCH($A30,MASTER!$A$2:$A$2000,0))&amp;"","")</f>
        <v>DOCX</v>
      </c>
      <c r="C30" s="16">
        <f>IFERROR(INDEX(MASTER!$B$2:$B$2000,MATCH($A30,MASTER!$A$2:$A$2000,0)),"")</f>
        <v>3</v>
      </c>
      <c r="D30" s="12" t="str">
        <f>IFERROR(INDEX(MASTER!$D$2:$D$2000,MATCH($A30,MASTER!$A$2:$A$2000,0))&amp;"","")</f>
        <v>Header fields beyond page numbers survive a header edited here</v>
      </c>
      <c r="E30" s="12" t="str">
        <f>IFERROR(INDEX(MASTER!$F$2:$F$2000,MATCH($A30,MASTER!$A$2:$A$2000,0))&amp;"","")</f>
        <v>P2</v>
      </c>
      <c r="F30" s="12" t="str">
        <f>IFERROR(INDEX(MASTER!$G$2:$G$2000,MATCH($A30,MASTER!$A$2:$A$2000,0))&amp;"","NOT IN MASTER")</f>
        <v>DONE</v>
      </c>
      <c r="G30" s="12" t="str">
        <f>IFERROR(INDEX(MASTER!$H$2:$H$2000,MATCH($A30,MASTER!$A$2:$A$2000,0))&amp;"","")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30" s="12" t="str">
        <f>IFERROR(INDEX(MASTER!$I$2:$I$2000,MATCH($A30,MASTER!$A$2:$A$2000,0))&amp;"","")</f>
        <v>backend/tests/test_header_fields.py (6); frontend/editor/headerFields.test.ts (2); mutations on policy check and PDF fill caught</v>
      </c>
      <c r="I30" s="19">
        <f>IFERROR(IF(INDEX(MASTER!$O$2:$O$2000,MATCH($A30,MASTER!$A$2:$A$2000,0))="","",INDEX(MASTER!$O$2:$O$2000,MATCH($A30,MASTER!$A$2:$A$2000,0))),"")</f>
        <v>46302.468935185178</v>
      </c>
      <c r="J30" s="12" t="str">
        <f>IFERROR(INDEX(MASTER!$P$2:$P$2000,MATCH($A30,MASTER!$A$2:$A$2000,0))&amp;"","")</f>
        <v>147bece</v>
      </c>
      <c r="K30" s="12" t="str">
        <f>IFERROR(INDEX(MASTER!$Q$2:$Q$2000,MATCH($A30,MASTER!$A$2:$A$2000,0))&amp;"","")</f>
        <v>Refused fields (also typed by hand), fields whose text holds | { }, and every field in a header past 500 characters become their result as text. An unedited header in the original stays untouched.</v>
      </c>
      <c r="L30" s="12" t="str">
        <f>IFERROR(INDEX(MASTER!$R$2:$R$2000,MATCH($A30,MASTER!$A$2:$A$2000,0))&amp;"","")</f>
        <v>DOCX-020</v>
      </c>
    </row>
    <row r="31" spans="1:12" x14ac:dyDescent="0.25">
      <c r="A31" s="15" t="s">
        <v>646</v>
      </c>
      <c r="B31" s="12" t="str">
        <f>IFERROR(INDEX(MASTER!$C$2:$C$2000,MATCH($A31,MASTER!$A$2:$A$2000,0))&amp;"","")</f>
        <v>DOCX</v>
      </c>
      <c r="C31" s="16">
        <f>IFERROR(INDEX(MASTER!$B$2:$B$2000,MATCH($A31,MASTER!$A$2:$A$2000,0)),"")</f>
        <v>3</v>
      </c>
      <c r="D31" s="12" t="str">
        <f>IFERROR(INDEX(MASTER!$D$2:$D$2000,MATCH($A31,MASTER!$A$2:$A$2000,0))&amp;"","")</f>
        <v>Comment threads</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1" s="12" t="str">
        <f>IFERROR(INDEX(MASTER!$I$2:$I$2000,MATCH($A31,MASTER!$A$2:$A$2000,0))&amp;"","")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1" s="19">
        <f>IFERROR(IF(INDEX(MASTER!$O$2:$O$2000,MATCH($A31,MASTER!$A$2:$A$2000,0))="","",INDEX(MASTER!$O$2:$O$2000,MATCH($A31,MASTER!$A$2:$A$2000,0))),"")</f>
        <v>46295.344861111109</v>
      </c>
      <c r="J31" s="12" t="str">
        <f>IFERROR(INDEX(MASTER!$P$2:$P$2000,MATCH($A31,MASTER!$A$2:$A$2000,0))&amp;"","")</f>
        <v>5c4bf69</v>
      </c>
      <c r="K31" s="12" t="str">
        <f>IFERROR(INDEX(MASTER!$Q$2:$Q$2000,MATCH($A31,MASTER!$A$2:$A$2000,0))&amp;"","")</f>
        <v>Found on the way (P0, pre-existing since DOCX-028): a block deleted in the editor comes back in a Word export into the original - tracked as DOCX-028B.</v>
      </c>
      <c r="L31" s="12" t="str">
        <f>IFERROR(INDEX(MASTER!$R$2:$R$2000,MATCH($A31,MASTER!$A$2:$A$2000,0))&amp;"","")</f>
        <v/>
      </c>
    </row>
    <row r="32" spans="1:12" x14ac:dyDescent="0.25">
      <c r="A32" s="15" t="s">
        <v>654</v>
      </c>
      <c r="B32" s="12" t="str">
        <f>IFERROR(INDEX(MASTER!$C$2:$C$2000,MATCH($A32,MASTER!$A$2:$A$2000,0))&amp;"","")</f>
        <v>DOCX</v>
      </c>
      <c r="C32" s="16">
        <f>IFERROR(INDEX(MASTER!$B$2:$B$2000,MATCH($A32,MASTER!$A$2:$A$2000,0)),"")</f>
        <v>3</v>
      </c>
      <c r="D32" s="12" t="str">
        <f>IFERROR(INDEX(MASTER!$D$2:$D$2000,MATCH($A32,MASTER!$A$2:$A$2000,0))&amp;"","")</f>
        <v>Tracked changes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2" s="12" t="str">
        <f>IFERROR(INDEX(MASTER!$I$2:$I$2000,MATCH($A32,MASTER!$A$2:$A$2000,0))&amp;"","")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2" s="19">
        <f>IFERROR(IF(INDEX(MASTER!$O$2:$O$2000,MATCH($A32,MASTER!$A$2:$A$2000,0))="","",INDEX(MASTER!$O$2:$O$2000,MATCH($A32,MASTER!$A$2:$A$2000,0))),"")</f>
        <v>46295.373912037037</v>
      </c>
      <c r="J32" s="12" t="str">
        <f>IFERROR(INDEX(MASTER!$P$2:$P$2000,MATCH($A32,MASTER!$A$2:$A$2000,0))&amp;"","")</f>
        <v>122d2a2</v>
      </c>
      <c r="K32" s="12" t="str">
        <f>IFERROR(INDEX(MASTER!$Q$2:$Q$2000,MATCH($A32,MASTER!$A$2:$A$2000,0))&amp;"","")</f>
        <v>DOCX-028: blocks holding tracked changes are never copied (always written anew, accepted), so this task's explicit choice is still needed.</v>
      </c>
      <c r="L32" s="12" t="str">
        <f>IFERROR(INDEX(MASTER!$R$2:$R$2000,MATCH($A32,MASTER!$A$2:$A$2000,0))&amp;"","")</f>
        <v/>
      </c>
    </row>
    <row r="33" spans="1:12" x14ac:dyDescent="0.25">
      <c r="A33" s="15" t="s">
        <v>661</v>
      </c>
      <c r="B33" s="12" t="str">
        <f>IFERROR(INDEX(MASTER!$C$2:$C$2000,MATCH($A33,MASTER!$A$2:$A$2000,0))&amp;"","")</f>
        <v>DOCX</v>
      </c>
      <c r="C33" s="16">
        <f>IFERROR(INDEX(MASTER!$B$2:$B$2000,MATCH($A33,MASTER!$A$2:$A$2000,0)),"")</f>
        <v>3</v>
      </c>
      <c r="D33" s="12" t="str">
        <f>IFERROR(INDEX(MASTER!$D$2:$D$2000,MATCH($A33,MASTER!$A$2:$A$2000,0))&amp;"","")</f>
        <v>Tracked changes: reject all, and deleted paragraph marks</v>
      </c>
      <c r="E33" s="12" t="str">
        <f>IFERROR(INDEX(MASTER!$F$2:$F$2000,MATCH($A33,MASTER!$A$2:$A$2000,0))&amp;"","")</f>
        <v>P2</v>
      </c>
      <c r="F33" s="12" t="str">
        <f>IFERROR(INDEX(MASTER!$G$2:$G$2000,MATCH($A33,MASTER!$A$2:$A$2000,0))&amp;"","NOT IN MASTER")</f>
        <v>DONE</v>
      </c>
      <c r="G33" s="12" t="str">
        <f>IFERROR(INDEX(MASTER!$H$2:$H$2000,MATCH($A33,MASTER!$A$2:$A$2000,0))&amp;"","")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3" s="12" t="str">
        <f>IFERROR(INDEX(MASTER!$I$2:$I$2000,MATCH($A33,MASTER!$A$2:$A$2000,0))&amp;"","")</f>
        <v>backend/tests/test_tracked_changes_reject.py (6; 8/8 mutations caught); test_docx_tracked_changes updated; TrackedChangesChoice.test.tsx (+3); services/api/documents.test.ts (+1); FidelityPanel.test.tsx updated; e2e tracked-changes.spec.ts (+1)</v>
      </c>
      <c r="I33" s="19">
        <f>IFERROR(IF(INDEX(MASTER!$O$2:$O$2000,MATCH($A33,MASTER!$A$2:$A$2000,0))="","",INDEX(MASTER!$O$2:$O$2000,MATCH($A33,MASTER!$A$2:$A$2000,0))),"")</f>
        <v>46302.500347222223</v>
      </c>
      <c r="J33" s="12" t="str">
        <f>IFERROR(INDEX(MASTER!$P$2:$P$2000,MATCH($A33,MASTER!$A$2:$A$2000,0))&amp;"","")</f>
        <v>1e15388</v>
      </c>
      <c r="K33" s="12" t="str">
        <f>IFERROR(INDEX(MASTER!$Q$2:$Q$2000,MATCH($A33,MASTER!$A$2:$A$2000,0))&amp;"","")</f>
        <v>Rejecting replaces edits made here (asked first, Undo restores). Once rejected, kept/accepted answer 409 (Undo is the way back).</v>
      </c>
      <c r="L33" s="12" t="str">
        <f>IFERROR(INDEX(MASTER!$R$2:$R$2000,MATCH($A33,MASTER!$A$2:$A$2000,0))&amp;"","")</f>
        <v>DOCX-022</v>
      </c>
    </row>
    <row r="34" spans="1:12" x14ac:dyDescent="0.25">
      <c r="A34" s="15" t="s">
        <v>668</v>
      </c>
      <c r="B34" s="12" t="str">
        <f>IFERROR(INDEX(MASTER!$C$2:$C$2000,MATCH($A34,MASTER!$A$2:$A$2000,0))&amp;"","")</f>
        <v>DOCX</v>
      </c>
      <c r="C34" s="16">
        <f>IFERROR(INDEX(MASTER!$B$2:$B$2000,MATCH($A34,MASTER!$A$2:$A$2000,0)),"")</f>
        <v>3</v>
      </c>
      <c r="D34" s="12" t="str">
        <f>IFERROR(INDEX(MASTER!$D$2:$D$2000,MATCH($A34,MASTER!$A$2:$A$2000,0))&amp;"","")</f>
        <v>Content controls preserved</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4" s="12" t="str">
        <f>IFERROR(INDEX(MASTER!$I$2:$I$2000,MATCH($A34,MASTER!$A$2:$A$2000,0))&amp;"","")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4" s="19">
        <f>IFERROR(IF(INDEX(MASTER!$O$2:$O$2000,MATCH($A34,MASTER!$A$2:$A$2000,0))="","",INDEX(MASTER!$O$2:$O$2000,MATCH($A34,MASTER!$A$2:$A$2000,0))),"")</f>
        <v>46295.550324074073</v>
      </c>
      <c r="J34" s="12" t="str">
        <f>IFERROR(INDEX(MASTER!$P$2:$P$2000,MATCH($A34,MASTER!$A$2:$A$2000,0))&amp;"","")</f>
        <v>256e7f6</v>
      </c>
      <c r="K34" s="12" t="str">
        <f>IFERROR(INDEX(MASTER!$Q$2:$Q$2000,MATCH($A34,MASTER!$A$2:$A$2000,0))&amp;"","")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4" s="12" t="str">
        <f>IFERROR(INDEX(MASTER!$R$2:$R$2000,MATCH($A34,MASTER!$A$2:$A$2000,0))&amp;"","")</f>
        <v/>
      </c>
    </row>
    <row r="35" spans="1:12" x14ac:dyDescent="0.25">
      <c r="A35" s="15" t="s">
        <v>675</v>
      </c>
      <c r="B35" s="12" t="str">
        <f>IFERROR(INDEX(MASTER!$C$2:$C$2000,MATCH($A35,MASTER!$A$2:$A$2000,0))&amp;"","")</f>
        <v>DOCX</v>
      </c>
      <c r="C35" s="16">
        <f>IFERROR(INDEX(MASTER!$B$2:$B$2000,MATCH($A35,MASTER!$A$2:$A$2000,0)),"")</f>
        <v>3</v>
      </c>
      <c r="D35" s="12" t="str">
        <f>IFERROR(INDEX(MASTER!$D$2:$D$2000,MATCH($A35,MASTER!$A$2:$A$2000,0))&amp;"","")</f>
        <v>Content controls in tables, lists and text boxes kept when written anew</v>
      </c>
      <c r="E35" s="12" t="str">
        <f>IFERROR(INDEX(MASTER!$F$2:$F$2000,MATCH($A35,MASTER!$A$2:$A$2000,0))&amp;"","")</f>
        <v>P2</v>
      </c>
      <c r="F35" s="12" t="str">
        <f>IFERROR(INDEX(MASTER!$G$2:$G$2000,MATCH($A35,MASTER!$A$2:$A$2000,0))&amp;"","NOT IN MASTER")</f>
        <v>DONE</v>
      </c>
      <c r="G35" s="12" t="str">
        <f>IFERROR(INDEX(MASTER!$H$2:$H$2000,MATCH($A35,MASTER!$A$2:$A$2000,0))&amp;"","")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5" s="12" t="str">
        <f>IFERROR(INDEX(MASTER!$I$2:$I$2000,MATCH($A35,MASTER!$A$2:$A$2000,0))&amp;"","")</f>
        <v>backend/tests/test_nested_content_controls.py (5); test_docx_content_controls.py (2 replacing 1); 11/11 mutations caught (+1 equivalent: attached marks have no note for controls); golden JSON + OpenAPI types regenerated</v>
      </c>
      <c r="I35" s="19">
        <f>IFERROR(IF(INDEX(MASTER!$O$2:$O$2000,MATCH($A35,MASTER!$A$2:$A$2000,0))="","",INDEX(MASTER!$O$2:$O$2000,MATCH($A35,MASTER!$A$2:$A$2000,0))),"")</f>
        <v>46302.524733796286</v>
      </c>
      <c r="J35" s="12" t="str">
        <f>IFERROR(INDEX(MASTER!$P$2:$P$2000,MATCH($A35,MASTER!$A$2:$A$2000,0))&amp;"","")</f>
        <v>081c993</v>
      </c>
      <c r="K35" s="12" t="str">
        <f>IFERROR(INDEX(MASTER!$Q$2:$Q$2000,MATCH($A35,MASTER!$A$2:$A$2000,0))&amp;"","")</f>
        <v>Word takes only rich-text controls around cells/rows. A row-level control's rows were silently(ish) dropped before -- the word check flagged it as changed.</v>
      </c>
      <c r="L35" s="12" t="str">
        <f>IFERROR(INDEX(MASTER!$R$2:$R$2000,MATCH($A35,MASTER!$A$2:$A$2000,0))&amp;"","")</f>
        <v>DOCX-023</v>
      </c>
    </row>
    <row r="36" spans="1:12" x14ac:dyDescent="0.25">
      <c r="A36" s="15" t="s">
        <v>682</v>
      </c>
      <c r="B36" s="12" t="str">
        <f>IFERROR(INDEX(MASTER!$C$2:$C$2000,MATCH($A36,MASTER!$A$2:$A$2000,0))&amp;"","")</f>
        <v>DOCX</v>
      </c>
      <c r="C36" s="16">
        <f>IFERROR(INDEX(MASTER!$B$2:$B$2000,MATCH($A36,MASTER!$A$2:$A$2000,0)),"")</f>
        <v>3</v>
      </c>
      <c r="D36" s="12" t="str">
        <f>IFERROR(INDEX(MASTER!$D$2:$D$2000,MATCH($A36,MASTER!$A$2:$A$2000,0))&amp;"","")</f>
        <v>Real footnotes and endnotes</v>
      </c>
      <c r="E36" s="12" t="str">
        <f>IFERROR(INDEX(MASTER!$F$2:$F$2000,MATCH($A36,MASTER!$A$2:$A$2000,0))&amp;"","")</f>
        <v>P1</v>
      </c>
      <c r="F36" s="12" t="str">
        <f>IFERROR(INDEX(MASTER!$G$2:$G$2000,MATCH($A36,MASTER!$A$2:$A$2000,0))&amp;"","NOT IN MASTER")</f>
        <v>DONE</v>
      </c>
      <c r="G36" s="12" t="str">
        <f>IFERROR(INDEX(MASTER!$H$2:$H$2000,MATCH($A36,MASTER!$A$2:$A$2000,0))&amp;"","")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6" s="12" t="str">
        <f>IFERROR(INDEX(MASTER!$I$2:$I$2000,MATCH($A36,MASTER!$A$2:$A$2000,0))&amp;"","")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6" s="19">
        <f>IFERROR(IF(INDEX(MASTER!$O$2:$O$2000,MATCH($A36,MASTER!$A$2:$A$2000,0))="","",INDEX(MASTER!$O$2:$O$2000,MATCH($A36,MASTER!$A$2:$A$2000,0))),"")</f>
        <v>46295.566446759258</v>
      </c>
      <c r="J36" s="12" t="str">
        <f>IFERROR(INDEX(MASTER!$P$2:$P$2000,MATCH($A36,MASTER!$A$2:$A$2000,0))&amp;"","")</f>
        <v>4cd515b</v>
      </c>
      <c r="K36" s="12" t="str">
        <f>IFERROR(INDEX(MASTER!$Q$2:$Q$2000,MATCH($A36,MASTER!$A$2:$A$2000,0))&amp;"","")</f>
        <v/>
      </c>
      <c r="L36" s="12" t="str">
        <f>IFERROR(INDEX(MASTER!$R$2:$R$2000,MATCH($A36,MASTER!$A$2:$A$2000,0))&amp;"","")</f>
        <v/>
      </c>
    </row>
    <row r="37" spans="1:12" x14ac:dyDescent="0.25">
      <c r="A37" s="15" t="s">
        <v>688</v>
      </c>
      <c r="B37" s="12" t="str">
        <f>IFERROR(INDEX(MASTER!$C$2:$C$2000,MATCH($A37,MASTER!$A$2:$A$2000,0))&amp;"","")</f>
        <v>DOCX</v>
      </c>
      <c r="C37" s="16">
        <f>IFERROR(INDEX(MASTER!$B$2:$B$2000,MATCH($A37,MASTER!$A$2:$A$2000,0)),"")</f>
        <v>3</v>
      </c>
      <c r="D37" s="12" t="str">
        <f>IFERROR(INDEX(MASTER!$D$2:$D$2000,MATCH($A37,MASTER!$A$2:$A$2000,0))&amp;"","")</f>
        <v>Hidden text stays hidden</v>
      </c>
      <c r="E37" s="12" t="str">
        <f>IFERROR(INDEX(MASTER!$F$2:$F$2000,MATCH($A37,MASTER!$A$2:$A$2000,0))&amp;"","")</f>
        <v>P0</v>
      </c>
      <c r="F37" s="12" t="str">
        <f>IFERROR(INDEX(MASTER!$G$2:$G$2000,MATCH($A37,MASTER!$A$2:$A$2000,0))&amp;"","NOT IN MASTER")</f>
        <v>DONE</v>
      </c>
      <c r="G37" s="12" t="str">
        <f>IFERROR(INDEX(MASTER!$H$2:$H$2000,MATCH($A37,MASTER!$A$2:$A$2000,0))&amp;"","")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7" s="12" t="str">
        <f>IFERROR(INDEX(MASTER!$I$2:$I$2000,MATCH($A37,MASTER!$A$2:$A$2000,0))&amp;"","")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7" s="19">
        <f>IFERROR(IF(INDEX(MASTER!$O$2:$O$2000,MATCH($A37,MASTER!$A$2:$A$2000,0))="","",INDEX(MASTER!$O$2:$O$2000,MATCH($A37,MASTER!$A$2:$A$2000,0))),"")</f>
        <v>46292.793113425927</v>
      </c>
      <c r="J37" s="12" t="str">
        <f>IFERROR(INDEX(MASTER!$P$2:$P$2000,MATCH($A37,MASTER!$A$2:$A$2000,0))&amp;"","")</f>
        <v>7d1af86</v>
      </c>
      <c r="K37" s="12" t="str">
        <f>IFERROR(INDEX(MASTER!$Q$2:$Q$2000,MATCH($A37,MASTER!$A$2:$A$2000,0))&amp;"","")</f>
        <v>DOCX-028: vanish survives in unchanged blocks only; the model still shows hidden text as ordinary text - next task.</v>
      </c>
      <c r="L37" s="12" t="str">
        <f>IFERROR(INDEX(MASTER!$R$2:$R$2000,MATCH($A37,MASTER!$A$2:$A$2000,0))&amp;"","")</f>
        <v/>
      </c>
    </row>
    <row r="38" spans="1:12" x14ac:dyDescent="0.25">
      <c r="A38" s="15" t="s">
        <v>696</v>
      </c>
      <c r="B38" s="12" t="str">
        <f>IFERROR(INDEX(MASTER!$C$2:$C$2000,MATCH($A38,MASTER!$A$2:$A$2000,0))&amp;"","")</f>
        <v>DOCX</v>
      </c>
      <c r="C38" s="16">
        <f>IFERROR(INDEX(MASTER!$B$2:$B$2000,MATCH($A38,MASTER!$A$2:$A$2000,0)),"")</f>
        <v>3</v>
      </c>
      <c r="D38" s="12" t="str">
        <f>IFERROR(INDEX(MASTER!$D$2:$D$2000,MATCH($A38,MASTER!$A$2:$A$2000,0))&amp;"","")</f>
        <v>Hyperlink policy and no silent autolink</v>
      </c>
      <c r="E38" s="12" t="str">
        <f>IFERROR(INDEX(MASTER!$F$2:$F$2000,MATCH($A38,MASTER!$A$2:$A$2000,0))&amp;"","")</f>
        <v>P0</v>
      </c>
      <c r="F38" s="12" t="str">
        <f>IFERROR(INDEX(MASTER!$G$2:$G$2000,MATCH($A38,MASTER!$A$2:$A$2000,0))&amp;"","NOT IN MASTER")</f>
        <v>DONE</v>
      </c>
      <c r="G38" s="12" t="str">
        <f>IFERROR(INDEX(MASTER!$H$2:$H$2000,MATCH($A38,MASTER!$A$2:$A$2000,0))&amp;"","")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8" s="12" t="str">
        <f>IFERROR(INDEX(MASTER!$I$2:$I$2000,MATCH($A38,MASTER!$A$2:$A$2000,0))&amp;"","")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8" s="19">
        <f>IFERROR(IF(INDEX(MASTER!$O$2:$O$2000,MATCH($A38,MASTER!$A$2:$A$2000,0))="","",INDEX(MASTER!$O$2:$O$2000,MATCH($A38,MASTER!$A$2:$A$2000,0))),"")</f>
        <v>46295.115312499998</v>
      </c>
      <c r="J38" s="12" t="str">
        <f>IFERROR(INDEX(MASTER!$P$2:$P$2000,MATCH($A38,MASTER!$A$2:$A$2000,0))&amp;"","")</f>
        <v>914476f</v>
      </c>
      <c r="K38" s="12" t="str">
        <f>IFERROR(INDEX(MASTER!$Q$2:$Q$2000,MATCH($A38,MASTER!$A$2:$A$2000,0))&amp;"","")</f>
        <v>Done: links to unsafe addresses (javascript:, file:, UNC...) are kept as plain text and reported (docx.link.unsafe); plain-text addresses turned into links are reported (docx.autolink). Remaining: stop autolinking by default (a setting), per the task.</v>
      </c>
      <c r="L38" s="12" t="str">
        <f>IFERROR(INDEX(MASTER!$R$2:$R$2000,MATCH($A38,MASTER!$A$2:$A$2000,0))&amp;"","")</f>
        <v/>
      </c>
    </row>
    <row r="39" spans="1:12" x14ac:dyDescent="0.25">
      <c r="A39" s="15" t="s">
        <v>743</v>
      </c>
      <c r="B39" s="12" t="str">
        <f>IFERROR(INDEX(MASTER!$C$2:$C$2000,MATCH($A39,MASTER!$A$2:$A$2000,0))&amp;"","")</f>
        <v>DOCX</v>
      </c>
      <c r="C39" s="16">
        <f>IFERROR(INDEX(MASTER!$B$2:$B$2000,MATCH($A39,MASTER!$A$2:$A$2000,0)),"")</f>
        <v>3</v>
      </c>
      <c r="D39" s="12" t="str">
        <f>IFERROR(INDEX(MASTER!$D$2:$D$2000,MATCH($A39,MASTER!$A$2:$A$2000,0))&amp;"","")</f>
        <v>Importer builds nested blocks</v>
      </c>
      <c r="E39" s="12" t="str">
        <f>IFERROR(INDEX(MASTER!$F$2:$F$2000,MATCH($A39,MASTER!$A$2:$A$2000,0))&amp;"","")</f>
        <v>P0</v>
      </c>
      <c r="F39" s="12" t="str">
        <f>IFERROR(INDEX(MASTER!$G$2:$G$2000,MATCH($A39,MASTER!$A$2:$A$2000,0))&amp;"","NOT IN MASTER")</f>
        <v>DONE</v>
      </c>
      <c r="G39" s="12" t="str">
        <f>IFERROR(INDEX(MASTER!$H$2:$H$2000,MATCH($A39,MASTER!$A$2:$A$2000,0))&amp;"","")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9" s="12" t="str">
        <f>IFERROR(INDEX(MASTER!$I$2:$I$2000,MATCH($A39,MASTER!$A$2:$A$2000,0))&amp;"","")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9" s="19">
        <f>IFERROR(IF(INDEX(MASTER!$O$2:$O$2000,MATCH($A39,MASTER!$A$2:$A$2000,0))="","",INDEX(MASTER!$O$2:$O$2000,MATCH($A39,MASTER!$A$2:$A$2000,0))),"")</f>
        <v>46294.96597222222</v>
      </c>
      <c r="J39" s="12" t="str">
        <f>IFERROR(INDEX(MASTER!$P$2:$P$2000,MATCH($A39,MASTER!$A$2:$A$2000,0))&amp;"","")</f>
        <v>a6c0b98</v>
      </c>
      <c r="K39" s="12" t="str">
        <f>IFERROR(INDEX(MASTER!$Q$2:$Q$2000,MATCH($A39,MASTER!$A$2:$A$2000,0))&amp;"","")</f>
        <v/>
      </c>
      <c r="L39" s="12" t="str">
        <f>IFERROR(INDEX(MASTER!$R$2:$R$2000,MATCH($A39,MASTER!$A$2:$A$2000,0))&amp;"","")</f>
        <v/>
      </c>
    </row>
    <row r="40" spans="1:12" x14ac:dyDescent="0.25">
      <c r="A40" s="15" t="s">
        <v>750</v>
      </c>
      <c r="B40" s="12" t="str">
        <f>IFERROR(INDEX(MASTER!$C$2:$C$2000,MATCH($A40,MASTER!$A$2:$A$2000,0))&amp;"","")</f>
        <v>DOCX</v>
      </c>
      <c r="C40" s="16">
        <f>IFERROR(INDEX(MASTER!$B$2:$B$2000,MATCH($A40,MASTER!$A$2:$A$2000,0)),"")</f>
        <v>3</v>
      </c>
      <c r="D40" s="12" t="str">
        <f>IFERROR(INDEX(MASTER!$D$2:$D$2000,MATCH($A40,MASTER!$A$2:$A$2000,0))&amp;"","")</f>
        <v>An item that is only a picture shows its number beside it</v>
      </c>
      <c r="E40" s="12" t="str">
        <f>IFERROR(INDEX(MASTER!$F$2:$F$2000,MATCH($A40,MASTER!$A$2:$A$2000,0))&amp;"","")</f>
        <v>P3</v>
      </c>
      <c r="F40" s="12" t="str">
        <f>IFERROR(INDEX(MASTER!$G$2:$G$2000,MATCH($A40,MASTER!$A$2:$A$2000,0))&amp;"","NOT IN MASTER")</f>
        <v>DONE</v>
      </c>
      <c r="G40" s="12" t="str">
        <f>IFERROR(INDEX(MASTER!$H$2:$H$2000,MATCH($A40,MASTER!$A$2:$A$2000,0))&amp;"","")</f>
        <v>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v>
      </c>
      <c r="H40" s="12" t="str">
        <f>IFERROR(INDEX(MASTER!$I$2:$I$2000,MATCH($A40,MASTER!$A$2:$A$2000,0))&amp;"","")</f>
        <v>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v>
      </c>
      <c r="I40" s="19">
        <f>IFERROR(IF(INDEX(MASTER!$O$2:$O$2000,MATCH($A40,MASTER!$A$2:$A$2000,0))="","",INDEX(MASTER!$O$2:$O$2000,MATCH($A40,MASTER!$A$2:$A$2000,0))),"")</f>
        <v>46302.96539351852</v>
      </c>
      <c r="J40" s="12" t="str">
        <f>IFERROR(INDEX(MASTER!$P$2:$P$2000,MATCH($A40,MASTER!$A$2:$A$2000,0))&amp;"","")</f>
        <v>f81a433</v>
      </c>
      <c r="K40" s="12" t="str">
        <f>IFERROR(INDEX(MASTER!$Q$2:$Q$2000,MATCH($A40,MASTER!$A$2:$A$2000,0))&amp;"","")</f>
        <v/>
      </c>
      <c r="L40" s="12" t="str">
        <f>IFERROR(INDEX(MASTER!$R$2:$R$2000,MATCH($A40,MASTER!$A$2:$A$2000,0))&amp;"","")</f>
        <v>DOCX-027</v>
      </c>
    </row>
    <row r="41" spans="1:12" x14ac:dyDescent="0.25">
      <c r="A41" s="15" t="s">
        <v>756</v>
      </c>
      <c r="B41" s="12" t="str">
        <f>IFERROR(INDEX(MASTER!$C$2:$C$2000,MATCH($A41,MASTER!$A$2:$A$2000,0))&amp;"","")</f>
        <v>DOCX</v>
      </c>
      <c r="C41" s="16">
        <f>IFERROR(INDEX(MASTER!$B$2:$B$2000,MATCH($A41,MASTER!$A$2:$A$2000,0)),"")</f>
        <v>3</v>
      </c>
      <c r="D41" s="12" t="str">
        <f>IFERROR(INDEX(MASTER!$D$2:$D$2000,MATCH($A41,MASTER!$A$2:$A$2000,0))&amp;"","")</f>
        <v>Unchanged blocks keep their original XML in Word exports</v>
      </c>
      <c r="E41" s="12" t="str">
        <f>IFERROR(INDEX(MASTER!$F$2:$F$2000,MATCH($A41,MASTER!$A$2:$A$2000,0))&amp;"","")</f>
        <v>P1</v>
      </c>
      <c r="F41" s="12" t="str">
        <f>IFERROR(INDEX(MASTER!$G$2:$G$2000,MATCH($A41,MASTER!$A$2:$A$2000,0))&amp;"","NOT IN MASTER")</f>
        <v>DONE</v>
      </c>
      <c r="G41" s="12" t="str">
        <f>IFERROR(INDEX(MASTER!$H$2:$H$2000,MATCH($A41,MASTER!$A$2:$A$2000,0))&amp;"","")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1" s="12" t="str">
        <f>IFERROR(INDEX(MASTER!$I$2:$I$2000,MATCH($A41,MASTER!$A$2:$A$2000,0))&amp;"","")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1" s="19">
        <f>IFERROR(IF(INDEX(MASTER!$O$2:$O$2000,MATCH($A41,MASTER!$A$2:$A$2000,0))="","",INDEX(MASTER!$O$2:$O$2000,MATCH($A41,MASTER!$A$2:$A$2000,0))),"")</f>
        <v>46292.781261574077</v>
      </c>
      <c r="J41" s="12" t="str">
        <f>IFERROR(INDEX(MASTER!$P$2:$P$2000,MATCH($A41,MASTER!$A$2:$A$2000,0))&amp;"","")</f>
        <v>c8c2d27</v>
      </c>
      <c r="K41" s="12" t="str">
        <f>IFERROR(INDEX(MASTER!$Q$2:$Q$2000,MATCH($A41,MASTER!$A$2:$A$2000,0))&amp;"","")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1" s="12" t="str">
        <f>IFERROR(INDEX(MASTER!$R$2:$R$2000,MATCH($A41,MASTER!$A$2:$A$2000,0))&amp;"","")</f>
        <v/>
      </c>
    </row>
    <row r="42" spans="1:12" x14ac:dyDescent="0.25">
      <c r="A42" s="15" t="s">
        <v>763</v>
      </c>
      <c r="B42" s="12" t="str">
        <f>IFERROR(INDEX(MASTER!$C$2:$C$2000,MATCH($A42,MASTER!$A$2:$A$2000,0))&amp;"","")</f>
        <v>DOCX</v>
      </c>
      <c r="C42" s="16">
        <f>IFERROR(INDEX(MASTER!$B$2:$B$2000,MATCH($A42,MASTER!$A$2:$A$2000,0)),"")</f>
        <v>3</v>
      </c>
      <c r="D42" s="12" t="str">
        <f>IFERROR(INDEX(MASTER!$D$2:$D$2000,MATCH($A42,MASTER!$A$2:$A$2000,0))&amp;"","")</f>
        <v>Fingerprints stay stable as the model grows</v>
      </c>
      <c r="E42" s="12" t="str">
        <f>IFERROR(INDEX(MASTER!$F$2:$F$2000,MATCH($A42,MASTER!$A$2:$A$2000,0))&amp;"","")</f>
        <v>P1</v>
      </c>
      <c r="F42" s="12" t="str">
        <f>IFERROR(INDEX(MASTER!$G$2:$G$2000,MATCH($A42,MASTER!$A$2:$A$2000,0))&amp;"","NOT IN MASTER")</f>
        <v>DONE</v>
      </c>
      <c r="G42" s="12" t="str">
        <f>IFERROR(INDEX(MASTER!$H$2:$H$2000,MATCH($A42,MASTER!$A$2:$A$2000,0))&amp;"","")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2" s="12" t="str">
        <f>IFERROR(INDEX(MASTER!$I$2:$I$2000,MATCH($A42,MASTER!$A$2:$A$2000,0))&amp;"","")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2" s="19">
        <f>IFERROR(IF(INDEX(MASTER!$O$2:$O$2000,MATCH($A42,MASTER!$A$2:$A$2000,0))="","",INDEX(MASTER!$O$2:$O$2000,MATCH($A42,MASTER!$A$2:$A$2000,0))),"")</f>
        <v>46294.957557870373</v>
      </c>
      <c r="J42" s="12" t="str">
        <f>IFERROR(INDEX(MASTER!$P$2:$P$2000,MATCH($A42,MASTER!$A$2:$A$2000,0))&amp;"","")</f>
        <v>17dfd4d</v>
      </c>
      <c r="K42" s="12" t="str">
        <f>IFERROR(INDEX(MASTER!$Q$2:$Q$2000,MATCH($A42,MASTER!$A$2:$A$2000,0))&amp;"","")</f>
        <v/>
      </c>
      <c r="L42" s="12" t="str">
        <f>IFERROR(INDEX(MASTER!$R$2:$R$2000,MATCH($A42,MASTER!$A$2:$A$2000,0))&amp;"","")</f>
        <v>DOCX-028</v>
      </c>
    </row>
    <row r="43" spans="1:12" x14ac:dyDescent="0.25">
      <c r="A43" s="15" t="s">
        <v>768</v>
      </c>
      <c r="B43" s="12" t="str">
        <f>IFERROR(INDEX(MASTER!$C$2:$C$2000,MATCH($A43,MASTER!$A$2:$A$2000,0))&amp;"","")</f>
        <v>DOCX</v>
      </c>
      <c r="C43" s="16">
        <f>IFERROR(INDEX(MASTER!$B$2:$B$2000,MATCH($A43,MASTER!$A$2:$A$2000,0)),"")</f>
        <v>3</v>
      </c>
      <c r="D43" s="12" t="str">
        <f>IFERROR(INDEX(MASTER!$D$2:$D$2000,MATCH($A43,MASTER!$A$2:$A$2000,0))&amp;"","")</f>
        <v>Blocks deleted here never come back in a Word export</v>
      </c>
      <c r="E43" s="12" t="str">
        <f>IFERROR(INDEX(MASTER!$F$2:$F$2000,MATCH($A43,MASTER!$A$2:$A$2000,0))&amp;"","")</f>
        <v>P0</v>
      </c>
      <c r="F43" s="12" t="str">
        <f>IFERROR(INDEX(MASTER!$G$2:$G$2000,MATCH($A43,MASTER!$A$2:$A$2000,0))&amp;"","NOT IN MASTER")</f>
        <v>DONE</v>
      </c>
      <c r="G43" s="12" t="str">
        <f>IFERROR(INDEX(MASTER!$H$2:$H$2000,MATCH($A43,MASTER!$A$2:$A$2000,0))&amp;"","")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3" s="12" t="str">
        <f>IFERROR(INDEX(MASTER!$I$2:$I$2000,MATCH($A43,MASTER!$A$2:$A$2000,0))&amp;"","")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3" s="19">
        <f>IFERROR(IF(INDEX(MASTER!$O$2:$O$2000,MATCH($A43,MASTER!$A$2:$A$2000,0))="","",INDEX(MASTER!$O$2:$O$2000,MATCH($A43,MASTER!$A$2:$A$2000,0))),"")</f>
        <v>46295.354259259257</v>
      </c>
      <c r="J43" s="12" t="str">
        <f>IFERROR(INDEX(MASTER!$P$2:$P$2000,MATCH($A43,MASTER!$A$2:$A$2000,0))&amp;"","")</f>
        <v>0485210</v>
      </c>
      <c r="K43" s="12" t="str">
        <f>IFERROR(INDEX(MASTER!$Q$2:$Q$2000,MATCH($A43,MASTER!$A$2:$A$2000,0))&amp;"","")</f>
        <v>Found while finishing DOCX-021 (2026-09-30): three paragraphs, the second deleted -&gt; all three in the export.</v>
      </c>
      <c r="L43" s="12" t="str">
        <f>IFERROR(INDEX(MASTER!$R$2:$R$2000,MATCH($A43,MASTER!$A$2:$A$2000,0))&amp;"","")</f>
        <v>DOCX-028</v>
      </c>
    </row>
    <row r="44" spans="1:12" x14ac:dyDescent="0.25">
      <c r="A44" s="15" t="s">
        <v>775</v>
      </c>
      <c r="B44" s="12" t="str">
        <f>IFERROR(INDEX(MASTER!$C$2:$C$2000,MATCH($A44,MASTER!$A$2:$A$2000,0))&amp;"","")</f>
        <v>DOCX</v>
      </c>
      <c r="C44" s="16">
        <f>IFERROR(INDEX(MASTER!$B$2:$B$2000,MATCH($A44,MASTER!$A$2:$A$2000,0)),"")</f>
        <v>3</v>
      </c>
      <c r="D44" s="12" t="str">
        <f>IFERROR(INDEX(MASTER!$D$2:$D$2000,MATCH($A44,MASTER!$A$2:$A$2000,0))&amp;"","")</f>
        <v>Restyled blocks keep their original XML where nothing conflicts</v>
      </c>
      <c r="E44" s="12" t="str">
        <f>IFERROR(INDEX(MASTER!$F$2:$F$2000,MATCH($A44,MASTER!$A$2:$A$2000,0))&amp;"","")</f>
        <v>P2</v>
      </c>
      <c r="F44" s="12" t="str">
        <f>IFERROR(INDEX(MASTER!$G$2:$G$2000,MATCH($A44,MASTER!$A$2:$A$2000,0))&amp;"","NOT IN MASTER")</f>
        <v>DONE</v>
      </c>
      <c r="G44" s="12" t="str">
        <f>IFERROR(INDEX(MASTER!$H$2:$H$2000,MATCH($A44,MASTER!$A$2:$A$2000,0))&amp;"","")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4" s="12" t="str">
        <f>IFERROR(INDEX(MASTER!$I$2:$I$2000,MATCH($A44,MASTER!$A$2:$A$2000,0))&amp;"","")</f>
        <v>backend/tests/test_restyled_blocks.py (8); 7/7 mutations caught (+1 defensive guard unreachable by current rules); golden JSON + OpenAPI regenerated</v>
      </c>
      <c r="I44" s="19">
        <f>IFERROR(IF(INDEX(MASTER!$O$2:$O$2000,MATCH($A44,MASTER!$A$2:$A$2000,0))="","",INDEX(MASTER!$O$2:$O$2000,MATCH($A44,MASTER!$A$2:$A$2000,0))),"")</f>
        <v>46302.636307870373</v>
      </c>
      <c r="J44" s="12" t="str">
        <f>IFERROR(INDEX(MASTER!$P$2:$P$2000,MATCH($A44,MASTER!$A$2:$A$2000,0))&amp;"","")</f>
        <v>0b01b81</v>
      </c>
      <c r="K44" s="12" t="str">
        <f>IFERROR(INDEX(MASTER!$Q$2:$Q$2000,MATCH($A44,MASTER!$A$2:$A$2000,0))&amp;"","")</f>
        <v>Documents stamped before DOCX-029 (no sourceStyles) restyle as before; lists/tables/quotes/multi-paragraph blocks still written anew when restyled.</v>
      </c>
      <c r="L44" s="12" t="str">
        <f>IFERROR(INDEX(MASTER!$R$2:$R$2000,MATCH($A44,MASTER!$A$2:$A$2000,0))&amp;"","")</f>
        <v/>
      </c>
    </row>
  </sheetData>
  <autoFilter ref="A7:L44" xr:uid="{00000000-0009-0000-0000-000004000000}"/>
  <conditionalFormatting sqref="E8:E44">
    <cfRule type="cellIs" dxfId="290" priority="19" operator="equal">
      <formula>"P0"</formula>
    </cfRule>
    <cfRule type="cellIs" dxfId="289" priority="20" operator="equal">
      <formula>"P1"</formula>
    </cfRule>
  </conditionalFormatting>
  <conditionalFormatting sqref="F8:F4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1548</v>
      </c>
    </row>
    <row r="2" spans="1:12" x14ac:dyDescent="0.25">
      <c r="A2" s="4" t="s">
        <v>1549</v>
      </c>
    </row>
    <row r="3" spans="1:12" x14ac:dyDescent="0.25">
      <c r="A3" s="6" t="s">
        <v>45</v>
      </c>
      <c r="B3" s="6" t="s">
        <v>46</v>
      </c>
      <c r="C3" s="6" t="s">
        <v>47</v>
      </c>
      <c r="D3" s="6" t="s">
        <v>13</v>
      </c>
      <c r="E3" s="6" t="s">
        <v>16</v>
      </c>
      <c r="F3" s="6" t="s">
        <v>19</v>
      </c>
      <c r="G3" s="6" t="s">
        <v>48</v>
      </c>
      <c r="H3" s="6" t="s">
        <v>33</v>
      </c>
    </row>
    <row r="4" spans="1:12" x14ac:dyDescent="0.25">
      <c r="A4" s="7">
        <f>COUNTIF(MASTER!$C$2:$C$2000,"PDF")</f>
        <v>7</v>
      </c>
      <c r="B4" s="7">
        <f>COUNTIFS(MASTER!$C$2:$C$2000,"PDF",MASTER!$G$2:$G$2000,"DONE")</f>
        <v>7</v>
      </c>
      <c r="C4" s="7">
        <f>COUNTIFS(MASTER!$C$2:$C$2000,"PDF",MASTER!$G$2:$G$2000,"VERIFIED")+B4</f>
        <v>7</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1</v>
      </c>
      <c r="H4" s="9">
        <f>IF(A4=0,0,C4/A4)</f>
        <v>1</v>
      </c>
    </row>
    <row r="6" spans="1:12" ht="15.75" x14ac:dyDescent="0.25">
      <c r="A6" s="5" t="s">
        <v>1545</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347</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788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1022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1029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1034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1095</v>
      </c>
      <c r="B13" s="12" t="str">
        <f>IFERROR(INDEX(MASTER!$C$2:$C$2000,MATCH($A13,MASTER!$A$2:$A$2000,0))&amp;"","")</f>
        <v>PDF</v>
      </c>
      <c r="C13" s="16">
        <f>IFERROR(INDEX(MASTER!$B$2:$B$2000,MATCH($A13,MASTER!$A$2:$A$2000,0)),"")</f>
        <v>8</v>
      </c>
      <c r="D13" s="12" t="str">
        <f>IFERROR(INDEX(MASTER!$D$2:$D$2000,MATCH($A13,MASTER!$A$2:$A$2000,0))&amp;"","")</f>
        <v>PDF lists in Bulgarian letters number as Word does</v>
      </c>
      <c r="E13" s="12" t="str">
        <f>IFERROR(INDEX(MASTER!$F$2:$F$2000,MATCH($A13,MASTER!$A$2:$A$2000,0))&amp;"","")</f>
        <v>P3</v>
      </c>
      <c r="F13" s="12" t="str">
        <f>IFERROR(INDEX(MASTER!$G$2:$G$2000,MATCH($A13,MASTER!$A$2:$A$2000,0))&amp;"","NOT IN MASTER")</f>
        <v>DONE</v>
      </c>
      <c r="G13" s="12" t="str">
        <f>IFERROR(INDEX(MASTER!$H$2:$H$2000,MATCH($A13,MASTER!$A$2:$A$2000,0))&amp;"","")</f>
        <v>backend/app/parsers/pdf_structure.py _number: Cyrillic markers on number_formats.CYRILLIC (Word's а б в, with ы/э, no й/ъ/ь); й/ъ/ь give a number that never counts on (-1), so _checked keeps such a list's markers in the text</v>
      </c>
      <c r="H13" s="12" t="str">
        <f>IFERROR(INDEX(MASTER!$I$2:$I$2000,MATCH($A13,MASTER!$A$2:$A$2000,0))&amp;"","")</f>
        <v>backend tests/test_pdf_structure.py (3 new: а..и к л м and a Russian list through ы э are lists numbered as they show; a Bulgarian list а..и й к keeps its letters as paragraphs, a short one а..г stays a list) -- 32 in file; full backend 2571 passed/11 skipped; mutations 2/2</v>
      </c>
      <c r="I13" s="19">
        <f>IFERROR(IF(INDEX(MASTER!$O$2:$O$2000,MATCH($A13,MASTER!$A$2:$A$2000,0))="","",INDEX(MASTER!$O$2:$O$2000,MATCH($A13,MASTER!$A$2:$A$2000,0))),"")</f>
        <v>46303.100335648152</v>
      </c>
      <c r="J13" s="12" t="str">
        <f>IFERROR(INDEX(MASTER!$P$2:$P$2000,MATCH($A13,MASTER!$A$2:$A$2000,0))&amp;"","")</f>
        <v>e75b3b1</v>
      </c>
      <c r="K13" s="12" t="str">
        <f>IFERROR(INDEX(MASTER!$Q$2:$Q$2000,MATCH($A13,MASTER!$A$2:$A$2000,0))&amp;"","")</f>
        <v/>
      </c>
      <c r="L13" s="12" t="str">
        <f>IFERROR(INDEX(MASTER!$R$2:$R$2000,MATCH($A13,MASTER!$A$2:$A$2000,0))&amp;"","")</f>
        <v/>
      </c>
    </row>
    <row r="14" spans="1:12" x14ac:dyDescent="0.25">
      <c r="A14" s="15" t="s">
        <v>1118</v>
      </c>
      <c r="B14" s="12" t="str">
        <f>IFERROR(INDEX(MASTER!$C$2:$C$2000,MATCH($A14,MASTER!$A$2:$A$2000,0))&amp;"","")</f>
        <v>PDF</v>
      </c>
      <c r="C14" s="16">
        <f>IFERROR(INDEX(MASTER!$B$2:$B$2000,MATCH($A14,MASTER!$A$2:$A$2000,0)),"")</f>
        <v>9</v>
      </c>
      <c r="D14" s="12" t="str">
        <f>IFERROR(INDEX(MASTER!$D$2:$D$2000,MATCH($A14,MASTER!$A$2:$A$2000,0))&amp;"","")</f>
        <v>PDF page operations service</v>
      </c>
      <c r="E14" s="12" t="str">
        <f>IFERROR(INDEX(MASTER!$F$2:$F$2000,MATCH($A14,MASTER!$A$2:$A$2000,0))&amp;"","")</f>
        <v>P2</v>
      </c>
      <c r="F14" s="12" t="str">
        <f>IFERROR(INDEX(MASTER!$G$2:$G$2000,MATCH($A14,MASTER!$A$2:$A$2000,0))&amp;"","NOT IN MASTER")</f>
        <v>DONE</v>
      </c>
      <c r="G14" s="12" t="str">
        <f>IFERROR(INDEX(MASTER!$H$2:$H$2000,MATCH($A14,MASTER!$A$2:$A$2000,0))&amp;"","")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4" s="12" t="str">
        <f>IFERROR(INDEX(MASTER!$I$2:$I$2000,MATCH($A14,MASTER!$A$2:$A$2000,0))&amp;"","")</f>
        <v>backend/tests/test_pdf_pages.py (13, one in the security suite); 12/12 mutations caught; backend 2424 passed/11 skipped</v>
      </c>
      <c r="I14" s="19">
        <f>IFERROR(IF(INDEX(MASTER!$O$2:$O$2000,MATCH($A14,MASTER!$A$2:$A$2000,0))="","",INDEX(MASTER!$O$2:$O$2000,MATCH($A14,MASTER!$A$2:$A$2000,0))),"")</f>
        <v>46302.676979166667</v>
      </c>
      <c r="J14" s="12" t="str">
        <f>IFERROR(INDEX(MASTER!$P$2:$P$2000,MATCH($A14,MASTER!$A$2:$A$2000,0))&amp;"","")</f>
        <v>bd1a3bf</v>
      </c>
      <c r="K14" s="12" t="str">
        <f>IFERROR(INDEX(MASTER!$Q$2:$Q$2000,MATCH($A14,MASTER!$A$2:$A$2000,0))&amp;"","")</f>
        <v>A screen for page operations isn't built yet (backend service + API only, as the task asks).</v>
      </c>
      <c r="L14" s="12" t="str">
        <f>IFERROR(INDEX(MASTER!$R$2:$R$2000,MATCH($A14,MASTER!$A$2:$A$2000,0))&amp;"","")</f>
        <v/>
      </c>
    </row>
  </sheetData>
  <autoFilter ref="A7:L14" xr:uid="{00000000-0009-0000-0000-000005000000}"/>
  <conditionalFormatting sqref="E8:E14">
    <cfRule type="cellIs" dxfId="270" priority="19" operator="equal">
      <formula>"P0"</formula>
    </cfRule>
    <cfRule type="cellIs" dxfId="269" priority="20" operator="equal">
      <formula>"P1"</formula>
    </cfRule>
  </conditionalFormatting>
  <conditionalFormatting sqref="F8:F14">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1550</v>
      </c>
    </row>
    <row r="2" spans="1:12" x14ac:dyDescent="0.25">
      <c r="A2" s="4" t="s">
        <v>1551</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1545</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276</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282</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285</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288</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292</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297</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304</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310</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317</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324</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330</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335</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529</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533</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50" priority="19" operator="equal">
      <formula>"P0"</formula>
    </cfRule>
    <cfRule type="cellIs" dxfId="249" priority="20" operator="equal">
      <formula>"P1"</formula>
    </cfRule>
  </conditionalFormatting>
  <conditionalFormatting sqref="F8:F21">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1552</v>
      </c>
    </row>
    <row r="2" spans="1:12" x14ac:dyDescent="0.25">
      <c r="A2" s="4" t="s">
        <v>1553</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8</v>
      </c>
      <c r="C4" s="7">
        <f>COUNTIFS(MASTER!$C$2:$C$2000,"FORMATTING",MASTER!$G$2:$G$2000,"VERIFIED")+COUNTIFS(MASTER!$C$2:$C$2000,"HEALTH",MASTER!$G$2:$G$2000,"VERIFIED")+B4</f>
        <v>8</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1</v>
      </c>
      <c r="H4" s="9">
        <f>IF(A4=0,0,C4/A4)</f>
        <v>1</v>
      </c>
    </row>
    <row r="6" spans="1:12" ht="15.75" x14ac:dyDescent="0.25">
      <c r="A6" s="5" t="s">
        <v>1545</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704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1197</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1204</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1208</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1212</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1217</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1224</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1228</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DONE</v>
      </c>
      <c r="G15" s="12" t="str">
        <f>IFERROR(INDEX(MASTER!$H$2:$H$2000,MATCH($A15,MASTER!$A$2:$A$2000,0))&amp;"","")</f>
        <v>AI explains failing checks only (no score sent, untrusted tag, rating answers dropped, unknown check voids answer); POST /documents/{id}/health/explain (metered, rate_limited ai, available flag); Health panel Explain per warn/fail check; docs/ai/README.md.</v>
      </c>
      <c r="H15" s="12" t="str">
        <f>IFERROR(INDEX(MASTER!$I$2:$I$2000,MATCH($A15,MASTER!$A$2:$A$2000,0))&amp;"","")</f>
        <v>backend/tests/test_health_explanations.py (4; 8/8 mutations); HealthPanel.test.tsx (+2); test_security_suite covers the route; backend 2438+155 security passed; Vitest 301; e2e health/accessibility 3</v>
      </c>
      <c r="I15" s="19">
        <f>IFERROR(IF(INDEX(MASTER!$O$2:$O$2000,MATCH($A15,MASTER!$A$2:$A$2000,0))="","",INDEX(MASTER!$O$2:$O$2000,MATCH($A15,MASTER!$A$2:$A$2000,0))),"")</f>
        <v>46302.707743055558</v>
      </c>
      <c r="J15" s="12" t="str">
        <f>IFERROR(INDEX(MASTER!$P$2:$P$2000,MATCH($A15,MASTER!$A$2:$A$2000,0))&amp;"","")</f>
        <v>ae65d6d</v>
      </c>
      <c r="K15" s="12" t="str">
        <f>IFERROR(INDEX(MASTER!$Q$2:$Q$2000,MATCH($A15,MASTER!$A$2:$A$2000,0))&amp;"","")</f>
        <v/>
      </c>
      <c r="L15" s="12" t="str">
        <f>IFERROR(INDEX(MASTER!$R$2:$R$2000,MATCH($A15,MASTER!$A$2:$A$2000,0))&amp;"","")</f>
        <v/>
      </c>
    </row>
  </sheetData>
  <autoFilter ref="A7:L15" xr:uid="{00000000-0009-0000-0000-000007000000}"/>
  <conditionalFormatting sqref="E8:E15">
    <cfRule type="cellIs" dxfId="230" priority="19" operator="equal">
      <formula>"P0"</formula>
    </cfRule>
    <cfRule type="cellIs" dxfId="229" priority="20" operator="equal">
      <formula>"P1"</formula>
    </cfRule>
  </conditionalFormatting>
  <conditionalFormatting sqref="F8:F15">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1554</v>
      </c>
    </row>
    <row r="2" spans="1:12" x14ac:dyDescent="0.25">
      <c r="A2" s="4" t="s">
        <v>1555</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1545</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412</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421</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427</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432</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437</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444</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451</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456</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462</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210" priority="19" operator="equal">
      <formula>"P0"</formula>
    </cfRule>
    <cfRule type="cellIs" dxfId="209" priority="20" operator="equal">
      <formula>"P1"</formula>
    </cfRule>
  </conditionalFormatting>
  <conditionalFormatting sqref="F8:F16">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1556</v>
      </c>
    </row>
    <row r="2" spans="1:12" x14ac:dyDescent="0.25">
      <c r="A2" s="4" t="s">
        <v>1557</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1545</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227</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793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800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806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814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820</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828</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834</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840</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846</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851</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858</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872</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877</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883</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948</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955</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962</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968</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974</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980</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986</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90" priority="19" operator="equal">
      <formula>"P0"</formula>
    </cfRule>
    <cfRule type="cellIs" dxfId="189" priority="20" operator="equal">
      <formula>"P1"</formula>
    </cfRule>
  </conditionalFormatting>
  <conditionalFormatting sqref="F8:F29">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1558</v>
      </c>
    </row>
    <row r="2" spans="1:11" x14ac:dyDescent="0.25">
      <c r="A2" s="4" t="s">
        <v>130</v>
      </c>
    </row>
    <row r="3" spans="1:11" x14ac:dyDescent="0.25">
      <c r="A3" s="6" t="s">
        <v>45</v>
      </c>
      <c r="B3" s="6" t="s">
        <v>46</v>
      </c>
      <c r="C3" s="6" t="s">
        <v>47</v>
      </c>
      <c r="D3" s="6" t="s">
        <v>13</v>
      </c>
      <c r="E3" s="6" t="s">
        <v>16</v>
      </c>
      <c r="F3" s="6" t="s">
        <v>19</v>
      </c>
      <c r="G3" s="6" t="s">
        <v>48</v>
      </c>
      <c r="H3" s="6" t="s">
        <v>33</v>
      </c>
    </row>
    <row r="4" spans="1:11" x14ac:dyDescent="0.25">
      <c r="A4" s="7">
        <f>COUNTIF(MASTER!$C$2:$C$2000,"PERFORMANCE")</f>
        <v>10</v>
      </c>
      <c r="B4" s="7">
        <f>COUNTIFS(MASTER!$C$2:$C$2000,"PERFORMANCE",MASTER!$G$2:$G$2000,"DONE")</f>
        <v>9</v>
      </c>
      <c r="C4" s="7">
        <f>COUNTIFS(MASTER!$C$2:$C$2000,"PERFORMANCE",MASTER!$G$2:$G$2000,"VERIFIED")+B4</f>
        <v>9</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0.9</v>
      </c>
      <c r="H4" s="9">
        <f>IF(A4=0,0,C4/A4)</f>
        <v>0.9</v>
      </c>
    </row>
    <row r="6" spans="1:11" ht="15.75" x14ac:dyDescent="0.25">
      <c r="A6" s="5" t="s">
        <v>1559</v>
      </c>
    </row>
    <row r="7" spans="1:11" x14ac:dyDescent="0.25">
      <c r="A7" s="10" t="s">
        <v>1560</v>
      </c>
      <c r="B7" s="10" t="s">
        <v>1561</v>
      </c>
      <c r="C7" s="10" t="s">
        <v>1562</v>
      </c>
      <c r="D7" s="10" t="s">
        <v>1563</v>
      </c>
      <c r="E7" s="10" t="s">
        <v>1564</v>
      </c>
      <c r="F7" s="10" t="s">
        <v>57</v>
      </c>
      <c r="G7" s="10" t="s">
        <v>1565</v>
      </c>
      <c r="H7" s="10" t="s">
        <v>1566</v>
      </c>
      <c r="I7" s="10" t="s">
        <v>1567</v>
      </c>
      <c r="J7" s="10" t="s">
        <v>1568</v>
      </c>
      <c r="K7" s="10" t="s">
        <v>178</v>
      </c>
    </row>
    <row r="8" spans="1:11" ht="51" x14ac:dyDescent="0.25">
      <c r="A8" s="15" t="s">
        <v>1569</v>
      </c>
      <c r="B8" s="12" t="s">
        <v>1570</v>
      </c>
      <c r="C8" s="12" t="s">
        <v>1571</v>
      </c>
      <c r="D8" s="18" t="s">
        <v>1572</v>
      </c>
      <c r="E8" s="12">
        <v>321</v>
      </c>
      <c r="F8" s="12" t="str">
        <f t="shared" ref="F8:F20" si="0">IF(H8="","NOT_REMEASURED",IF(J8="","NO_THRESHOLD",IF(H8&lt;=J8,"WITHIN","OVER")))</f>
        <v>WITHIN</v>
      </c>
      <c r="G8" s="18" t="s">
        <v>1573</v>
      </c>
      <c r="H8" s="12">
        <v>0.70599999999999996</v>
      </c>
      <c r="I8" s="19">
        <v>46301.616249999999</v>
      </c>
      <c r="J8" s="12">
        <v>10</v>
      </c>
      <c r="K8" s="18" t="s">
        <v>1574</v>
      </c>
    </row>
    <row r="9" spans="1:11" x14ac:dyDescent="0.25">
      <c r="A9" s="15" t="s">
        <v>1575</v>
      </c>
      <c r="B9" s="12" t="s">
        <v>1570</v>
      </c>
      <c r="C9" s="12" t="s">
        <v>1571</v>
      </c>
      <c r="D9" s="18" t="s">
        <v>1576</v>
      </c>
      <c r="E9" s="12">
        <v>1.4</v>
      </c>
      <c r="F9" s="12" t="str">
        <f t="shared" si="0"/>
        <v>NOT_REMEASURED</v>
      </c>
      <c r="G9" s="18" t="s">
        <v>1577</v>
      </c>
      <c r="H9" s="12"/>
      <c r="I9" s="19"/>
      <c r="J9" s="12"/>
      <c r="K9" s="18"/>
    </row>
    <row r="10" spans="1:11" x14ac:dyDescent="0.25">
      <c r="A10" s="15" t="s">
        <v>1578</v>
      </c>
      <c r="B10" s="12" t="s">
        <v>1570</v>
      </c>
      <c r="C10" s="12" t="s">
        <v>1571</v>
      </c>
      <c r="D10" s="18" t="s">
        <v>1579</v>
      </c>
      <c r="E10" s="12">
        <v>0.32800000000000001</v>
      </c>
      <c r="F10" s="12" t="str">
        <f t="shared" si="0"/>
        <v>NOT_REMEASURED</v>
      </c>
      <c r="G10" s="18" t="s">
        <v>1580</v>
      </c>
      <c r="H10" s="12"/>
      <c r="I10" s="19"/>
      <c r="J10" s="12"/>
      <c r="K10" s="18"/>
    </row>
    <row r="11" spans="1:11" x14ac:dyDescent="0.25">
      <c r="A11" s="15" t="s">
        <v>1581</v>
      </c>
      <c r="B11" s="12" t="s">
        <v>1570</v>
      </c>
      <c r="C11" s="12" t="s">
        <v>1571</v>
      </c>
      <c r="D11" s="18" t="s">
        <v>1582</v>
      </c>
      <c r="E11" s="12">
        <v>0.66900000000000004</v>
      </c>
      <c r="F11" s="12" t="str">
        <f t="shared" si="0"/>
        <v>NOT_REMEASURED</v>
      </c>
      <c r="G11" s="18" t="s">
        <v>1580</v>
      </c>
      <c r="H11" s="12"/>
      <c r="I11" s="19"/>
      <c r="J11" s="12"/>
      <c r="K11" s="18"/>
    </row>
    <row r="12" spans="1:11" x14ac:dyDescent="0.25">
      <c r="A12" s="15" t="s">
        <v>1583</v>
      </c>
      <c r="B12" s="12" t="s">
        <v>1570</v>
      </c>
      <c r="C12" s="12" t="s">
        <v>1571</v>
      </c>
      <c r="D12" s="18" t="s">
        <v>1584</v>
      </c>
      <c r="E12" s="12">
        <v>1.8</v>
      </c>
      <c r="F12" s="12" t="str">
        <f t="shared" si="0"/>
        <v>NOT_REMEASURED</v>
      </c>
      <c r="G12" s="18" t="s">
        <v>1580</v>
      </c>
      <c r="H12" s="12"/>
      <c r="I12" s="19"/>
      <c r="J12" s="12"/>
      <c r="K12" s="18"/>
    </row>
    <row r="13" spans="1:11" ht="25.5" x14ac:dyDescent="0.25">
      <c r="A13" s="15" t="s">
        <v>1585</v>
      </c>
      <c r="B13" s="12" t="s">
        <v>1586</v>
      </c>
      <c r="C13" s="12" t="s">
        <v>1587</v>
      </c>
      <c r="D13" s="18" t="s">
        <v>1588</v>
      </c>
      <c r="E13" s="12">
        <v>1382</v>
      </c>
      <c r="F13" s="12" t="str">
        <f t="shared" si="0"/>
        <v>NOT_REMEASURED</v>
      </c>
      <c r="G13" s="18" t="s">
        <v>1589</v>
      </c>
      <c r="H13" s="12"/>
      <c r="I13" s="19"/>
      <c r="J13" s="12"/>
      <c r="K13" s="18"/>
    </row>
    <row r="14" spans="1:11" x14ac:dyDescent="0.25">
      <c r="A14" s="15" t="s">
        <v>1590</v>
      </c>
      <c r="B14" s="12" t="s">
        <v>1586</v>
      </c>
      <c r="C14" s="12" t="s">
        <v>1587</v>
      </c>
      <c r="D14" s="18" t="s">
        <v>1591</v>
      </c>
      <c r="E14" s="12">
        <v>180</v>
      </c>
      <c r="F14" s="12" t="str">
        <f t="shared" si="0"/>
        <v>NOT_REMEASURED</v>
      </c>
      <c r="G14" s="18" t="s">
        <v>1592</v>
      </c>
      <c r="H14" s="12"/>
      <c r="I14" s="19"/>
      <c r="J14" s="12"/>
      <c r="K14" s="18"/>
    </row>
    <row r="15" spans="1:11" ht="25.5" x14ac:dyDescent="0.25">
      <c r="A15" s="15" t="s">
        <v>1593</v>
      </c>
      <c r="B15" s="12" t="s">
        <v>1570</v>
      </c>
      <c r="C15" s="12" t="s">
        <v>1571</v>
      </c>
      <c r="D15" s="18" t="s">
        <v>1594</v>
      </c>
      <c r="E15" s="12">
        <v>9.4</v>
      </c>
      <c r="F15" s="12" t="str">
        <f t="shared" si="0"/>
        <v>NOT_REMEASURED</v>
      </c>
      <c r="G15" s="18" t="s">
        <v>1595</v>
      </c>
      <c r="H15" s="12"/>
      <c r="I15" s="19"/>
      <c r="J15" s="12"/>
      <c r="K15" s="18"/>
    </row>
    <row r="16" spans="1:11" x14ac:dyDescent="0.25">
      <c r="A16" s="15" t="s">
        <v>1596</v>
      </c>
      <c r="B16" s="12" t="s">
        <v>1570</v>
      </c>
      <c r="C16" s="12" t="s">
        <v>1571</v>
      </c>
      <c r="D16" s="18" t="s">
        <v>1597</v>
      </c>
      <c r="E16" s="12">
        <v>0.62</v>
      </c>
      <c r="F16" s="12" t="str">
        <f t="shared" si="0"/>
        <v>NOT_REMEASURED</v>
      </c>
      <c r="G16" s="18" t="s">
        <v>1598</v>
      </c>
      <c r="H16" s="12"/>
      <c r="I16" s="19"/>
      <c r="J16" s="12"/>
      <c r="K16" s="18"/>
    </row>
    <row r="17" spans="1:12" ht="102" x14ac:dyDescent="0.25">
      <c r="A17" s="15" t="s">
        <v>1599</v>
      </c>
      <c r="B17" s="12" t="s">
        <v>1600</v>
      </c>
      <c r="C17" s="12" t="s">
        <v>1587</v>
      </c>
      <c r="D17" s="18" t="s">
        <v>1601</v>
      </c>
      <c r="E17" s="12">
        <v>2.77</v>
      </c>
      <c r="F17" s="12" t="str">
        <f t="shared" si="0"/>
        <v>WITHIN</v>
      </c>
      <c r="G17" s="18" t="s">
        <v>1602</v>
      </c>
      <c r="H17" s="12">
        <v>1.4E-3</v>
      </c>
      <c r="I17" s="19">
        <v>46296.494641203702</v>
      </c>
      <c r="J17" s="12">
        <v>0.05</v>
      </c>
      <c r="K17" s="18" t="s">
        <v>1603</v>
      </c>
    </row>
    <row r="18" spans="1:12" ht="76.5" x14ac:dyDescent="0.25">
      <c r="A18" s="15" t="s">
        <v>1604</v>
      </c>
      <c r="B18" s="12" t="s">
        <v>1600</v>
      </c>
      <c r="C18" s="12" t="s">
        <v>1587</v>
      </c>
      <c r="D18" s="18" t="s">
        <v>1605</v>
      </c>
      <c r="E18" s="12">
        <v>5.99</v>
      </c>
      <c r="F18" s="12" t="str">
        <f t="shared" si="0"/>
        <v>WITHIN</v>
      </c>
      <c r="G18" s="18" t="s">
        <v>1598</v>
      </c>
      <c r="H18" s="12">
        <v>8.0000000000000004E-4</v>
      </c>
      <c r="I18" s="19">
        <v>46296.494687500002</v>
      </c>
      <c r="J18" s="12">
        <v>0.05</v>
      </c>
      <c r="K18" s="18" t="s">
        <v>1606</v>
      </c>
    </row>
    <row r="19" spans="1:12" ht="25.5" x14ac:dyDescent="0.25">
      <c r="A19" s="15" t="s">
        <v>1607</v>
      </c>
      <c r="B19" s="12" t="s">
        <v>1608</v>
      </c>
      <c r="C19" s="12" t="s">
        <v>1587</v>
      </c>
      <c r="D19" s="18" t="s">
        <v>1609</v>
      </c>
      <c r="E19" s="12">
        <v>140</v>
      </c>
      <c r="F19" s="12" t="str">
        <f t="shared" si="0"/>
        <v>NOT_REMEASURED</v>
      </c>
      <c r="G19" s="18" t="s">
        <v>1610</v>
      </c>
      <c r="H19" s="12"/>
      <c r="I19" s="19"/>
      <c r="J19" s="12"/>
      <c r="K19" s="18"/>
    </row>
    <row r="20" spans="1:12" ht="25.5" x14ac:dyDescent="0.25">
      <c r="A20" s="15" t="s">
        <v>1611</v>
      </c>
      <c r="B20" s="12" t="s">
        <v>1570</v>
      </c>
      <c r="C20" s="12" t="s">
        <v>1571</v>
      </c>
      <c r="D20" s="18" t="s">
        <v>1612</v>
      </c>
      <c r="E20" s="12">
        <v>0.65</v>
      </c>
      <c r="F20" s="12" t="str">
        <f t="shared" si="0"/>
        <v>NOT_REMEASURED</v>
      </c>
      <c r="G20" s="18" t="s">
        <v>1613</v>
      </c>
      <c r="H20" s="12"/>
      <c r="I20" s="19"/>
      <c r="J20" s="12"/>
      <c r="K20" s="18"/>
    </row>
    <row r="23" spans="1:12" ht="15.75" x14ac:dyDescent="0.25">
      <c r="A23" s="5" t="s">
        <v>1614</v>
      </c>
    </row>
    <row r="24" spans="1:12" x14ac:dyDescent="0.25">
      <c r="A24" s="10" t="s">
        <v>166</v>
      </c>
      <c r="B24" s="10" t="s">
        <v>100</v>
      </c>
      <c r="C24" s="10" t="s">
        <v>43</v>
      </c>
      <c r="D24" s="10" t="s">
        <v>167</v>
      </c>
      <c r="E24" s="10" t="s">
        <v>169</v>
      </c>
      <c r="F24" s="10" t="s">
        <v>57</v>
      </c>
      <c r="G24" s="10" t="s">
        <v>170</v>
      </c>
      <c r="H24" s="10" t="s">
        <v>171</v>
      </c>
      <c r="I24" s="10" t="s">
        <v>15</v>
      </c>
      <c r="J24" s="10" t="s">
        <v>177</v>
      </c>
      <c r="K24" s="10" t="s">
        <v>178</v>
      </c>
      <c r="L24" s="10" t="s">
        <v>179</v>
      </c>
    </row>
    <row r="25" spans="1:12" x14ac:dyDescent="0.25">
      <c r="A25" s="15" t="s">
        <v>889</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897</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904</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911</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917</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923</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DONE</v>
      </c>
      <c r="G30" s="12" t="str">
        <f>IFERROR(INDEX(MASTER!$H$2:$H$2000,MATCH($A30,MASTER!$A$2:$A$2000,0))&amp;"","")</f>
        <v>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v>
      </c>
      <c r="H30" s="12" t="str">
        <f>IFERROR(INDEX(MASTER!$I$2:$I$2000,MATCH($A30,MASTER!$A$2:$A$2000,0))&amp;"","")</f>
        <v>perf spec runs (opt-in, recorded above); Vitest 357 + fontStack cache test (4 in file); Playwright full 59 passed/1 skipped</v>
      </c>
      <c r="I30" s="19">
        <f>IFERROR(IF(INDEX(MASTER!$O$2:$O$2000,MATCH($A30,MASTER!$A$2:$A$2000,0))="","",INDEX(MASTER!$O$2:$O$2000,MATCH($A30,MASTER!$A$2:$A$2000,0))),"")</f>
        <v>46302.980925925927</v>
      </c>
      <c r="J30" s="12" t="str">
        <f>IFERROR(INDEX(MASTER!$P$2:$P$2000,MATCH($A30,MASTER!$A$2:$A$2000,0))&amp;"","")</f>
        <v>76dda4a</v>
      </c>
      <c r="K30" s="12" t="str">
        <f>IFERROR(INDEX(MASTER!$Q$2:$Q$2000,MATCH($A30,MASTER!$A$2:$A$2000,0))&amp;"","")</f>
        <v>Scoped like PERF-005: the per-keystroke work found and fixed here; grouping blocks into containers or virtualizing the pages is PERF-005B.</v>
      </c>
      <c r="L30" s="12" t="str">
        <f>IFERROR(INDEX(MASTER!$R$2:$R$2000,MATCH($A30,MASTER!$A$2:$A$2000,0))&amp;"","")</f>
        <v>PERF-005</v>
      </c>
    </row>
    <row r="31" spans="1:12" x14ac:dyDescent="0.25">
      <c r="A31" s="15" t="s">
        <v>930</v>
      </c>
      <c r="B31" s="12" t="str">
        <f>IFERROR(INDEX(MASTER!$C$2:$C$2000,MATCH($A31,MASTER!$A$2:$A$2000,0))&amp;"","")</f>
        <v>PERFORMANCE</v>
      </c>
      <c r="C31" s="16">
        <f>IFERROR(INDEX(MASTER!$B$2:$B$2000,MATCH($A31,MASTER!$A$2:$A$2000,0)),"")</f>
        <v>5</v>
      </c>
      <c r="D31" s="12" t="str">
        <f>IFERROR(INDEX(MASTER!$D$2:$D$2000,MATCH($A31,MASTER!$A$2:$A$2000,0))&amp;"","")</f>
        <v>Editor at 12k blocks: containers or page virtualization</v>
      </c>
      <c r="E31" s="12" t="str">
        <f>IFERROR(INDEX(MASTER!$F$2:$F$2000,MATCH($A31,MASTER!$A$2:$A$2000,0))&amp;"","")</f>
        <v>P3</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PERF-005A</v>
      </c>
    </row>
    <row r="32" spans="1:12" x14ac:dyDescent="0.25">
      <c r="A32" s="15" t="s">
        <v>933</v>
      </c>
      <c r="B32" s="12" t="str">
        <f>IFERROR(INDEX(MASTER!$C$2:$C$2000,MATCH($A32,MASTER!$A$2:$A$2000,0))&amp;"","")</f>
        <v>PERFORMANCE</v>
      </c>
      <c r="C32" s="16">
        <f>IFERROR(INDEX(MASTER!$B$2:$B$2000,MATCH($A32,MASTER!$A$2:$A$2000,0)),"")</f>
        <v>5</v>
      </c>
      <c r="D32" s="12" t="str">
        <f>IFERROR(INDEX(MASTER!$D$2:$D$2000,MATCH($A32,MASTER!$A$2:$A$2000,0))&amp;"","")</f>
        <v>JSON without ASCII escaping</v>
      </c>
      <c r="E32" s="12" t="str">
        <f>IFERROR(INDEX(MASTER!$F$2:$F$2000,MATCH($A32,MASTER!$A$2:$A$2000,0))&amp;"","")</f>
        <v>P2</v>
      </c>
      <c r="F32" s="12" t="str">
        <f>IFERROR(INDEX(MASTER!$G$2:$G$2000,MATCH($A32,MASTER!$A$2:$A$2000,0))&amp;"","NOT IN MASTER")</f>
        <v>DONE</v>
      </c>
      <c r="G32" s="12" t="str">
        <f>IFERROR(INDEX(MASTER!$H$2:$H$2000,MATCH($A32,MASTER!$A$2:$A$2000,0))&amp;"","")</f>
        <v>backend/app/db/session.py (json_serializer UTF-8), docs/cloud-reports/PERF-002-006.md</v>
      </c>
      <c r="H32" s="12" t="str">
        <f>IFERROR(INDEX(MASTER!$I$2:$I$2000,MATCH($A32,MASTER!$A$2:$A$2000,0))&amp;"","")</f>
        <v>backend/tests/test_utf8_json_storage.py</v>
      </c>
      <c r="I32" s="19">
        <f>IFERROR(IF(INDEX(MASTER!$O$2:$O$2000,MATCH($A32,MASTER!$A$2:$A$2000,0))="","",INDEX(MASTER!$O$2:$O$2000,MATCH($A32,MASTER!$A$2:$A$2000,0))),"")</f>
        <v>46301.615069444437</v>
      </c>
      <c r="J32" s="12" t="str">
        <f>IFERROR(INDEX(MASTER!$P$2:$P$2000,MATCH($A32,MASTER!$A$2:$A$2000,0))&amp;"","")</f>
        <v>8966ec7</v>
      </c>
      <c r="K32" s="12" t="str">
        <f>IFERROR(INDEX(MASTER!$Q$2:$Q$2000,MATCH($A32,MASTER!$A$2:$A$2000,0))&amp;"","")</f>
        <v>2026-10-01: delegated to a cloud session (branch cloud/..., report docs/cloud-reports/PERF-006.md); to be reviewed, verified and merged locally.</v>
      </c>
      <c r="L32" s="12" t="str">
        <f>IFERROR(INDEX(MASTER!$R$2:$R$2000,MATCH($A32,MASTER!$A$2:$A$2000,0))&amp;"","")</f>
        <v/>
      </c>
    </row>
    <row r="33" spans="1:12" x14ac:dyDescent="0.25">
      <c r="A33" s="15" t="s">
        <v>940</v>
      </c>
      <c r="B33" s="12" t="str">
        <f>IFERROR(INDEX(MASTER!$C$2:$C$2000,MATCH($A33,MASTER!$A$2:$A$2000,0))&amp;"","")</f>
        <v>PERFORMANCE</v>
      </c>
      <c r="C33" s="16">
        <f>IFERROR(INDEX(MASTER!$B$2:$B$2000,MATCH($A33,MASTER!$A$2:$A$2000,0)),"")</f>
        <v>5</v>
      </c>
      <c r="D33" s="12" t="str">
        <f>IFERROR(INDEX(MASTER!$D$2:$D$2000,MATCH($A33,MASTER!$A$2:$A$2000,0))&amp;"","")</f>
        <v>Safe size limits recorded</v>
      </c>
      <c r="E33" s="12" t="str">
        <f>IFERROR(INDEX(MASTER!$F$2:$F$2000,MATCH($A33,MASTER!$A$2:$A$2000,0))&amp;"","")</f>
        <v>P1</v>
      </c>
      <c r="F33" s="12" t="str">
        <f>IFERROR(INDEX(MASTER!$G$2:$G$2000,MATCH($A33,MASTER!$A$2:$A$2000,0))&amp;"","NOT IN MASTER")</f>
        <v>DONE</v>
      </c>
      <c r="G33" s="12" t="str">
        <f>IFERROR(INDEX(MASTER!$H$2:$H$2000,MATCH($A33,MASTER!$A$2:$A$2000,0))&amp;"","")</f>
        <v>docs/security/README.md Limits table (background jobs row)</v>
      </c>
      <c r="H33" s="12" t="str">
        <f>IFERROR(INDEX(MASTER!$I$2:$I$2000,MATCH($A33,MASTER!$A$2:$A$2000,0))&amp;"","")</f>
        <v>n/a (documentation of enforced limits; JOB-001's tests)</v>
      </c>
      <c r="I33" s="19">
        <f>IFERROR(IF(INDEX(MASTER!$O$2:$O$2000,MATCH($A33,MASTER!$A$2:$A$2000,0))="","",INDEX(MASTER!$O$2:$O$2000,MATCH($A33,MASTER!$A$2:$A$2000,0))),"")</f>
        <v>46301.615162037036</v>
      </c>
      <c r="J33" s="12" t="str">
        <f>IFERROR(INDEX(MASTER!$P$2:$P$2000,MATCH($A33,MASTER!$A$2:$A$2000,0))&amp;"","")</f>
        <v>8966ec7</v>
      </c>
      <c r="K33" s="12" t="str">
        <f>IFERROR(INDEX(MASTER!$Q$2:$Q$2000,MATCH($A33,MASTER!$A$2:$A$2000,0))&amp;"","")</f>
        <v>2026-10-01: the table of user-facing maximums and resource ceilings recorded with SEC-013 (docs/security/README.md, Limits); job timeouts follow JOB-001.</v>
      </c>
      <c r="L33" s="12" t="str">
        <f>IFERROR(INDEX(MASTER!$R$2:$R$2000,MATCH($A33,MASTER!$A$2:$A$2000,0))&amp;"","")</f>
        <v/>
      </c>
    </row>
    <row r="34" spans="1:12" x14ac:dyDescent="0.25">
      <c r="A34" s="15" t="s">
        <v>1299</v>
      </c>
      <c r="B34" s="12" t="str">
        <f>IFERROR(INDEX(MASTER!$C$2:$C$2000,MATCH($A34,MASTER!$A$2:$A$2000,0))&amp;"","")</f>
        <v>PERFORMANCE</v>
      </c>
      <c r="C34" s="16">
        <f>IFERROR(INDEX(MASTER!$B$2:$B$2000,MATCH($A34,MASTER!$A$2:$A$2000,0)),"")</f>
        <v>5</v>
      </c>
      <c r="D34" s="12" t="str">
        <f>IFERROR(INDEX(MASTER!$D$2:$D$2000,MATCH($A34,MASTER!$A$2:$A$2000,0))&amp;"","")</f>
        <v>A save's server cost in step with the change</v>
      </c>
      <c r="E34" s="12" t="str">
        <f>IFERROR(INDEX(MASTER!$F$2:$F$2000,MATCH($A34,MASTER!$A$2:$A$2000,0))&amp;"","")</f>
        <v>P2</v>
      </c>
      <c r="F34" s="12" t="str">
        <f>IFERROR(INDEX(MASTER!$G$2:$G$2000,MATCH($A34,MASTER!$A$2:$A$2000,0))&amp;"","NOT IN MASTER")</f>
        <v>DONE</v>
      </c>
      <c r="G34" s="12" t="str">
        <f>IFERROR(INDEX(MASTER!$H$2:$H$2000,MATCH($A34,MASTER!$A$2:$A$2000,0))&amp;"","")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4" s="12" t="str">
        <f>IFERROR(INDEX(MASTER!$I$2:$I$2000,MATCH($A34,MASTER!$A$2:$A$2000,0))&amp;"","")</f>
        <v>backend/tests/test_save_and_export_costs.py (3); 4/4 mutations; 74 fixture exports byte-identical but core.xml's time</v>
      </c>
      <c r="I34" s="19">
        <f>IFERROR(IF(INDEX(MASTER!$O$2:$O$2000,MATCH($A34,MASTER!$A$2:$A$2000,0))="","",INDEX(MASTER!$O$2:$O$2000,MATCH($A34,MASTER!$A$2:$A$2000,0))),"")</f>
        <v>46301.640243055554</v>
      </c>
      <c r="J34" s="12" t="str">
        <f>IFERROR(INDEX(MASTER!$P$2:$P$2000,MATCH($A34,MASTER!$A$2:$A$2000,0))&amp;"","")</f>
        <v>a1cb8f8</v>
      </c>
      <c r="K34" s="12" t="str">
        <f>IFERROR(INDEX(MASTER!$Q$2:$Q$2000,MATCH($A34,MASTER!$A$2:$A$2000,0))&amp;"","")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4" s="12" t="str">
        <f>IFERROR(INDEX(MASTER!$R$2:$R$2000,MATCH($A34,MASTER!$A$2:$A$2000,0))&amp;"","")</f>
        <v/>
      </c>
    </row>
  </sheetData>
  <autoFilter ref="A24:L34" xr:uid="{00000000-0009-0000-0000-00000A000000}"/>
  <conditionalFormatting sqref="E25:E34">
    <cfRule type="cellIs" dxfId="170" priority="21" operator="equal">
      <formula>"P0"</formula>
    </cfRule>
    <cfRule type="cellIs" dxfId="169" priority="22" operator="equal">
      <formula>"P1"</formula>
    </cfRule>
  </conditionalFormatting>
  <conditionalFormatting sqref="F8:F20">
    <cfRule type="cellIs" dxfId="168" priority="1" operator="equal">
      <formula>"WITHIN"</formula>
    </cfRule>
    <cfRule type="cellIs" dxfId="167" priority="2" operator="equal">
      <formula>"OVER"</formula>
    </cfRule>
  </conditionalFormatting>
  <conditionalFormatting sqref="F25:F34">
    <cfRule type="cellIs" dxfId="166" priority="3" operator="equal">
      <formula>"DONE"</formula>
    </cfRule>
    <cfRule type="cellIs" dxfId="165" priority="4" operator="equal">
      <formula>"VERIFIED"</formula>
    </cfRule>
    <cfRule type="cellIs" dxfId="164" priority="5" operator="equal">
      <formula>"IN_PROGRESS"</formula>
    </cfRule>
    <cfRule type="cellIs" dxfId="163" priority="6" operator="equal">
      <formula>"IMPLEMENTED"</formula>
    </cfRule>
    <cfRule type="cellIs" dxfId="162" priority="7" operator="equal">
      <formula>"TESTING"</formula>
    </cfRule>
    <cfRule type="cellIs" dxfId="161" priority="8" operator="equal">
      <formula>"BLOCKED"</formula>
    </cfRule>
    <cfRule type="cellIs" dxfId="160" priority="9" operator="equal">
      <formula>"FAILED"</formula>
    </cfRule>
    <cfRule type="cellIs" dxfId="159" priority="10" operator="equal">
      <formula>"DEFERRED"</formula>
    </cfRule>
    <cfRule type="cellIs" dxfId="158" priority="11" operator="equal">
      <formula>"UNKNOWN"</formula>
    </cfRule>
    <cfRule type="cellIs" dxfId="157" priority="12" operator="equal">
      <formula>"PASS"</formula>
    </cfRule>
    <cfRule type="cellIs" dxfId="156" priority="13" operator="equal">
      <formula>"FAIL"</formula>
    </cfRule>
    <cfRule type="cellIs" dxfId="155" priority="14" operator="equal">
      <formula>"PARTIAL"</formula>
    </cfRule>
    <cfRule type="cellIs" dxfId="154" priority="15" operator="equal">
      <formula>"RESOLVED"</formula>
    </cfRule>
    <cfRule type="cellIs" dxfId="153" priority="16" operator="equal">
      <formula>"OPEN"</formula>
    </cfRule>
    <cfRule type="cellIs" dxfId="152" priority="17" operator="equal">
      <formula>"WITHIN"</formula>
    </cfRule>
    <cfRule type="cellIs" dxfId="151" priority="18" operator="equal">
      <formula>"OVER"</formula>
    </cfRule>
    <cfRule type="cellIs" dxfId="150" priority="19" operator="equal">
      <formula>"NOW"</formula>
    </cfRule>
    <cfRule type="cellIs" dxfId="14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332"/>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1615</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15</v>
      </c>
      <c r="C4" s="7">
        <f>COUNTIFS(MASTER!$C$2:$C$2000,"TESTING",MASTER!$G$2:$G$2000,"VERIFIED")+B4</f>
        <v>15</v>
      </c>
      <c r="D4" s="7">
        <f>COUNTIFS(MASTER!$C$2:$C$2000,"TESTING",MASTER!$G$2:$G$2000,"IN_PROGRESS")+COUNTIFS(MASTER!$C$2:$C$2000,"TESTING",MASTER!$G$2:$G$2000,"IMPLEMENTED")+COUNTIFS(MASTER!$C$2:$C$2000,"TESTING",MASTER!$G$2:$G$2000,"TESTING")</f>
        <v>1</v>
      </c>
      <c r="E4" s="7">
        <f>COUNTIFS(MASTER!$C$2:$C$2000,"TESTING",MASTER!$G$2:$G$2000,"BLOCKED")</f>
        <v>1</v>
      </c>
      <c r="F4" s="7">
        <f>COUNTIFS(MASTER!$C$2:$C$2000,"TESTING",MASTER!$G$2:$G$2000,"FAILED")</f>
        <v>0</v>
      </c>
      <c r="G4" s="9">
        <f>IF(A4=0,0,B4/A4)</f>
        <v>0.88235294117647056</v>
      </c>
      <c r="H4" s="9">
        <f>IF(A4=0,0,C4/A4)</f>
        <v>0.88235294117647056</v>
      </c>
    </row>
    <row r="6" spans="1:11" ht="15.75" x14ac:dyDescent="0.25">
      <c r="A6" s="5" t="s">
        <v>1616</v>
      </c>
    </row>
    <row r="7" spans="1:11" ht="25.5" x14ac:dyDescent="0.25">
      <c r="A7" s="10" t="s">
        <v>1617</v>
      </c>
      <c r="B7" s="10" t="s">
        <v>93</v>
      </c>
      <c r="C7" s="10" t="s">
        <v>94</v>
      </c>
      <c r="D7" s="10" t="s">
        <v>1618</v>
      </c>
      <c r="E7" s="10" t="s">
        <v>1619</v>
      </c>
      <c r="F7" s="10" t="s">
        <v>19</v>
      </c>
      <c r="G7" s="10" t="s">
        <v>178</v>
      </c>
      <c r="H7" s="10" t="s">
        <v>1620</v>
      </c>
      <c r="I7" s="10" t="s">
        <v>1621</v>
      </c>
      <c r="J7" s="10" t="s">
        <v>1622</v>
      </c>
      <c r="K7" s="10" t="s">
        <v>177</v>
      </c>
    </row>
    <row r="8" spans="1:11" ht="51" x14ac:dyDescent="0.25">
      <c r="A8" s="15" t="s">
        <v>1623</v>
      </c>
      <c r="B8" s="12" t="s">
        <v>1624</v>
      </c>
      <c r="C8" s="12" t="s">
        <v>1625</v>
      </c>
      <c r="D8" s="18" t="s">
        <v>1626</v>
      </c>
      <c r="E8" s="12">
        <v>643</v>
      </c>
      <c r="F8" s="12">
        <v>0</v>
      </c>
      <c r="G8" s="18" t="s">
        <v>1627</v>
      </c>
      <c r="H8" s="12">
        <v>1</v>
      </c>
      <c r="I8" s="19">
        <v>46292.166724537034</v>
      </c>
      <c r="J8" s="12">
        <v>88</v>
      </c>
      <c r="K8" s="12" t="s">
        <v>1628</v>
      </c>
    </row>
    <row r="9" spans="1:11" x14ac:dyDescent="0.25">
      <c r="A9" s="15" t="s">
        <v>1629</v>
      </c>
      <c r="B9" s="12" t="s">
        <v>1630</v>
      </c>
      <c r="C9" s="12" t="s">
        <v>1625</v>
      </c>
      <c r="D9" s="18" t="s">
        <v>1631</v>
      </c>
      <c r="E9" s="12">
        <v>0</v>
      </c>
      <c r="F9" s="12">
        <v>0</v>
      </c>
      <c r="G9" s="18" t="s">
        <v>1632</v>
      </c>
      <c r="H9" s="12">
        <v>0</v>
      </c>
      <c r="I9" s="19">
        <v>46292.166759259257</v>
      </c>
      <c r="J9" s="12">
        <v>53</v>
      </c>
      <c r="K9" s="12" t="s">
        <v>1628</v>
      </c>
    </row>
    <row r="10" spans="1:11" x14ac:dyDescent="0.25">
      <c r="A10" s="15" t="s">
        <v>1633</v>
      </c>
      <c r="B10" s="12" t="s">
        <v>1634</v>
      </c>
      <c r="C10" s="12" t="s">
        <v>1625</v>
      </c>
      <c r="D10" s="18" t="s">
        <v>1635</v>
      </c>
      <c r="E10" s="12">
        <v>0</v>
      </c>
      <c r="F10" s="12">
        <v>0</v>
      </c>
      <c r="G10" s="18" t="s">
        <v>1636</v>
      </c>
      <c r="H10" s="12">
        <v>0</v>
      </c>
      <c r="I10" s="19">
        <v>46292.16679398148</v>
      </c>
      <c r="J10" s="12">
        <v>7</v>
      </c>
      <c r="K10" s="12" t="s">
        <v>1628</v>
      </c>
    </row>
    <row r="11" spans="1:11" x14ac:dyDescent="0.25">
      <c r="A11" s="15" t="s">
        <v>1637</v>
      </c>
      <c r="B11" s="12" t="s">
        <v>1638</v>
      </c>
      <c r="C11" s="12" t="s">
        <v>1625</v>
      </c>
      <c r="D11" s="18" t="s">
        <v>1639</v>
      </c>
      <c r="E11" s="12">
        <v>46</v>
      </c>
      <c r="F11" s="12">
        <v>0</v>
      </c>
      <c r="G11" s="18" t="s">
        <v>1640</v>
      </c>
      <c r="H11" s="12">
        <v>0</v>
      </c>
      <c r="I11" s="19">
        <v>46292.166828703703</v>
      </c>
      <c r="J11" s="12">
        <v>30</v>
      </c>
      <c r="K11" s="12" t="s">
        <v>1628</v>
      </c>
    </row>
    <row r="12" spans="1:11" x14ac:dyDescent="0.25">
      <c r="A12" s="15" t="s">
        <v>1641</v>
      </c>
      <c r="B12" s="12" t="s">
        <v>1642</v>
      </c>
      <c r="C12" s="12" t="s">
        <v>1625</v>
      </c>
      <c r="D12" s="18" t="s">
        <v>1643</v>
      </c>
      <c r="E12" s="12">
        <v>0</v>
      </c>
      <c r="F12" s="12">
        <v>0</v>
      </c>
      <c r="G12" s="18" t="s">
        <v>1644</v>
      </c>
      <c r="H12" s="12">
        <v>0</v>
      </c>
      <c r="I12" s="19">
        <v>46292.166863425933</v>
      </c>
      <c r="J12" s="12">
        <v>20</v>
      </c>
      <c r="K12" s="12" t="s">
        <v>1628</v>
      </c>
    </row>
    <row r="13" spans="1:11" ht="63.75" x14ac:dyDescent="0.25">
      <c r="A13" s="15" t="s">
        <v>1645</v>
      </c>
      <c r="B13" s="12" t="s">
        <v>1646</v>
      </c>
      <c r="C13" s="12" t="s">
        <v>1625</v>
      </c>
      <c r="D13" s="18" t="s">
        <v>1647</v>
      </c>
      <c r="E13" s="12">
        <v>16</v>
      </c>
      <c r="F13" s="12">
        <v>0</v>
      </c>
      <c r="G13" s="18" t="s">
        <v>1648</v>
      </c>
      <c r="H13" s="12">
        <v>0</v>
      </c>
      <c r="I13" s="19">
        <v>46292.166898148149</v>
      </c>
      <c r="J13" s="12">
        <v>67</v>
      </c>
      <c r="K13" s="12" t="s">
        <v>1628</v>
      </c>
    </row>
    <row r="14" spans="1:11" ht="38.25" x14ac:dyDescent="0.25">
      <c r="A14" s="15" t="s">
        <v>1649</v>
      </c>
      <c r="B14" s="12" t="s">
        <v>1650</v>
      </c>
      <c r="C14" s="12" t="s">
        <v>1625</v>
      </c>
      <c r="D14" s="18" t="s">
        <v>1651</v>
      </c>
      <c r="E14" s="12">
        <v>4</v>
      </c>
      <c r="F14" s="12">
        <v>0</v>
      </c>
      <c r="G14" s="18" t="s">
        <v>1652</v>
      </c>
      <c r="H14" s="12">
        <v>0</v>
      </c>
      <c r="I14" s="19">
        <v>46292.166932870372</v>
      </c>
      <c r="J14" s="12"/>
      <c r="K14" s="12" t="s">
        <v>1628</v>
      </c>
    </row>
    <row r="15" spans="1:11" ht="63.75" x14ac:dyDescent="0.25">
      <c r="A15" s="15" t="s">
        <v>1653</v>
      </c>
      <c r="B15" s="12" t="s">
        <v>1654</v>
      </c>
      <c r="C15" s="12" t="s">
        <v>1625</v>
      </c>
      <c r="D15" s="18" t="s">
        <v>1655</v>
      </c>
      <c r="E15" s="12">
        <v>8</v>
      </c>
      <c r="F15" s="12">
        <v>0</v>
      </c>
      <c r="G15" s="18" t="s">
        <v>1656</v>
      </c>
      <c r="H15" s="12">
        <v>0</v>
      </c>
      <c r="I15" s="19">
        <v>46292.166979166657</v>
      </c>
      <c r="J15" s="12"/>
      <c r="K15" s="12" t="s">
        <v>1628</v>
      </c>
    </row>
    <row r="16" spans="1:11" ht="25.5" x14ac:dyDescent="0.25">
      <c r="A16" s="15" t="s">
        <v>1657</v>
      </c>
      <c r="B16" s="12" t="s">
        <v>1658</v>
      </c>
      <c r="C16" s="12" t="s">
        <v>1625</v>
      </c>
      <c r="D16" s="18" t="s">
        <v>1659</v>
      </c>
      <c r="E16" s="12">
        <v>2</v>
      </c>
      <c r="F16" s="12">
        <v>0</v>
      </c>
      <c r="G16" s="18" t="s">
        <v>1660</v>
      </c>
      <c r="H16" s="12">
        <v>0</v>
      </c>
      <c r="I16" s="19">
        <v>46292.167013888888</v>
      </c>
      <c r="J16" s="12"/>
      <c r="K16" s="12" t="s">
        <v>1628</v>
      </c>
    </row>
    <row r="17" spans="1:11" x14ac:dyDescent="0.25">
      <c r="A17" s="15" t="s">
        <v>1661</v>
      </c>
      <c r="B17" s="12" t="s">
        <v>1662</v>
      </c>
      <c r="C17" s="12" t="s">
        <v>1625</v>
      </c>
      <c r="D17" s="18" t="s">
        <v>1663</v>
      </c>
      <c r="E17" s="12">
        <v>1</v>
      </c>
      <c r="F17" s="12">
        <v>0</v>
      </c>
      <c r="G17" s="18" t="s">
        <v>1664</v>
      </c>
      <c r="H17" s="12">
        <v>0</v>
      </c>
      <c r="I17" s="19">
        <v>46292.167048611111</v>
      </c>
      <c r="J17" s="12"/>
      <c r="K17" s="12" t="s">
        <v>1628</v>
      </c>
    </row>
    <row r="18" spans="1:11" ht="63.75" x14ac:dyDescent="0.25">
      <c r="A18" s="15" t="s">
        <v>1665</v>
      </c>
      <c r="B18" s="12" t="s">
        <v>1666</v>
      </c>
      <c r="C18" s="12" t="s">
        <v>1667</v>
      </c>
      <c r="D18" s="18" t="s">
        <v>1668</v>
      </c>
      <c r="E18" s="12">
        <v>1</v>
      </c>
      <c r="F18" s="12">
        <v>0</v>
      </c>
      <c r="G18" s="18" t="s">
        <v>1669</v>
      </c>
      <c r="H18" s="12">
        <v>0</v>
      </c>
      <c r="I18" s="19">
        <v>46292.167083333326</v>
      </c>
      <c r="J18" s="12"/>
      <c r="K18" s="12" t="s">
        <v>1628</v>
      </c>
    </row>
    <row r="19" spans="1:11" ht="25.5" x14ac:dyDescent="0.25">
      <c r="A19" s="15" t="s">
        <v>1670</v>
      </c>
      <c r="B19" s="12" t="s">
        <v>1624</v>
      </c>
      <c r="C19" s="12" t="s">
        <v>1625</v>
      </c>
      <c r="D19" s="18" t="s">
        <v>1626</v>
      </c>
      <c r="E19" s="12">
        <v>659</v>
      </c>
      <c r="F19" s="12">
        <v>0</v>
      </c>
      <c r="G19" s="18" t="s">
        <v>1671</v>
      </c>
      <c r="H19" s="12">
        <v>1</v>
      </c>
      <c r="I19" s="19">
        <v>46292.194814814808</v>
      </c>
      <c r="J19" s="12">
        <v>85</v>
      </c>
      <c r="K19" s="12" t="s">
        <v>189</v>
      </c>
    </row>
    <row r="20" spans="1:11" ht="25.5" x14ac:dyDescent="0.25">
      <c r="A20" s="15" t="s">
        <v>1672</v>
      </c>
      <c r="B20" s="12" t="s">
        <v>1638</v>
      </c>
      <c r="C20" s="12" t="s">
        <v>1625</v>
      </c>
      <c r="D20" s="18" t="s">
        <v>1673</v>
      </c>
      <c r="E20" s="12">
        <v>77</v>
      </c>
      <c r="F20" s="12">
        <v>0</v>
      </c>
      <c r="G20" s="18" t="s">
        <v>1674</v>
      </c>
      <c r="H20" s="12">
        <v>0</v>
      </c>
      <c r="I20" s="19">
        <v>46292.194849537038</v>
      </c>
      <c r="J20" s="12">
        <v>4</v>
      </c>
      <c r="K20" s="12" t="s">
        <v>189</v>
      </c>
    </row>
    <row r="21" spans="1:11" ht="25.5" x14ac:dyDescent="0.25">
      <c r="A21" s="15" t="s">
        <v>1675</v>
      </c>
      <c r="B21" s="12" t="s">
        <v>1646</v>
      </c>
      <c r="C21" s="12" t="s">
        <v>1625</v>
      </c>
      <c r="D21" s="18" t="s">
        <v>1676</v>
      </c>
      <c r="E21" s="12">
        <v>17</v>
      </c>
      <c r="F21" s="12">
        <v>0</v>
      </c>
      <c r="G21" s="18" t="s">
        <v>1677</v>
      </c>
      <c r="H21" s="12">
        <v>0</v>
      </c>
      <c r="I21" s="19">
        <v>46292.194884259261</v>
      </c>
      <c r="J21" s="12">
        <v>71</v>
      </c>
      <c r="K21" s="12" t="s">
        <v>189</v>
      </c>
    </row>
    <row r="22" spans="1:11" ht="25.5" x14ac:dyDescent="0.25">
      <c r="A22" s="15" t="s">
        <v>1678</v>
      </c>
      <c r="B22" s="12" t="s">
        <v>1624</v>
      </c>
      <c r="C22" s="12" t="s">
        <v>1625</v>
      </c>
      <c r="D22" s="18" t="s">
        <v>1626</v>
      </c>
      <c r="E22" s="12">
        <v>688</v>
      </c>
      <c r="F22" s="12">
        <v>0</v>
      </c>
      <c r="G22" s="18" t="s">
        <v>1679</v>
      </c>
      <c r="H22" s="12">
        <v>1</v>
      </c>
      <c r="I22" s="19">
        <v>46292.218171296299</v>
      </c>
      <c r="J22" s="12">
        <v>102</v>
      </c>
      <c r="K22" s="12" t="s">
        <v>259</v>
      </c>
    </row>
    <row r="23" spans="1:11" x14ac:dyDescent="0.25">
      <c r="A23" s="15" t="s">
        <v>1680</v>
      </c>
      <c r="B23" s="12" t="s">
        <v>1638</v>
      </c>
      <c r="C23" s="12" t="s">
        <v>1625</v>
      </c>
      <c r="D23" s="18" t="s">
        <v>1673</v>
      </c>
      <c r="E23" s="12">
        <v>80</v>
      </c>
      <c r="F23" s="12">
        <v>0</v>
      </c>
      <c r="G23" s="18" t="s">
        <v>1681</v>
      </c>
      <c r="H23" s="12">
        <v>0</v>
      </c>
      <c r="I23" s="19">
        <v>46292.218206018522</v>
      </c>
      <c r="J23" s="12">
        <v>5</v>
      </c>
      <c r="K23" s="12" t="s">
        <v>259</v>
      </c>
    </row>
    <row r="24" spans="1:11" ht="38.25" x14ac:dyDescent="0.25">
      <c r="A24" s="15" t="s">
        <v>1682</v>
      </c>
      <c r="B24" s="12" t="s">
        <v>1646</v>
      </c>
      <c r="C24" s="12" t="s">
        <v>1625</v>
      </c>
      <c r="D24" s="18" t="s">
        <v>1676</v>
      </c>
      <c r="E24" s="12">
        <v>18</v>
      </c>
      <c r="F24" s="12">
        <v>0</v>
      </c>
      <c r="G24" s="18" t="s">
        <v>1683</v>
      </c>
      <c r="H24" s="12">
        <v>0</v>
      </c>
      <c r="I24" s="19">
        <v>46292.218240740738</v>
      </c>
      <c r="J24" s="12">
        <v>72</v>
      </c>
      <c r="K24" s="12" t="s">
        <v>259</v>
      </c>
    </row>
    <row r="25" spans="1:11" ht="25.5" x14ac:dyDescent="0.25">
      <c r="A25" s="15" t="s">
        <v>1684</v>
      </c>
      <c r="B25" s="12" t="s">
        <v>1624</v>
      </c>
      <c r="C25" s="12" t="s">
        <v>1625</v>
      </c>
      <c r="D25" s="18" t="s">
        <v>1626</v>
      </c>
      <c r="E25" s="12">
        <v>694</v>
      </c>
      <c r="F25" s="12">
        <v>0</v>
      </c>
      <c r="G25" s="18" t="s">
        <v>1685</v>
      </c>
      <c r="H25" s="12">
        <v>1</v>
      </c>
      <c r="I25" s="19">
        <v>46292.350682870368</v>
      </c>
      <c r="J25" s="12">
        <v>107</v>
      </c>
      <c r="K25" s="12" t="s">
        <v>357</v>
      </c>
    </row>
    <row r="26" spans="1:11" x14ac:dyDescent="0.25">
      <c r="A26" s="15" t="s">
        <v>1686</v>
      </c>
      <c r="B26" s="12" t="s">
        <v>1638</v>
      </c>
      <c r="C26" s="12" t="s">
        <v>1625</v>
      </c>
      <c r="D26" s="18" t="s">
        <v>1673</v>
      </c>
      <c r="E26" s="12">
        <v>84</v>
      </c>
      <c r="F26" s="12">
        <v>0</v>
      </c>
      <c r="G26" s="18" t="s">
        <v>1687</v>
      </c>
      <c r="H26" s="12">
        <v>0</v>
      </c>
      <c r="I26" s="19">
        <v>46292.350717592592</v>
      </c>
      <c r="J26" s="12">
        <v>5</v>
      </c>
      <c r="K26" s="12" t="s">
        <v>357</v>
      </c>
    </row>
    <row r="27" spans="1:11" ht="25.5" x14ac:dyDescent="0.25">
      <c r="A27" s="15" t="s">
        <v>1688</v>
      </c>
      <c r="B27" s="12" t="s">
        <v>1646</v>
      </c>
      <c r="C27" s="12" t="s">
        <v>1625</v>
      </c>
      <c r="D27" s="18" t="s">
        <v>1676</v>
      </c>
      <c r="E27" s="12">
        <v>18</v>
      </c>
      <c r="F27" s="12">
        <v>0</v>
      </c>
      <c r="G27" s="18" t="s">
        <v>1689</v>
      </c>
      <c r="H27" s="12">
        <v>0</v>
      </c>
      <c r="I27" s="19">
        <v>46292.350763888891</v>
      </c>
      <c r="J27" s="12">
        <v>72</v>
      </c>
      <c r="K27" s="12" t="s">
        <v>357</v>
      </c>
    </row>
    <row r="28" spans="1:11" ht="25.5" x14ac:dyDescent="0.25">
      <c r="A28" s="15" t="s">
        <v>1690</v>
      </c>
      <c r="B28" s="12" t="s">
        <v>1624</v>
      </c>
      <c r="C28" s="12" t="s">
        <v>1625</v>
      </c>
      <c r="D28" s="18" t="s">
        <v>1626</v>
      </c>
      <c r="E28" s="12">
        <v>700</v>
      </c>
      <c r="F28" s="12">
        <v>0</v>
      </c>
      <c r="G28" s="18" t="s">
        <v>1691</v>
      </c>
      <c r="H28" s="12">
        <v>1</v>
      </c>
      <c r="I28" s="19">
        <v>46292.356620370367</v>
      </c>
      <c r="J28" s="12">
        <v>89</v>
      </c>
      <c r="K28" s="12" t="s">
        <v>372</v>
      </c>
    </row>
    <row r="29" spans="1:11" x14ac:dyDescent="0.25">
      <c r="A29" s="15" t="s">
        <v>1692</v>
      </c>
      <c r="B29" s="12" t="s">
        <v>1244</v>
      </c>
      <c r="C29" s="12" t="s">
        <v>1625</v>
      </c>
      <c r="D29" s="18" t="s">
        <v>1693</v>
      </c>
      <c r="E29" s="12">
        <v>713</v>
      </c>
      <c r="F29" s="12">
        <v>0</v>
      </c>
      <c r="G29" s="18" t="s">
        <v>1694</v>
      </c>
      <c r="H29" s="12">
        <v>1</v>
      </c>
      <c r="I29" s="19">
        <v>46292.374259259261</v>
      </c>
      <c r="J29" s="12">
        <v>92</v>
      </c>
      <c r="K29" s="12" t="s">
        <v>390</v>
      </c>
    </row>
    <row r="30" spans="1:11" x14ac:dyDescent="0.25">
      <c r="A30" s="15" t="s">
        <v>1695</v>
      </c>
      <c r="B30" s="12" t="s">
        <v>1638</v>
      </c>
      <c r="C30" s="12" t="s">
        <v>1625</v>
      </c>
      <c r="D30" s="18" t="s">
        <v>1696</v>
      </c>
      <c r="E30" s="12">
        <v>84</v>
      </c>
      <c r="F30" s="12">
        <v>0</v>
      </c>
      <c r="G30" s="18" t="s">
        <v>1697</v>
      </c>
      <c r="H30" s="12">
        <v>0</v>
      </c>
      <c r="I30" s="19">
        <v>46292.374305555553</v>
      </c>
      <c r="J30" s="12"/>
      <c r="K30" s="12" t="s">
        <v>390</v>
      </c>
    </row>
    <row r="31" spans="1:11" x14ac:dyDescent="0.25">
      <c r="A31" s="15" t="s">
        <v>1698</v>
      </c>
      <c r="B31" s="12" t="s">
        <v>1244</v>
      </c>
      <c r="C31" s="12" t="s">
        <v>1625</v>
      </c>
      <c r="D31" s="18" t="s">
        <v>1693</v>
      </c>
      <c r="E31" s="12">
        <v>749</v>
      </c>
      <c r="F31" s="12">
        <v>0</v>
      </c>
      <c r="G31" s="18" t="s">
        <v>1699</v>
      </c>
      <c r="H31" s="12">
        <v>1</v>
      </c>
      <c r="I31" s="19">
        <v>46292.398113425923</v>
      </c>
      <c r="J31" s="12">
        <v>95</v>
      </c>
      <c r="K31" s="12" t="s">
        <v>364</v>
      </c>
    </row>
    <row r="32" spans="1:11" x14ac:dyDescent="0.25">
      <c r="A32" s="15" t="s">
        <v>1700</v>
      </c>
      <c r="B32" s="12" t="s">
        <v>1638</v>
      </c>
      <c r="C32" s="12" t="s">
        <v>1625</v>
      </c>
      <c r="D32" s="18" t="s">
        <v>1696</v>
      </c>
      <c r="E32" s="12">
        <v>109</v>
      </c>
      <c r="F32" s="12">
        <v>0</v>
      </c>
      <c r="G32" s="18" t="s">
        <v>1701</v>
      </c>
      <c r="H32" s="12">
        <v>0</v>
      </c>
      <c r="I32" s="19">
        <v>46292.398148148153</v>
      </c>
      <c r="J32" s="12"/>
      <c r="K32" s="12" t="s">
        <v>364</v>
      </c>
    </row>
    <row r="33" spans="1:11" x14ac:dyDescent="0.25">
      <c r="A33" s="15" t="s">
        <v>1702</v>
      </c>
      <c r="B33" s="12" t="s">
        <v>1703</v>
      </c>
      <c r="C33" s="12" t="s">
        <v>1625</v>
      </c>
      <c r="D33" s="18" t="s">
        <v>1704</v>
      </c>
      <c r="E33" s="12">
        <v>19</v>
      </c>
      <c r="F33" s="12">
        <v>0</v>
      </c>
      <c r="G33" s="18" t="s">
        <v>1705</v>
      </c>
      <c r="H33" s="12">
        <v>0</v>
      </c>
      <c r="I33" s="19">
        <v>46292.398194444453</v>
      </c>
      <c r="J33" s="12">
        <v>72</v>
      </c>
      <c r="K33" s="12" t="s">
        <v>364</v>
      </c>
    </row>
    <row r="34" spans="1:11" ht="25.5" x14ac:dyDescent="0.25">
      <c r="A34" s="15" t="s">
        <v>1706</v>
      </c>
      <c r="B34" s="12" t="s">
        <v>1244</v>
      </c>
      <c r="C34" s="12" t="s">
        <v>1625</v>
      </c>
      <c r="D34" s="18" t="s">
        <v>1693</v>
      </c>
      <c r="E34" s="12">
        <v>754</v>
      </c>
      <c r="F34" s="12">
        <v>0</v>
      </c>
      <c r="G34" s="18" t="s">
        <v>1707</v>
      </c>
      <c r="H34" s="12">
        <v>1</v>
      </c>
      <c r="I34" s="19">
        <v>46292.413946759261</v>
      </c>
      <c r="J34" s="12">
        <v>113</v>
      </c>
      <c r="K34" s="12" t="s">
        <v>302</v>
      </c>
    </row>
    <row r="35" spans="1:11" x14ac:dyDescent="0.25">
      <c r="A35" s="15" t="s">
        <v>1708</v>
      </c>
      <c r="B35" s="12" t="s">
        <v>1638</v>
      </c>
      <c r="C35" s="12" t="s">
        <v>1625</v>
      </c>
      <c r="D35" s="18" t="s">
        <v>1696</v>
      </c>
      <c r="E35" s="12">
        <v>113</v>
      </c>
      <c r="F35" s="12">
        <v>0</v>
      </c>
      <c r="G35" s="18" t="s">
        <v>1709</v>
      </c>
      <c r="H35" s="12">
        <v>0</v>
      </c>
      <c r="I35" s="19">
        <v>46292.413981481477</v>
      </c>
      <c r="J35" s="12"/>
      <c r="K35" s="12" t="s">
        <v>302</v>
      </c>
    </row>
    <row r="36" spans="1:11" x14ac:dyDescent="0.25">
      <c r="A36" s="15" t="s">
        <v>1710</v>
      </c>
      <c r="B36" s="12" t="s">
        <v>1703</v>
      </c>
      <c r="C36" s="12" t="s">
        <v>1625</v>
      </c>
      <c r="D36" s="18" t="s">
        <v>1704</v>
      </c>
      <c r="E36" s="12">
        <v>19</v>
      </c>
      <c r="F36" s="12">
        <v>0</v>
      </c>
      <c r="G36" s="18" t="s">
        <v>1711</v>
      </c>
      <c r="H36" s="12">
        <v>0</v>
      </c>
      <c r="I36" s="19">
        <v>46292.414027777777</v>
      </c>
      <c r="J36" s="12">
        <v>96</v>
      </c>
      <c r="K36" s="12" t="s">
        <v>302</v>
      </c>
    </row>
    <row r="37" spans="1:11" x14ac:dyDescent="0.25">
      <c r="A37" s="15" t="s">
        <v>1712</v>
      </c>
      <c r="B37" s="12" t="s">
        <v>1244</v>
      </c>
      <c r="C37" s="12" t="s">
        <v>1625</v>
      </c>
      <c r="D37" s="18" t="s">
        <v>1693</v>
      </c>
      <c r="E37" s="12">
        <v>789</v>
      </c>
      <c r="F37" s="12">
        <v>0</v>
      </c>
      <c r="G37" s="18" t="s">
        <v>1713</v>
      </c>
      <c r="H37" s="12">
        <v>1</v>
      </c>
      <c r="I37" s="19">
        <v>46292.605902777781</v>
      </c>
      <c r="J37" s="12">
        <v>96</v>
      </c>
      <c r="K37" s="12" t="s">
        <v>483</v>
      </c>
    </row>
    <row r="38" spans="1:11" x14ac:dyDescent="0.25">
      <c r="A38" s="15" t="s">
        <v>1714</v>
      </c>
      <c r="B38" s="12" t="s">
        <v>1244</v>
      </c>
      <c r="C38" s="12" t="s">
        <v>1625</v>
      </c>
      <c r="D38" s="18" t="s">
        <v>1693</v>
      </c>
      <c r="E38" s="12">
        <v>799</v>
      </c>
      <c r="F38" s="12">
        <v>0</v>
      </c>
      <c r="G38" s="18" t="s">
        <v>1715</v>
      </c>
      <c r="H38" s="12">
        <v>1</v>
      </c>
      <c r="I38" s="19">
        <v>46292.606377314813</v>
      </c>
      <c r="J38" s="12">
        <v>93</v>
      </c>
      <c r="K38" s="12" t="s">
        <v>483</v>
      </c>
    </row>
    <row r="39" spans="1:11" x14ac:dyDescent="0.25">
      <c r="A39" s="15" t="s">
        <v>1716</v>
      </c>
      <c r="B39" s="12" t="s">
        <v>1638</v>
      </c>
      <c r="C39" s="12" t="s">
        <v>1625</v>
      </c>
      <c r="D39" s="18" t="s">
        <v>1696</v>
      </c>
      <c r="E39" s="12">
        <v>117</v>
      </c>
      <c r="F39" s="12">
        <v>0</v>
      </c>
      <c r="G39" s="18" t="s">
        <v>1701</v>
      </c>
      <c r="H39" s="12">
        <v>0</v>
      </c>
      <c r="I39" s="19">
        <v>46292.606423611112</v>
      </c>
      <c r="J39" s="12"/>
      <c r="K39" s="12" t="s">
        <v>483</v>
      </c>
    </row>
    <row r="40" spans="1:11" x14ac:dyDescent="0.25">
      <c r="A40" s="15" t="s">
        <v>1717</v>
      </c>
      <c r="B40" s="12" t="s">
        <v>1703</v>
      </c>
      <c r="C40" s="12" t="s">
        <v>1625</v>
      </c>
      <c r="D40" s="18" t="s">
        <v>1704</v>
      </c>
      <c r="E40" s="12">
        <v>20</v>
      </c>
      <c r="F40" s="12">
        <v>0</v>
      </c>
      <c r="G40" s="18" t="s">
        <v>1718</v>
      </c>
      <c r="H40" s="12">
        <v>0</v>
      </c>
      <c r="I40" s="19">
        <v>46292.606458333343</v>
      </c>
      <c r="J40" s="12">
        <v>78</v>
      </c>
      <c r="K40" s="12" t="s">
        <v>483</v>
      </c>
    </row>
    <row r="41" spans="1:11" x14ac:dyDescent="0.25">
      <c r="A41" s="15" t="s">
        <v>1719</v>
      </c>
      <c r="B41" s="12" t="s">
        <v>1244</v>
      </c>
      <c r="C41" s="12" t="s">
        <v>1625</v>
      </c>
      <c r="D41" s="18" t="s">
        <v>1693</v>
      </c>
      <c r="E41" s="12">
        <v>805</v>
      </c>
      <c r="F41" s="12">
        <v>0</v>
      </c>
      <c r="G41" s="18" t="s">
        <v>1720</v>
      </c>
      <c r="H41" s="12">
        <v>1</v>
      </c>
      <c r="I41" s="19">
        <v>46292.606736111113</v>
      </c>
      <c r="J41" s="12">
        <v>94</v>
      </c>
      <c r="K41" s="12" t="s">
        <v>483</v>
      </c>
    </row>
    <row r="42" spans="1:11" x14ac:dyDescent="0.25">
      <c r="A42" s="15" t="s">
        <v>1721</v>
      </c>
      <c r="B42" s="12" t="s">
        <v>1244</v>
      </c>
      <c r="C42" s="12" t="s">
        <v>1625</v>
      </c>
      <c r="D42" s="18" t="s">
        <v>1693</v>
      </c>
      <c r="E42" s="12">
        <v>817</v>
      </c>
      <c r="F42" s="12">
        <v>0</v>
      </c>
      <c r="G42" s="18" t="s">
        <v>1722</v>
      </c>
      <c r="H42" s="12">
        <v>1</v>
      </c>
      <c r="I42" s="19">
        <v>46292.606932870367</v>
      </c>
      <c r="J42" s="12">
        <v>97</v>
      </c>
      <c r="K42" s="12" t="s">
        <v>483</v>
      </c>
    </row>
    <row r="43" spans="1:11" x14ac:dyDescent="0.25">
      <c r="A43" s="15" t="s">
        <v>1723</v>
      </c>
      <c r="B43" s="12" t="s">
        <v>1703</v>
      </c>
      <c r="C43" s="12" t="s">
        <v>1625</v>
      </c>
      <c r="D43" s="18" t="s">
        <v>1704</v>
      </c>
      <c r="E43" s="12">
        <v>20</v>
      </c>
      <c r="F43" s="12">
        <v>0</v>
      </c>
      <c r="G43" s="18" t="s">
        <v>1724</v>
      </c>
      <c r="H43" s="12">
        <v>0</v>
      </c>
      <c r="I43" s="19">
        <v>46292.607141203713</v>
      </c>
      <c r="J43" s="12">
        <v>78</v>
      </c>
      <c r="K43" s="12" t="s">
        <v>483</v>
      </c>
    </row>
    <row r="44" spans="1:11" x14ac:dyDescent="0.25">
      <c r="A44" s="15" t="s">
        <v>1725</v>
      </c>
      <c r="B44" s="12" t="s">
        <v>1638</v>
      </c>
      <c r="C44" s="12" t="s">
        <v>1625</v>
      </c>
      <c r="D44" s="18" t="s">
        <v>1696</v>
      </c>
      <c r="E44" s="12">
        <v>117</v>
      </c>
      <c r="F44" s="12">
        <v>0</v>
      </c>
      <c r="G44" s="18" t="s">
        <v>1724</v>
      </c>
      <c r="H44" s="12">
        <v>0</v>
      </c>
      <c r="I44" s="19">
        <v>46292.607187499998</v>
      </c>
      <c r="J44" s="12"/>
      <c r="K44" s="12" t="s">
        <v>483</v>
      </c>
    </row>
    <row r="45" spans="1:11" x14ac:dyDescent="0.25">
      <c r="A45" s="15" t="s">
        <v>1726</v>
      </c>
      <c r="B45" s="12" t="s">
        <v>1244</v>
      </c>
      <c r="C45" s="12" t="s">
        <v>1625</v>
      </c>
      <c r="D45" s="18" t="s">
        <v>1693</v>
      </c>
      <c r="E45" s="12">
        <v>838</v>
      </c>
      <c r="F45" s="12">
        <v>0</v>
      </c>
      <c r="G45" s="18" t="s">
        <v>1727</v>
      </c>
      <c r="H45" s="12">
        <v>1</v>
      </c>
      <c r="I45" s="19">
        <v>46292.607465277782</v>
      </c>
      <c r="J45" s="12">
        <v>104</v>
      </c>
      <c r="K45" s="12" t="s">
        <v>483</v>
      </c>
    </row>
    <row r="46" spans="1:11" x14ac:dyDescent="0.25">
      <c r="A46" s="15" t="s">
        <v>1728</v>
      </c>
      <c r="B46" s="12" t="s">
        <v>1703</v>
      </c>
      <c r="C46" s="12" t="s">
        <v>1625</v>
      </c>
      <c r="D46" s="18" t="s">
        <v>1704</v>
      </c>
      <c r="E46" s="12">
        <v>20</v>
      </c>
      <c r="F46" s="12">
        <v>0</v>
      </c>
      <c r="G46" s="18" t="s">
        <v>1729</v>
      </c>
      <c r="H46" s="12">
        <v>0</v>
      </c>
      <c r="I46" s="19">
        <v>46292.607499999998</v>
      </c>
      <c r="J46" s="12">
        <v>84</v>
      </c>
      <c r="K46" s="12" t="s">
        <v>483</v>
      </c>
    </row>
    <row r="47" spans="1:11" ht="25.5" x14ac:dyDescent="0.25">
      <c r="A47" s="15" t="s">
        <v>1730</v>
      </c>
      <c r="B47" s="12" t="s">
        <v>1731</v>
      </c>
      <c r="C47" s="12" t="s">
        <v>1625</v>
      </c>
      <c r="D47" s="18" t="s">
        <v>1626</v>
      </c>
      <c r="E47" s="12">
        <v>869</v>
      </c>
      <c r="F47" s="12">
        <v>0</v>
      </c>
      <c r="G47" s="18" t="s">
        <v>1732</v>
      </c>
      <c r="H47" s="12">
        <v>1</v>
      </c>
      <c r="I47" s="19">
        <v>46292.780370370368</v>
      </c>
      <c r="J47" s="12">
        <v>112</v>
      </c>
      <c r="K47" s="12" t="s">
        <v>1733</v>
      </c>
    </row>
    <row r="48" spans="1:11" x14ac:dyDescent="0.25">
      <c r="A48" s="15" t="s">
        <v>1734</v>
      </c>
      <c r="B48" s="12" t="s">
        <v>1735</v>
      </c>
      <c r="C48" s="12" t="s">
        <v>1625</v>
      </c>
      <c r="D48" s="18" t="s">
        <v>1673</v>
      </c>
      <c r="E48" s="12">
        <v>119</v>
      </c>
      <c r="F48" s="12">
        <v>0</v>
      </c>
      <c r="G48" s="18" t="s">
        <v>1736</v>
      </c>
      <c r="H48" s="12">
        <v>0</v>
      </c>
      <c r="I48" s="19">
        <v>46292.780405092592</v>
      </c>
      <c r="J48" s="12"/>
      <c r="K48" s="12" t="s">
        <v>1733</v>
      </c>
    </row>
    <row r="49" spans="1:11" x14ac:dyDescent="0.25">
      <c r="A49" s="15" t="s">
        <v>1737</v>
      </c>
      <c r="B49" s="12" t="s">
        <v>1738</v>
      </c>
      <c r="C49" s="12" t="s">
        <v>1625</v>
      </c>
      <c r="D49" s="18" t="s">
        <v>1676</v>
      </c>
      <c r="E49" s="12">
        <v>21</v>
      </c>
      <c r="F49" s="12">
        <v>0</v>
      </c>
      <c r="G49" s="18" t="s">
        <v>1739</v>
      </c>
      <c r="H49" s="12">
        <v>0</v>
      </c>
      <c r="I49" s="19">
        <v>46292.780451388891</v>
      </c>
      <c r="J49" s="12">
        <v>102</v>
      </c>
      <c r="K49" s="12" t="s">
        <v>1733</v>
      </c>
    </row>
    <row r="50" spans="1:11" x14ac:dyDescent="0.25">
      <c r="A50" s="15" t="s">
        <v>1740</v>
      </c>
      <c r="B50" s="12" t="s">
        <v>1741</v>
      </c>
      <c r="C50" s="12" t="s">
        <v>1625</v>
      </c>
      <c r="D50" s="18" t="s">
        <v>1742</v>
      </c>
      <c r="E50" s="12">
        <v>2</v>
      </c>
      <c r="F50" s="12">
        <v>0</v>
      </c>
      <c r="G50" s="18" t="s">
        <v>1743</v>
      </c>
      <c r="H50" s="12">
        <v>0</v>
      </c>
      <c r="I50" s="19">
        <v>46292.780486111107</v>
      </c>
      <c r="J50" s="12"/>
      <c r="K50" s="12" t="s">
        <v>1733</v>
      </c>
    </row>
    <row r="51" spans="1:11" ht="25.5" x14ac:dyDescent="0.25">
      <c r="A51" s="15" t="s">
        <v>1744</v>
      </c>
      <c r="B51" s="12" t="s">
        <v>1731</v>
      </c>
      <c r="C51" s="12" t="s">
        <v>1625</v>
      </c>
      <c r="D51" s="18" t="s">
        <v>1626</v>
      </c>
      <c r="E51" s="12">
        <v>876</v>
      </c>
      <c r="F51" s="12">
        <v>0</v>
      </c>
      <c r="G51" s="18" t="s">
        <v>1745</v>
      </c>
      <c r="H51" s="12">
        <v>1</v>
      </c>
      <c r="I51" s="19">
        <v>46292.79247685185</v>
      </c>
      <c r="J51" s="12">
        <v>114</v>
      </c>
      <c r="K51" s="12" t="s">
        <v>1746</v>
      </c>
    </row>
    <row r="52" spans="1:11" x14ac:dyDescent="0.25">
      <c r="A52" s="15" t="s">
        <v>1747</v>
      </c>
      <c r="B52" s="12" t="s">
        <v>1735</v>
      </c>
      <c r="C52" s="12" t="s">
        <v>1625</v>
      </c>
      <c r="D52" s="18" t="s">
        <v>1673</v>
      </c>
      <c r="E52" s="12">
        <v>125</v>
      </c>
      <c r="F52" s="12">
        <v>0</v>
      </c>
      <c r="G52" s="18" t="s">
        <v>1748</v>
      </c>
      <c r="H52" s="12">
        <v>0</v>
      </c>
      <c r="I52" s="19">
        <v>46292.792511574073</v>
      </c>
      <c r="J52" s="12"/>
      <c r="K52" s="12" t="s">
        <v>1746</v>
      </c>
    </row>
    <row r="53" spans="1:11" x14ac:dyDescent="0.25">
      <c r="A53" s="15" t="s">
        <v>1749</v>
      </c>
      <c r="B53" s="12" t="s">
        <v>1738</v>
      </c>
      <c r="C53" s="12" t="s">
        <v>1625</v>
      </c>
      <c r="D53" s="18" t="s">
        <v>1676</v>
      </c>
      <c r="E53" s="12">
        <v>22</v>
      </c>
      <c r="F53" s="12">
        <v>0</v>
      </c>
      <c r="G53" s="18" t="s">
        <v>1750</v>
      </c>
      <c r="H53" s="12">
        <v>0</v>
      </c>
      <c r="I53" s="19">
        <v>46292.792557870373</v>
      </c>
      <c r="J53" s="12">
        <v>90</v>
      </c>
      <c r="K53" s="12" t="s">
        <v>1746</v>
      </c>
    </row>
    <row r="54" spans="1:11" x14ac:dyDescent="0.25">
      <c r="A54" s="15" t="s">
        <v>1751</v>
      </c>
      <c r="B54" s="12" t="s">
        <v>1741</v>
      </c>
      <c r="C54" s="12" t="s">
        <v>1625</v>
      </c>
      <c r="D54" s="18" t="s">
        <v>1742</v>
      </c>
      <c r="E54" s="12">
        <v>2</v>
      </c>
      <c r="F54" s="12">
        <v>0</v>
      </c>
      <c r="G54" s="18" t="s">
        <v>1743</v>
      </c>
      <c r="H54" s="12">
        <v>0</v>
      </c>
      <c r="I54" s="19">
        <v>46292.792592592603</v>
      </c>
      <c r="J54" s="12"/>
      <c r="K54" s="12" t="s">
        <v>1746</v>
      </c>
    </row>
    <row r="55" spans="1:11" ht="25.5" x14ac:dyDescent="0.25">
      <c r="A55" s="15" t="s">
        <v>1752</v>
      </c>
      <c r="B55" s="12" t="s">
        <v>1731</v>
      </c>
      <c r="C55" s="12" t="s">
        <v>1625</v>
      </c>
      <c r="D55" s="18" t="s">
        <v>1626</v>
      </c>
      <c r="E55" s="12">
        <v>888</v>
      </c>
      <c r="F55" s="12">
        <v>0</v>
      </c>
      <c r="G55" s="18" t="s">
        <v>1753</v>
      </c>
      <c r="H55" s="12">
        <v>1</v>
      </c>
      <c r="I55" s="19">
        <v>46292.807222222233</v>
      </c>
      <c r="J55" s="12">
        <v>114</v>
      </c>
      <c r="K55" s="12" t="s">
        <v>1754</v>
      </c>
    </row>
    <row r="56" spans="1:11" x14ac:dyDescent="0.25">
      <c r="A56" s="15" t="s">
        <v>1755</v>
      </c>
      <c r="B56" s="12" t="s">
        <v>1735</v>
      </c>
      <c r="C56" s="12" t="s">
        <v>1625</v>
      </c>
      <c r="D56" s="18" t="s">
        <v>1673</v>
      </c>
      <c r="E56" s="12">
        <v>128</v>
      </c>
      <c r="F56" s="12">
        <v>0</v>
      </c>
      <c r="G56" s="18" t="s">
        <v>1756</v>
      </c>
      <c r="H56" s="12">
        <v>0</v>
      </c>
      <c r="I56" s="19">
        <v>46292.807268518518</v>
      </c>
      <c r="J56" s="12"/>
      <c r="K56" s="12" t="s">
        <v>1754</v>
      </c>
    </row>
    <row r="57" spans="1:11" x14ac:dyDescent="0.25">
      <c r="A57" s="15" t="s">
        <v>1757</v>
      </c>
      <c r="B57" s="12" t="s">
        <v>1738</v>
      </c>
      <c r="C57" s="12" t="s">
        <v>1625</v>
      </c>
      <c r="D57" s="18" t="s">
        <v>1676</v>
      </c>
      <c r="E57" s="12">
        <v>22</v>
      </c>
      <c r="F57" s="12">
        <v>0</v>
      </c>
      <c r="G57" s="18" t="s">
        <v>1758</v>
      </c>
      <c r="H57" s="12">
        <v>0</v>
      </c>
      <c r="I57" s="19">
        <v>46292.807303240741</v>
      </c>
      <c r="J57" s="12">
        <v>90</v>
      </c>
      <c r="K57" s="12" t="s">
        <v>1754</v>
      </c>
    </row>
    <row r="58" spans="1:11" x14ac:dyDescent="0.25">
      <c r="A58" s="15" t="s">
        <v>1759</v>
      </c>
      <c r="B58" s="12" t="s">
        <v>1741</v>
      </c>
      <c r="C58" s="12" t="s">
        <v>1625</v>
      </c>
      <c r="D58" s="18" t="s">
        <v>1742</v>
      </c>
      <c r="E58" s="12">
        <v>2</v>
      </c>
      <c r="F58" s="12">
        <v>0</v>
      </c>
      <c r="G58" s="18" t="s">
        <v>1743</v>
      </c>
      <c r="H58" s="12">
        <v>0</v>
      </c>
      <c r="I58" s="19">
        <v>46292.807337962957</v>
      </c>
      <c r="J58" s="12"/>
      <c r="K58" s="12" t="s">
        <v>1754</v>
      </c>
    </row>
    <row r="59" spans="1:11" ht="25.5" x14ac:dyDescent="0.25">
      <c r="A59" s="15" t="s">
        <v>1760</v>
      </c>
      <c r="B59" s="12" t="s">
        <v>1731</v>
      </c>
      <c r="C59" s="12" t="s">
        <v>1625</v>
      </c>
      <c r="D59" s="18" t="s">
        <v>1626</v>
      </c>
      <c r="E59" s="12">
        <v>894</v>
      </c>
      <c r="F59" s="12">
        <v>0</v>
      </c>
      <c r="G59" s="18" t="s">
        <v>1761</v>
      </c>
      <c r="H59" s="12">
        <v>1</v>
      </c>
      <c r="I59" s="19">
        <v>46292.817453703698</v>
      </c>
      <c r="J59" s="12">
        <v>117</v>
      </c>
      <c r="K59" s="12" t="s">
        <v>1762</v>
      </c>
    </row>
    <row r="60" spans="1:11" x14ac:dyDescent="0.25">
      <c r="A60" s="15" t="s">
        <v>1763</v>
      </c>
      <c r="B60" s="12" t="s">
        <v>1735</v>
      </c>
      <c r="C60" s="12" t="s">
        <v>1625</v>
      </c>
      <c r="D60" s="18" t="s">
        <v>1673</v>
      </c>
      <c r="E60" s="12">
        <v>129</v>
      </c>
      <c r="F60" s="12">
        <v>0</v>
      </c>
      <c r="G60" s="18" t="s">
        <v>1764</v>
      </c>
      <c r="H60" s="12">
        <v>0</v>
      </c>
      <c r="I60" s="19">
        <v>46292.817488425928</v>
      </c>
      <c r="J60" s="12"/>
      <c r="K60" s="12" t="s">
        <v>1762</v>
      </c>
    </row>
    <row r="61" spans="1:11" x14ac:dyDescent="0.25">
      <c r="A61" s="15" t="s">
        <v>1765</v>
      </c>
      <c r="B61" s="12" t="s">
        <v>1738</v>
      </c>
      <c r="C61" s="12" t="s">
        <v>1625</v>
      </c>
      <c r="D61" s="18" t="s">
        <v>1676</v>
      </c>
      <c r="E61" s="12">
        <v>22</v>
      </c>
      <c r="F61" s="12">
        <v>0</v>
      </c>
      <c r="G61" s="18" t="s">
        <v>1766</v>
      </c>
      <c r="H61" s="12">
        <v>0</v>
      </c>
      <c r="I61" s="19">
        <v>46292.817523148151</v>
      </c>
      <c r="J61" s="12">
        <v>90</v>
      </c>
      <c r="K61" s="12" t="s">
        <v>1762</v>
      </c>
    </row>
    <row r="62" spans="1:11" x14ac:dyDescent="0.25">
      <c r="A62" s="15" t="s">
        <v>1767</v>
      </c>
      <c r="B62" s="12" t="s">
        <v>1741</v>
      </c>
      <c r="C62" s="12" t="s">
        <v>1625</v>
      </c>
      <c r="D62" s="18" t="s">
        <v>1742</v>
      </c>
      <c r="E62" s="12">
        <v>2</v>
      </c>
      <c r="F62" s="12">
        <v>0</v>
      </c>
      <c r="G62" s="18" t="s">
        <v>1743</v>
      </c>
      <c r="H62" s="12">
        <v>0</v>
      </c>
      <c r="I62" s="19">
        <v>46292.817569444444</v>
      </c>
      <c r="J62" s="12"/>
      <c r="K62" s="12" t="s">
        <v>1762</v>
      </c>
    </row>
    <row r="63" spans="1:11" ht="25.5" x14ac:dyDescent="0.25">
      <c r="A63" s="15" t="s">
        <v>1768</v>
      </c>
      <c r="B63" s="12" t="s">
        <v>1731</v>
      </c>
      <c r="C63" s="12" t="s">
        <v>1625</v>
      </c>
      <c r="D63" s="18" t="s">
        <v>1626</v>
      </c>
      <c r="E63" s="12">
        <v>903</v>
      </c>
      <c r="F63" s="12">
        <v>0</v>
      </c>
      <c r="G63" s="18" t="s">
        <v>1769</v>
      </c>
      <c r="H63" s="12">
        <v>1</v>
      </c>
      <c r="I63" s="19">
        <v>46292.826944444438</v>
      </c>
      <c r="J63" s="12">
        <v>117</v>
      </c>
      <c r="K63" s="12" t="s">
        <v>1770</v>
      </c>
    </row>
    <row r="64" spans="1:11" x14ac:dyDescent="0.25">
      <c r="A64" s="15" t="s">
        <v>1771</v>
      </c>
      <c r="B64" s="12" t="s">
        <v>1735</v>
      </c>
      <c r="C64" s="12" t="s">
        <v>1625</v>
      </c>
      <c r="D64" s="18" t="s">
        <v>1673</v>
      </c>
      <c r="E64" s="12">
        <v>129</v>
      </c>
      <c r="F64" s="12">
        <v>0</v>
      </c>
      <c r="G64" s="18" t="s">
        <v>1772</v>
      </c>
      <c r="H64" s="12">
        <v>0</v>
      </c>
      <c r="I64" s="19">
        <v>46292.826990740738</v>
      </c>
      <c r="J64" s="12"/>
      <c r="K64" s="12" t="s">
        <v>1770</v>
      </c>
    </row>
    <row r="65" spans="1:11" x14ac:dyDescent="0.25">
      <c r="A65" s="15" t="s">
        <v>1773</v>
      </c>
      <c r="B65" s="12" t="s">
        <v>1738</v>
      </c>
      <c r="C65" s="12" t="s">
        <v>1625</v>
      </c>
      <c r="D65" s="18" t="s">
        <v>1676</v>
      </c>
      <c r="E65" s="12">
        <v>22</v>
      </c>
      <c r="F65" s="12">
        <v>0</v>
      </c>
      <c r="G65" s="18" t="s">
        <v>1772</v>
      </c>
      <c r="H65" s="12">
        <v>0</v>
      </c>
      <c r="I65" s="19">
        <v>46292.827025462961</v>
      </c>
      <c r="J65" s="12">
        <v>90</v>
      </c>
      <c r="K65" s="12" t="s">
        <v>1770</v>
      </c>
    </row>
    <row r="66" spans="1:11" x14ac:dyDescent="0.25">
      <c r="A66" s="15" t="s">
        <v>1774</v>
      </c>
      <c r="B66" s="12" t="s">
        <v>1741</v>
      </c>
      <c r="C66" s="12" t="s">
        <v>1625</v>
      </c>
      <c r="D66" s="18" t="s">
        <v>1742</v>
      </c>
      <c r="E66" s="12">
        <v>2</v>
      </c>
      <c r="F66" s="12">
        <v>0</v>
      </c>
      <c r="G66" s="18" t="s">
        <v>1743</v>
      </c>
      <c r="H66" s="12">
        <v>0</v>
      </c>
      <c r="I66" s="19">
        <v>46292.82707175926</v>
      </c>
      <c r="J66" s="12"/>
      <c r="K66" s="12" t="s">
        <v>1770</v>
      </c>
    </row>
    <row r="67" spans="1:11" ht="25.5" x14ac:dyDescent="0.25">
      <c r="A67" s="15" t="s">
        <v>1775</v>
      </c>
      <c r="B67" s="12" t="s">
        <v>1731</v>
      </c>
      <c r="C67" s="12" t="s">
        <v>1625</v>
      </c>
      <c r="D67" s="18" t="s">
        <v>1626</v>
      </c>
      <c r="E67" s="12">
        <v>913</v>
      </c>
      <c r="F67" s="12">
        <v>0</v>
      </c>
      <c r="G67" s="18" t="s">
        <v>1776</v>
      </c>
      <c r="H67" s="12">
        <v>1</v>
      </c>
      <c r="I67" s="19">
        <v>46292.833993055552</v>
      </c>
      <c r="J67" s="12">
        <v>116</v>
      </c>
      <c r="K67" s="12" t="s">
        <v>1777</v>
      </c>
    </row>
    <row r="68" spans="1:11" x14ac:dyDescent="0.25">
      <c r="A68" s="15" t="s">
        <v>1778</v>
      </c>
      <c r="B68" s="12" t="s">
        <v>1735</v>
      </c>
      <c r="C68" s="12" t="s">
        <v>1625</v>
      </c>
      <c r="D68" s="18" t="s">
        <v>1673</v>
      </c>
      <c r="E68" s="12">
        <v>129</v>
      </c>
      <c r="F68" s="12">
        <v>0</v>
      </c>
      <c r="G68" s="18" t="s">
        <v>1779</v>
      </c>
      <c r="H68" s="12">
        <v>0</v>
      </c>
      <c r="I68" s="19">
        <v>46292.834027777782</v>
      </c>
      <c r="J68" s="12"/>
      <c r="K68" s="12" t="s">
        <v>1777</v>
      </c>
    </row>
    <row r="69" spans="1:11" x14ac:dyDescent="0.25">
      <c r="A69" s="15" t="s">
        <v>1780</v>
      </c>
      <c r="B69" s="12" t="s">
        <v>1738</v>
      </c>
      <c r="C69" s="12" t="s">
        <v>1625</v>
      </c>
      <c r="D69" s="18" t="s">
        <v>1676</v>
      </c>
      <c r="E69" s="12">
        <v>22</v>
      </c>
      <c r="F69" s="12">
        <v>0</v>
      </c>
      <c r="G69" s="18" t="s">
        <v>1779</v>
      </c>
      <c r="H69" s="12">
        <v>0</v>
      </c>
      <c r="I69" s="19">
        <v>46292.834074074082</v>
      </c>
      <c r="J69" s="12">
        <v>90</v>
      </c>
      <c r="K69" s="12" t="s">
        <v>1777</v>
      </c>
    </row>
    <row r="70" spans="1:11" x14ac:dyDescent="0.25">
      <c r="A70" s="15" t="s">
        <v>1781</v>
      </c>
      <c r="B70" s="12" t="s">
        <v>1741</v>
      </c>
      <c r="C70" s="12" t="s">
        <v>1625</v>
      </c>
      <c r="D70" s="18" t="s">
        <v>1742</v>
      </c>
      <c r="E70" s="12">
        <v>2</v>
      </c>
      <c r="F70" s="12">
        <v>0</v>
      </c>
      <c r="G70" s="18" t="s">
        <v>1743</v>
      </c>
      <c r="H70" s="12">
        <v>0</v>
      </c>
      <c r="I70" s="19">
        <v>46292.834108796298</v>
      </c>
      <c r="J70" s="12"/>
      <c r="K70" s="12" t="s">
        <v>1777</v>
      </c>
    </row>
    <row r="71" spans="1:11" ht="25.5" x14ac:dyDescent="0.25">
      <c r="A71" s="15" t="s">
        <v>1782</v>
      </c>
      <c r="B71" s="12" t="s">
        <v>1731</v>
      </c>
      <c r="C71" s="12" t="s">
        <v>1625</v>
      </c>
      <c r="D71" s="18" t="s">
        <v>1626</v>
      </c>
      <c r="E71" s="12">
        <v>919</v>
      </c>
      <c r="F71" s="12">
        <v>0</v>
      </c>
      <c r="G71" s="18" t="s">
        <v>1783</v>
      </c>
      <c r="H71" s="12">
        <v>1</v>
      </c>
      <c r="I71" s="19">
        <v>46292.846990740742</v>
      </c>
      <c r="J71" s="12">
        <v>144</v>
      </c>
      <c r="K71" s="12" t="s">
        <v>1784</v>
      </c>
    </row>
    <row r="72" spans="1:11" x14ac:dyDescent="0.25">
      <c r="A72" s="15" t="s">
        <v>1785</v>
      </c>
      <c r="B72" s="12" t="s">
        <v>1735</v>
      </c>
      <c r="C72" s="12" t="s">
        <v>1625</v>
      </c>
      <c r="D72" s="18" t="s">
        <v>1673</v>
      </c>
      <c r="E72" s="12">
        <v>132</v>
      </c>
      <c r="F72" s="12">
        <v>0</v>
      </c>
      <c r="G72" s="18" t="s">
        <v>1786</v>
      </c>
      <c r="H72" s="12">
        <v>0</v>
      </c>
      <c r="I72" s="19">
        <v>46292.847025462957</v>
      </c>
      <c r="J72" s="12"/>
      <c r="K72" s="12" t="s">
        <v>1784</v>
      </c>
    </row>
    <row r="73" spans="1:11" x14ac:dyDescent="0.25">
      <c r="A73" s="15" t="s">
        <v>1787</v>
      </c>
      <c r="B73" s="12" t="s">
        <v>1738</v>
      </c>
      <c r="C73" s="12" t="s">
        <v>1625</v>
      </c>
      <c r="D73" s="18" t="s">
        <v>1676</v>
      </c>
      <c r="E73" s="12">
        <v>22</v>
      </c>
      <c r="F73" s="12">
        <v>0</v>
      </c>
      <c r="G73" s="18" t="s">
        <v>1788</v>
      </c>
      <c r="H73" s="12">
        <v>0</v>
      </c>
      <c r="I73" s="19">
        <v>46292.847071759257</v>
      </c>
      <c r="J73" s="12">
        <v>90</v>
      </c>
      <c r="K73" s="12" t="s">
        <v>1784</v>
      </c>
    </row>
    <row r="74" spans="1:11" x14ac:dyDescent="0.25">
      <c r="A74" s="15" t="s">
        <v>1789</v>
      </c>
      <c r="B74" s="12" t="s">
        <v>1741</v>
      </c>
      <c r="C74" s="12" t="s">
        <v>1625</v>
      </c>
      <c r="D74" s="18" t="s">
        <v>1742</v>
      </c>
      <c r="E74" s="12">
        <v>2</v>
      </c>
      <c r="F74" s="12">
        <v>0</v>
      </c>
      <c r="G74" s="18" t="s">
        <v>1743</v>
      </c>
      <c r="H74" s="12">
        <v>0</v>
      </c>
      <c r="I74" s="19">
        <v>46292.84710648148</v>
      </c>
      <c r="J74" s="12"/>
      <c r="K74" s="12" t="s">
        <v>1784</v>
      </c>
    </row>
    <row r="75" spans="1:11" ht="25.5" x14ac:dyDescent="0.25">
      <c r="A75" s="15" t="s">
        <v>1790</v>
      </c>
      <c r="B75" s="12" t="s">
        <v>1731</v>
      </c>
      <c r="C75" s="12" t="s">
        <v>1625</v>
      </c>
      <c r="D75" s="18" t="s">
        <v>1626</v>
      </c>
      <c r="E75" s="12">
        <v>920</v>
      </c>
      <c r="F75" s="12">
        <v>0</v>
      </c>
      <c r="G75" s="18" t="s">
        <v>1791</v>
      </c>
      <c r="H75" s="12">
        <v>1</v>
      </c>
      <c r="I75" s="19">
        <v>46292.980844907397</v>
      </c>
      <c r="J75" s="12">
        <v>124</v>
      </c>
      <c r="K75" s="12" t="s">
        <v>1792</v>
      </c>
    </row>
    <row r="76" spans="1:11" x14ac:dyDescent="0.25">
      <c r="A76" s="15" t="s">
        <v>1793</v>
      </c>
      <c r="B76" s="12" t="s">
        <v>1735</v>
      </c>
      <c r="C76" s="12" t="s">
        <v>1625</v>
      </c>
      <c r="D76" s="18" t="s">
        <v>1673</v>
      </c>
      <c r="E76" s="12">
        <v>132</v>
      </c>
      <c r="F76" s="12">
        <v>0</v>
      </c>
      <c r="G76" s="18" t="s">
        <v>1794</v>
      </c>
      <c r="H76" s="12">
        <v>0</v>
      </c>
      <c r="I76" s="19">
        <v>46292.980891203697</v>
      </c>
      <c r="J76" s="12"/>
      <c r="K76" s="12" t="s">
        <v>1792</v>
      </c>
    </row>
    <row r="77" spans="1:11" x14ac:dyDescent="0.25">
      <c r="A77" s="15" t="s">
        <v>1795</v>
      </c>
      <c r="B77" s="12" t="s">
        <v>1738</v>
      </c>
      <c r="C77" s="12" t="s">
        <v>1625</v>
      </c>
      <c r="D77" s="18" t="s">
        <v>1676</v>
      </c>
      <c r="E77" s="12">
        <v>22</v>
      </c>
      <c r="F77" s="12">
        <v>0</v>
      </c>
      <c r="G77" s="18" t="s">
        <v>1794</v>
      </c>
      <c r="H77" s="12">
        <v>0</v>
      </c>
      <c r="I77" s="19">
        <v>46292.980925925927</v>
      </c>
      <c r="J77" s="12">
        <v>90</v>
      </c>
      <c r="K77" s="12" t="s">
        <v>1792</v>
      </c>
    </row>
    <row r="78" spans="1:11" x14ac:dyDescent="0.25">
      <c r="A78" s="15" t="s">
        <v>1796</v>
      </c>
      <c r="B78" s="12" t="s">
        <v>1741</v>
      </c>
      <c r="C78" s="12" t="s">
        <v>1625</v>
      </c>
      <c r="D78" s="18" t="s">
        <v>1742</v>
      </c>
      <c r="E78" s="12">
        <v>2</v>
      </c>
      <c r="F78" s="12">
        <v>0</v>
      </c>
      <c r="G78" s="18" t="s">
        <v>1743</v>
      </c>
      <c r="H78" s="12">
        <v>0</v>
      </c>
      <c r="I78" s="19">
        <v>46292.98097222222</v>
      </c>
      <c r="J78" s="12"/>
      <c r="K78" s="12" t="s">
        <v>1792</v>
      </c>
    </row>
    <row r="79" spans="1:11" ht="25.5" x14ac:dyDescent="0.25">
      <c r="A79" s="15" t="s">
        <v>1797</v>
      </c>
      <c r="B79" s="12" t="s">
        <v>1244</v>
      </c>
      <c r="C79" s="12" t="s">
        <v>1625</v>
      </c>
      <c r="D79" s="18" t="s">
        <v>1626</v>
      </c>
      <c r="E79" s="12">
        <v>936</v>
      </c>
      <c r="F79" s="12">
        <v>0</v>
      </c>
      <c r="G79" s="18"/>
      <c r="H79" s="12">
        <v>0</v>
      </c>
      <c r="I79" s="19">
        <v>46294.632986111108</v>
      </c>
      <c r="J79" s="12">
        <v>128</v>
      </c>
      <c r="K79" s="12" t="s">
        <v>1798</v>
      </c>
    </row>
    <row r="80" spans="1:11" x14ac:dyDescent="0.25">
      <c r="A80" s="15" t="s">
        <v>1799</v>
      </c>
      <c r="B80" s="12" t="s">
        <v>1800</v>
      </c>
      <c r="C80" s="12" t="s">
        <v>1625</v>
      </c>
      <c r="D80" s="18" t="s">
        <v>1673</v>
      </c>
      <c r="E80" s="12">
        <v>140</v>
      </c>
      <c r="F80" s="12">
        <v>0</v>
      </c>
      <c r="G80" s="18"/>
      <c r="H80" s="12">
        <v>0</v>
      </c>
      <c r="I80" s="19">
        <v>46294.633020833331</v>
      </c>
      <c r="J80" s="12">
        <v>10</v>
      </c>
      <c r="K80" s="12" t="s">
        <v>1798</v>
      </c>
    </row>
    <row r="81" spans="1:11" x14ac:dyDescent="0.25">
      <c r="A81" s="15" t="s">
        <v>1801</v>
      </c>
      <c r="B81" s="12" t="s">
        <v>1738</v>
      </c>
      <c r="C81" s="12" t="s">
        <v>1625</v>
      </c>
      <c r="D81" s="18" t="s">
        <v>1676</v>
      </c>
      <c r="E81" s="12">
        <v>23</v>
      </c>
      <c r="F81" s="12">
        <v>0</v>
      </c>
      <c r="G81" s="18"/>
      <c r="H81" s="12">
        <v>0</v>
      </c>
      <c r="I81" s="19">
        <v>46294.633067129631</v>
      </c>
      <c r="J81" s="12">
        <v>90</v>
      </c>
      <c r="K81" s="12" t="s">
        <v>1798</v>
      </c>
    </row>
    <row r="82" spans="1:11" ht="25.5" x14ac:dyDescent="0.25">
      <c r="A82" s="15" t="s">
        <v>1802</v>
      </c>
      <c r="B82" s="12" t="s">
        <v>1244</v>
      </c>
      <c r="C82" s="12" t="s">
        <v>1625</v>
      </c>
      <c r="D82" s="18" t="s">
        <v>1626</v>
      </c>
      <c r="E82" s="12">
        <v>937</v>
      </c>
      <c r="F82" s="12">
        <v>0</v>
      </c>
      <c r="G82" s="18"/>
      <c r="H82" s="12">
        <v>0</v>
      </c>
      <c r="I82" s="19">
        <v>46294.640046296299</v>
      </c>
      <c r="J82" s="12">
        <v>128</v>
      </c>
      <c r="K82" s="12" t="s">
        <v>1803</v>
      </c>
    </row>
    <row r="83" spans="1:11" x14ac:dyDescent="0.25">
      <c r="A83" s="15" t="s">
        <v>1804</v>
      </c>
      <c r="B83" s="12" t="s">
        <v>1738</v>
      </c>
      <c r="C83" s="12" t="s">
        <v>1625</v>
      </c>
      <c r="D83" s="18" t="s">
        <v>1676</v>
      </c>
      <c r="E83" s="12">
        <v>23</v>
      </c>
      <c r="F83" s="12">
        <v>0</v>
      </c>
      <c r="G83" s="18"/>
      <c r="H83" s="12">
        <v>0</v>
      </c>
      <c r="I83" s="19">
        <v>46294.640081018522</v>
      </c>
      <c r="J83" s="12">
        <v>90</v>
      </c>
      <c r="K83" s="12" t="s">
        <v>1803</v>
      </c>
    </row>
    <row r="84" spans="1:11" ht="25.5" x14ac:dyDescent="0.25">
      <c r="A84" s="15" t="s">
        <v>1805</v>
      </c>
      <c r="B84" s="12" t="s">
        <v>1244</v>
      </c>
      <c r="C84" s="12" t="s">
        <v>1625</v>
      </c>
      <c r="D84" s="18" t="s">
        <v>1626</v>
      </c>
      <c r="E84" s="12">
        <v>937</v>
      </c>
      <c r="F84" s="12">
        <v>0</v>
      </c>
      <c r="G84" s="18"/>
      <c r="H84" s="12">
        <v>0</v>
      </c>
      <c r="I84" s="19">
        <v>46294.651724537027</v>
      </c>
      <c r="J84" s="12">
        <v>133</v>
      </c>
      <c r="K84" s="12" t="s">
        <v>1806</v>
      </c>
    </row>
    <row r="85" spans="1:11" x14ac:dyDescent="0.25">
      <c r="A85" s="15" t="s">
        <v>1807</v>
      </c>
      <c r="B85" s="12" t="s">
        <v>1800</v>
      </c>
      <c r="C85" s="12" t="s">
        <v>1625</v>
      </c>
      <c r="D85" s="18" t="s">
        <v>1673</v>
      </c>
      <c r="E85" s="12">
        <v>144</v>
      </c>
      <c r="F85" s="12">
        <v>0</v>
      </c>
      <c r="G85" s="18"/>
      <c r="H85" s="12">
        <v>0</v>
      </c>
      <c r="I85" s="19">
        <v>46294.651770833327</v>
      </c>
      <c r="J85" s="12">
        <v>8</v>
      </c>
      <c r="K85" s="12" t="s">
        <v>1806</v>
      </c>
    </row>
    <row r="86" spans="1:11" x14ac:dyDescent="0.25">
      <c r="A86" s="15" t="s">
        <v>1808</v>
      </c>
      <c r="B86" s="12" t="s">
        <v>1738</v>
      </c>
      <c r="C86" s="12" t="s">
        <v>1625</v>
      </c>
      <c r="D86" s="18" t="s">
        <v>1676</v>
      </c>
      <c r="E86" s="12">
        <v>24</v>
      </c>
      <c r="F86" s="12">
        <v>0</v>
      </c>
      <c r="G86" s="18"/>
      <c r="H86" s="12">
        <v>0</v>
      </c>
      <c r="I86" s="19">
        <v>46294.651805555557</v>
      </c>
      <c r="J86" s="12">
        <v>100</v>
      </c>
      <c r="K86" s="12" t="s">
        <v>1806</v>
      </c>
    </row>
    <row r="87" spans="1:11" ht="25.5" x14ac:dyDescent="0.25">
      <c r="A87" s="15" t="s">
        <v>1809</v>
      </c>
      <c r="B87" s="12" t="s">
        <v>1244</v>
      </c>
      <c r="C87" s="12" t="s">
        <v>1625</v>
      </c>
      <c r="D87" s="18" t="s">
        <v>1626</v>
      </c>
      <c r="E87" s="12">
        <v>951</v>
      </c>
      <c r="F87" s="12">
        <v>0</v>
      </c>
      <c r="G87" s="18"/>
      <c r="H87" s="12">
        <v>0</v>
      </c>
      <c r="I87" s="19">
        <v>46294.675370370373</v>
      </c>
      <c r="J87" s="12">
        <v>124</v>
      </c>
      <c r="K87" s="12" t="s">
        <v>520</v>
      </c>
    </row>
    <row r="88" spans="1:11" x14ac:dyDescent="0.25">
      <c r="A88" s="15" t="s">
        <v>1810</v>
      </c>
      <c r="B88" s="12" t="s">
        <v>1800</v>
      </c>
      <c r="C88" s="12" t="s">
        <v>1625</v>
      </c>
      <c r="D88" s="18" t="s">
        <v>1673</v>
      </c>
      <c r="E88" s="12">
        <v>148</v>
      </c>
      <c r="F88" s="12">
        <v>0</v>
      </c>
      <c r="G88" s="18"/>
      <c r="H88" s="12">
        <v>0</v>
      </c>
      <c r="I88" s="19">
        <v>46294.675416666672</v>
      </c>
      <c r="J88" s="12">
        <v>9</v>
      </c>
      <c r="K88" s="12" t="s">
        <v>520</v>
      </c>
    </row>
    <row r="89" spans="1:11" x14ac:dyDescent="0.25">
      <c r="A89" s="15" t="s">
        <v>1811</v>
      </c>
      <c r="B89" s="12" t="s">
        <v>1738</v>
      </c>
      <c r="C89" s="12" t="s">
        <v>1625</v>
      </c>
      <c r="D89" s="18" t="s">
        <v>1676</v>
      </c>
      <c r="E89" s="12">
        <v>24</v>
      </c>
      <c r="F89" s="12">
        <v>0</v>
      </c>
      <c r="G89" s="18"/>
      <c r="H89" s="12">
        <v>0</v>
      </c>
      <c r="I89" s="19">
        <v>46294.675451388888</v>
      </c>
      <c r="J89" s="12">
        <v>96</v>
      </c>
      <c r="K89" s="12" t="s">
        <v>520</v>
      </c>
    </row>
    <row r="90" spans="1:11" ht="25.5" x14ac:dyDescent="0.25">
      <c r="A90" s="15" t="s">
        <v>1812</v>
      </c>
      <c r="B90" s="12" t="s">
        <v>1244</v>
      </c>
      <c r="C90" s="12" t="s">
        <v>1625</v>
      </c>
      <c r="D90" s="18" t="s">
        <v>1626</v>
      </c>
      <c r="E90" s="12">
        <v>953</v>
      </c>
      <c r="F90" s="12">
        <v>0</v>
      </c>
      <c r="G90" s="18"/>
      <c r="H90" s="12">
        <v>0</v>
      </c>
      <c r="I90" s="19">
        <v>46294.68277777778</v>
      </c>
      <c r="J90" s="12">
        <v>125</v>
      </c>
      <c r="K90" s="12" t="s">
        <v>1813</v>
      </c>
    </row>
    <row r="91" spans="1:11" x14ac:dyDescent="0.25">
      <c r="A91" s="15" t="s">
        <v>1814</v>
      </c>
      <c r="B91" s="12" t="s">
        <v>1738</v>
      </c>
      <c r="C91" s="12" t="s">
        <v>1625</v>
      </c>
      <c r="D91" s="18" t="s">
        <v>1676</v>
      </c>
      <c r="E91" s="12">
        <v>24</v>
      </c>
      <c r="F91" s="12">
        <v>0</v>
      </c>
      <c r="G91" s="18"/>
      <c r="H91" s="12">
        <v>0</v>
      </c>
      <c r="I91" s="19">
        <v>46294.682812500003</v>
      </c>
      <c r="J91" s="12">
        <v>90</v>
      </c>
      <c r="K91" s="12" t="s">
        <v>1813</v>
      </c>
    </row>
    <row r="92" spans="1:11" ht="25.5" x14ac:dyDescent="0.25">
      <c r="A92" s="15" t="s">
        <v>1815</v>
      </c>
      <c r="B92" s="12" t="s">
        <v>1244</v>
      </c>
      <c r="C92" s="12" t="s">
        <v>1625</v>
      </c>
      <c r="D92" s="18" t="s">
        <v>1626</v>
      </c>
      <c r="E92" s="12">
        <v>953</v>
      </c>
      <c r="F92" s="12">
        <v>0</v>
      </c>
      <c r="G92" s="18"/>
      <c r="H92" s="12">
        <v>0</v>
      </c>
      <c r="I92" s="19">
        <v>46294.695011574076</v>
      </c>
      <c r="J92" s="12">
        <v>127</v>
      </c>
      <c r="K92" s="12" t="s">
        <v>1816</v>
      </c>
    </row>
    <row r="93" spans="1:11" x14ac:dyDescent="0.25">
      <c r="A93" s="15" t="s">
        <v>1817</v>
      </c>
      <c r="B93" s="12" t="s">
        <v>1800</v>
      </c>
      <c r="C93" s="12" t="s">
        <v>1625</v>
      </c>
      <c r="D93" s="18" t="s">
        <v>1673</v>
      </c>
      <c r="E93" s="12">
        <v>152</v>
      </c>
      <c r="F93" s="12">
        <v>0</v>
      </c>
      <c r="G93" s="18"/>
      <c r="H93" s="12">
        <v>0</v>
      </c>
      <c r="I93" s="19">
        <v>46294.6950462963</v>
      </c>
      <c r="J93" s="12">
        <v>9</v>
      </c>
      <c r="K93" s="12" t="s">
        <v>1816</v>
      </c>
    </row>
    <row r="94" spans="1:11" x14ac:dyDescent="0.25">
      <c r="A94" s="15" t="s">
        <v>1818</v>
      </c>
      <c r="B94" s="12" t="s">
        <v>1738</v>
      </c>
      <c r="C94" s="12" t="s">
        <v>1625</v>
      </c>
      <c r="D94" s="18" t="s">
        <v>1676</v>
      </c>
      <c r="E94" s="12">
        <v>25</v>
      </c>
      <c r="F94" s="12">
        <v>0</v>
      </c>
      <c r="G94" s="18"/>
      <c r="H94" s="12">
        <v>0</v>
      </c>
      <c r="I94" s="19">
        <v>46294.695092592592</v>
      </c>
      <c r="J94" s="12">
        <v>96</v>
      </c>
      <c r="K94" s="12" t="s">
        <v>1816</v>
      </c>
    </row>
    <row r="95" spans="1:11" ht="25.5" x14ac:dyDescent="0.25">
      <c r="A95" s="15" t="s">
        <v>1819</v>
      </c>
      <c r="B95" s="12" t="s">
        <v>1244</v>
      </c>
      <c r="C95" s="12" t="s">
        <v>1625</v>
      </c>
      <c r="D95" s="18" t="s">
        <v>1626</v>
      </c>
      <c r="E95" s="12">
        <v>959</v>
      </c>
      <c r="F95" s="12">
        <v>0</v>
      </c>
      <c r="G95" s="18"/>
      <c r="H95" s="12">
        <v>0</v>
      </c>
      <c r="I95" s="19">
        <v>46294.906469907408</v>
      </c>
      <c r="J95" s="12">
        <v>128</v>
      </c>
      <c r="K95" s="12" t="s">
        <v>545</v>
      </c>
    </row>
    <row r="96" spans="1:11" x14ac:dyDescent="0.25">
      <c r="A96" s="15" t="s">
        <v>1820</v>
      </c>
      <c r="B96" s="12" t="s">
        <v>1800</v>
      </c>
      <c r="C96" s="12" t="s">
        <v>1625</v>
      </c>
      <c r="D96" s="18" t="s">
        <v>1673</v>
      </c>
      <c r="E96" s="12">
        <v>155</v>
      </c>
      <c r="F96" s="12">
        <v>0</v>
      </c>
      <c r="G96" s="18"/>
      <c r="H96" s="12">
        <v>0</v>
      </c>
      <c r="I96" s="19">
        <v>46294.906504629631</v>
      </c>
      <c r="J96" s="12">
        <v>9</v>
      </c>
      <c r="K96" s="12" t="s">
        <v>545</v>
      </c>
    </row>
    <row r="97" spans="1:11" x14ac:dyDescent="0.25">
      <c r="A97" s="15" t="s">
        <v>1821</v>
      </c>
      <c r="B97" s="12" t="s">
        <v>1738</v>
      </c>
      <c r="C97" s="12" t="s">
        <v>1625</v>
      </c>
      <c r="D97" s="18" t="s">
        <v>1676</v>
      </c>
      <c r="E97" s="12">
        <v>25</v>
      </c>
      <c r="F97" s="12">
        <v>0</v>
      </c>
      <c r="G97" s="18"/>
      <c r="H97" s="12">
        <v>0</v>
      </c>
      <c r="I97" s="19">
        <v>46294.906550925924</v>
      </c>
      <c r="J97" s="12">
        <v>108</v>
      </c>
      <c r="K97" s="12" t="s">
        <v>545</v>
      </c>
    </row>
    <row r="98" spans="1:11" ht="25.5" x14ac:dyDescent="0.25">
      <c r="A98" s="15" t="s">
        <v>1822</v>
      </c>
      <c r="B98" s="12" t="s">
        <v>1244</v>
      </c>
      <c r="C98" s="12" t="s">
        <v>1625</v>
      </c>
      <c r="D98" s="18" t="s">
        <v>1626</v>
      </c>
      <c r="E98" s="12">
        <v>968</v>
      </c>
      <c r="F98" s="12">
        <v>0</v>
      </c>
      <c r="G98" s="18"/>
      <c r="H98" s="12">
        <v>0</v>
      </c>
      <c r="I98" s="19">
        <v>46294.923182870371</v>
      </c>
      <c r="J98" s="12">
        <v>133</v>
      </c>
      <c r="K98" s="12" t="s">
        <v>1823</v>
      </c>
    </row>
    <row r="99" spans="1:11" x14ac:dyDescent="0.25">
      <c r="A99" s="15" t="s">
        <v>1824</v>
      </c>
      <c r="B99" s="12" t="s">
        <v>1800</v>
      </c>
      <c r="C99" s="12" t="s">
        <v>1625</v>
      </c>
      <c r="D99" s="18" t="s">
        <v>1673</v>
      </c>
      <c r="E99" s="12">
        <v>158</v>
      </c>
      <c r="F99" s="12">
        <v>0</v>
      </c>
      <c r="G99" s="18"/>
      <c r="H99" s="12">
        <v>0</v>
      </c>
      <c r="I99" s="19">
        <v>46294.923229166663</v>
      </c>
      <c r="J99" s="12">
        <v>9</v>
      </c>
      <c r="K99" s="12" t="s">
        <v>1823</v>
      </c>
    </row>
    <row r="100" spans="1:11" x14ac:dyDescent="0.25">
      <c r="A100" s="15" t="s">
        <v>1825</v>
      </c>
      <c r="B100" s="12" t="s">
        <v>1738</v>
      </c>
      <c r="C100" s="12" t="s">
        <v>1625</v>
      </c>
      <c r="D100" s="18" t="s">
        <v>1676</v>
      </c>
      <c r="E100" s="12">
        <v>26</v>
      </c>
      <c r="F100" s="12">
        <v>0</v>
      </c>
      <c r="G100" s="18"/>
      <c r="H100" s="12">
        <v>0</v>
      </c>
      <c r="I100" s="19">
        <v>46294.923275462963</v>
      </c>
      <c r="J100" s="12">
        <v>114</v>
      </c>
      <c r="K100" s="12" t="s">
        <v>1823</v>
      </c>
    </row>
    <row r="101" spans="1:11" ht="25.5" x14ac:dyDescent="0.25">
      <c r="A101" s="15" t="s">
        <v>1826</v>
      </c>
      <c r="B101" s="12" t="s">
        <v>1244</v>
      </c>
      <c r="C101" s="12" t="s">
        <v>1625</v>
      </c>
      <c r="D101" s="18" t="s">
        <v>1626</v>
      </c>
      <c r="E101" s="12">
        <v>987</v>
      </c>
      <c r="F101" s="12">
        <v>0</v>
      </c>
      <c r="G101" s="18"/>
      <c r="H101" s="12">
        <v>0</v>
      </c>
      <c r="I101" s="19">
        <v>46294.956284722219</v>
      </c>
      <c r="J101" s="12">
        <v>183</v>
      </c>
      <c r="K101" s="12" t="s">
        <v>573</v>
      </c>
    </row>
    <row r="102" spans="1:11" x14ac:dyDescent="0.25">
      <c r="A102" s="15" t="s">
        <v>1827</v>
      </c>
      <c r="B102" s="12" t="s">
        <v>1800</v>
      </c>
      <c r="C102" s="12" t="s">
        <v>1625</v>
      </c>
      <c r="D102" s="18" t="s">
        <v>1673</v>
      </c>
      <c r="E102" s="12">
        <v>164</v>
      </c>
      <c r="F102" s="12">
        <v>0</v>
      </c>
      <c r="G102" s="18"/>
      <c r="H102" s="12">
        <v>0</v>
      </c>
      <c r="I102" s="19">
        <v>46294.956319444442</v>
      </c>
      <c r="J102" s="12"/>
      <c r="K102" s="12" t="s">
        <v>573</v>
      </c>
    </row>
    <row r="103" spans="1:11" x14ac:dyDescent="0.25">
      <c r="A103" s="15" t="s">
        <v>1828</v>
      </c>
      <c r="B103" s="12" t="s">
        <v>1738</v>
      </c>
      <c r="C103" s="12" t="s">
        <v>1625</v>
      </c>
      <c r="D103" s="18" t="s">
        <v>1676</v>
      </c>
      <c r="E103" s="12">
        <v>27</v>
      </c>
      <c r="F103" s="12">
        <v>0</v>
      </c>
      <c r="G103" s="18"/>
      <c r="H103" s="12">
        <v>0</v>
      </c>
      <c r="I103" s="19">
        <v>46294.956365740742</v>
      </c>
      <c r="J103" s="12">
        <v>114</v>
      </c>
      <c r="K103" s="12" t="s">
        <v>573</v>
      </c>
    </row>
    <row r="104" spans="1:11" x14ac:dyDescent="0.25">
      <c r="A104" s="15" t="s">
        <v>1829</v>
      </c>
      <c r="B104" s="12" t="s">
        <v>1830</v>
      </c>
      <c r="C104" s="12" t="s">
        <v>1625</v>
      </c>
      <c r="D104" s="18" t="s">
        <v>1742</v>
      </c>
      <c r="E104" s="12">
        <v>1</v>
      </c>
      <c r="F104" s="12">
        <v>0</v>
      </c>
      <c r="G104" s="18"/>
      <c r="H104" s="12">
        <v>0</v>
      </c>
      <c r="I104" s="19">
        <v>46294.956412037027</v>
      </c>
      <c r="J104" s="12"/>
      <c r="K104" s="12" t="s">
        <v>573</v>
      </c>
    </row>
    <row r="105" spans="1:11" ht="25.5" x14ac:dyDescent="0.25">
      <c r="A105" s="15" t="s">
        <v>1831</v>
      </c>
      <c r="B105" s="12" t="s">
        <v>1244</v>
      </c>
      <c r="C105" s="12" t="s">
        <v>1625</v>
      </c>
      <c r="D105" s="18" t="s">
        <v>1626</v>
      </c>
      <c r="E105" s="12">
        <v>990</v>
      </c>
      <c r="F105" s="12">
        <v>0</v>
      </c>
      <c r="G105" s="18"/>
      <c r="H105" s="12">
        <v>0</v>
      </c>
      <c r="I105" s="19">
        <v>46294.965208333328</v>
      </c>
      <c r="J105" s="12">
        <v>166</v>
      </c>
      <c r="K105" s="12" t="s">
        <v>593</v>
      </c>
    </row>
    <row r="106" spans="1:11" x14ac:dyDescent="0.25">
      <c r="A106" s="15" t="s">
        <v>1832</v>
      </c>
      <c r="B106" s="12" t="s">
        <v>1800</v>
      </c>
      <c r="C106" s="12" t="s">
        <v>1625</v>
      </c>
      <c r="D106" s="18" t="s">
        <v>1673</v>
      </c>
      <c r="E106" s="12">
        <v>164</v>
      </c>
      <c r="F106" s="12">
        <v>0</v>
      </c>
      <c r="G106" s="18"/>
      <c r="H106" s="12">
        <v>0</v>
      </c>
      <c r="I106" s="19">
        <v>46294.965254629627</v>
      </c>
      <c r="J106" s="12"/>
      <c r="K106" s="12" t="s">
        <v>593</v>
      </c>
    </row>
    <row r="107" spans="1:11" x14ac:dyDescent="0.25">
      <c r="A107" s="15" t="s">
        <v>1833</v>
      </c>
      <c r="B107" s="12" t="s">
        <v>1738</v>
      </c>
      <c r="C107" s="12" t="s">
        <v>1625</v>
      </c>
      <c r="D107" s="18" t="s">
        <v>1676</v>
      </c>
      <c r="E107" s="12">
        <v>27</v>
      </c>
      <c r="F107" s="12">
        <v>0</v>
      </c>
      <c r="G107" s="18"/>
      <c r="H107" s="12">
        <v>0</v>
      </c>
      <c r="I107" s="19">
        <v>46294.965289351851</v>
      </c>
      <c r="J107" s="12">
        <v>108</v>
      </c>
      <c r="K107" s="12" t="s">
        <v>593</v>
      </c>
    </row>
    <row r="108" spans="1:11" x14ac:dyDescent="0.25">
      <c r="A108" s="15" t="s">
        <v>1834</v>
      </c>
      <c r="B108" s="12" t="s">
        <v>1830</v>
      </c>
      <c r="C108" s="12" t="s">
        <v>1625</v>
      </c>
      <c r="D108" s="18" t="s">
        <v>1742</v>
      </c>
      <c r="E108" s="12">
        <v>1</v>
      </c>
      <c r="F108" s="12">
        <v>0</v>
      </c>
      <c r="G108" s="18"/>
      <c r="H108" s="12">
        <v>0</v>
      </c>
      <c r="I108" s="19">
        <v>46294.96533564815</v>
      </c>
      <c r="J108" s="12"/>
      <c r="K108" s="12" t="s">
        <v>593</v>
      </c>
    </row>
    <row r="109" spans="1:11" ht="25.5" x14ac:dyDescent="0.25">
      <c r="A109" s="15" t="s">
        <v>1835</v>
      </c>
      <c r="B109" s="12" t="s">
        <v>1244</v>
      </c>
      <c r="C109" s="12" t="s">
        <v>1625</v>
      </c>
      <c r="D109" s="18" t="s">
        <v>1626</v>
      </c>
      <c r="E109" s="12">
        <v>993</v>
      </c>
      <c r="F109" s="12">
        <v>0</v>
      </c>
      <c r="G109" s="18"/>
      <c r="H109" s="12">
        <v>0</v>
      </c>
      <c r="I109" s="19">
        <v>46295.105914351851</v>
      </c>
      <c r="J109" s="12">
        <v>144</v>
      </c>
      <c r="K109" s="12" t="s">
        <v>748</v>
      </c>
    </row>
    <row r="110" spans="1:11" x14ac:dyDescent="0.25">
      <c r="A110" s="15" t="s">
        <v>1836</v>
      </c>
      <c r="B110" s="12" t="s">
        <v>1800</v>
      </c>
      <c r="C110" s="12" t="s">
        <v>1625</v>
      </c>
      <c r="D110" s="18" t="s">
        <v>1673</v>
      </c>
      <c r="E110" s="12">
        <v>164</v>
      </c>
      <c r="F110" s="12">
        <v>0</v>
      </c>
      <c r="G110" s="18"/>
      <c r="H110" s="12">
        <v>0</v>
      </c>
      <c r="I110" s="19">
        <v>46295.10596064815</v>
      </c>
      <c r="J110" s="12"/>
      <c r="K110" s="12" t="s">
        <v>748</v>
      </c>
    </row>
    <row r="111" spans="1:11" x14ac:dyDescent="0.25">
      <c r="A111" s="15" t="s">
        <v>1837</v>
      </c>
      <c r="B111" s="12" t="s">
        <v>1738</v>
      </c>
      <c r="C111" s="12" t="s">
        <v>1625</v>
      </c>
      <c r="D111" s="18" t="s">
        <v>1676</v>
      </c>
      <c r="E111" s="12">
        <v>27</v>
      </c>
      <c r="F111" s="12">
        <v>0</v>
      </c>
      <c r="G111" s="18"/>
      <c r="H111" s="12">
        <v>0</v>
      </c>
      <c r="I111" s="19">
        <v>46295.105995370373</v>
      </c>
      <c r="J111" s="12">
        <v>114</v>
      </c>
      <c r="K111" s="12" t="s">
        <v>748</v>
      </c>
    </row>
    <row r="112" spans="1:11" x14ac:dyDescent="0.25">
      <c r="A112" s="15" t="s">
        <v>1838</v>
      </c>
      <c r="B112" s="12" t="s">
        <v>1830</v>
      </c>
      <c r="C112" s="12" t="s">
        <v>1625</v>
      </c>
      <c r="D112" s="18" t="s">
        <v>1742</v>
      </c>
      <c r="E112" s="12">
        <v>1</v>
      </c>
      <c r="F112" s="12">
        <v>0</v>
      </c>
      <c r="G112" s="18"/>
      <c r="H112" s="12">
        <v>0</v>
      </c>
      <c r="I112" s="19">
        <v>46295.106041666673</v>
      </c>
      <c r="J112" s="12"/>
      <c r="K112" s="12" t="s">
        <v>748</v>
      </c>
    </row>
    <row r="113" spans="1:11" ht="25.5" x14ac:dyDescent="0.25">
      <c r="A113" s="15" t="s">
        <v>1839</v>
      </c>
      <c r="B113" s="12" t="s">
        <v>1244</v>
      </c>
      <c r="C113" s="12" t="s">
        <v>1625</v>
      </c>
      <c r="D113" s="18" t="s">
        <v>1626</v>
      </c>
      <c r="E113" s="12">
        <v>996</v>
      </c>
      <c r="F113" s="12">
        <v>0</v>
      </c>
      <c r="G113" s="18"/>
      <c r="H113" s="12">
        <v>0</v>
      </c>
      <c r="I113" s="19">
        <v>46295.114618055559</v>
      </c>
      <c r="J113" s="12">
        <v>160</v>
      </c>
      <c r="K113" s="12" t="s">
        <v>710</v>
      </c>
    </row>
    <row r="114" spans="1:11" x14ac:dyDescent="0.25">
      <c r="A114" s="15" t="s">
        <v>1840</v>
      </c>
      <c r="B114" s="12" t="s">
        <v>1800</v>
      </c>
      <c r="C114" s="12" t="s">
        <v>1625</v>
      </c>
      <c r="D114" s="18" t="s">
        <v>1673</v>
      </c>
      <c r="E114" s="12">
        <v>166</v>
      </c>
      <c r="F114" s="12">
        <v>0</v>
      </c>
      <c r="G114" s="18"/>
      <c r="H114" s="12">
        <v>0</v>
      </c>
      <c r="I114" s="19">
        <v>46295.114664351851</v>
      </c>
      <c r="J114" s="12"/>
      <c r="K114" s="12" t="s">
        <v>710</v>
      </c>
    </row>
    <row r="115" spans="1:11" x14ac:dyDescent="0.25">
      <c r="A115" s="15" t="s">
        <v>1841</v>
      </c>
      <c r="B115" s="12" t="s">
        <v>1738</v>
      </c>
      <c r="C115" s="12" t="s">
        <v>1625</v>
      </c>
      <c r="D115" s="18" t="s">
        <v>1676</v>
      </c>
      <c r="E115" s="12">
        <v>28</v>
      </c>
      <c r="F115" s="12">
        <v>0</v>
      </c>
      <c r="G115" s="18"/>
      <c r="H115" s="12">
        <v>0</v>
      </c>
      <c r="I115" s="19">
        <v>46295.114699074067</v>
      </c>
      <c r="J115" s="12">
        <v>108</v>
      </c>
      <c r="K115" s="12" t="s">
        <v>710</v>
      </c>
    </row>
    <row r="116" spans="1:11" x14ac:dyDescent="0.25">
      <c r="A116" s="15" t="s">
        <v>1842</v>
      </c>
      <c r="B116" s="12" t="s">
        <v>1830</v>
      </c>
      <c r="C116" s="12" t="s">
        <v>1625</v>
      </c>
      <c r="D116" s="18" t="s">
        <v>1742</v>
      </c>
      <c r="E116" s="12">
        <v>1</v>
      </c>
      <c r="F116" s="12">
        <v>0</v>
      </c>
      <c r="G116" s="18"/>
      <c r="H116" s="12">
        <v>0</v>
      </c>
      <c r="I116" s="19">
        <v>46295.114745370367</v>
      </c>
      <c r="J116" s="12"/>
      <c r="K116" s="12" t="s">
        <v>710</v>
      </c>
    </row>
    <row r="117" spans="1:11" ht="25.5" x14ac:dyDescent="0.25">
      <c r="A117" s="15" t="s">
        <v>1843</v>
      </c>
      <c r="B117" s="12" t="s">
        <v>1244</v>
      </c>
      <c r="C117" s="12" t="s">
        <v>1625</v>
      </c>
      <c r="D117" s="18" t="s">
        <v>1626</v>
      </c>
      <c r="E117" s="12">
        <v>1037</v>
      </c>
      <c r="F117" s="12">
        <v>0</v>
      </c>
      <c r="G117" s="18"/>
      <c r="H117" s="12">
        <v>0</v>
      </c>
      <c r="I117" s="19">
        <v>46295.122025462973</v>
      </c>
      <c r="J117" s="12">
        <v>139</v>
      </c>
      <c r="K117" s="12" t="s">
        <v>701</v>
      </c>
    </row>
    <row r="118" spans="1:11" ht="25.5" x14ac:dyDescent="0.25">
      <c r="A118" s="15" t="s">
        <v>1844</v>
      </c>
      <c r="B118" s="12" t="s">
        <v>1244</v>
      </c>
      <c r="C118" s="12" t="s">
        <v>1625</v>
      </c>
      <c r="D118" s="18" t="s">
        <v>1626</v>
      </c>
      <c r="E118" s="12">
        <v>1075</v>
      </c>
      <c r="F118" s="12">
        <v>0</v>
      </c>
      <c r="G118" s="18"/>
      <c r="H118" s="12">
        <v>0</v>
      </c>
      <c r="I118" s="19">
        <v>46295.126666666663</v>
      </c>
      <c r="J118" s="12">
        <v>145</v>
      </c>
      <c r="K118" s="12" t="s">
        <v>717</v>
      </c>
    </row>
    <row r="119" spans="1:11" ht="25.5" x14ac:dyDescent="0.25">
      <c r="A119" s="15" t="s">
        <v>1845</v>
      </c>
      <c r="B119" s="12" t="s">
        <v>1244</v>
      </c>
      <c r="C119" s="12" t="s">
        <v>1625</v>
      </c>
      <c r="D119" s="18" t="s">
        <v>1626</v>
      </c>
      <c r="E119" s="12">
        <v>1224</v>
      </c>
      <c r="F119" s="12">
        <v>0</v>
      </c>
      <c r="G119" s="18"/>
      <c r="H119" s="12">
        <v>0</v>
      </c>
      <c r="I119" s="19">
        <v>46295.136516203696</v>
      </c>
      <c r="J119" s="12">
        <v>182</v>
      </c>
      <c r="K119" s="12" t="s">
        <v>723</v>
      </c>
    </row>
    <row r="120" spans="1:11" x14ac:dyDescent="0.25">
      <c r="A120" s="15" t="s">
        <v>1846</v>
      </c>
      <c r="B120" s="12" t="s">
        <v>1800</v>
      </c>
      <c r="C120" s="12" t="s">
        <v>1625</v>
      </c>
      <c r="D120" s="18" t="s">
        <v>1673</v>
      </c>
      <c r="E120" s="12">
        <v>166</v>
      </c>
      <c r="F120" s="12">
        <v>0</v>
      </c>
      <c r="G120" s="18"/>
      <c r="H120" s="12">
        <v>0</v>
      </c>
      <c r="I120" s="19">
        <v>46295.136562500003</v>
      </c>
      <c r="J120" s="12"/>
      <c r="K120" s="12" t="s">
        <v>723</v>
      </c>
    </row>
    <row r="121" spans="1:11" x14ac:dyDescent="0.25">
      <c r="A121" s="15" t="s">
        <v>1847</v>
      </c>
      <c r="B121" s="12" t="s">
        <v>1738</v>
      </c>
      <c r="C121" s="12" t="s">
        <v>1625</v>
      </c>
      <c r="D121" s="18" t="s">
        <v>1676</v>
      </c>
      <c r="E121" s="12">
        <v>28</v>
      </c>
      <c r="F121" s="12">
        <v>0</v>
      </c>
      <c r="G121" s="18"/>
      <c r="H121" s="12">
        <v>0</v>
      </c>
      <c r="I121" s="19">
        <v>46295.136608796303</v>
      </c>
      <c r="J121" s="12">
        <v>114</v>
      </c>
      <c r="K121" s="12" t="s">
        <v>723</v>
      </c>
    </row>
    <row r="122" spans="1:11" x14ac:dyDescent="0.25">
      <c r="A122" s="15" t="s">
        <v>1848</v>
      </c>
      <c r="B122" s="12" t="s">
        <v>1830</v>
      </c>
      <c r="C122" s="12" t="s">
        <v>1625</v>
      </c>
      <c r="D122" s="18" t="s">
        <v>1742</v>
      </c>
      <c r="E122" s="12">
        <v>1</v>
      </c>
      <c r="F122" s="12">
        <v>0</v>
      </c>
      <c r="G122" s="18"/>
      <c r="H122" s="12">
        <v>0</v>
      </c>
      <c r="I122" s="19">
        <v>46295.136655092603</v>
      </c>
      <c r="J122" s="12"/>
      <c r="K122" s="12" t="s">
        <v>723</v>
      </c>
    </row>
    <row r="123" spans="1:11" ht="25.5" x14ac:dyDescent="0.25">
      <c r="A123" s="15" t="s">
        <v>1849</v>
      </c>
      <c r="B123" s="12" t="s">
        <v>1244</v>
      </c>
      <c r="C123" s="12" t="s">
        <v>1625</v>
      </c>
      <c r="D123" s="18" t="s">
        <v>1626</v>
      </c>
      <c r="E123" s="12">
        <v>1227</v>
      </c>
      <c r="F123" s="12">
        <v>0</v>
      </c>
      <c r="G123" s="18"/>
      <c r="H123" s="12">
        <v>0</v>
      </c>
      <c r="I123" s="19">
        <v>46295.148726851847</v>
      </c>
      <c r="J123" s="12">
        <v>186</v>
      </c>
      <c r="K123" s="12" t="s">
        <v>736</v>
      </c>
    </row>
    <row r="124" spans="1:11" x14ac:dyDescent="0.25">
      <c r="A124" s="15" t="s">
        <v>1850</v>
      </c>
      <c r="B124" s="12" t="s">
        <v>1800</v>
      </c>
      <c r="C124" s="12" t="s">
        <v>1625</v>
      </c>
      <c r="D124" s="18" t="s">
        <v>1673</v>
      </c>
      <c r="E124" s="12">
        <v>166</v>
      </c>
      <c r="F124" s="12">
        <v>0</v>
      </c>
      <c r="G124" s="18"/>
      <c r="H124" s="12">
        <v>0</v>
      </c>
      <c r="I124" s="19">
        <v>46295.148761574077</v>
      </c>
      <c r="J124" s="12"/>
      <c r="K124" s="12" t="s">
        <v>736</v>
      </c>
    </row>
    <row r="125" spans="1:11" x14ac:dyDescent="0.25">
      <c r="A125" s="15" t="s">
        <v>1851</v>
      </c>
      <c r="B125" s="12" t="s">
        <v>1738</v>
      </c>
      <c r="C125" s="12" t="s">
        <v>1625</v>
      </c>
      <c r="D125" s="18" t="s">
        <v>1676</v>
      </c>
      <c r="E125" s="12">
        <v>28</v>
      </c>
      <c r="F125" s="12">
        <v>0</v>
      </c>
      <c r="G125" s="18"/>
      <c r="H125" s="12">
        <v>0</v>
      </c>
      <c r="I125" s="19">
        <v>46295.14880787037</v>
      </c>
      <c r="J125" s="12">
        <v>120</v>
      </c>
      <c r="K125" s="12" t="s">
        <v>736</v>
      </c>
    </row>
    <row r="126" spans="1:11" x14ac:dyDescent="0.25">
      <c r="A126" s="15" t="s">
        <v>1852</v>
      </c>
      <c r="B126" s="12" t="s">
        <v>1830</v>
      </c>
      <c r="C126" s="12" t="s">
        <v>1625</v>
      </c>
      <c r="D126" s="18" t="s">
        <v>1742</v>
      </c>
      <c r="E126" s="12">
        <v>1</v>
      </c>
      <c r="F126" s="12">
        <v>0</v>
      </c>
      <c r="G126" s="18"/>
      <c r="H126" s="12">
        <v>0</v>
      </c>
      <c r="I126" s="19">
        <v>46295.148854166669</v>
      </c>
      <c r="J126" s="12"/>
      <c r="K126" s="12" t="s">
        <v>736</v>
      </c>
    </row>
    <row r="127" spans="1:11" ht="25.5" x14ac:dyDescent="0.25">
      <c r="A127" s="15" t="s">
        <v>1853</v>
      </c>
      <c r="B127" s="12" t="s">
        <v>1244</v>
      </c>
      <c r="C127" s="12" t="s">
        <v>1625</v>
      </c>
      <c r="D127" s="18" t="s">
        <v>1626</v>
      </c>
      <c r="E127" s="12">
        <v>1233</v>
      </c>
      <c r="F127" s="12">
        <v>0</v>
      </c>
      <c r="G127" s="18"/>
      <c r="H127" s="12">
        <v>0</v>
      </c>
      <c r="I127" s="19">
        <v>46295.314618055563</v>
      </c>
      <c r="J127" s="12">
        <v>184</v>
      </c>
      <c r="K127" s="12" t="s">
        <v>621</v>
      </c>
    </row>
    <row r="128" spans="1:11" x14ac:dyDescent="0.25">
      <c r="A128" s="15" t="s">
        <v>1854</v>
      </c>
      <c r="B128" s="12" t="s">
        <v>1800</v>
      </c>
      <c r="C128" s="12" t="s">
        <v>1625</v>
      </c>
      <c r="D128" s="18" t="s">
        <v>1673</v>
      </c>
      <c r="E128" s="12">
        <v>166</v>
      </c>
      <c r="F128" s="12">
        <v>0</v>
      </c>
      <c r="G128" s="18"/>
      <c r="H128" s="12">
        <v>0</v>
      </c>
      <c r="I128" s="19">
        <v>46295.314652777779</v>
      </c>
      <c r="J128" s="12"/>
      <c r="K128" s="12" t="s">
        <v>621</v>
      </c>
    </row>
    <row r="129" spans="1:11" x14ac:dyDescent="0.25">
      <c r="A129" s="15" t="s">
        <v>1855</v>
      </c>
      <c r="B129" s="12" t="s">
        <v>1738</v>
      </c>
      <c r="C129" s="12" t="s">
        <v>1625</v>
      </c>
      <c r="D129" s="18" t="s">
        <v>1676</v>
      </c>
      <c r="E129" s="12">
        <v>28</v>
      </c>
      <c r="F129" s="12">
        <v>0</v>
      </c>
      <c r="G129" s="18"/>
      <c r="H129" s="12">
        <v>0</v>
      </c>
      <c r="I129" s="19">
        <v>46295.314699074072</v>
      </c>
      <c r="J129" s="12">
        <v>120</v>
      </c>
      <c r="K129" s="12" t="s">
        <v>621</v>
      </c>
    </row>
    <row r="130" spans="1:11" x14ac:dyDescent="0.25">
      <c r="A130" s="15" t="s">
        <v>1856</v>
      </c>
      <c r="B130" s="12" t="s">
        <v>1830</v>
      </c>
      <c r="C130" s="12" t="s">
        <v>1625</v>
      </c>
      <c r="D130" s="18" t="s">
        <v>1742</v>
      </c>
      <c r="E130" s="12">
        <v>1</v>
      </c>
      <c r="F130" s="12">
        <v>0</v>
      </c>
      <c r="G130" s="18"/>
      <c r="H130" s="12">
        <v>0</v>
      </c>
      <c r="I130" s="19">
        <v>46295.314745370371</v>
      </c>
      <c r="J130" s="12"/>
      <c r="K130" s="12" t="s">
        <v>621</v>
      </c>
    </row>
    <row r="131" spans="1:11" ht="25.5" x14ac:dyDescent="0.25">
      <c r="A131" s="15" t="s">
        <v>1857</v>
      </c>
      <c r="B131" s="12" t="s">
        <v>1731</v>
      </c>
      <c r="C131" s="12" t="s">
        <v>1625</v>
      </c>
      <c r="D131" s="18" t="s">
        <v>1626</v>
      </c>
      <c r="E131" s="12">
        <v>1410</v>
      </c>
      <c r="F131" s="12">
        <v>0</v>
      </c>
      <c r="G131" s="18" t="s">
        <v>1858</v>
      </c>
      <c r="H131" s="12">
        <v>1</v>
      </c>
      <c r="I131" s="19">
        <v>46295.625185185178</v>
      </c>
      <c r="J131" s="12">
        <v>230</v>
      </c>
      <c r="K131" s="12" t="s">
        <v>1859</v>
      </c>
    </row>
    <row r="132" spans="1:11" ht="25.5" x14ac:dyDescent="0.25">
      <c r="A132" s="15" t="s">
        <v>1860</v>
      </c>
      <c r="B132" s="12" t="s">
        <v>1731</v>
      </c>
      <c r="C132" s="12" t="s">
        <v>1625</v>
      </c>
      <c r="D132" s="18" t="s">
        <v>1626</v>
      </c>
      <c r="E132" s="12">
        <v>1455</v>
      </c>
      <c r="F132" s="12">
        <v>0</v>
      </c>
      <c r="G132" s="18" t="s">
        <v>1861</v>
      </c>
      <c r="H132" s="12">
        <v>1</v>
      </c>
      <c r="I132" s="19">
        <v>46295.914375</v>
      </c>
      <c r="J132" s="12">
        <v>252</v>
      </c>
      <c r="K132" s="12" t="s">
        <v>1862</v>
      </c>
    </row>
    <row r="133" spans="1:11" ht="25.5" x14ac:dyDescent="0.25">
      <c r="A133" s="15" t="s">
        <v>1863</v>
      </c>
      <c r="B133" s="12" t="s">
        <v>1731</v>
      </c>
      <c r="C133" s="12" t="s">
        <v>1625</v>
      </c>
      <c r="D133" s="18" t="s">
        <v>1626</v>
      </c>
      <c r="E133" s="12">
        <v>1480</v>
      </c>
      <c r="F133" s="12">
        <v>0</v>
      </c>
      <c r="G133" s="18" t="s">
        <v>806</v>
      </c>
      <c r="H133" s="12">
        <v>1</v>
      </c>
      <c r="I133" s="19">
        <v>46295.935162037043</v>
      </c>
      <c r="J133" s="12">
        <v>243</v>
      </c>
      <c r="K133" s="12" t="s">
        <v>1864</v>
      </c>
    </row>
    <row r="134" spans="1:11" x14ac:dyDescent="0.25">
      <c r="A134" s="15" t="s">
        <v>1865</v>
      </c>
      <c r="B134" s="12" t="s">
        <v>1735</v>
      </c>
      <c r="C134" s="12" t="s">
        <v>1625</v>
      </c>
      <c r="D134" s="18" t="s">
        <v>1673</v>
      </c>
      <c r="E134" s="12">
        <v>179</v>
      </c>
      <c r="F134" s="12">
        <v>0</v>
      </c>
      <c r="G134" s="18" t="s">
        <v>806</v>
      </c>
      <c r="H134" s="12">
        <v>0</v>
      </c>
      <c r="I134" s="19">
        <v>46295.935196759259</v>
      </c>
      <c r="J134" s="12">
        <v>12</v>
      </c>
      <c r="K134" s="12" t="s">
        <v>1864</v>
      </c>
    </row>
    <row r="135" spans="1:11" x14ac:dyDescent="0.25">
      <c r="A135" s="15" t="s">
        <v>1866</v>
      </c>
      <c r="B135" s="12" t="s">
        <v>1738</v>
      </c>
      <c r="C135" s="12" t="s">
        <v>1625</v>
      </c>
      <c r="D135" s="18" t="s">
        <v>1676</v>
      </c>
      <c r="E135" s="12">
        <v>31</v>
      </c>
      <c r="F135" s="12">
        <v>0</v>
      </c>
      <c r="G135" s="18" t="s">
        <v>806</v>
      </c>
      <c r="H135" s="12">
        <v>0</v>
      </c>
      <c r="I135" s="19">
        <v>46295.935243055559</v>
      </c>
      <c r="J135" s="12">
        <v>138</v>
      </c>
      <c r="K135" s="12" t="s">
        <v>1864</v>
      </c>
    </row>
    <row r="136" spans="1:11" ht="25.5" x14ac:dyDescent="0.25">
      <c r="A136" s="15" t="s">
        <v>1867</v>
      </c>
      <c r="B136" s="12" t="s">
        <v>1731</v>
      </c>
      <c r="C136" s="12" t="s">
        <v>1625</v>
      </c>
      <c r="D136" s="18" t="s">
        <v>1626</v>
      </c>
      <c r="E136" s="12">
        <v>1518</v>
      </c>
      <c r="F136" s="12">
        <v>0</v>
      </c>
      <c r="G136" s="18" t="s">
        <v>820</v>
      </c>
      <c r="H136" s="12">
        <v>1</v>
      </c>
      <c r="I136" s="19">
        <v>46295.949293981481</v>
      </c>
      <c r="J136" s="12">
        <v>272</v>
      </c>
      <c r="K136" s="12" t="s">
        <v>1868</v>
      </c>
    </row>
    <row r="137" spans="1:11" x14ac:dyDescent="0.25">
      <c r="A137" s="15" t="s">
        <v>1869</v>
      </c>
      <c r="B137" s="12" t="s">
        <v>1735</v>
      </c>
      <c r="C137" s="12" t="s">
        <v>1625</v>
      </c>
      <c r="D137" s="18" t="s">
        <v>1673</v>
      </c>
      <c r="E137" s="12">
        <v>217</v>
      </c>
      <c r="F137" s="12">
        <v>0</v>
      </c>
      <c r="G137" s="18" t="s">
        <v>820</v>
      </c>
      <c r="H137" s="12">
        <v>0</v>
      </c>
      <c r="I137" s="19">
        <v>46295.949340277781</v>
      </c>
      <c r="J137" s="12">
        <v>13</v>
      </c>
      <c r="K137" s="12" t="s">
        <v>1868</v>
      </c>
    </row>
    <row r="138" spans="1:11" x14ac:dyDescent="0.25">
      <c r="A138" s="15" t="s">
        <v>1870</v>
      </c>
      <c r="B138" s="12" t="s">
        <v>1738</v>
      </c>
      <c r="C138" s="12" t="s">
        <v>1625</v>
      </c>
      <c r="D138" s="18" t="s">
        <v>1676</v>
      </c>
      <c r="E138" s="12">
        <v>31</v>
      </c>
      <c r="F138" s="12">
        <v>0</v>
      </c>
      <c r="G138" s="18" t="s">
        <v>820</v>
      </c>
      <c r="H138" s="12">
        <v>0</v>
      </c>
      <c r="I138" s="19">
        <v>46295.949386574073</v>
      </c>
      <c r="J138" s="12">
        <v>126</v>
      </c>
      <c r="K138" s="12" t="s">
        <v>1868</v>
      </c>
    </row>
    <row r="139" spans="1:11" ht="25.5" x14ac:dyDescent="0.25">
      <c r="A139" s="15" t="s">
        <v>1871</v>
      </c>
      <c r="B139" s="12" t="s">
        <v>1731</v>
      </c>
      <c r="C139" s="12" t="s">
        <v>1625</v>
      </c>
      <c r="D139" s="18" t="s">
        <v>1626</v>
      </c>
      <c r="E139" s="12">
        <v>1550</v>
      </c>
      <c r="F139" s="12">
        <v>0</v>
      </c>
      <c r="G139" s="18" t="s">
        <v>828</v>
      </c>
      <c r="H139" s="12">
        <v>1</v>
      </c>
      <c r="I139" s="19">
        <v>46295.965324074074</v>
      </c>
      <c r="J139" s="12">
        <v>270</v>
      </c>
      <c r="K139" s="12" t="s">
        <v>1872</v>
      </c>
    </row>
    <row r="140" spans="1:11" x14ac:dyDescent="0.25">
      <c r="A140" s="15" t="s">
        <v>1873</v>
      </c>
      <c r="B140" s="12" t="s">
        <v>1738</v>
      </c>
      <c r="C140" s="12" t="s">
        <v>1625</v>
      </c>
      <c r="D140" s="18" t="s">
        <v>1676</v>
      </c>
      <c r="E140" s="12">
        <v>31</v>
      </c>
      <c r="F140" s="12">
        <v>0</v>
      </c>
      <c r="G140" s="18" t="s">
        <v>828</v>
      </c>
      <c r="H140" s="12">
        <v>0</v>
      </c>
      <c r="I140" s="19">
        <v>46295.965370370373</v>
      </c>
      <c r="J140" s="12">
        <v>126</v>
      </c>
      <c r="K140" s="12" t="s">
        <v>1872</v>
      </c>
    </row>
    <row r="141" spans="1:11" ht="25.5" x14ac:dyDescent="0.25">
      <c r="A141" s="15" t="s">
        <v>1874</v>
      </c>
      <c r="B141" s="12" t="s">
        <v>1875</v>
      </c>
      <c r="C141" s="12" t="s">
        <v>1625</v>
      </c>
      <c r="D141" s="18" t="s">
        <v>1876</v>
      </c>
      <c r="E141" s="12">
        <v>433</v>
      </c>
      <c r="F141" s="12">
        <v>0</v>
      </c>
      <c r="G141" s="18" t="s">
        <v>864</v>
      </c>
      <c r="H141" s="12">
        <v>0</v>
      </c>
      <c r="I141" s="19">
        <v>46295.975243055553</v>
      </c>
      <c r="J141" s="12">
        <v>97</v>
      </c>
      <c r="K141" s="12" t="s">
        <v>1877</v>
      </c>
    </row>
    <row r="142" spans="1:11" ht="25.5" x14ac:dyDescent="0.25">
      <c r="A142" s="15" t="s">
        <v>1878</v>
      </c>
      <c r="B142" s="12" t="s">
        <v>1731</v>
      </c>
      <c r="C142" s="12" t="s">
        <v>1625</v>
      </c>
      <c r="D142" s="18" t="s">
        <v>1879</v>
      </c>
      <c r="E142" s="12">
        <v>1223</v>
      </c>
      <c r="F142" s="12">
        <v>0</v>
      </c>
      <c r="G142" s="18" t="s">
        <v>1880</v>
      </c>
      <c r="H142" s="12">
        <v>1</v>
      </c>
      <c r="I142" s="19">
        <v>46295.975289351853</v>
      </c>
      <c r="J142" s="12">
        <v>204</v>
      </c>
      <c r="K142" s="12" t="s">
        <v>1877</v>
      </c>
    </row>
    <row r="143" spans="1:11" ht="25.5" x14ac:dyDescent="0.25">
      <c r="A143" s="15" t="s">
        <v>1881</v>
      </c>
      <c r="B143" s="12" t="s">
        <v>1731</v>
      </c>
      <c r="C143" s="12" t="s">
        <v>1625</v>
      </c>
      <c r="D143" s="18" t="s">
        <v>1626</v>
      </c>
      <c r="E143" s="12">
        <v>1658</v>
      </c>
      <c r="F143" s="12">
        <v>0</v>
      </c>
      <c r="G143" s="18" t="s">
        <v>834</v>
      </c>
      <c r="H143" s="12">
        <v>1</v>
      </c>
      <c r="I143" s="19">
        <v>46295.985381944447</v>
      </c>
      <c r="J143" s="12">
        <v>303</v>
      </c>
      <c r="K143" s="12" t="s">
        <v>1882</v>
      </c>
    </row>
    <row r="144" spans="1:11" x14ac:dyDescent="0.25">
      <c r="A144" s="15" t="s">
        <v>1883</v>
      </c>
      <c r="B144" s="12" t="s">
        <v>1738</v>
      </c>
      <c r="C144" s="12" t="s">
        <v>1625</v>
      </c>
      <c r="D144" s="18" t="s">
        <v>1676</v>
      </c>
      <c r="E144" s="12">
        <v>31</v>
      </c>
      <c r="F144" s="12">
        <v>0</v>
      </c>
      <c r="G144" s="18" t="s">
        <v>834</v>
      </c>
      <c r="H144" s="12">
        <v>0</v>
      </c>
      <c r="I144" s="19">
        <v>46295.98542824074</v>
      </c>
      <c r="J144" s="12">
        <v>126</v>
      </c>
      <c r="K144" s="12" t="s">
        <v>1882</v>
      </c>
    </row>
    <row r="145" spans="1:11" ht="25.5" x14ac:dyDescent="0.25">
      <c r="A145" s="15" t="s">
        <v>1884</v>
      </c>
      <c r="B145" s="12" t="s">
        <v>1875</v>
      </c>
      <c r="C145" s="12" t="s">
        <v>1625</v>
      </c>
      <c r="D145" s="18" t="s">
        <v>1876</v>
      </c>
      <c r="E145" s="12">
        <v>441</v>
      </c>
      <c r="F145" s="12">
        <v>0</v>
      </c>
      <c r="G145" s="18" t="s">
        <v>840</v>
      </c>
      <c r="H145" s="12">
        <v>0</v>
      </c>
      <c r="I145" s="19">
        <v>46295.990659722222</v>
      </c>
      <c r="J145" s="12">
        <v>98</v>
      </c>
      <c r="K145" s="12" t="s">
        <v>1885</v>
      </c>
    </row>
    <row r="146" spans="1:11" ht="25.5" x14ac:dyDescent="0.25">
      <c r="A146" s="15" t="s">
        <v>1886</v>
      </c>
      <c r="B146" s="12" t="s">
        <v>1731</v>
      </c>
      <c r="C146" s="12" t="s">
        <v>1625</v>
      </c>
      <c r="D146" s="18" t="s">
        <v>1626</v>
      </c>
      <c r="E146" s="12">
        <v>1725</v>
      </c>
      <c r="F146" s="12">
        <v>0</v>
      </c>
      <c r="G146" s="18" t="s">
        <v>851</v>
      </c>
      <c r="H146" s="12">
        <v>1</v>
      </c>
      <c r="I146" s="19">
        <v>46296.425127314818</v>
      </c>
      <c r="J146" s="12">
        <v>348</v>
      </c>
      <c r="K146" s="12" t="s">
        <v>1887</v>
      </c>
    </row>
    <row r="147" spans="1:11" ht="25.5" x14ac:dyDescent="0.25">
      <c r="A147" s="15" t="s">
        <v>1888</v>
      </c>
      <c r="B147" s="12" t="s">
        <v>1731</v>
      </c>
      <c r="C147" s="12" t="s">
        <v>1625</v>
      </c>
      <c r="D147" s="18" t="s">
        <v>1626</v>
      </c>
      <c r="E147" s="12">
        <v>1730</v>
      </c>
      <c r="F147" s="12">
        <v>0</v>
      </c>
      <c r="G147" s="18" t="s">
        <v>814</v>
      </c>
      <c r="H147" s="12">
        <v>1</v>
      </c>
      <c r="I147" s="19">
        <v>46296.44771990741</v>
      </c>
      <c r="J147" s="12">
        <v>349</v>
      </c>
      <c r="K147" s="12" t="s">
        <v>1889</v>
      </c>
    </row>
    <row r="148" spans="1:11" ht="25.5" x14ac:dyDescent="0.25">
      <c r="A148" s="15" t="s">
        <v>1890</v>
      </c>
      <c r="B148" s="12" t="s">
        <v>1731</v>
      </c>
      <c r="C148" s="12" t="s">
        <v>1625</v>
      </c>
      <c r="D148" s="18" t="s">
        <v>1626</v>
      </c>
      <c r="E148" s="12">
        <v>1734</v>
      </c>
      <c r="F148" s="12">
        <v>0</v>
      </c>
      <c r="G148" s="18" t="s">
        <v>1891</v>
      </c>
      <c r="H148" s="12">
        <v>1</v>
      </c>
      <c r="I148" s="19">
        <v>46296.462048611109</v>
      </c>
      <c r="J148" s="12">
        <v>313</v>
      </c>
      <c r="K148" s="12" t="s">
        <v>1892</v>
      </c>
    </row>
    <row r="149" spans="1:11" x14ac:dyDescent="0.25">
      <c r="A149" s="15" t="s">
        <v>1893</v>
      </c>
      <c r="B149" s="12" t="s">
        <v>1735</v>
      </c>
      <c r="C149" s="12" t="s">
        <v>1625</v>
      </c>
      <c r="D149" s="18" t="s">
        <v>1673</v>
      </c>
      <c r="E149" s="12">
        <v>217</v>
      </c>
      <c r="F149" s="12">
        <v>0</v>
      </c>
      <c r="G149" s="18" t="s">
        <v>1891</v>
      </c>
      <c r="H149" s="12">
        <v>0</v>
      </c>
      <c r="I149" s="19">
        <v>46296.462094907409</v>
      </c>
      <c r="J149" s="12"/>
      <c r="K149" s="12" t="s">
        <v>1892</v>
      </c>
    </row>
    <row r="150" spans="1:11" x14ac:dyDescent="0.25">
      <c r="A150" s="15" t="s">
        <v>1894</v>
      </c>
      <c r="B150" s="12" t="s">
        <v>1738</v>
      </c>
      <c r="C150" s="12" t="s">
        <v>1625</v>
      </c>
      <c r="D150" s="18" t="s">
        <v>1676</v>
      </c>
      <c r="E150" s="12">
        <v>31</v>
      </c>
      <c r="F150" s="12">
        <v>0</v>
      </c>
      <c r="G150" s="18" t="s">
        <v>1891</v>
      </c>
      <c r="H150" s="12">
        <v>0</v>
      </c>
      <c r="I150" s="19">
        <v>46296.462141203701</v>
      </c>
      <c r="J150" s="12">
        <v>138</v>
      </c>
      <c r="K150" s="12" t="s">
        <v>1892</v>
      </c>
    </row>
    <row r="151" spans="1:11" x14ac:dyDescent="0.25">
      <c r="A151" s="15" t="s">
        <v>1895</v>
      </c>
      <c r="B151" s="12" t="s">
        <v>1741</v>
      </c>
      <c r="C151" s="12" t="s">
        <v>1625</v>
      </c>
      <c r="D151" s="18" t="s">
        <v>1742</v>
      </c>
      <c r="E151" s="12">
        <v>2</v>
      </c>
      <c r="F151" s="12">
        <v>0</v>
      </c>
      <c r="G151" s="18" t="s">
        <v>1896</v>
      </c>
      <c r="H151" s="12">
        <v>0</v>
      </c>
      <c r="I151" s="19">
        <v>46296.462187500001</v>
      </c>
      <c r="J151" s="12"/>
      <c r="K151" s="12" t="s">
        <v>1892</v>
      </c>
    </row>
    <row r="152" spans="1:11" ht="38.25" x14ac:dyDescent="0.25">
      <c r="A152" s="15" t="s">
        <v>1897</v>
      </c>
      <c r="B152" s="12" t="s">
        <v>1898</v>
      </c>
      <c r="C152" s="12" t="s">
        <v>1625</v>
      </c>
      <c r="D152" s="18" t="s">
        <v>1899</v>
      </c>
      <c r="E152" s="12">
        <v>60</v>
      </c>
      <c r="F152" s="12">
        <v>0</v>
      </c>
      <c r="G152" s="18" t="s">
        <v>1900</v>
      </c>
      <c r="H152" s="12">
        <v>0</v>
      </c>
      <c r="I152" s="19">
        <v>46296.462233796286</v>
      </c>
      <c r="J152" s="12"/>
      <c r="K152" s="12" t="s">
        <v>1892</v>
      </c>
    </row>
    <row r="153" spans="1:11" ht="25.5" x14ac:dyDescent="0.25">
      <c r="A153" s="15" t="s">
        <v>1901</v>
      </c>
      <c r="B153" s="12" t="s">
        <v>1731</v>
      </c>
      <c r="C153" s="12" t="s">
        <v>1625</v>
      </c>
      <c r="D153" s="18" t="s">
        <v>1626</v>
      </c>
      <c r="E153" s="12">
        <v>1758</v>
      </c>
      <c r="F153" s="12">
        <v>0</v>
      </c>
      <c r="G153" s="18" t="s">
        <v>904</v>
      </c>
      <c r="H153" s="12">
        <v>1</v>
      </c>
      <c r="I153" s="19">
        <v>46296.494768518518</v>
      </c>
      <c r="J153" s="12">
        <v>329</v>
      </c>
      <c r="K153" s="12" t="s">
        <v>910</v>
      </c>
    </row>
    <row r="154" spans="1:11" x14ac:dyDescent="0.25">
      <c r="A154" s="15" t="s">
        <v>1902</v>
      </c>
      <c r="B154" s="12" t="s">
        <v>1735</v>
      </c>
      <c r="C154" s="12" t="s">
        <v>1625</v>
      </c>
      <c r="D154" s="18" t="s">
        <v>1673</v>
      </c>
      <c r="E154" s="12">
        <v>228</v>
      </c>
      <c r="F154" s="12">
        <v>0</v>
      </c>
      <c r="G154" s="18" t="s">
        <v>904</v>
      </c>
      <c r="H154" s="12">
        <v>0</v>
      </c>
      <c r="I154" s="19">
        <v>46296.494814814818</v>
      </c>
      <c r="J154" s="12"/>
      <c r="K154" s="12" t="s">
        <v>910</v>
      </c>
    </row>
    <row r="155" spans="1:11" ht="25.5" x14ac:dyDescent="0.25">
      <c r="A155" s="15" t="s">
        <v>1903</v>
      </c>
      <c r="B155" s="12" t="s">
        <v>1738</v>
      </c>
      <c r="C155" s="12" t="s">
        <v>1625</v>
      </c>
      <c r="D155" s="18" t="s">
        <v>1676</v>
      </c>
      <c r="E155" s="12">
        <v>31</v>
      </c>
      <c r="F155" s="12">
        <v>0</v>
      </c>
      <c r="G155" s="18" t="s">
        <v>1904</v>
      </c>
      <c r="H155" s="12">
        <v>0</v>
      </c>
      <c r="I155" s="19">
        <v>46296.49486111111</v>
      </c>
      <c r="J155" s="12">
        <v>120</v>
      </c>
      <c r="K155" s="12" t="s">
        <v>910</v>
      </c>
    </row>
    <row r="156" spans="1:11" x14ac:dyDescent="0.25">
      <c r="A156" s="15" t="s">
        <v>1905</v>
      </c>
      <c r="B156" s="12" t="s">
        <v>1741</v>
      </c>
      <c r="C156" s="12" t="s">
        <v>1625</v>
      </c>
      <c r="D156" s="18" t="s">
        <v>1742</v>
      </c>
      <c r="E156" s="12">
        <v>2</v>
      </c>
      <c r="F156" s="12">
        <v>0</v>
      </c>
      <c r="G156" s="18" t="s">
        <v>904</v>
      </c>
      <c r="H156" s="12">
        <v>0</v>
      </c>
      <c r="I156" s="19">
        <v>46296.494895833333</v>
      </c>
      <c r="J156" s="12"/>
      <c r="K156" s="12" t="s">
        <v>910</v>
      </c>
    </row>
    <row r="157" spans="1:11" x14ac:dyDescent="0.25">
      <c r="A157" s="15" t="s">
        <v>1906</v>
      </c>
      <c r="B157" s="12" t="s">
        <v>1907</v>
      </c>
      <c r="C157" s="12" t="s">
        <v>1625</v>
      </c>
      <c r="D157" s="18" t="s">
        <v>1908</v>
      </c>
      <c r="E157" s="12">
        <v>16</v>
      </c>
      <c r="F157" s="12">
        <v>0</v>
      </c>
      <c r="G157" s="18" t="s">
        <v>904</v>
      </c>
      <c r="H157" s="12">
        <v>0</v>
      </c>
      <c r="I157" s="19">
        <v>46296.494942129633</v>
      </c>
      <c r="J157" s="12"/>
      <c r="K157" s="12" t="s">
        <v>910</v>
      </c>
    </row>
    <row r="158" spans="1:11" ht="25.5" x14ac:dyDescent="0.25">
      <c r="A158" s="15" t="s">
        <v>1909</v>
      </c>
      <c r="B158" s="12" t="s">
        <v>1731</v>
      </c>
      <c r="C158" s="12" t="s">
        <v>1625</v>
      </c>
      <c r="D158" s="18" t="s">
        <v>1626</v>
      </c>
      <c r="E158" s="12">
        <v>1762</v>
      </c>
      <c r="F158" s="12">
        <v>0</v>
      </c>
      <c r="G158" s="18" t="s">
        <v>1910</v>
      </c>
      <c r="H158" s="12">
        <v>1</v>
      </c>
      <c r="I158" s="19">
        <v>46296.631886574083</v>
      </c>
      <c r="J158" s="12">
        <v>315</v>
      </c>
      <c r="K158" s="12" t="s">
        <v>1911</v>
      </c>
    </row>
    <row r="159" spans="1:11" x14ac:dyDescent="0.25">
      <c r="A159" s="15" t="s">
        <v>1912</v>
      </c>
      <c r="B159" s="12" t="s">
        <v>1907</v>
      </c>
      <c r="C159" s="12" t="s">
        <v>1625</v>
      </c>
      <c r="D159" s="18" t="s">
        <v>1913</v>
      </c>
      <c r="E159" s="12">
        <v>6</v>
      </c>
      <c r="F159" s="12">
        <v>0</v>
      </c>
      <c r="G159" s="18" t="s">
        <v>1004</v>
      </c>
      <c r="H159" s="12">
        <v>0</v>
      </c>
      <c r="I159" s="19">
        <v>46296.631932870368</v>
      </c>
      <c r="J159" s="12"/>
      <c r="K159" s="12" t="s">
        <v>1911</v>
      </c>
    </row>
    <row r="160" spans="1:11" ht="25.5" x14ac:dyDescent="0.25">
      <c r="A160" s="15" t="s">
        <v>1914</v>
      </c>
      <c r="B160" s="12" t="s">
        <v>1731</v>
      </c>
      <c r="C160" s="12" t="s">
        <v>1625</v>
      </c>
      <c r="D160" s="18" t="s">
        <v>1626</v>
      </c>
      <c r="E160" s="12">
        <v>1768</v>
      </c>
      <c r="F160" s="12">
        <v>0</v>
      </c>
      <c r="G160" s="18" t="s">
        <v>948</v>
      </c>
      <c r="H160" s="12">
        <v>1</v>
      </c>
      <c r="I160" s="19">
        <v>46296.640289351853</v>
      </c>
      <c r="J160" s="12">
        <v>321</v>
      </c>
      <c r="K160" s="12" t="s">
        <v>953</v>
      </c>
    </row>
    <row r="161" spans="1:11" x14ac:dyDescent="0.25">
      <c r="A161" s="15" t="s">
        <v>1915</v>
      </c>
      <c r="B161" s="12" t="s">
        <v>1907</v>
      </c>
      <c r="C161" s="12" t="s">
        <v>1625</v>
      </c>
      <c r="D161" s="18" t="s">
        <v>1916</v>
      </c>
      <c r="E161" s="12">
        <v>7</v>
      </c>
      <c r="F161" s="12">
        <v>0</v>
      </c>
      <c r="G161" s="18" t="s">
        <v>948</v>
      </c>
      <c r="H161" s="12">
        <v>0</v>
      </c>
      <c r="I161" s="19">
        <v>46296.640335648153</v>
      </c>
      <c r="J161" s="12"/>
      <c r="K161" s="12" t="s">
        <v>953</v>
      </c>
    </row>
    <row r="162" spans="1:11" ht="25.5" x14ac:dyDescent="0.25">
      <c r="A162" s="15" t="s">
        <v>1917</v>
      </c>
      <c r="B162" s="12" t="s">
        <v>1731</v>
      </c>
      <c r="C162" s="12" t="s">
        <v>1625</v>
      </c>
      <c r="D162" s="18" t="s">
        <v>1626</v>
      </c>
      <c r="E162" s="12">
        <v>1781</v>
      </c>
      <c r="F162" s="12">
        <v>0</v>
      </c>
      <c r="G162" s="18" t="s">
        <v>955</v>
      </c>
      <c r="H162" s="12">
        <v>1</v>
      </c>
      <c r="I162" s="19">
        <v>46296.657210648147</v>
      </c>
      <c r="J162" s="12">
        <v>328</v>
      </c>
      <c r="K162" s="12" t="s">
        <v>961</v>
      </c>
    </row>
    <row r="163" spans="1:11" x14ac:dyDescent="0.25">
      <c r="A163" s="15" t="s">
        <v>1918</v>
      </c>
      <c r="B163" s="12" t="s">
        <v>1735</v>
      </c>
      <c r="C163" s="12" t="s">
        <v>1625</v>
      </c>
      <c r="D163" s="18" t="s">
        <v>1673</v>
      </c>
      <c r="E163" s="12">
        <v>233</v>
      </c>
      <c r="F163" s="12">
        <v>0</v>
      </c>
      <c r="G163" s="18" t="s">
        <v>955</v>
      </c>
      <c r="H163" s="12">
        <v>0</v>
      </c>
      <c r="I163" s="19">
        <v>46296.657256944447</v>
      </c>
      <c r="J163" s="12"/>
      <c r="K163" s="12" t="s">
        <v>961</v>
      </c>
    </row>
    <row r="164" spans="1:11" x14ac:dyDescent="0.25">
      <c r="A164" s="15" t="s">
        <v>1919</v>
      </c>
      <c r="B164" s="12" t="s">
        <v>1738</v>
      </c>
      <c r="C164" s="12" t="s">
        <v>1625</v>
      </c>
      <c r="D164" s="18" t="s">
        <v>1676</v>
      </c>
      <c r="E164" s="12">
        <v>32</v>
      </c>
      <c r="F164" s="12">
        <v>0</v>
      </c>
      <c r="G164" s="18" t="s">
        <v>1920</v>
      </c>
      <c r="H164" s="12">
        <v>0</v>
      </c>
      <c r="I164" s="19">
        <v>46296.65730324074</v>
      </c>
      <c r="J164" s="12">
        <v>126</v>
      </c>
      <c r="K164" s="12" t="s">
        <v>961</v>
      </c>
    </row>
    <row r="165" spans="1:11" x14ac:dyDescent="0.25">
      <c r="A165" s="15" t="s">
        <v>1921</v>
      </c>
      <c r="B165" s="12" t="s">
        <v>1741</v>
      </c>
      <c r="C165" s="12" t="s">
        <v>1625</v>
      </c>
      <c r="D165" s="18" t="s">
        <v>1742</v>
      </c>
      <c r="E165" s="12">
        <v>2</v>
      </c>
      <c r="F165" s="12">
        <v>0</v>
      </c>
      <c r="G165" s="18" t="s">
        <v>955</v>
      </c>
      <c r="H165" s="12">
        <v>0</v>
      </c>
      <c r="I165" s="19">
        <v>46296.657349537039</v>
      </c>
      <c r="J165" s="12"/>
      <c r="K165" s="12" t="s">
        <v>961</v>
      </c>
    </row>
    <row r="166" spans="1:11" x14ac:dyDescent="0.25">
      <c r="A166" s="15" t="s">
        <v>1922</v>
      </c>
      <c r="B166" s="12" t="s">
        <v>1907</v>
      </c>
      <c r="C166" s="12" t="s">
        <v>1625</v>
      </c>
      <c r="D166" s="18" t="s">
        <v>1923</v>
      </c>
      <c r="E166" s="12">
        <v>13</v>
      </c>
      <c r="F166" s="12">
        <v>0</v>
      </c>
      <c r="G166" s="18" t="s">
        <v>955</v>
      </c>
      <c r="H166" s="12">
        <v>0</v>
      </c>
      <c r="I166" s="19">
        <v>46296.657384259262</v>
      </c>
      <c r="J166" s="12"/>
      <c r="K166" s="12" t="s">
        <v>961</v>
      </c>
    </row>
    <row r="167" spans="1:11" ht="51" x14ac:dyDescent="0.25">
      <c r="A167" s="15" t="s">
        <v>1924</v>
      </c>
      <c r="B167" s="12" t="s">
        <v>1654</v>
      </c>
      <c r="C167" s="12" t="s">
        <v>1625</v>
      </c>
      <c r="D167" s="18" t="s">
        <v>1925</v>
      </c>
      <c r="E167" s="12">
        <v>1</v>
      </c>
      <c r="F167" s="12">
        <v>0</v>
      </c>
      <c r="G167" s="18" t="s">
        <v>1926</v>
      </c>
      <c r="H167" s="12">
        <v>0</v>
      </c>
      <c r="I167" s="19">
        <v>46296.657430555562</v>
      </c>
      <c r="J167" s="12"/>
      <c r="K167" s="12" t="s">
        <v>961</v>
      </c>
    </row>
    <row r="168" spans="1:11" ht="25.5" x14ac:dyDescent="0.25">
      <c r="A168" s="15" t="s">
        <v>1927</v>
      </c>
      <c r="B168" s="12" t="s">
        <v>1731</v>
      </c>
      <c r="C168" s="12" t="s">
        <v>1625</v>
      </c>
      <c r="D168" s="18" t="s">
        <v>1626</v>
      </c>
      <c r="E168" s="12">
        <v>1790</v>
      </c>
      <c r="F168" s="12">
        <v>0</v>
      </c>
      <c r="G168" s="18" t="s">
        <v>962</v>
      </c>
      <c r="H168" s="12">
        <v>1</v>
      </c>
      <c r="I168" s="19">
        <v>46296.674039351848</v>
      </c>
      <c r="J168" s="12">
        <v>388</v>
      </c>
      <c r="K168" s="12" t="s">
        <v>967</v>
      </c>
    </row>
    <row r="169" spans="1:11" x14ac:dyDescent="0.25">
      <c r="A169" s="15" t="s">
        <v>1928</v>
      </c>
      <c r="B169" s="12" t="s">
        <v>1735</v>
      </c>
      <c r="C169" s="12" t="s">
        <v>1625</v>
      </c>
      <c r="D169" s="18" t="s">
        <v>1673</v>
      </c>
      <c r="E169" s="12">
        <v>237</v>
      </c>
      <c r="F169" s="12">
        <v>0</v>
      </c>
      <c r="G169" s="18" t="s">
        <v>962</v>
      </c>
      <c r="H169" s="12">
        <v>0</v>
      </c>
      <c r="I169" s="19">
        <v>46296.674085648148</v>
      </c>
      <c r="J169" s="12"/>
      <c r="K169" s="12" t="s">
        <v>967</v>
      </c>
    </row>
    <row r="170" spans="1:11" x14ac:dyDescent="0.25">
      <c r="A170" s="15" t="s">
        <v>1929</v>
      </c>
      <c r="B170" s="12" t="s">
        <v>1738</v>
      </c>
      <c r="C170" s="12" t="s">
        <v>1625</v>
      </c>
      <c r="D170" s="18" t="s">
        <v>1676</v>
      </c>
      <c r="E170" s="12">
        <v>33</v>
      </c>
      <c r="F170" s="12">
        <v>0</v>
      </c>
      <c r="G170" s="18" t="s">
        <v>1930</v>
      </c>
      <c r="H170" s="12">
        <v>0</v>
      </c>
      <c r="I170" s="19">
        <v>46296.674131944441</v>
      </c>
      <c r="J170" s="12">
        <v>162</v>
      </c>
      <c r="K170" s="12" t="s">
        <v>967</v>
      </c>
    </row>
    <row r="171" spans="1:11" x14ac:dyDescent="0.25">
      <c r="A171" s="15" t="s">
        <v>1931</v>
      </c>
      <c r="B171" s="12" t="s">
        <v>1741</v>
      </c>
      <c r="C171" s="12" t="s">
        <v>1625</v>
      </c>
      <c r="D171" s="18" t="s">
        <v>1742</v>
      </c>
      <c r="E171" s="12">
        <v>2</v>
      </c>
      <c r="F171" s="12">
        <v>0</v>
      </c>
      <c r="G171" s="18" t="s">
        <v>962</v>
      </c>
      <c r="H171" s="12">
        <v>0</v>
      </c>
      <c r="I171" s="19">
        <v>46296.674166666657</v>
      </c>
      <c r="J171" s="12"/>
      <c r="K171" s="12" t="s">
        <v>967</v>
      </c>
    </row>
    <row r="172" spans="1:11" x14ac:dyDescent="0.25">
      <c r="A172" s="15" t="s">
        <v>1932</v>
      </c>
      <c r="B172" s="12" t="s">
        <v>1907</v>
      </c>
      <c r="C172" s="12" t="s">
        <v>1625</v>
      </c>
      <c r="D172" s="18" t="s">
        <v>1933</v>
      </c>
      <c r="E172" s="12">
        <v>8</v>
      </c>
      <c r="F172" s="12">
        <v>0</v>
      </c>
      <c r="G172" s="18" t="s">
        <v>962</v>
      </c>
      <c r="H172" s="12">
        <v>0</v>
      </c>
      <c r="I172" s="19">
        <v>46296.674212962957</v>
      </c>
      <c r="J172" s="12"/>
      <c r="K172" s="12" t="s">
        <v>967</v>
      </c>
    </row>
    <row r="173" spans="1:11" ht="25.5" x14ac:dyDescent="0.25">
      <c r="A173" s="15" t="s">
        <v>1934</v>
      </c>
      <c r="B173" s="12" t="s">
        <v>1654</v>
      </c>
      <c r="C173" s="12" t="s">
        <v>1625</v>
      </c>
      <c r="D173" s="18" t="s">
        <v>1935</v>
      </c>
      <c r="E173" s="12">
        <v>1</v>
      </c>
      <c r="F173" s="12">
        <v>0</v>
      </c>
      <c r="G173" s="18" t="s">
        <v>1936</v>
      </c>
      <c r="H173" s="12">
        <v>0</v>
      </c>
      <c r="I173" s="19">
        <v>46296.674259259264</v>
      </c>
      <c r="J173" s="12"/>
      <c r="K173" s="12" t="s">
        <v>967</v>
      </c>
    </row>
    <row r="174" spans="1:11" ht="25.5" x14ac:dyDescent="0.25">
      <c r="A174" s="15" t="s">
        <v>1937</v>
      </c>
      <c r="B174" s="12" t="s">
        <v>1731</v>
      </c>
      <c r="C174" s="12" t="s">
        <v>1625</v>
      </c>
      <c r="D174" s="18" t="s">
        <v>1626</v>
      </c>
      <c r="E174" s="12">
        <v>1795</v>
      </c>
      <c r="F174" s="12">
        <v>0</v>
      </c>
      <c r="G174" s="18" t="s">
        <v>968</v>
      </c>
      <c r="H174" s="12">
        <v>1</v>
      </c>
      <c r="I174" s="19">
        <v>46296.683657407397</v>
      </c>
      <c r="J174" s="12">
        <v>376</v>
      </c>
      <c r="K174" s="12" t="s">
        <v>973</v>
      </c>
    </row>
    <row r="175" spans="1:11" x14ac:dyDescent="0.25">
      <c r="A175" s="15" t="s">
        <v>1938</v>
      </c>
      <c r="B175" s="12" t="s">
        <v>1735</v>
      </c>
      <c r="C175" s="12" t="s">
        <v>1625</v>
      </c>
      <c r="D175" s="18" t="s">
        <v>1673</v>
      </c>
      <c r="E175" s="12">
        <v>240</v>
      </c>
      <c r="F175" s="12">
        <v>0</v>
      </c>
      <c r="G175" s="18" t="s">
        <v>968</v>
      </c>
      <c r="H175" s="12">
        <v>0</v>
      </c>
      <c r="I175" s="19">
        <v>46296.683703703697</v>
      </c>
      <c r="J175" s="12"/>
      <c r="K175" s="12" t="s">
        <v>973</v>
      </c>
    </row>
    <row r="176" spans="1:11" x14ac:dyDescent="0.25">
      <c r="A176" s="15" t="s">
        <v>1939</v>
      </c>
      <c r="B176" s="12" t="s">
        <v>1738</v>
      </c>
      <c r="C176" s="12" t="s">
        <v>1625</v>
      </c>
      <c r="D176" s="18" t="s">
        <v>1676</v>
      </c>
      <c r="E176" s="12">
        <v>34</v>
      </c>
      <c r="F176" s="12">
        <v>0</v>
      </c>
      <c r="G176" s="18" t="s">
        <v>968</v>
      </c>
      <c r="H176" s="12">
        <v>0</v>
      </c>
      <c r="I176" s="19">
        <v>46296.683749999997</v>
      </c>
      <c r="J176" s="12">
        <v>144</v>
      </c>
      <c r="K176" s="12" t="s">
        <v>973</v>
      </c>
    </row>
    <row r="177" spans="1:11" x14ac:dyDescent="0.25">
      <c r="A177" s="15" t="s">
        <v>1940</v>
      </c>
      <c r="B177" s="12" t="s">
        <v>1741</v>
      </c>
      <c r="C177" s="12" t="s">
        <v>1625</v>
      </c>
      <c r="D177" s="18" t="s">
        <v>1742</v>
      </c>
      <c r="E177" s="12">
        <v>2</v>
      </c>
      <c r="F177" s="12">
        <v>0</v>
      </c>
      <c r="G177" s="18" t="s">
        <v>968</v>
      </c>
      <c r="H177" s="12">
        <v>0</v>
      </c>
      <c r="I177" s="19">
        <v>46296.68378472222</v>
      </c>
      <c r="J177" s="12"/>
      <c r="K177" s="12" t="s">
        <v>973</v>
      </c>
    </row>
    <row r="178" spans="1:11" x14ac:dyDescent="0.25">
      <c r="A178" s="15" t="s">
        <v>1941</v>
      </c>
      <c r="B178" s="12" t="s">
        <v>1907</v>
      </c>
      <c r="C178" s="12" t="s">
        <v>1625</v>
      </c>
      <c r="D178" s="18" t="s">
        <v>1942</v>
      </c>
      <c r="E178" s="12">
        <v>7</v>
      </c>
      <c r="F178" s="12">
        <v>0</v>
      </c>
      <c r="G178" s="18" t="s">
        <v>968</v>
      </c>
      <c r="H178" s="12">
        <v>0</v>
      </c>
      <c r="I178" s="19">
        <v>46296.683831018519</v>
      </c>
      <c r="J178" s="12"/>
      <c r="K178" s="12" t="s">
        <v>973</v>
      </c>
    </row>
    <row r="179" spans="1:11" ht="25.5" x14ac:dyDescent="0.25">
      <c r="A179" s="15" t="s">
        <v>1943</v>
      </c>
      <c r="B179" s="12" t="s">
        <v>1731</v>
      </c>
      <c r="C179" s="12" t="s">
        <v>1625</v>
      </c>
      <c r="D179" s="18" t="s">
        <v>1626</v>
      </c>
      <c r="E179" s="12">
        <v>2136</v>
      </c>
      <c r="F179" s="12">
        <v>0</v>
      </c>
      <c r="G179" s="18" t="s">
        <v>1944</v>
      </c>
      <c r="H179" s="12">
        <v>11</v>
      </c>
      <c r="I179" s="19">
        <v>46301.616018518522</v>
      </c>
      <c r="J179" s="12">
        <v>511</v>
      </c>
      <c r="K179" s="12" t="s">
        <v>979</v>
      </c>
    </row>
    <row r="180" spans="1:11" x14ac:dyDescent="0.25">
      <c r="A180" s="15" t="s">
        <v>1945</v>
      </c>
      <c r="B180" s="12" t="s">
        <v>1735</v>
      </c>
      <c r="C180" s="12" t="s">
        <v>1625</v>
      </c>
      <c r="D180" s="18" t="s">
        <v>1673</v>
      </c>
      <c r="E180" s="12">
        <v>253</v>
      </c>
      <c r="F180" s="12">
        <v>0</v>
      </c>
      <c r="G180" s="18" t="s">
        <v>1944</v>
      </c>
      <c r="H180" s="12">
        <v>0</v>
      </c>
      <c r="I180" s="19">
        <v>46301.616064814807</v>
      </c>
      <c r="J180" s="12"/>
      <c r="K180" s="12" t="s">
        <v>979</v>
      </c>
    </row>
    <row r="181" spans="1:11" x14ac:dyDescent="0.25">
      <c r="A181" s="15" t="s">
        <v>1946</v>
      </c>
      <c r="B181" s="12" t="s">
        <v>1738</v>
      </c>
      <c r="C181" s="12" t="s">
        <v>1625</v>
      </c>
      <c r="D181" s="18" t="s">
        <v>1676</v>
      </c>
      <c r="E181" s="12">
        <v>38</v>
      </c>
      <c r="F181" s="12">
        <v>0</v>
      </c>
      <c r="G181" s="18" t="s">
        <v>1944</v>
      </c>
      <c r="H181" s="12">
        <v>0</v>
      </c>
      <c r="I181" s="19">
        <v>46301.616111111107</v>
      </c>
      <c r="J181" s="12">
        <v>168</v>
      </c>
      <c r="K181" s="12" t="s">
        <v>979</v>
      </c>
    </row>
    <row r="182" spans="1:11" ht="25.5" x14ac:dyDescent="0.25">
      <c r="A182" s="15" t="s">
        <v>1947</v>
      </c>
      <c r="B182" s="12" t="s">
        <v>1898</v>
      </c>
      <c r="C182" s="12" t="s">
        <v>1625</v>
      </c>
      <c r="D182" s="18" t="s">
        <v>1948</v>
      </c>
      <c r="E182" s="12">
        <v>60</v>
      </c>
      <c r="F182" s="12">
        <v>0</v>
      </c>
      <c r="G182" s="18" t="s">
        <v>1949</v>
      </c>
      <c r="H182" s="12">
        <v>0</v>
      </c>
      <c r="I182" s="19">
        <v>46301.616157407407</v>
      </c>
      <c r="J182" s="12"/>
      <c r="K182" s="12" t="s">
        <v>979</v>
      </c>
    </row>
    <row r="183" spans="1:11" ht="38.25" x14ac:dyDescent="0.25">
      <c r="A183" s="15" t="s">
        <v>1950</v>
      </c>
      <c r="B183" s="12" t="s">
        <v>1654</v>
      </c>
      <c r="C183" s="12" t="s">
        <v>1625</v>
      </c>
      <c r="D183" s="18" t="s">
        <v>1951</v>
      </c>
      <c r="E183" s="12">
        <v>4</v>
      </c>
      <c r="F183" s="12">
        <v>0</v>
      </c>
      <c r="G183" s="18" t="s">
        <v>1952</v>
      </c>
      <c r="H183" s="12">
        <v>0</v>
      </c>
      <c r="I183" s="19">
        <v>46301.616203703707</v>
      </c>
      <c r="J183" s="12"/>
      <c r="K183" s="12" t="s">
        <v>979</v>
      </c>
    </row>
    <row r="184" spans="1:11" x14ac:dyDescent="0.25">
      <c r="A184" s="15" t="s">
        <v>1953</v>
      </c>
      <c r="B184" s="12" t="s">
        <v>1738</v>
      </c>
      <c r="C184" s="12" t="s">
        <v>1625</v>
      </c>
      <c r="D184" s="18" t="s">
        <v>1676</v>
      </c>
      <c r="E184" s="12">
        <v>42</v>
      </c>
      <c r="F184" s="12">
        <v>0</v>
      </c>
      <c r="G184" s="18" t="s">
        <v>1349</v>
      </c>
      <c r="H184" s="12">
        <v>0</v>
      </c>
      <c r="I184" s="19">
        <v>46301.640335648153</v>
      </c>
      <c r="J184" s="12">
        <v>162</v>
      </c>
      <c r="K184" s="12" t="s">
        <v>1354</v>
      </c>
    </row>
    <row r="185" spans="1:11" ht="25.5" x14ac:dyDescent="0.25">
      <c r="A185" s="15" t="s">
        <v>1954</v>
      </c>
      <c r="B185" s="12" t="s">
        <v>1731</v>
      </c>
      <c r="C185" s="12" t="s">
        <v>1625</v>
      </c>
      <c r="D185" s="18" t="s">
        <v>1626</v>
      </c>
      <c r="E185" s="12">
        <v>2139</v>
      </c>
      <c r="F185" s="12">
        <v>0</v>
      </c>
      <c r="G185" s="18" t="s">
        <v>1299</v>
      </c>
      <c r="H185" s="12">
        <v>11</v>
      </c>
      <c r="I185" s="19">
        <v>46301.640381944453</v>
      </c>
      <c r="J185" s="12">
        <v>494</v>
      </c>
      <c r="K185" s="12" t="s">
        <v>1354</v>
      </c>
    </row>
    <row r="186" spans="1:11" x14ac:dyDescent="0.25">
      <c r="A186" s="15" t="s">
        <v>1955</v>
      </c>
      <c r="B186" s="12" t="s">
        <v>1907</v>
      </c>
      <c r="C186" s="12" t="s">
        <v>1625</v>
      </c>
      <c r="D186" s="18" t="s">
        <v>1956</v>
      </c>
      <c r="E186" s="12">
        <v>4</v>
      </c>
      <c r="F186" s="12">
        <v>0</v>
      </c>
      <c r="G186" s="18" t="s">
        <v>1299</v>
      </c>
      <c r="H186" s="12">
        <v>0</v>
      </c>
      <c r="I186" s="19">
        <v>46301.640439814822</v>
      </c>
      <c r="J186" s="12"/>
      <c r="K186" s="12" t="s">
        <v>1354</v>
      </c>
    </row>
    <row r="187" spans="1:11" ht="38.25" x14ac:dyDescent="0.25">
      <c r="A187" s="15" t="s">
        <v>1957</v>
      </c>
      <c r="B187" s="12" t="s">
        <v>1244</v>
      </c>
      <c r="C187" s="12" t="s">
        <v>1625</v>
      </c>
      <c r="D187" s="18" t="s">
        <v>1958</v>
      </c>
      <c r="E187" s="12">
        <v>2168</v>
      </c>
      <c r="F187" s="12">
        <v>1</v>
      </c>
      <c r="G187" s="18" t="s">
        <v>1959</v>
      </c>
      <c r="H187" s="12">
        <v>11</v>
      </c>
      <c r="I187" s="19">
        <v>46301.819178240738</v>
      </c>
      <c r="J187" s="12"/>
      <c r="K187" s="12" t="s">
        <v>1043</v>
      </c>
    </row>
    <row r="188" spans="1:11" x14ac:dyDescent="0.25">
      <c r="A188" s="15" t="s">
        <v>1960</v>
      </c>
      <c r="B188" s="12" t="s">
        <v>1738</v>
      </c>
      <c r="C188" s="12" t="s">
        <v>1625</v>
      </c>
      <c r="D188" s="18" t="s">
        <v>1704</v>
      </c>
      <c r="E188" s="12">
        <v>42</v>
      </c>
      <c r="F188" s="12">
        <v>0</v>
      </c>
      <c r="G188" s="18"/>
      <c r="H188" s="12">
        <v>0</v>
      </c>
      <c r="I188" s="19">
        <v>46301.819224537037</v>
      </c>
      <c r="J188" s="12"/>
      <c r="K188" s="12" t="s">
        <v>1043</v>
      </c>
    </row>
    <row r="189" spans="1:11" x14ac:dyDescent="0.25">
      <c r="A189" s="15" t="s">
        <v>1961</v>
      </c>
      <c r="B189" s="12" t="s">
        <v>1800</v>
      </c>
      <c r="C189" s="12" t="s">
        <v>1625</v>
      </c>
      <c r="D189" s="18" t="s">
        <v>1696</v>
      </c>
      <c r="E189" s="12">
        <v>253</v>
      </c>
      <c r="F189" s="12">
        <v>0</v>
      </c>
      <c r="G189" s="18"/>
      <c r="H189" s="12">
        <v>0</v>
      </c>
      <c r="I189" s="19">
        <v>46301.81927083333</v>
      </c>
      <c r="J189" s="12"/>
      <c r="K189" s="12" t="s">
        <v>1043</v>
      </c>
    </row>
    <row r="190" spans="1:11" x14ac:dyDescent="0.25">
      <c r="A190" s="15" t="s">
        <v>1962</v>
      </c>
      <c r="B190" s="12" t="s">
        <v>1963</v>
      </c>
      <c r="C190" s="12" t="s">
        <v>1625</v>
      </c>
      <c r="D190" s="18" t="s">
        <v>1964</v>
      </c>
      <c r="E190" s="12">
        <v>10</v>
      </c>
      <c r="F190" s="12">
        <v>0</v>
      </c>
      <c r="G190" s="18"/>
      <c r="H190" s="12">
        <v>0</v>
      </c>
      <c r="I190" s="19">
        <v>46301.81931712963</v>
      </c>
      <c r="J190" s="12"/>
      <c r="K190" s="12" t="s">
        <v>1043</v>
      </c>
    </row>
    <row r="191" spans="1:11" x14ac:dyDescent="0.25">
      <c r="A191" s="15" t="s">
        <v>1965</v>
      </c>
      <c r="B191" s="12" t="s">
        <v>1244</v>
      </c>
      <c r="C191" s="12" t="s">
        <v>1625</v>
      </c>
      <c r="D191" s="18" t="s">
        <v>1958</v>
      </c>
      <c r="E191" s="12">
        <v>2176</v>
      </c>
      <c r="F191" s="12">
        <v>0</v>
      </c>
      <c r="G191" s="18"/>
      <c r="H191" s="12">
        <v>11</v>
      </c>
      <c r="I191" s="19">
        <v>46301.832372685189</v>
      </c>
      <c r="J191" s="12"/>
      <c r="K191" s="12" t="s">
        <v>1071</v>
      </c>
    </row>
    <row r="192" spans="1:11" x14ac:dyDescent="0.25">
      <c r="A192" s="15" t="s">
        <v>1966</v>
      </c>
      <c r="B192" s="12" t="s">
        <v>1967</v>
      </c>
      <c r="C192" s="12" t="s">
        <v>1625</v>
      </c>
      <c r="D192" s="18" t="s">
        <v>1968</v>
      </c>
      <c r="E192" s="12">
        <v>6</v>
      </c>
      <c r="F192" s="12">
        <v>0</v>
      </c>
      <c r="G192" s="18"/>
      <c r="H192" s="12">
        <v>0</v>
      </c>
      <c r="I192" s="19">
        <v>46301.832418981481</v>
      </c>
      <c r="J192" s="12"/>
      <c r="K192" s="12" t="s">
        <v>1071</v>
      </c>
    </row>
    <row r="193" spans="1:11" ht="38.25" x14ac:dyDescent="0.25">
      <c r="A193" s="15" t="s">
        <v>1969</v>
      </c>
      <c r="B193" s="12" t="s">
        <v>1244</v>
      </c>
      <c r="C193" s="12" t="s">
        <v>1625</v>
      </c>
      <c r="D193" s="18" t="s">
        <v>1958</v>
      </c>
      <c r="E193" s="12">
        <v>2182</v>
      </c>
      <c r="F193" s="12">
        <v>1</v>
      </c>
      <c r="G193" s="18" t="s">
        <v>1970</v>
      </c>
      <c r="H193" s="12">
        <v>11</v>
      </c>
      <c r="I193" s="19">
        <v>46301.847731481481</v>
      </c>
      <c r="J193" s="12"/>
      <c r="K193" s="12" t="s">
        <v>1057</v>
      </c>
    </row>
    <row r="194" spans="1:11" x14ac:dyDescent="0.25">
      <c r="A194" s="15" t="s">
        <v>1971</v>
      </c>
      <c r="B194" s="12" t="s">
        <v>1972</v>
      </c>
      <c r="C194" s="12" t="s">
        <v>1625</v>
      </c>
      <c r="D194" s="18" t="s">
        <v>1973</v>
      </c>
      <c r="E194" s="12">
        <v>9</v>
      </c>
      <c r="F194" s="12">
        <v>0</v>
      </c>
      <c r="G194" s="18"/>
      <c r="H194" s="12">
        <v>0</v>
      </c>
      <c r="I194" s="19">
        <v>46301.847777777781</v>
      </c>
      <c r="J194" s="12"/>
      <c r="K194" s="12" t="s">
        <v>1057</v>
      </c>
    </row>
    <row r="195" spans="1:11" x14ac:dyDescent="0.25">
      <c r="A195" s="15" t="s">
        <v>1974</v>
      </c>
      <c r="B195" s="12" t="s">
        <v>1244</v>
      </c>
      <c r="C195" s="12" t="s">
        <v>1625</v>
      </c>
      <c r="D195" s="18" t="s">
        <v>1958</v>
      </c>
      <c r="E195" s="12">
        <v>2189</v>
      </c>
      <c r="F195" s="12">
        <v>0</v>
      </c>
      <c r="G195" s="18"/>
      <c r="H195" s="12">
        <v>11</v>
      </c>
      <c r="I195" s="19">
        <v>46301.857766203713</v>
      </c>
      <c r="J195" s="12"/>
      <c r="K195" s="12" t="s">
        <v>1064</v>
      </c>
    </row>
    <row r="196" spans="1:11" x14ac:dyDescent="0.25">
      <c r="A196" s="15" t="s">
        <v>1975</v>
      </c>
      <c r="B196" s="12" t="s">
        <v>1976</v>
      </c>
      <c r="C196" s="12" t="s">
        <v>1625</v>
      </c>
      <c r="D196" s="18" t="s">
        <v>1977</v>
      </c>
      <c r="E196" s="12">
        <v>10</v>
      </c>
      <c r="F196" s="12">
        <v>0</v>
      </c>
      <c r="G196" s="18"/>
      <c r="H196" s="12">
        <v>0</v>
      </c>
      <c r="I196" s="19">
        <v>46301.857812499999</v>
      </c>
      <c r="J196" s="12"/>
      <c r="K196" s="12" t="s">
        <v>1064</v>
      </c>
    </row>
    <row r="197" spans="1:11" x14ac:dyDescent="0.25">
      <c r="A197" s="15" t="s">
        <v>1978</v>
      </c>
      <c r="B197" s="12" t="s">
        <v>1244</v>
      </c>
      <c r="C197" s="12" t="s">
        <v>1625</v>
      </c>
      <c r="D197" s="18" t="s">
        <v>1958</v>
      </c>
      <c r="E197" s="12">
        <v>2197</v>
      </c>
      <c r="F197" s="12">
        <v>0</v>
      </c>
      <c r="G197" s="18"/>
      <c r="H197" s="12">
        <v>11</v>
      </c>
      <c r="I197" s="19">
        <v>46301.868495370371</v>
      </c>
      <c r="J197" s="12"/>
      <c r="K197" s="12" t="s">
        <v>1079</v>
      </c>
    </row>
    <row r="198" spans="1:11" x14ac:dyDescent="0.25">
      <c r="A198" s="15" t="s">
        <v>1979</v>
      </c>
      <c r="B198" s="12" t="s">
        <v>1980</v>
      </c>
      <c r="C198" s="12" t="s">
        <v>1625</v>
      </c>
      <c r="D198" s="18" t="s">
        <v>1981</v>
      </c>
      <c r="E198" s="12">
        <v>7</v>
      </c>
      <c r="F198" s="12">
        <v>0</v>
      </c>
      <c r="G198" s="18"/>
      <c r="H198" s="12">
        <v>0</v>
      </c>
      <c r="I198" s="19">
        <v>46301.868541666663</v>
      </c>
      <c r="J198" s="12"/>
      <c r="K198" s="12" t="s">
        <v>1079</v>
      </c>
    </row>
    <row r="199" spans="1:11" x14ac:dyDescent="0.25">
      <c r="A199" s="15" t="s">
        <v>1982</v>
      </c>
      <c r="B199" s="12" t="s">
        <v>1244</v>
      </c>
      <c r="C199" s="12" t="s">
        <v>1625</v>
      </c>
      <c r="D199" s="18" t="s">
        <v>1958</v>
      </c>
      <c r="E199" s="12">
        <v>2201</v>
      </c>
      <c r="F199" s="12">
        <v>0</v>
      </c>
      <c r="G199" s="18"/>
      <c r="H199" s="12">
        <v>11</v>
      </c>
      <c r="I199" s="19">
        <v>46301.883900462963</v>
      </c>
      <c r="J199" s="12"/>
      <c r="K199" s="12" t="s">
        <v>1087</v>
      </c>
    </row>
    <row r="200" spans="1:11" x14ac:dyDescent="0.25">
      <c r="A200" s="15" t="s">
        <v>1983</v>
      </c>
      <c r="B200" s="12" t="s">
        <v>1800</v>
      </c>
      <c r="C200" s="12" t="s">
        <v>1625</v>
      </c>
      <c r="D200" s="18" t="s">
        <v>1696</v>
      </c>
      <c r="E200" s="12">
        <v>256</v>
      </c>
      <c r="F200" s="12">
        <v>0</v>
      </c>
      <c r="G200" s="18"/>
      <c r="H200" s="12">
        <v>0</v>
      </c>
      <c r="I200" s="19">
        <v>46301.883946759262</v>
      </c>
      <c r="J200" s="12"/>
      <c r="K200" s="12" t="s">
        <v>1087</v>
      </c>
    </row>
    <row r="201" spans="1:11" x14ac:dyDescent="0.25">
      <c r="A201" s="15" t="s">
        <v>1984</v>
      </c>
      <c r="B201" s="12" t="s">
        <v>1738</v>
      </c>
      <c r="C201" s="12" t="s">
        <v>1625</v>
      </c>
      <c r="D201" s="18" t="s">
        <v>1704</v>
      </c>
      <c r="E201" s="12">
        <v>43</v>
      </c>
      <c r="F201" s="12">
        <v>0</v>
      </c>
      <c r="G201" s="18"/>
      <c r="H201" s="12">
        <v>0</v>
      </c>
      <c r="I201" s="19">
        <v>46301.883993055562</v>
      </c>
      <c r="J201" s="12"/>
      <c r="K201" s="12" t="s">
        <v>1087</v>
      </c>
    </row>
    <row r="202" spans="1:11" x14ac:dyDescent="0.25">
      <c r="A202" s="15" t="s">
        <v>1985</v>
      </c>
      <c r="B202" s="12" t="s">
        <v>1986</v>
      </c>
      <c r="C202" s="12" t="s">
        <v>1625</v>
      </c>
      <c r="D202" s="18" t="s">
        <v>1987</v>
      </c>
      <c r="E202" s="12">
        <v>7</v>
      </c>
      <c r="F202" s="12">
        <v>0</v>
      </c>
      <c r="G202" s="18"/>
      <c r="H202" s="12">
        <v>0</v>
      </c>
      <c r="I202" s="19">
        <v>46301.884039351848</v>
      </c>
      <c r="J202" s="12"/>
      <c r="K202" s="12" t="s">
        <v>1087</v>
      </c>
    </row>
    <row r="203" spans="1:11" ht="38.25" x14ac:dyDescent="0.25">
      <c r="A203" s="15" t="s">
        <v>1988</v>
      </c>
      <c r="B203" s="12" t="s">
        <v>1244</v>
      </c>
      <c r="C203" s="12" t="s">
        <v>1625</v>
      </c>
      <c r="D203" s="18" t="s">
        <v>1958</v>
      </c>
      <c r="E203" s="12">
        <v>2250</v>
      </c>
      <c r="F203" s="12">
        <v>0</v>
      </c>
      <c r="G203" s="18" t="s">
        <v>1989</v>
      </c>
      <c r="H203" s="12">
        <v>11</v>
      </c>
      <c r="I203" s="19">
        <v>46301.923645833333</v>
      </c>
      <c r="J203" s="12"/>
      <c r="K203" s="12" t="s">
        <v>1145</v>
      </c>
    </row>
    <row r="204" spans="1:11" x14ac:dyDescent="0.25">
      <c r="A204" s="15" t="s">
        <v>1990</v>
      </c>
      <c r="B204" s="12" t="s">
        <v>1800</v>
      </c>
      <c r="C204" s="12" t="s">
        <v>1625</v>
      </c>
      <c r="D204" s="18" t="s">
        <v>1696</v>
      </c>
      <c r="E204" s="12">
        <v>267</v>
      </c>
      <c r="F204" s="12">
        <v>0</v>
      </c>
      <c r="G204" s="18"/>
      <c r="H204" s="12">
        <v>0</v>
      </c>
      <c r="I204" s="19">
        <v>46301.923692129632</v>
      </c>
      <c r="J204" s="12"/>
      <c r="K204" s="12" t="s">
        <v>1145</v>
      </c>
    </row>
    <row r="205" spans="1:11" x14ac:dyDescent="0.25">
      <c r="A205" s="15" t="s">
        <v>1991</v>
      </c>
      <c r="B205" s="12" t="s">
        <v>1738</v>
      </c>
      <c r="C205" s="12" t="s">
        <v>1625</v>
      </c>
      <c r="D205" s="18" t="s">
        <v>1704</v>
      </c>
      <c r="E205" s="12">
        <v>45</v>
      </c>
      <c r="F205" s="12">
        <v>0</v>
      </c>
      <c r="G205" s="18"/>
      <c r="H205" s="12">
        <v>0</v>
      </c>
      <c r="I205" s="19">
        <v>46301.923738425918</v>
      </c>
      <c r="J205" s="12"/>
      <c r="K205" s="12" t="s">
        <v>1145</v>
      </c>
    </row>
    <row r="206" spans="1:11" x14ac:dyDescent="0.25">
      <c r="A206" s="15" t="s">
        <v>1992</v>
      </c>
      <c r="B206" s="12" t="s">
        <v>1993</v>
      </c>
      <c r="C206" s="12" t="s">
        <v>1625</v>
      </c>
      <c r="D206" s="18" t="s">
        <v>1994</v>
      </c>
      <c r="E206" s="12">
        <v>20</v>
      </c>
      <c r="F206" s="12">
        <v>0</v>
      </c>
      <c r="G206" s="18"/>
      <c r="H206" s="12">
        <v>0</v>
      </c>
      <c r="I206" s="19">
        <v>46301.923796296287</v>
      </c>
      <c r="J206" s="12"/>
      <c r="K206" s="12" t="s">
        <v>1145</v>
      </c>
    </row>
    <row r="207" spans="1:11" x14ac:dyDescent="0.25">
      <c r="A207" s="15" t="s">
        <v>1995</v>
      </c>
      <c r="B207" s="12" t="s">
        <v>1244</v>
      </c>
      <c r="C207" s="12" t="s">
        <v>1625</v>
      </c>
      <c r="D207" s="18" t="s">
        <v>1958</v>
      </c>
      <c r="E207" s="12">
        <v>2370</v>
      </c>
      <c r="F207" s="12">
        <v>0</v>
      </c>
      <c r="G207" s="18"/>
      <c r="H207" s="12">
        <v>11</v>
      </c>
      <c r="I207" s="19">
        <v>46302.364363425928</v>
      </c>
      <c r="J207" s="12"/>
      <c r="K207" s="12" t="s">
        <v>600</v>
      </c>
    </row>
    <row r="208" spans="1:11" x14ac:dyDescent="0.25">
      <c r="A208" s="15" t="s">
        <v>1996</v>
      </c>
      <c r="B208" s="12" t="s">
        <v>1800</v>
      </c>
      <c r="C208" s="12" t="s">
        <v>1625</v>
      </c>
      <c r="D208" s="18" t="s">
        <v>1696</v>
      </c>
      <c r="E208" s="12">
        <v>281</v>
      </c>
      <c r="F208" s="12">
        <v>0</v>
      </c>
      <c r="G208" s="18"/>
      <c r="H208" s="12">
        <v>0</v>
      </c>
      <c r="I208" s="19">
        <v>46302.36440972222</v>
      </c>
      <c r="J208" s="12"/>
      <c r="K208" s="12" t="s">
        <v>600</v>
      </c>
    </row>
    <row r="209" spans="1:11" x14ac:dyDescent="0.25">
      <c r="A209" s="15" t="s">
        <v>1997</v>
      </c>
      <c r="B209" s="12" t="s">
        <v>1738</v>
      </c>
      <c r="C209" s="12" t="s">
        <v>1625</v>
      </c>
      <c r="D209" s="18" t="s">
        <v>1704</v>
      </c>
      <c r="E209" s="12">
        <v>51</v>
      </c>
      <c r="F209" s="12">
        <v>0</v>
      </c>
      <c r="G209" s="18"/>
      <c r="H209" s="12">
        <v>0</v>
      </c>
      <c r="I209" s="19">
        <v>46302.36445601852</v>
      </c>
      <c r="J209" s="12"/>
      <c r="K209" s="12" t="s">
        <v>600</v>
      </c>
    </row>
    <row r="210" spans="1:11" x14ac:dyDescent="0.25">
      <c r="A210" s="15" t="s">
        <v>1998</v>
      </c>
      <c r="B210" s="12" t="s">
        <v>1244</v>
      </c>
      <c r="C210" s="12" t="s">
        <v>1625</v>
      </c>
      <c r="D210" s="18" t="s">
        <v>1958</v>
      </c>
      <c r="E210" s="12">
        <v>2279</v>
      </c>
      <c r="F210" s="12">
        <v>0</v>
      </c>
      <c r="G210" s="18"/>
      <c r="H210" s="12">
        <v>11</v>
      </c>
      <c r="I210" s="19">
        <v>46302.365115740737</v>
      </c>
      <c r="J210" s="12"/>
      <c r="K210" s="12" t="s">
        <v>1172</v>
      </c>
    </row>
    <row r="211" spans="1:11" x14ac:dyDescent="0.25">
      <c r="A211" s="15" t="s">
        <v>1999</v>
      </c>
      <c r="B211" s="12" t="s">
        <v>1800</v>
      </c>
      <c r="C211" s="12" t="s">
        <v>1625</v>
      </c>
      <c r="D211" s="18" t="s">
        <v>1696</v>
      </c>
      <c r="E211" s="12">
        <v>267</v>
      </c>
      <c r="F211" s="12">
        <v>0</v>
      </c>
      <c r="G211" s="18"/>
      <c r="H211" s="12">
        <v>0</v>
      </c>
      <c r="I211" s="19">
        <v>46302.365173611113</v>
      </c>
      <c r="J211" s="12"/>
      <c r="K211" s="12" t="s">
        <v>1172</v>
      </c>
    </row>
    <row r="212" spans="1:11" x14ac:dyDescent="0.25">
      <c r="A212" s="15" t="s">
        <v>2000</v>
      </c>
      <c r="B212" s="12" t="s">
        <v>1738</v>
      </c>
      <c r="C212" s="12" t="s">
        <v>1625</v>
      </c>
      <c r="D212" s="18" t="s">
        <v>1704</v>
      </c>
      <c r="E212" s="12">
        <v>45</v>
      </c>
      <c r="F212" s="12">
        <v>0</v>
      </c>
      <c r="G212" s="18"/>
      <c r="H212" s="12">
        <v>0</v>
      </c>
      <c r="I212" s="19">
        <v>46302.365219907413</v>
      </c>
      <c r="J212" s="12"/>
      <c r="K212" s="12" t="s">
        <v>1172</v>
      </c>
    </row>
    <row r="213" spans="1:11" x14ac:dyDescent="0.25">
      <c r="A213" s="15" t="s">
        <v>2001</v>
      </c>
      <c r="B213" s="12" t="s">
        <v>2002</v>
      </c>
      <c r="C213" s="12" t="s">
        <v>1625</v>
      </c>
      <c r="D213" s="18" t="s">
        <v>2003</v>
      </c>
      <c r="E213" s="12">
        <v>11</v>
      </c>
      <c r="F213" s="12">
        <v>0</v>
      </c>
      <c r="G213" s="18"/>
      <c r="H213" s="12">
        <v>0</v>
      </c>
      <c r="I213" s="19">
        <v>46302.365266203713</v>
      </c>
      <c r="J213" s="12"/>
      <c r="K213" s="12" t="s">
        <v>1172</v>
      </c>
    </row>
    <row r="214" spans="1:11" x14ac:dyDescent="0.25">
      <c r="A214" s="15" t="s">
        <v>2004</v>
      </c>
      <c r="B214" s="12" t="s">
        <v>1244</v>
      </c>
      <c r="C214" s="12" t="s">
        <v>1625</v>
      </c>
      <c r="D214" s="18" t="s">
        <v>1958</v>
      </c>
      <c r="E214" s="12">
        <v>2289</v>
      </c>
      <c r="F214" s="12">
        <v>0</v>
      </c>
      <c r="G214" s="18"/>
      <c r="H214" s="12">
        <v>11</v>
      </c>
      <c r="I214" s="19">
        <v>46302.365555555552</v>
      </c>
      <c r="J214" s="12"/>
      <c r="K214" s="12" t="s">
        <v>1202</v>
      </c>
    </row>
    <row r="215" spans="1:11" x14ac:dyDescent="0.25">
      <c r="A215" s="15" t="s">
        <v>2005</v>
      </c>
      <c r="B215" s="12" t="s">
        <v>1800</v>
      </c>
      <c r="C215" s="12" t="s">
        <v>1625</v>
      </c>
      <c r="D215" s="18" t="s">
        <v>1696</v>
      </c>
      <c r="E215" s="12">
        <v>269</v>
      </c>
      <c r="F215" s="12">
        <v>0</v>
      </c>
      <c r="G215" s="18"/>
      <c r="H215" s="12">
        <v>0</v>
      </c>
      <c r="I215" s="19">
        <v>46302.365601851852</v>
      </c>
      <c r="J215" s="12"/>
      <c r="K215" s="12" t="s">
        <v>1202</v>
      </c>
    </row>
    <row r="216" spans="1:11" x14ac:dyDescent="0.25">
      <c r="A216" s="15" t="s">
        <v>2006</v>
      </c>
      <c r="B216" s="12" t="s">
        <v>1738</v>
      </c>
      <c r="C216" s="12" t="s">
        <v>1625</v>
      </c>
      <c r="D216" s="18" t="s">
        <v>1704</v>
      </c>
      <c r="E216" s="12">
        <v>45</v>
      </c>
      <c r="F216" s="12">
        <v>0</v>
      </c>
      <c r="G216" s="18"/>
      <c r="H216" s="12">
        <v>0</v>
      </c>
      <c r="I216" s="19">
        <v>46302.365648148138</v>
      </c>
      <c r="J216" s="12"/>
      <c r="K216" s="12" t="s">
        <v>1202</v>
      </c>
    </row>
    <row r="217" spans="1:11" x14ac:dyDescent="0.25">
      <c r="A217" s="15" t="s">
        <v>2007</v>
      </c>
      <c r="B217" s="12" t="s">
        <v>2008</v>
      </c>
      <c r="C217" s="12" t="s">
        <v>1625</v>
      </c>
      <c r="D217" s="18" t="s">
        <v>2009</v>
      </c>
      <c r="E217" s="12">
        <v>9</v>
      </c>
      <c r="F217" s="12">
        <v>0</v>
      </c>
      <c r="G217" s="18"/>
      <c r="H217" s="12">
        <v>0</v>
      </c>
      <c r="I217" s="19">
        <v>46302.365694444437</v>
      </c>
      <c r="J217" s="12"/>
      <c r="K217" s="12" t="s">
        <v>1202</v>
      </c>
    </row>
    <row r="218" spans="1:11" x14ac:dyDescent="0.25">
      <c r="A218" s="15" t="s">
        <v>2010</v>
      </c>
      <c r="B218" s="12" t="s">
        <v>1244</v>
      </c>
      <c r="C218" s="12" t="s">
        <v>1625</v>
      </c>
      <c r="D218" s="18" t="s">
        <v>1958</v>
      </c>
      <c r="E218" s="12">
        <v>2308</v>
      </c>
      <c r="F218" s="12">
        <v>0</v>
      </c>
      <c r="G218" s="18"/>
      <c r="H218" s="12">
        <v>11</v>
      </c>
      <c r="I218" s="19">
        <v>46302.365937499999</v>
      </c>
      <c r="J218" s="12"/>
      <c r="K218" s="12" t="s">
        <v>1222</v>
      </c>
    </row>
    <row r="219" spans="1:11" x14ac:dyDescent="0.25">
      <c r="A219" s="15" t="s">
        <v>2011</v>
      </c>
      <c r="B219" s="12" t="s">
        <v>1800</v>
      </c>
      <c r="C219" s="12" t="s">
        <v>1625</v>
      </c>
      <c r="D219" s="18" t="s">
        <v>1696</v>
      </c>
      <c r="E219" s="12">
        <v>272</v>
      </c>
      <c r="F219" s="12">
        <v>0</v>
      </c>
      <c r="G219" s="18"/>
      <c r="H219" s="12">
        <v>0</v>
      </c>
      <c r="I219" s="19">
        <v>46302.365983796299</v>
      </c>
      <c r="J219" s="12"/>
      <c r="K219" s="12" t="s">
        <v>1222</v>
      </c>
    </row>
    <row r="220" spans="1:11" x14ac:dyDescent="0.25">
      <c r="A220" s="15" t="s">
        <v>2012</v>
      </c>
      <c r="B220" s="12" t="s">
        <v>1738</v>
      </c>
      <c r="C220" s="12" t="s">
        <v>1625</v>
      </c>
      <c r="D220" s="18" t="s">
        <v>1704</v>
      </c>
      <c r="E220" s="12">
        <v>46</v>
      </c>
      <c r="F220" s="12">
        <v>0</v>
      </c>
      <c r="G220" s="18"/>
      <c r="H220" s="12">
        <v>0</v>
      </c>
      <c r="I220" s="19">
        <v>46302.366030092591</v>
      </c>
      <c r="J220" s="12"/>
      <c r="K220" s="12" t="s">
        <v>1222</v>
      </c>
    </row>
    <row r="221" spans="1:11" x14ac:dyDescent="0.25">
      <c r="A221" s="15" t="s">
        <v>2013</v>
      </c>
      <c r="B221" s="12" t="s">
        <v>2014</v>
      </c>
      <c r="C221" s="12" t="s">
        <v>1625</v>
      </c>
      <c r="D221" s="18" t="s">
        <v>2015</v>
      </c>
      <c r="E221" s="12">
        <v>12</v>
      </c>
      <c r="F221" s="12">
        <v>0</v>
      </c>
      <c r="G221" s="18"/>
      <c r="H221" s="12">
        <v>0</v>
      </c>
      <c r="I221" s="19">
        <v>46302.366076388891</v>
      </c>
      <c r="J221" s="12"/>
      <c r="K221" s="12" t="s">
        <v>1222</v>
      </c>
    </row>
    <row r="222" spans="1:11" x14ac:dyDescent="0.25">
      <c r="A222" s="15" t="s">
        <v>2016</v>
      </c>
      <c r="B222" s="12" t="s">
        <v>1244</v>
      </c>
      <c r="C222" s="12" t="s">
        <v>1625</v>
      </c>
      <c r="D222" s="18" t="s">
        <v>1958</v>
      </c>
      <c r="E222" s="12">
        <v>2317</v>
      </c>
      <c r="F222" s="12">
        <v>0</v>
      </c>
      <c r="G222" s="18"/>
      <c r="H222" s="12">
        <v>11</v>
      </c>
      <c r="I222" s="19">
        <v>46302.366377314807</v>
      </c>
      <c r="J222" s="12"/>
      <c r="K222" s="12" t="s">
        <v>1239</v>
      </c>
    </row>
    <row r="223" spans="1:11" x14ac:dyDescent="0.25">
      <c r="A223" s="15" t="s">
        <v>2017</v>
      </c>
      <c r="B223" s="12" t="s">
        <v>1800</v>
      </c>
      <c r="C223" s="12" t="s">
        <v>1625</v>
      </c>
      <c r="D223" s="18" t="s">
        <v>1696</v>
      </c>
      <c r="E223" s="12">
        <v>276</v>
      </c>
      <c r="F223" s="12">
        <v>0</v>
      </c>
      <c r="G223" s="18"/>
      <c r="H223" s="12">
        <v>0</v>
      </c>
      <c r="I223" s="19">
        <v>46302.366423611107</v>
      </c>
      <c r="J223" s="12"/>
      <c r="K223" s="12" t="s">
        <v>1239</v>
      </c>
    </row>
    <row r="224" spans="1:11" x14ac:dyDescent="0.25">
      <c r="A224" s="15" t="s">
        <v>2018</v>
      </c>
      <c r="B224" s="12" t="s">
        <v>1738</v>
      </c>
      <c r="C224" s="12" t="s">
        <v>1625</v>
      </c>
      <c r="D224" s="18" t="s">
        <v>1704</v>
      </c>
      <c r="E224" s="12">
        <v>47</v>
      </c>
      <c r="F224" s="12">
        <v>0</v>
      </c>
      <c r="G224" s="18"/>
      <c r="H224" s="12">
        <v>0</v>
      </c>
      <c r="I224" s="19">
        <v>46302.366469907407</v>
      </c>
      <c r="J224" s="12"/>
      <c r="K224" s="12" t="s">
        <v>1239</v>
      </c>
    </row>
    <row r="225" spans="1:11" x14ac:dyDescent="0.25">
      <c r="A225" s="15" t="s">
        <v>2019</v>
      </c>
      <c r="B225" s="12" t="s">
        <v>2020</v>
      </c>
      <c r="C225" s="12" t="s">
        <v>1625</v>
      </c>
      <c r="D225" s="18" t="s">
        <v>2021</v>
      </c>
      <c r="E225" s="12">
        <v>8</v>
      </c>
      <c r="F225" s="12">
        <v>0</v>
      </c>
      <c r="G225" s="18"/>
      <c r="H225" s="12">
        <v>0</v>
      </c>
      <c r="I225" s="19">
        <v>46302.366516203707</v>
      </c>
      <c r="J225" s="12"/>
      <c r="K225" s="12" t="s">
        <v>1239</v>
      </c>
    </row>
    <row r="226" spans="1:11" x14ac:dyDescent="0.25">
      <c r="A226" s="15" t="s">
        <v>2022</v>
      </c>
      <c r="B226" s="12" t="s">
        <v>1244</v>
      </c>
      <c r="C226" s="12" t="s">
        <v>1625</v>
      </c>
      <c r="D226" s="18" t="s">
        <v>1958</v>
      </c>
      <c r="E226" s="12">
        <v>2331</v>
      </c>
      <c r="F226" s="12">
        <v>0</v>
      </c>
      <c r="G226" s="18"/>
      <c r="H226" s="12">
        <v>11</v>
      </c>
      <c r="I226" s="19">
        <v>46302.366782407407</v>
      </c>
      <c r="J226" s="12"/>
      <c r="K226" s="12" t="s">
        <v>1285</v>
      </c>
    </row>
    <row r="227" spans="1:11" x14ac:dyDescent="0.25">
      <c r="A227" s="15" t="s">
        <v>2023</v>
      </c>
      <c r="B227" s="12" t="s">
        <v>1800</v>
      </c>
      <c r="C227" s="12" t="s">
        <v>1625</v>
      </c>
      <c r="D227" s="18" t="s">
        <v>1696</v>
      </c>
      <c r="E227" s="12">
        <v>277</v>
      </c>
      <c r="F227" s="12">
        <v>0</v>
      </c>
      <c r="G227" s="18"/>
      <c r="H227" s="12">
        <v>0</v>
      </c>
      <c r="I227" s="19">
        <v>46302.366828703707</v>
      </c>
      <c r="J227" s="12"/>
      <c r="K227" s="12" t="s">
        <v>1285</v>
      </c>
    </row>
    <row r="228" spans="1:11" x14ac:dyDescent="0.25">
      <c r="A228" s="15" t="s">
        <v>2024</v>
      </c>
      <c r="B228" s="12" t="s">
        <v>1738</v>
      </c>
      <c r="C228" s="12" t="s">
        <v>1625</v>
      </c>
      <c r="D228" s="18" t="s">
        <v>1704</v>
      </c>
      <c r="E228" s="12">
        <v>49</v>
      </c>
      <c r="F228" s="12">
        <v>0</v>
      </c>
      <c r="G228" s="18"/>
      <c r="H228" s="12">
        <v>0</v>
      </c>
      <c r="I228" s="19">
        <v>46302.366875</v>
      </c>
      <c r="J228" s="12"/>
      <c r="K228" s="12" t="s">
        <v>1285</v>
      </c>
    </row>
    <row r="229" spans="1:11" x14ac:dyDescent="0.25">
      <c r="A229" s="15" t="s">
        <v>2025</v>
      </c>
      <c r="B229" s="12" t="s">
        <v>2026</v>
      </c>
      <c r="C229" s="12" t="s">
        <v>1625</v>
      </c>
      <c r="D229" s="18" t="s">
        <v>2027</v>
      </c>
      <c r="E229" s="12">
        <v>11</v>
      </c>
      <c r="F229" s="12">
        <v>0</v>
      </c>
      <c r="G229" s="18"/>
      <c r="H229" s="12">
        <v>0</v>
      </c>
      <c r="I229" s="19">
        <v>46302.3669212963</v>
      </c>
      <c r="J229" s="12"/>
      <c r="K229" s="12" t="s">
        <v>1285</v>
      </c>
    </row>
    <row r="230" spans="1:11" x14ac:dyDescent="0.25">
      <c r="A230" s="15" t="s">
        <v>2028</v>
      </c>
      <c r="B230" s="12" t="s">
        <v>1244</v>
      </c>
      <c r="C230" s="12" t="s">
        <v>1625</v>
      </c>
      <c r="D230" s="18" t="s">
        <v>1958</v>
      </c>
      <c r="E230" s="12">
        <v>2336</v>
      </c>
      <c r="F230" s="12">
        <v>0</v>
      </c>
      <c r="G230" s="18"/>
      <c r="H230" s="12">
        <v>11</v>
      </c>
      <c r="I230" s="19">
        <v>46302.367175925923</v>
      </c>
      <c r="J230" s="12"/>
      <c r="K230" s="12" t="s">
        <v>1324</v>
      </c>
    </row>
    <row r="231" spans="1:11" x14ac:dyDescent="0.25">
      <c r="A231" s="15" t="s">
        <v>2029</v>
      </c>
      <c r="B231" s="12" t="s">
        <v>1738</v>
      </c>
      <c r="C231" s="12" t="s">
        <v>1625</v>
      </c>
      <c r="D231" s="18" t="s">
        <v>1704</v>
      </c>
      <c r="E231" s="12">
        <v>49</v>
      </c>
      <c r="F231" s="12">
        <v>0</v>
      </c>
      <c r="G231" s="18"/>
      <c r="H231" s="12">
        <v>0</v>
      </c>
      <c r="I231" s="19">
        <v>46302.3672337963</v>
      </c>
      <c r="J231" s="12"/>
      <c r="K231" s="12" t="s">
        <v>1324</v>
      </c>
    </row>
    <row r="232" spans="1:11" x14ac:dyDescent="0.25">
      <c r="A232" s="15" t="s">
        <v>2030</v>
      </c>
      <c r="B232" s="12" t="s">
        <v>2031</v>
      </c>
      <c r="C232" s="12" t="s">
        <v>1625</v>
      </c>
      <c r="D232" s="18" t="s">
        <v>2032</v>
      </c>
      <c r="E232" s="12">
        <v>11</v>
      </c>
      <c r="F232" s="12">
        <v>0</v>
      </c>
      <c r="G232" s="18"/>
      <c r="H232" s="12">
        <v>0</v>
      </c>
      <c r="I232" s="19">
        <v>46302.367291666669</v>
      </c>
      <c r="J232" s="12"/>
      <c r="K232" s="12" t="s">
        <v>1324</v>
      </c>
    </row>
    <row r="233" spans="1:11" x14ac:dyDescent="0.25">
      <c r="A233" s="15" t="s">
        <v>2033</v>
      </c>
      <c r="B233" s="12" t="s">
        <v>1244</v>
      </c>
      <c r="C233" s="12" t="s">
        <v>1625</v>
      </c>
      <c r="D233" s="18" t="s">
        <v>1958</v>
      </c>
      <c r="E233" s="12">
        <v>2344</v>
      </c>
      <c r="F233" s="12">
        <v>0</v>
      </c>
      <c r="G233" s="18"/>
      <c r="H233" s="12">
        <v>11</v>
      </c>
      <c r="I233" s="19">
        <v>46302.367650462962</v>
      </c>
      <c r="J233" s="12"/>
      <c r="K233" s="12" t="s">
        <v>1360</v>
      </c>
    </row>
    <row r="234" spans="1:11" x14ac:dyDescent="0.25">
      <c r="A234" s="15" t="s">
        <v>2034</v>
      </c>
      <c r="B234" s="12" t="s">
        <v>2035</v>
      </c>
      <c r="C234" s="12" t="s">
        <v>1625</v>
      </c>
      <c r="D234" s="18" t="s">
        <v>2036</v>
      </c>
      <c r="E234" s="12">
        <v>98</v>
      </c>
      <c r="F234" s="12">
        <v>0</v>
      </c>
      <c r="G234" s="18"/>
      <c r="H234" s="12">
        <v>0</v>
      </c>
      <c r="I234" s="19">
        <v>46302.367696759262</v>
      </c>
      <c r="J234" s="12"/>
      <c r="K234" s="12" t="s">
        <v>1360</v>
      </c>
    </row>
    <row r="235" spans="1:11" x14ac:dyDescent="0.25">
      <c r="A235" s="15" t="s">
        <v>2037</v>
      </c>
      <c r="B235" s="12" t="s">
        <v>1244</v>
      </c>
      <c r="C235" s="12" t="s">
        <v>1625</v>
      </c>
      <c r="D235" s="18" t="s">
        <v>1958</v>
      </c>
      <c r="E235" s="12">
        <v>2346</v>
      </c>
      <c r="F235" s="12">
        <v>0</v>
      </c>
      <c r="G235" s="18"/>
      <c r="H235" s="12">
        <v>11</v>
      </c>
      <c r="I235" s="19">
        <v>46302.368564814817</v>
      </c>
      <c r="J235" s="12"/>
      <c r="K235" s="12" t="s">
        <v>527</v>
      </c>
    </row>
    <row r="236" spans="1:11" x14ac:dyDescent="0.25">
      <c r="A236" s="15" t="s">
        <v>2038</v>
      </c>
      <c r="B236" s="12" t="s">
        <v>1800</v>
      </c>
      <c r="C236" s="12" t="s">
        <v>1625</v>
      </c>
      <c r="D236" s="18" t="s">
        <v>1696</v>
      </c>
      <c r="E236" s="12">
        <v>278</v>
      </c>
      <c r="F236" s="12">
        <v>0</v>
      </c>
      <c r="G236" s="18"/>
      <c r="H236" s="12">
        <v>0</v>
      </c>
      <c r="I236" s="19">
        <v>46302.368611111109</v>
      </c>
      <c r="J236" s="12"/>
      <c r="K236" s="12" t="s">
        <v>527</v>
      </c>
    </row>
    <row r="237" spans="1:11" x14ac:dyDescent="0.25">
      <c r="A237" s="15" t="s">
        <v>2039</v>
      </c>
      <c r="B237" s="12" t="s">
        <v>1738</v>
      </c>
      <c r="C237" s="12" t="s">
        <v>1625</v>
      </c>
      <c r="D237" s="18" t="s">
        <v>1704</v>
      </c>
      <c r="E237" s="12">
        <v>49</v>
      </c>
      <c r="F237" s="12">
        <v>0</v>
      </c>
      <c r="G237" s="18"/>
      <c r="H237" s="12">
        <v>0</v>
      </c>
      <c r="I237" s="19">
        <v>46302.368657407409</v>
      </c>
      <c r="J237" s="12"/>
      <c r="K237" s="12" t="s">
        <v>527</v>
      </c>
    </row>
    <row r="238" spans="1:11" x14ac:dyDescent="0.25">
      <c r="A238" s="15" t="s">
        <v>2040</v>
      </c>
      <c r="B238" s="12" t="s">
        <v>1244</v>
      </c>
      <c r="C238" s="12" t="s">
        <v>1625</v>
      </c>
      <c r="D238" s="18" t="s">
        <v>1958</v>
      </c>
      <c r="E238" s="12">
        <v>2352</v>
      </c>
      <c r="F238" s="12">
        <v>0</v>
      </c>
      <c r="G238" s="18"/>
      <c r="H238" s="12">
        <v>11</v>
      </c>
      <c r="I238" s="19">
        <v>46302.36886574074</v>
      </c>
      <c r="J238" s="12"/>
      <c r="K238" s="12" t="s">
        <v>538</v>
      </c>
    </row>
    <row r="239" spans="1:11" x14ac:dyDescent="0.25">
      <c r="A239" s="15" t="s">
        <v>2041</v>
      </c>
      <c r="B239" s="12" t="s">
        <v>1800</v>
      </c>
      <c r="C239" s="12" t="s">
        <v>1625</v>
      </c>
      <c r="D239" s="18" t="s">
        <v>1696</v>
      </c>
      <c r="E239" s="12">
        <v>280</v>
      </c>
      <c r="F239" s="12">
        <v>0</v>
      </c>
      <c r="G239" s="18"/>
      <c r="H239" s="12">
        <v>0</v>
      </c>
      <c r="I239" s="19">
        <v>46302.36891203704</v>
      </c>
      <c r="J239" s="12"/>
      <c r="K239" s="12" t="s">
        <v>538</v>
      </c>
    </row>
    <row r="240" spans="1:11" x14ac:dyDescent="0.25">
      <c r="A240" s="15" t="s">
        <v>2042</v>
      </c>
      <c r="B240" s="12" t="s">
        <v>1738</v>
      </c>
      <c r="C240" s="12" t="s">
        <v>1625</v>
      </c>
      <c r="D240" s="18" t="s">
        <v>1704</v>
      </c>
      <c r="E240" s="12">
        <v>50</v>
      </c>
      <c r="F240" s="12">
        <v>0</v>
      </c>
      <c r="G240" s="18"/>
      <c r="H240" s="12">
        <v>0</v>
      </c>
      <c r="I240" s="19">
        <v>46302.368958333333</v>
      </c>
      <c r="J240" s="12"/>
      <c r="K240" s="12" t="s">
        <v>538</v>
      </c>
    </row>
    <row r="241" spans="1:11" x14ac:dyDescent="0.25">
      <c r="A241" s="15" t="s">
        <v>2043</v>
      </c>
      <c r="B241" s="12" t="s">
        <v>1244</v>
      </c>
      <c r="C241" s="12" t="s">
        <v>1625</v>
      </c>
      <c r="D241" s="18" t="s">
        <v>1958</v>
      </c>
      <c r="E241" s="12">
        <v>2355</v>
      </c>
      <c r="F241" s="12">
        <v>0</v>
      </c>
      <c r="G241" s="18"/>
      <c r="H241" s="12">
        <v>11</v>
      </c>
      <c r="I241" s="19">
        <v>46302.369108796287</v>
      </c>
      <c r="J241" s="12"/>
      <c r="K241" s="12" t="s">
        <v>580</v>
      </c>
    </row>
    <row r="242" spans="1:11" x14ac:dyDescent="0.25">
      <c r="A242" s="15" t="s">
        <v>2044</v>
      </c>
      <c r="B242" s="12" t="s">
        <v>1800</v>
      </c>
      <c r="C242" s="12" t="s">
        <v>1625</v>
      </c>
      <c r="D242" s="18" t="s">
        <v>1696</v>
      </c>
      <c r="E242" s="12">
        <v>280</v>
      </c>
      <c r="F242" s="12">
        <v>0</v>
      </c>
      <c r="G242" s="18"/>
      <c r="H242" s="12">
        <v>0</v>
      </c>
      <c r="I242" s="19">
        <v>46302.369155092587</v>
      </c>
      <c r="J242" s="12"/>
      <c r="K242" s="12" t="s">
        <v>580</v>
      </c>
    </row>
    <row r="243" spans="1:11" x14ac:dyDescent="0.25">
      <c r="A243" s="15" t="s">
        <v>2045</v>
      </c>
      <c r="B243" s="12" t="s">
        <v>1738</v>
      </c>
      <c r="C243" s="12" t="s">
        <v>1625</v>
      </c>
      <c r="D243" s="18" t="s">
        <v>1704</v>
      </c>
      <c r="E243" s="12">
        <v>50</v>
      </c>
      <c r="F243" s="12">
        <v>0</v>
      </c>
      <c r="G243" s="18"/>
      <c r="H243" s="12">
        <v>0</v>
      </c>
      <c r="I243" s="19">
        <v>46302.369201388887</v>
      </c>
      <c r="J243" s="12"/>
      <c r="K243" s="12" t="s">
        <v>580</v>
      </c>
    </row>
    <row r="244" spans="1:11" x14ac:dyDescent="0.25">
      <c r="A244" s="15" t="s">
        <v>2046</v>
      </c>
      <c r="B244" s="12" t="s">
        <v>2047</v>
      </c>
      <c r="C244" s="12" t="s">
        <v>1625</v>
      </c>
      <c r="D244" s="18" t="s">
        <v>2048</v>
      </c>
      <c r="E244" s="12">
        <v>60</v>
      </c>
      <c r="F244" s="12">
        <v>0</v>
      </c>
      <c r="G244" s="18"/>
      <c r="H244" s="12">
        <v>0</v>
      </c>
      <c r="I244" s="19">
        <v>46302.369513888887</v>
      </c>
      <c r="J244" s="12"/>
      <c r="K244" s="12" t="s">
        <v>2049</v>
      </c>
    </row>
    <row r="245" spans="1:11" ht="25.5" x14ac:dyDescent="0.25">
      <c r="A245" s="15" t="s">
        <v>2050</v>
      </c>
      <c r="B245" s="12" t="s">
        <v>2051</v>
      </c>
      <c r="C245" s="12" t="s">
        <v>1625</v>
      </c>
      <c r="D245" s="18" t="s">
        <v>2052</v>
      </c>
      <c r="E245" s="12">
        <v>3</v>
      </c>
      <c r="F245" s="12">
        <v>0</v>
      </c>
      <c r="G245" s="18"/>
      <c r="H245" s="12">
        <v>0</v>
      </c>
      <c r="I245" s="19">
        <v>46302.369571759264</v>
      </c>
      <c r="J245" s="12"/>
      <c r="K245" s="12" t="s">
        <v>2053</v>
      </c>
    </row>
    <row r="246" spans="1:11" x14ac:dyDescent="0.25">
      <c r="A246" s="15" t="s">
        <v>2054</v>
      </c>
      <c r="B246" s="12" t="s">
        <v>1244</v>
      </c>
      <c r="C246" s="12" t="s">
        <v>1625</v>
      </c>
      <c r="D246" s="18" t="s">
        <v>1958</v>
      </c>
      <c r="E246" s="12">
        <v>2371</v>
      </c>
      <c r="F246" s="12">
        <v>0</v>
      </c>
      <c r="G246" s="18"/>
      <c r="H246" s="12">
        <v>11</v>
      </c>
      <c r="I246" s="19">
        <v>46302.429212962961</v>
      </c>
      <c r="J246" s="12"/>
      <c r="K246" s="12" t="s">
        <v>614</v>
      </c>
    </row>
    <row r="247" spans="1:11" x14ac:dyDescent="0.25">
      <c r="A247" s="15" t="s">
        <v>2055</v>
      </c>
      <c r="B247" s="12" t="s">
        <v>1244</v>
      </c>
      <c r="C247" s="12" t="s">
        <v>1625</v>
      </c>
      <c r="D247" s="18" t="s">
        <v>1958</v>
      </c>
      <c r="E247" s="12">
        <v>2377</v>
      </c>
      <c r="F247" s="12">
        <v>0</v>
      </c>
      <c r="G247" s="18"/>
      <c r="H247" s="12">
        <v>11</v>
      </c>
      <c r="I247" s="19">
        <v>46302.452060185176</v>
      </c>
      <c r="J247" s="12"/>
      <c r="K247" s="12" t="s">
        <v>628</v>
      </c>
    </row>
    <row r="248" spans="1:11" x14ac:dyDescent="0.25">
      <c r="A248" s="15" t="s">
        <v>2056</v>
      </c>
      <c r="B248" s="12" t="s">
        <v>1800</v>
      </c>
      <c r="C248" s="12" t="s">
        <v>1625</v>
      </c>
      <c r="D248" s="18" t="s">
        <v>1696</v>
      </c>
      <c r="E248" s="12">
        <v>284</v>
      </c>
      <c r="F248" s="12">
        <v>0</v>
      </c>
      <c r="G248" s="18"/>
      <c r="H248" s="12">
        <v>0</v>
      </c>
      <c r="I248" s="19">
        <v>46302.452106481483</v>
      </c>
      <c r="J248" s="12"/>
      <c r="K248" s="12" t="s">
        <v>628</v>
      </c>
    </row>
    <row r="249" spans="1:11" x14ac:dyDescent="0.25">
      <c r="A249" s="15" t="s">
        <v>2057</v>
      </c>
      <c r="B249" s="12" t="s">
        <v>1738</v>
      </c>
      <c r="C249" s="12" t="s">
        <v>1625</v>
      </c>
      <c r="D249" s="18" t="s">
        <v>1704</v>
      </c>
      <c r="E249" s="12">
        <v>52</v>
      </c>
      <c r="F249" s="12">
        <v>0</v>
      </c>
      <c r="G249" s="18"/>
      <c r="H249" s="12">
        <v>0</v>
      </c>
      <c r="I249" s="19">
        <v>46302.452152777783</v>
      </c>
      <c r="J249" s="12"/>
      <c r="K249" s="12" t="s">
        <v>628</v>
      </c>
    </row>
    <row r="250" spans="1:11" x14ac:dyDescent="0.25">
      <c r="A250" s="15" t="s">
        <v>2058</v>
      </c>
      <c r="B250" s="12" t="s">
        <v>2047</v>
      </c>
      <c r="C250" s="12" t="s">
        <v>1625</v>
      </c>
      <c r="D250" s="18" t="s">
        <v>2059</v>
      </c>
      <c r="E250" s="12">
        <v>60</v>
      </c>
      <c r="F250" s="12">
        <v>0</v>
      </c>
      <c r="G250" s="18"/>
      <c r="H250" s="12">
        <v>0</v>
      </c>
      <c r="I250" s="19">
        <v>46302.452210648153</v>
      </c>
      <c r="J250" s="12"/>
      <c r="K250" s="12" t="s">
        <v>628</v>
      </c>
    </row>
    <row r="251" spans="1:11" x14ac:dyDescent="0.25">
      <c r="A251" s="15" t="s">
        <v>2060</v>
      </c>
      <c r="B251" s="12" t="s">
        <v>1800</v>
      </c>
      <c r="C251" s="12" t="s">
        <v>1625</v>
      </c>
      <c r="D251" s="18" t="s">
        <v>1696</v>
      </c>
      <c r="E251" s="12">
        <v>286</v>
      </c>
      <c r="F251" s="12">
        <v>0</v>
      </c>
      <c r="G251" s="18" t="s">
        <v>639</v>
      </c>
      <c r="H251" s="12">
        <v>0</v>
      </c>
      <c r="I251" s="19">
        <v>46302.468981481477</v>
      </c>
      <c r="J251" s="12"/>
      <c r="K251" s="12" t="s">
        <v>644</v>
      </c>
    </row>
    <row r="252" spans="1:11" ht="25.5" x14ac:dyDescent="0.25">
      <c r="A252" s="15" t="s">
        <v>2061</v>
      </c>
      <c r="B252" s="12" t="s">
        <v>2047</v>
      </c>
      <c r="C252" s="12" t="s">
        <v>1625</v>
      </c>
      <c r="D252" s="18" t="s">
        <v>2062</v>
      </c>
      <c r="E252" s="12">
        <v>60</v>
      </c>
      <c r="F252" s="12">
        <v>0</v>
      </c>
      <c r="G252" s="18" t="s">
        <v>2063</v>
      </c>
      <c r="H252" s="12">
        <v>0</v>
      </c>
      <c r="I252" s="19">
        <v>46302.469027777777</v>
      </c>
      <c r="J252" s="12"/>
      <c r="K252" s="12" t="s">
        <v>644</v>
      </c>
    </row>
    <row r="253" spans="1:11" x14ac:dyDescent="0.25">
      <c r="A253" s="15" t="s">
        <v>2064</v>
      </c>
      <c r="B253" s="12" t="s">
        <v>1244</v>
      </c>
      <c r="C253" s="12" t="s">
        <v>1625</v>
      </c>
      <c r="D253" s="18" t="s">
        <v>1958</v>
      </c>
      <c r="E253" s="12">
        <v>2383</v>
      </c>
      <c r="F253" s="12">
        <v>0</v>
      </c>
      <c r="G253" s="18" t="s">
        <v>639</v>
      </c>
      <c r="H253" s="12">
        <v>11</v>
      </c>
      <c r="I253" s="19">
        <v>46302.469293981478</v>
      </c>
      <c r="J253" s="12">
        <v>529</v>
      </c>
      <c r="K253" s="12" t="s">
        <v>644</v>
      </c>
    </row>
    <row r="254" spans="1:11" ht="38.25" x14ac:dyDescent="0.25">
      <c r="A254" s="15" t="s">
        <v>2065</v>
      </c>
      <c r="B254" s="12" t="s">
        <v>1738</v>
      </c>
      <c r="C254" s="12" t="s">
        <v>1625</v>
      </c>
      <c r="D254" s="18" t="s">
        <v>1704</v>
      </c>
      <c r="E254" s="12">
        <v>52</v>
      </c>
      <c r="F254" s="12">
        <v>0</v>
      </c>
      <c r="G254" s="18" t="s">
        <v>2066</v>
      </c>
      <c r="H254" s="12">
        <v>0</v>
      </c>
      <c r="I254" s="19">
        <v>46302.476840277777</v>
      </c>
      <c r="J254" s="12"/>
      <c r="K254" s="12" t="s">
        <v>644</v>
      </c>
    </row>
    <row r="255" spans="1:11" x14ac:dyDescent="0.25">
      <c r="A255" s="15" t="s">
        <v>2067</v>
      </c>
      <c r="B255" s="12" t="s">
        <v>1244</v>
      </c>
      <c r="C255" s="12" t="s">
        <v>1625</v>
      </c>
      <c r="D255" s="18" t="s">
        <v>1958</v>
      </c>
      <c r="E255" s="12">
        <v>2389</v>
      </c>
      <c r="F255" s="12">
        <v>0</v>
      </c>
      <c r="G255" s="18" t="s">
        <v>661</v>
      </c>
      <c r="H255" s="12">
        <v>11</v>
      </c>
      <c r="I255" s="19">
        <v>46302.500381944446</v>
      </c>
      <c r="J255" s="12">
        <v>565</v>
      </c>
      <c r="K255" s="12" t="s">
        <v>666</v>
      </c>
    </row>
    <row r="256" spans="1:11" x14ac:dyDescent="0.25">
      <c r="A256" s="15" t="s">
        <v>2068</v>
      </c>
      <c r="B256" s="12" t="s">
        <v>1800</v>
      </c>
      <c r="C256" s="12" t="s">
        <v>1625</v>
      </c>
      <c r="D256" s="18" t="s">
        <v>1696</v>
      </c>
      <c r="E256" s="12">
        <v>290</v>
      </c>
      <c r="F256" s="12">
        <v>0</v>
      </c>
      <c r="G256" s="18" t="s">
        <v>661</v>
      </c>
      <c r="H256" s="12">
        <v>0</v>
      </c>
      <c r="I256" s="19">
        <v>46302.500428240739</v>
      </c>
      <c r="J256" s="12"/>
      <c r="K256" s="12" t="s">
        <v>666</v>
      </c>
    </row>
    <row r="257" spans="1:11" x14ac:dyDescent="0.25">
      <c r="A257" s="15" t="s">
        <v>2069</v>
      </c>
      <c r="B257" s="12" t="s">
        <v>1738</v>
      </c>
      <c r="C257" s="12" t="s">
        <v>1625</v>
      </c>
      <c r="D257" s="18" t="s">
        <v>1704</v>
      </c>
      <c r="E257" s="12">
        <v>53</v>
      </c>
      <c r="F257" s="12">
        <v>0</v>
      </c>
      <c r="G257" s="18" t="s">
        <v>661</v>
      </c>
      <c r="H257" s="12">
        <v>0</v>
      </c>
      <c r="I257" s="19">
        <v>46302.500486111108</v>
      </c>
      <c r="J257" s="12"/>
      <c r="K257" s="12" t="s">
        <v>666</v>
      </c>
    </row>
    <row r="258" spans="1:11" ht="25.5" x14ac:dyDescent="0.25">
      <c r="A258" s="15" t="s">
        <v>2070</v>
      </c>
      <c r="B258" s="12" t="s">
        <v>2047</v>
      </c>
      <c r="C258" s="12" t="s">
        <v>1625</v>
      </c>
      <c r="D258" s="18" t="s">
        <v>2062</v>
      </c>
      <c r="E258" s="12">
        <v>60</v>
      </c>
      <c r="F258" s="12">
        <v>0</v>
      </c>
      <c r="G258" s="18" t="s">
        <v>2071</v>
      </c>
      <c r="H258" s="12">
        <v>0</v>
      </c>
      <c r="I258" s="19">
        <v>46302.500532407408</v>
      </c>
      <c r="J258" s="12"/>
      <c r="K258" s="12" t="s">
        <v>666</v>
      </c>
    </row>
    <row r="259" spans="1:11" x14ac:dyDescent="0.25">
      <c r="A259" s="15" t="s">
        <v>2072</v>
      </c>
      <c r="B259" s="12" t="s">
        <v>1244</v>
      </c>
      <c r="C259" s="12" t="s">
        <v>1625</v>
      </c>
      <c r="D259" s="18" t="s">
        <v>1958</v>
      </c>
      <c r="E259" s="12">
        <v>2395</v>
      </c>
      <c r="F259" s="12">
        <v>0</v>
      </c>
      <c r="G259" s="18" t="s">
        <v>675</v>
      </c>
      <c r="H259" s="12">
        <v>11</v>
      </c>
      <c r="I259" s="19">
        <v>46302.524768518517</v>
      </c>
      <c r="J259" s="12">
        <v>537</v>
      </c>
      <c r="K259" s="12" t="s">
        <v>680</v>
      </c>
    </row>
    <row r="260" spans="1:11" x14ac:dyDescent="0.25">
      <c r="A260" s="15" t="s">
        <v>2073</v>
      </c>
      <c r="B260" s="12" t="s">
        <v>1800</v>
      </c>
      <c r="C260" s="12" t="s">
        <v>1625</v>
      </c>
      <c r="D260" s="18" t="s">
        <v>1696</v>
      </c>
      <c r="E260" s="12">
        <v>290</v>
      </c>
      <c r="F260" s="12">
        <v>0</v>
      </c>
      <c r="G260" s="18" t="s">
        <v>675</v>
      </c>
      <c r="H260" s="12">
        <v>0</v>
      </c>
      <c r="I260" s="19">
        <v>46302.524814814817</v>
      </c>
      <c r="J260" s="12"/>
      <c r="K260" s="12" t="s">
        <v>680</v>
      </c>
    </row>
    <row r="261" spans="1:11" x14ac:dyDescent="0.25">
      <c r="A261" s="15" t="s">
        <v>2074</v>
      </c>
      <c r="B261" s="12" t="s">
        <v>1738</v>
      </c>
      <c r="C261" s="12" t="s">
        <v>1625</v>
      </c>
      <c r="D261" s="18" t="s">
        <v>1704</v>
      </c>
      <c r="E261" s="12">
        <v>53</v>
      </c>
      <c r="F261" s="12">
        <v>0</v>
      </c>
      <c r="G261" s="18" t="s">
        <v>675</v>
      </c>
      <c r="H261" s="12">
        <v>0</v>
      </c>
      <c r="I261" s="19">
        <v>46302.524872685193</v>
      </c>
      <c r="J261" s="12"/>
      <c r="K261" s="12" t="s">
        <v>680</v>
      </c>
    </row>
    <row r="262" spans="1:11" ht="25.5" x14ac:dyDescent="0.25">
      <c r="A262" s="15" t="s">
        <v>2075</v>
      </c>
      <c r="B262" s="12" t="s">
        <v>2047</v>
      </c>
      <c r="C262" s="12" t="s">
        <v>1625</v>
      </c>
      <c r="D262" s="18" t="s">
        <v>2076</v>
      </c>
      <c r="E262" s="12">
        <v>60</v>
      </c>
      <c r="F262" s="12">
        <v>0</v>
      </c>
      <c r="G262" s="18" t="s">
        <v>2077</v>
      </c>
      <c r="H262" s="12">
        <v>0</v>
      </c>
      <c r="I262" s="19">
        <v>46302.524918981479</v>
      </c>
      <c r="J262" s="12"/>
      <c r="K262" s="12" t="s">
        <v>680</v>
      </c>
    </row>
    <row r="263" spans="1:11" x14ac:dyDescent="0.25">
      <c r="A263" s="15" t="s">
        <v>2078</v>
      </c>
      <c r="B263" s="12" t="s">
        <v>1244</v>
      </c>
      <c r="C263" s="12" t="s">
        <v>1625</v>
      </c>
      <c r="D263" s="18" t="s">
        <v>2079</v>
      </c>
      <c r="E263" s="12">
        <v>39</v>
      </c>
      <c r="F263" s="12">
        <v>0</v>
      </c>
      <c r="G263" s="18" t="s">
        <v>724</v>
      </c>
      <c r="H263" s="12">
        <v>0</v>
      </c>
      <c r="I263" s="19">
        <v>46302.527557870373</v>
      </c>
      <c r="J263" s="12"/>
      <c r="K263" s="12" t="s">
        <v>729</v>
      </c>
    </row>
    <row r="264" spans="1:11" x14ac:dyDescent="0.25">
      <c r="A264" s="15" t="s">
        <v>2080</v>
      </c>
      <c r="B264" s="12" t="s">
        <v>1244</v>
      </c>
      <c r="C264" s="12" t="s">
        <v>1625</v>
      </c>
      <c r="D264" s="18" t="s">
        <v>1958</v>
      </c>
      <c r="E264" s="12">
        <v>2404</v>
      </c>
      <c r="F264" s="12">
        <v>0</v>
      </c>
      <c r="G264" s="18" t="s">
        <v>775</v>
      </c>
      <c r="H264" s="12">
        <v>11</v>
      </c>
      <c r="I264" s="19">
        <v>46302.636342592603</v>
      </c>
      <c r="J264" s="12">
        <v>515</v>
      </c>
      <c r="K264" s="12" t="s">
        <v>780</v>
      </c>
    </row>
    <row r="265" spans="1:11" x14ac:dyDescent="0.25">
      <c r="A265" s="15" t="s">
        <v>2081</v>
      </c>
      <c r="B265" s="12" t="s">
        <v>1800</v>
      </c>
      <c r="C265" s="12" t="s">
        <v>1625</v>
      </c>
      <c r="D265" s="18" t="s">
        <v>1696</v>
      </c>
      <c r="E265" s="12">
        <v>290</v>
      </c>
      <c r="F265" s="12">
        <v>0</v>
      </c>
      <c r="G265" s="18" t="s">
        <v>775</v>
      </c>
      <c r="H265" s="12">
        <v>0</v>
      </c>
      <c r="I265" s="19">
        <v>46302.636400462958</v>
      </c>
      <c r="J265" s="12"/>
      <c r="K265" s="12" t="s">
        <v>780</v>
      </c>
    </row>
    <row r="266" spans="1:11" x14ac:dyDescent="0.25">
      <c r="A266" s="15" t="s">
        <v>2082</v>
      </c>
      <c r="B266" s="12" t="s">
        <v>1738</v>
      </c>
      <c r="C266" s="12" t="s">
        <v>1625</v>
      </c>
      <c r="D266" s="18" t="s">
        <v>1704</v>
      </c>
      <c r="E266" s="12">
        <v>53</v>
      </c>
      <c r="F266" s="12">
        <v>0</v>
      </c>
      <c r="G266" s="18" t="s">
        <v>775</v>
      </c>
      <c r="H266" s="12">
        <v>0</v>
      </c>
      <c r="I266" s="19">
        <v>46302.636446759258</v>
      </c>
      <c r="J266" s="12"/>
      <c r="K266" s="12" t="s">
        <v>780</v>
      </c>
    </row>
    <row r="267" spans="1:11" ht="25.5" x14ac:dyDescent="0.25">
      <c r="A267" s="15" t="s">
        <v>2083</v>
      </c>
      <c r="B267" s="12" t="s">
        <v>2047</v>
      </c>
      <c r="C267" s="12" t="s">
        <v>1625</v>
      </c>
      <c r="D267" s="18" t="s">
        <v>2062</v>
      </c>
      <c r="E267" s="12">
        <v>60</v>
      </c>
      <c r="F267" s="12">
        <v>0</v>
      </c>
      <c r="G267" s="18" t="s">
        <v>2084</v>
      </c>
      <c r="H267" s="12">
        <v>0</v>
      </c>
      <c r="I267" s="19">
        <v>46302.636493055557</v>
      </c>
      <c r="J267" s="12"/>
      <c r="K267" s="12" t="s">
        <v>780</v>
      </c>
    </row>
    <row r="268" spans="1:11" x14ac:dyDescent="0.25">
      <c r="A268" s="15" t="s">
        <v>2085</v>
      </c>
      <c r="B268" s="12" t="s">
        <v>1800</v>
      </c>
      <c r="C268" s="12" t="s">
        <v>1625</v>
      </c>
      <c r="D268" s="18" t="s">
        <v>1696</v>
      </c>
      <c r="E268" s="12">
        <v>296</v>
      </c>
      <c r="F268" s="12">
        <v>0</v>
      </c>
      <c r="G268" s="18" t="s">
        <v>917</v>
      </c>
      <c r="H268" s="12">
        <v>0</v>
      </c>
      <c r="I268" s="19">
        <v>46302.662418981483</v>
      </c>
      <c r="J268" s="12"/>
      <c r="K268" s="12" t="s">
        <v>922</v>
      </c>
    </row>
    <row r="269" spans="1:11" x14ac:dyDescent="0.25">
      <c r="A269" s="15" t="s">
        <v>2086</v>
      </c>
      <c r="B269" s="12" t="s">
        <v>1738</v>
      </c>
      <c r="C269" s="12" t="s">
        <v>1625</v>
      </c>
      <c r="D269" s="18" t="s">
        <v>1704</v>
      </c>
      <c r="E269" s="12">
        <v>53</v>
      </c>
      <c r="F269" s="12">
        <v>0</v>
      </c>
      <c r="G269" s="18" t="s">
        <v>2087</v>
      </c>
      <c r="H269" s="12">
        <v>1</v>
      </c>
      <c r="I269" s="19">
        <v>46302.662465277783</v>
      </c>
      <c r="J269" s="12"/>
      <c r="K269" s="12" t="s">
        <v>922</v>
      </c>
    </row>
    <row r="270" spans="1:11" ht="25.5" x14ac:dyDescent="0.25">
      <c r="A270" s="15" t="s">
        <v>2088</v>
      </c>
      <c r="B270" s="12" t="s">
        <v>1244</v>
      </c>
      <c r="C270" s="12" t="s">
        <v>1625</v>
      </c>
      <c r="D270" s="18" t="s">
        <v>1958</v>
      </c>
      <c r="E270" s="12">
        <v>2424</v>
      </c>
      <c r="F270" s="12">
        <v>0</v>
      </c>
      <c r="G270" s="18" t="s">
        <v>2089</v>
      </c>
      <c r="H270" s="12">
        <v>11</v>
      </c>
      <c r="I270" s="19">
        <v>46302.677025462966</v>
      </c>
      <c r="J270" s="12">
        <v>517</v>
      </c>
      <c r="K270" s="12" t="s">
        <v>1123</v>
      </c>
    </row>
    <row r="271" spans="1:11" x14ac:dyDescent="0.25">
      <c r="A271" s="15" t="s">
        <v>2090</v>
      </c>
      <c r="B271" s="12" t="s">
        <v>1244</v>
      </c>
      <c r="C271" s="12" t="s">
        <v>1625</v>
      </c>
      <c r="D271" s="18" t="s">
        <v>2091</v>
      </c>
      <c r="E271" s="12">
        <v>5</v>
      </c>
      <c r="F271" s="12">
        <v>0</v>
      </c>
      <c r="G271" s="18" t="s">
        <v>1101</v>
      </c>
      <c r="H271" s="12">
        <v>0</v>
      </c>
      <c r="I271" s="19">
        <v>46302.680937500001</v>
      </c>
      <c r="J271" s="12"/>
      <c r="K271" s="12" t="s">
        <v>1107</v>
      </c>
    </row>
    <row r="272" spans="1:11" x14ac:dyDescent="0.25">
      <c r="A272" s="15" t="s">
        <v>2092</v>
      </c>
      <c r="B272" s="12" t="s">
        <v>1244</v>
      </c>
      <c r="C272" s="12" t="s">
        <v>1625</v>
      </c>
      <c r="D272" s="18" t="s">
        <v>1958</v>
      </c>
      <c r="E272" s="12">
        <v>2434</v>
      </c>
      <c r="F272" s="12">
        <v>0</v>
      </c>
      <c r="G272" s="18" t="s">
        <v>1187</v>
      </c>
      <c r="H272" s="12">
        <v>11</v>
      </c>
      <c r="I272" s="19">
        <v>46302.691018518519</v>
      </c>
      <c r="J272" s="12">
        <v>598</v>
      </c>
      <c r="K272" s="12" t="s">
        <v>1192</v>
      </c>
    </row>
    <row r="273" spans="1:11" x14ac:dyDescent="0.25">
      <c r="A273" s="15" t="s">
        <v>2093</v>
      </c>
      <c r="B273" s="12" t="s">
        <v>1800</v>
      </c>
      <c r="C273" s="12" t="s">
        <v>1625</v>
      </c>
      <c r="D273" s="18" t="s">
        <v>1696</v>
      </c>
      <c r="E273" s="12">
        <v>299</v>
      </c>
      <c r="F273" s="12">
        <v>0</v>
      </c>
      <c r="G273" s="18" t="s">
        <v>1187</v>
      </c>
      <c r="H273" s="12">
        <v>0</v>
      </c>
      <c r="I273" s="19">
        <v>46302.691064814811</v>
      </c>
      <c r="J273" s="12"/>
      <c r="K273" s="12" t="s">
        <v>1192</v>
      </c>
    </row>
    <row r="274" spans="1:11" ht="25.5" x14ac:dyDescent="0.25">
      <c r="A274" s="15" t="s">
        <v>2094</v>
      </c>
      <c r="B274" s="12" t="s">
        <v>1738</v>
      </c>
      <c r="C274" s="12" t="s">
        <v>1625</v>
      </c>
      <c r="D274" s="18" t="s">
        <v>1704</v>
      </c>
      <c r="E274" s="12">
        <v>53</v>
      </c>
      <c r="F274" s="12">
        <v>0</v>
      </c>
      <c r="G274" s="18" t="s">
        <v>2095</v>
      </c>
      <c r="H274" s="12">
        <v>1</v>
      </c>
      <c r="I274" s="19">
        <v>46302.691111111111</v>
      </c>
      <c r="J274" s="12"/>
      <c r="K274" s="12" t="s">
        <v>1192</v>
      </c>
    </row>
    <row r="275" spans="1:11" ht="25.5" x14ac:dyDescent="0.25">
      <c r="A275" s="15" t="s">
        <v>2096</v>
      </c>
      <c r="B275" s="12" t="s">
        <v>1244</v>
      </c>
      <c r="C275" s="12" t="s">
        <v>1625</v>
      </c>
      <c r="D275" s="18" t="s">
        <v>1958</v>
      </c>
      <c r="E275" s="12">
        <v>2442</v>
      </c>
      <c r="F275" s="12">
        <v>0</v>
      </c>
      <c r="G275" s="18" t="s">
        <v>2097</v>
      </c>
      <c r="H275" s="12">
        <v>11</v>
      </c>
      <c r="I275" s="19">
        <v>46302.707789351851</v>
      </c>
      <c r="J275" s="12">
        <v>532</v>
      </c>
      <c r="K275" s="12" t="s">
        <v>1233</v>
      </c>
    </row>
    <row r="276" spans="1:11" x14ac:dyDescent="0.25">
      <c r="A276" s="15" t="s">
        <v>2098</v>
      </c>
      <c r="B276" s="12" t="s">
        <v>1800</v>
      </c>
      <c r="C276" s="12" t="s">
        <v>1625</v>
      </c>
      <c r="D276" s="18" t="s">
        <v>1696</v>
      </c>
      <c r="E276" s="12">
        <v>301</v>
      </c>
      <c r="F276" s="12">
        <v>0</v>
      </c>
      <c r="G276" s="18" t="s">
        <v>1228</v>
      </c>
      <c r="H276" s="12">
        <v>0</v>
      </c>
      <c r="I276" s="19">
        <v>46302.707835648151</v>
      </c>
      <c r="J276" s="12"/>
      <c r="K276" s="12" t="s">
        <v>1233</v>
      </c>
    </row>
    <row r="277" spans="1:11" ht="38.25" x14ac:dyDescent="0.25">
      <c r="A277" s="15" t="s">
        <v>2099</v>
      </c>
      <c r="B277" s="12" t="s">
        <v>1244</v>
      </c>
      <c r="C277" s="12" t="s">
        <v>1625</v>
      </c>
      <c r="D277" s="18" t="s">
        <v>1958</v>
      </c>
      <c r="E277" s="12">
        <v>2453</v>
      </c>
      <c r="F277" s="12">
        <v>0</v>
      </c>
      <c r="G277" s="18" t="s">
        <v>2100</v>
      </c>
      <c r="H277" s="12">
        <v>11</v>
      </c>
      <c r="I277" s="19">
        <v>46302.733969907407</v>
      </c>
      <c r="J277" s="12">
        <v>635</v>
      </c>
      <c r="K277" s="12" t="s">
        <v>1251</v>
      </c>
    </row>
    <row r="278" spans="1:11" x14ac:dyDescent="0.25">
      <c r="A278" s="15" t="s">
        <v>2101</v>
      </c>
      <c r="B278" s="12" t="s">
        <v>1800</v>
      </c>
      <c r="C278" s="12" t="s">
        <v>1625</v>
      </c>
      <c r="D278" s="18" t="s">
        <v>1696</v>
      </c>
      <c r="E278" s="12">
        <v>303</v>
      </c>
      <c r="F278" s="12">
        <v>0</v>
      </c>
      <c r="G278" s="18" t="s">
        <v>1246</v>
      </c>
      <c r="H278" s="12">
        <v>0</v>
      </c>
      <c r="I278" s="19">
        <v>46302.734016203707</v>
      </c>
      <c r="J278" s="12"/>
      <c r="K278" s="12" t="s">
        <v>1251</v>
      </c>
    </row>
    <row r="279" spans="1:11" x14ac:dyDescent="0.25">
      <c r="A279" s="15" t="s">
        <v>2102</v>
      </c>
      <c r="B279" s="12" t="s">
        <v>1738</v>
      </c>
      <c r="C279" s="12" t="s">
        <v>1625</v>
      </c>
      <c r="D279" s="18" t="s">
        <v>1704</v>
      </c>
      <c r="E279" s="12">
        <v>54</v>
      </c>
      <c r="F279" s="12">
        <v>0</v>
      </c>
      <c r="G279" s="18" t="s">
        <v>1246</v>
      </c>
      <c r="H279" s="12">
        <v>1</v>
      </c>
      <c r="I279" s="19">
        <v>46302.734074074076</v>
      </c>
      <c r="J279" s="12"/>
      <c r="K279" s="12" t="s">
        <v>1251</v>
      </c>
    </row>
    <row r="280" spans="1:11" x14ac:dyDescent="0.25">
      <c r="A280" s="15" t="s">
        <v>2103</v>
      </c>
      <c r="B280" s="12" t="s">
        <v>1244</v>
      </c>
      <c r="C280" s="12" t="s">
        <v>1625</v>
      </c>
      <c r="D280" s="18" t="s">
        <v>1958</v>
      </c>
      <c r="E280" s="12">
        <v>2460</v>
      </c>
      <c r="F280" s="12">
        <v>0</v>
      </c>
      <c r="G280" s="18" t="s">
        <v>1253</v>
      </c>
      <c r="H280" s="12">
        <v>11</v>
      </c>
      <c r="I280" s="19">
        <v>46302.751527777778</v>
      </c>
      <c r="J280" s="12">
        <v>555</v>
      </c>
      <c r="K280" s="12" t="s">
        <v>1258</v>
      </c>
    </row>
    <row r="281" spans="1:11" x14ac:dyDescent="0.25">
      <c r="A281" s="15" t="s">
        <v>2104</v>
      </c>
      <c r="B281" s="12" t="s">
        <v>1800</v>
      </c>
      <c r="C281" s="12" t="s">
        <v>1625</v>
      </c>
      <c r="D281" s="18" t="s">
        <v>1696</v>
      </c>
      <c r="E281" s="12">
        <v>305</v>
      </c>
      <c r="F281" s="12">
        <v>0</v>
      </c>
      <c r="G281" s="18" t="s">
        <v>1253</v>
      </c>
      <c r="H281" s="12">
        <v>0</v>
      </c>
      <c r="I281" s="19">
        <v>46302.751562500001</v>
      </c>
      <c r="J281" s="12"/>
      <c r="K281" s="12" t="s">
        <v>1258</v>
      </c>
    </row>
    <row r="282" spans="1:11" x14ac:dyDescent="0.25">
      <c r="A282" s="15" t="s">
        <v>2105</v>
      </c>
      <c r="B282" s="12" t="s">
        <v>1738</v>
      </c>
      <c r="C282" s="12" t="s">
        <v>1625</v>
      </c>
      <c r="D282" s="18" t="s">
        <v>1704</v>
      </c>
      <c r="E282" s="12">
        <v>55</v>
      </c>
      <c r="F282" s="12">
        <v>0</v>
      </c>
      <c r="G282" s="18" t="s">
        <v>1253</v>
      </c>
      <c r="H282" s="12">
        <v>1</v>
      </c>
      <c r="I282" s="19">
        <v>46302.751620370371</v>
      </c>
      <c r="J282" s="12"/>
      <c r="K282" s="12" t="s">
        <v>1258</v>
      </c>
    </row>
    <row r="283" spans="1:11" x14ac:dyDescent="0.25">
      <c r="A283" s="15" t="s">
        <v>2106</v>
      </c>
      <c r="B283" s="12" t="s">
        <v>1244</v>
      </c>
      <c r="C283" s="12" t="s">
        <v>1625</v>
      </c>
      <c r="D283" s="18" t="s">
        <v>1958</v>
      </c>
      <c r="E283" s="12">
        <v>2472</v>
      </c>
      <c r="F283" s="12">
        <v>0</v>
      </c>
      <c r="G283" s="18" t="s">
        <v>1259</v>
      </c>
      <c r="H283" s="12">
        <v>11</v>
      </c>
      <c r="I283" s="19">
        <v>46302.856307870366</v>
      </c>
      <c r="J283" s="12">
        <v>561</v>
      </c>
      <c r="K283" s="12" t="s">
        <v>1265</v>
      </c>
    </row>
    <row r="284" spans="1:11" x14ac:dyDescent="0.25">
      <c r="A284" s="15" t="s">
        <v>2107</v>
      </c>
      <c r="B284" s="12" t="s">
        <v>1800</v>
      </c>
      <c r="C284" s="12" t="s">
        <v>1625</v>
      </c>
      <c r="D284" s="18" t="s">
        <v>1696</v>
      </c>
      <c r="E284" s="12">
        <v>307</v>
      </c>
      <c r="F284" s="12">
        <v>0</v>
      </c>
      <c r="G284" s="18" t="s">
        <v>1259</v>
      </c>
      <c r="H284" s="12">
        <v>0</v>
      </c>
      <c r="I284" s="19">
        <v>46302.856365740743</v>
      </c>
      <c r="J284" s="12"/>
      <c r="K284" s="12" t="s">
        <v>1265</v>
      </c>
    </row>
    <row r="285" spans="1:11" x14ac:dyDescent="0.25">
      <c r="A285" s="15" t="s">
        <v>2108</v>
      </c>
      <c r="B285" s="12" t="s">
        <v>1738</v>
      </c>
      <c r="C285" s="12" t="s">
        <v>1625</v>
      </c>
      <c r="D285" s="18" t="s">
        <v>1704</v>
      </c>
      <c r="E285" s="12">
        <v>56</v>
      </c>
      <c r="F285" s="12">
        <v>0</v>
      </c>
      <c r="G285" s="18" t="s">
        <v>1259</v>
      </c>
      <c r="H285" s="12">
        <v>1</v>
      </c>
      <c r="I285" s="19">
        <v>46302.856412037043</v>
      </c>
      <c r="J285" s="12"/>
      <c r="K285" s="12" t="s">
        <v>1265</v>
      </c>
    </row>
    <row r="286" spans="1:11" ht="25.5" x14ac:dyDescent="0.25">
      <c r="A286" s="15" t="s">
        <v>2109</v>
      </c>
      <c r="B286" s="12" t="s">
        <v>1244</v>
      </c>
      <c r="C286" s="12" t="s">
        <v>1625</v>
      </c>
      <c r="D286" s="18" t="s">
        <v>1958</v>
      </c>
      <c r="E286" s="12">
        <v>2479</v>
      </c>
      <c r="F286" s="12">
        <v>0</v>
      </c>
      <c r="G286" s="18" t="s">
        <v>2110</v>
      </c>
      <c r="H286" s="12">
        <v>11</v>
      </c>
      <c r="I286" s="19">
        <v>46302.873124999998</v>
      </c>
      <c r="J286" s="12">
        <v>551</v>
      </c>
      <c r="K286" s="12" t="s">
        <v>1272</v>
      </c>
    </row>
    <row r="287" spans="1:11" x14ac:dyDescent="0.25">
      <c r="A287" s="15" t="s">
        <v>2111</v>
      </c>
      <c r="B287" s="12" t="s">
        <v>1800</v>
      </c>
      <c r="C287" s="12" t="s">
        <v>1625</v>
      </c>
      <c r="D287" s="18" t="s">
        <v>1696</v>
      </c>
      <c r="E287" s="12">
        <v>308</v>
      </c>
      <c r="F287" s="12">
        <v>0</v>
      </c>
      <c r="G287" s="18" t="s">
        <v>1267</v>
      </c>
      <c r="H287" s="12">
        <v>0</v>
      </c>
      <c r="I287" s="19">
        <v>46302.873171296298</v>
      </c>
      <c r="J287" s="12"/>
      <c r="K287" s="12" t="s">
        <v>1272</v>
      </c>
    </row>
    <row r="288" spans="1:11" x14ac:dyDescent="0.25">
      <c r="A288" s="15" t="s">
        <v>2112</v>
      </c>
      <c r="B288" s="12" t="s">
        <v>1738</v>
      </c>
      <c r="C288" s="12" t="s">
        <v>1625</v>
      </c>
      <c r="D288" s="18" t="s">
        <v>1704</v>
      </c>
      <c r="E288" s="12">
        <v>56</v>
      </c>
      <c r="F288" s="12">
        <v>0</v>
      </c>
      <c r="G288" s="18" t="s">
        <v>1267</v>
      </c>
      <c r="H288" s="12">
        <v>1</v>
      </c>
      <c r="I288" s="19">
        <v>46302.873217592591</v>
      </c>
      <c r="J288" s="12"/>
      <c r="K288" s="12" t="s">
        <v>1272</v>
      </c>
    </row>
    <row r="289" spans="1:11" x14ac:dyDescent="0.25">
      <c r="A289" s="15" t="s">
        <v>2113</v>
      </c>
      <c r="B289" s="12" t="s">
        <v>1244</v>
      </c>
      <c r="C289" s="12" t="s">
        <v>1625</v>
      </c>
      <c r="D289" s="18" t="s">
        <v>2114</v>
      </c>
      <c r="E289" s="12">
        <v>2483</v>
      </c>
      <c r="F289" s="12">
        <v>0</v>
      </c>
      <c r="G289" s="18" t="s">
        <v>2115</v>
      </c>
      <c r="H289" s="12">
        <v>11</v>
      </c>
      <c r="I289" s="19">
        <v>46302.89502314815</v>
      </c>
      <c r="J289" s="12">
        <v>557</v>
      </c>
      <c r="K289" s="12" t="s">
        <v>1336</v>
      </c>
    </row>
    <row r="290" spans="1:11" x14ac:dyDescent="0.25">
      <c r="A290" s="15" t="s">
        <v>2116</v>
      </c>
      <c r="B290" s="12" t="s">
        <v>1738</v>
      </c>
      <c r="C290" s="12" t="s">
        <v>1625</v>
      </c>
      <c r="D290" s="18" t="s">
        <v>2117</v>
      </c>
      <c r="E290" s="12">
        <v>56</v>
      </c>
      <c r="F290" s="12">
        <v>0</v>
      </c>
      <c r="G290" s="18" t="s">
        <v>2118</v>
      </c>
      <c r="H290" s="12">
        <v>1</v>
      </c>
      <c r="I290" s="19">
        <v>46302.898692129631</v>
      </c>
      <c r="J290" s="12">
        <v>222</v>
      </c>
      <c r="K290" s="12" t="s">
        <v>1367</v>
      </c>
    </row>
    <row r="291" spans="1:11" x14ac:dyDescent="0.25">
      <c r="A291" s="15" t="s">
        <v>2119</v>
      </c>
      <c r="B291" s="12" t="s">
        <v>1244</v>
      </c>
      <c r="C291" s="12" t="s">
        <v>1625</v>
      </c>
      <c r="D291" s="18" t="s">
        <v>2114</v>
      </c>
      <c r="E291" s="12">
        <v>2530</v>
      </c>
      <c r="F291" s="12">
        <v>0</v>
      </c>
      <c r="G291" s="18" t="s">
        <v>2120</v>
      </c>
      <c r="H291" s="12">
        <v>11</v>
      </c>
      <c r="I291" s="19">
        <v>46302.921863425923</v>
      </c>
      <c r="J291" s="12">
        <v>606</v>
      </c>
      <c r="K291" s="12" t="s">
        <v>559</v>
      </c>
    </row>
    <row r="292" spans="1:11" x14ac:dyDescent="0.25">
      <c r="A292" s="15" t="s">
        <v>2121</v>
      </c>
      <c r="B292" s="12" t="s">
        <v>1800</v>
      </c>
      <c r="C292" s="12" t="s">
        <v>1625</v>
      </c>
      <c r="D292" s="18" t="s">
        <v>1696</v>
      </c>
      <c r="E292" s="12">
        <v>350</v>
      </c>
      <c r="F292" s="12">
        <v>0</v>
      </c>
      <c r="G292" s="18" t="s">
        <v>2120</v>
      </c>
      <c r="H292" s="12">
        <v>0</v>
      </c>
      <c r="I292" s="19">
        <v>46302.921909722223</v>
      </c>
      <c r="J292" s="12"/>
      <c r="K292" s="12" t="s">
        <v>559</v>
      </c>
    </row>
    <row r="293" spans="1:11" x14ac:dyDescent="0.25">
      <c r="A293" s="15" t="s">
        <v>2122</v>
      </c>
      <c r="B293" s="12" t="s">
        <v>1244</v>
      </c>
      <c r="C293" s="12" t="s">
        <v>1625</v>
      </c>
      <c r="D293" s="18" t="s">
        <v>2114</v>
      </c>
      <c r="E293" s="12">
        <v>2549</v>
      </c>
      <c r="F293" s="12">
        <v>0</v>
      </c>
      <c r="G293" s="18" t="s">
        <v>2123</v>
      </c>
      <c r="H293" s="12">
        <v>11</v>
      </c>
      <c r="I293" s="19">
        <v>46302.939131944448</v>
      </c>
      <c r="J293" s="12">
        <v>556</v>
      </c>
      <c r="K293" s="12" t="s">
        <v>587</v>
      </c>
    </row>
    <row r="294" spans="1:11" x14ac:dyDescent="0.25">
      <c r="A294" s="15" t="s">
        <v>2124</v>
      </c>
      <c r="B294" s="12" t="s">
        <v>1800</v>
      </c>
      <c r="C294" s="12" t="s">
        <v>1625</v>
      </c>
      <c r="D294" s="18" t="s">
        <v>1696</v>
      </c>
      <c r="E294" s="12">
        <v>351</v>
      </c>
      <c r="F294" s="12">
        <v>0</v>
      </c>
      <c r="G294" s="18" t="s">
        <v>2123</v>
      </c>
      <c r="H294" s="12">
        <v>0</v>
      </c>
      <c r="I294" s="19">
        <v>46302.93917824074</v>
      </c>
      <c r="J294" s="12"/>
      <c r="K294" s="12" t="s">
        <v>587</v>
      </c>
    </row>
    <row r="295" spans="1:11" x14ac:dyDescent="0.25">
      <c r="A295" s="15" t="s">
        <v>2125</v>
      </c>
      <c r="B295" s="12" t="s">
        <v>1800</v>
      </c>
      <c r="C295" s="12" t="s">
        <v>1625</v>
      </c>
      <c r="D295" s="18" t="s">
        <v>1696</v>
      </c>
      <c r="E295" s="12">
        <v>356</v>
      </c>
      <c r="F295" s="12">
        <v>0</v>
      </c>
      <c r="G295" s="18" t="s">
        <v>2126</v>
      </c>
      <c r="H295" s="12">
        <v>0</v>
      </c>
      <c r="I295" s="19">
        <v>46302.945949074077</v>
      </c>
      <c r="J295" s="12"/>
      <c r="K295" s="12" t="s">
        <v>607</v>
      </c>
    </row>
    <row r="296" spans="1:11" ht="25.5" x14ac:dyDescent="0.25">
      <c r="A296" s="15" t="s">
        <v>2127</v>
      </c>
      <c r="B296" s="12" t="s">
        <v>1738</v>
      </c>
      <c r="C296" s="12" t="s">
        <v>1625</v>
      </c>
      <c r="D296" s="18" t="s">
        <v>2128</v>
      </c>
      <c r="E296" s="12">
        <v>8</v>
      </c>
      <c r="F296" s="12">
        <v>0</v>
      </c>
      <c r="G296" s="18" t="s">
        <v>2129</v>
      </c>
      <c r="H296" s="12">
        <v>0</v>
      </c>
      <c r="I296" s="19">
        <v>46302.946006944447</v>
      </c>
      <c r="J296" s="12"/>
      <c r="K296" s="12" t="s">
        <v>607</v>
      </c>
    </row>
    <row r="297" spans="1:11" x14ac:dyDescent="0.25">
      <c r="A297" s="15" t="s">
        <v>2130</v>
      </c>
      <c r="B297" s="12" t="s">
        <v>1738</v>
      </c>
      <c r="C297" s="12" t="s">
        <v>1625</v>
      </c>
      <c r="D297" s="18" t="s">
        <v>2117</v>
      </c>
      <c r="E297" s="12">
        <v>59</v>
      </c>
      <c r="F297" s="12">
        <v>0</v>
      </c>
      <c r="G297" s="18" t="s">
        <v>2131</v>
      </c>
      <c r="H297" s="12">
        <v>1</v>
      </c>
      <c r="I297" s="19">
        <v>46302.949166666673</v>
      </c>
      <c r="J297" s="12">
        <v>240</v>
      </c>
      <c r="K297" s="12" t="s">
        <v>607</v>
      </c>
    </row>
    <row r="298" spans="1:11" x14ac:dyDescent="0.25">
      <c r="A298" s="15" t="s">
        <v>2132</v>
      </c>
      <c r="B298" s="12" t="s">
        <v>1244</v>
      </c>
      <c r="C298" s="12" t="s">
        <v>1625</v>
      </c>
      <c r="D298" s="18" t="s">
        <v>2114</v>
      </c>
      <c r="E298" s="12">
        <v>2551</v>
      </c>
      <c r="F298" s="12">
        <v>0</v>
      </c>
      <c r="G298" s="18" t="s">
        <v>2133</v>
      </c>
      <c r="H298" s="12">
        <v>11</v>
      </c>
      <c r="I298" s="19">
        <v>46302.965439814812</v>
      </c>
      <c r="J298" s="12">
        <v>678</v>
      </c>
      <c r="K298" s="12" t="s">
        <v>755</v>
      </c>
    </row>
    <row r="299" spans="1:11" x14ac:dyDescent="0.25">
      <c r="A299" s="15" t="s">
        <v>2134</v>
      </c>
      <c r="B299" s="12" t="s">
        <v>1800</v>
      </c>
      <c r="C299" s="12" t="s">
        <v>1625</v>
      </c>
      <c r="D299" s="18" t="s">
        <v>1696</v>
      </c>
      <c r="E299" s="12">
        <v>357</v>
      </c>
      <c r="F299" s="12">
        <v>0</v>
      </c>
      <c r="G299" s="18" t="s">
        <v>2133</v>
      </c>
      <c r="H299" s="12">
        <v>0</v>
      </c>
      <c r="I299" s="19">
        <v>46302.965486111112</v>
      </c>
      <c r="J299" s="12">
        <v>0</v>
      </c>
      <c r="K299" s="12" t="s">
        <v>755</v>
      </c>
    </row>
    <row r="300" spans="1:11" x14ac:dyDescent="0.25">
      <c r="A300" s="15" t="s">
        <v>2135</v>
      </c>
      <c r="B300" s="12" t="s">
        <v>1738</v>
      </c>
      <c r="C300" s="12" t="s">
        <v>1625</v>
      </c>
      <c r="D300" s="18" t="s">
        <v>2117</v>
      </c>
      <c r="E300" s="12">
        <v>59</v>
      </c>
      <c r="F300" s="12">
        <v>0</v>
      </c>
      <c r="G300" s="18" t="s">
        <v>2133</v>
      </c>
      <c r="H300" s="12">
        <v>1</v>
      </c>
      <c r="I300" s="19">
        <v>46302.965543981481</v>
      </c>
      <c r="J300" s="12">
        <v>290</v>
      </c>
      <c r="K300" s="12" t="s">
        <v>755</v>
      </c>
    </row>
    <row r="301" spans="1:11" ht="25.5" x14ac:dyDescent="0.25">
      <c r="A301" s="15" t="s">
        <v>2136</v>
      </c>
      <c r="B301" s="12" t="s">
        <v>1800</v>
      </c>
      <c r="C301" s="12" t="s">
        <v>1625</v>
      </c>
      <c r="D301" s="18" t="s">
        <v>1696</v>
      </c>
      <c r="E301" s="12">
        <v>358</v>
      </c>
      <c r="F301" s="12">
        <v>0</v>
      </c>
      <c r="G301" s="18" t="s">
        <v>2137</v>
      </c>
      <c r="H301" s="12">
        <v>0</v>
      </c>
      <c r="I301" s="19">
        <v>46302.98101851852</v>
      </c>
      <c r="J301" s="12"/>
      <c r="K301" s="12" t="s">
        <v>928</v>
      </c>
    </row>
    <row r="302" spans="1:11" x14ac:dyDescent="0.25">
      <c r="A302" s="15" t="s">
        <v>2138</v>
      </c>
      <c r="B302" s="12" t="s">
        <v>1738</v>
      </c>
      <c r="C302" s="12" t="s">
        <v>1625</v>
      </c>
      <c r="D302" s="18" t="s">
        <v>2117</v>
      </c>
      <c r="E302" s="12">
        <v>59</v>
      </c>
      <c r="F302" s="12">
        <v>0</v>
      </c>
      <c r="G302" s="18" t="s">
        <v>2139</v>
      </c>
      <c r="H302" s="12">
        <v>1</v>
      </c>
      <c r="I302" s="19">
        <v>46302.981076388889</v>
      </c>
      <c r="J302" s="12">
        <v>246</v>
      </c>
      <c r="K302" s="12" t="s">
        <v>928</v>
      </c>
    </row>
    <row r="303" spans="1:11" x14ac:dyDescent="0.25">
      <c r="A303" s="15" t="s">
        <v>2140</v>
      </c>
      <c r="B303" s="12" t="s">
        <v>1244</v>
      </c>
      <c r="C303" s="12" t="s">
        <v>1625</v>
      </c>
      <c r="D303" s="18" t="s">
        <v>2114</v>
      </c>
      <c r="E303" s="12">
        <v>2557</v>
      </c>
      <c r="F303" s="12">
        <v>0</v>
      </c>
      <c r="G303" s="18" t="s">
        <v>2141</v>
      </c>
      <c r="H303" s="12">
        <v>11</v>
      </c>
      <c r="I303" s="19">
        <v>46303.055914351848</v>
      </c>
      <c r="J303" s="12">
        <v>551</v>
      </c>
      <c r="K303" s="12" t="s">
        <v>1113</v>
      </c>
    </row>
    <row r="304" spans="1:11" x14ac:dyDescent="0.25">
      <c r="A304" s="15" t="s">
        <v>2142</v>
      </c>
      <c r="B304" s="12" t="s">
        <v>1244</v>
      </c>
      <c r="C304" s="12" t="s">
        <v>1625</v>
      </c>
      <c r="D304" s="18" t="s">
        <v>2114</v>
      </c>
      <c r="E304" s="12">
        <v>2562</v>
      </c>
      <c r="F304" s="12">
        <v>0</v>
      </c>
      <c r="G304" s="18" t="s">
        <v>2143</v>
      </c>
      <c r="H304" s="12">
        <v>11</v>
      </c>
      <c r="I304" s="19">
        <v>46303.069097222222</v>
      </c>
      <c r="J304" s="12">
        <v>630</v>
      </c>
      <c r="K304" s="12" t="s">
        <v>1279</v>
      </c>
    </row>
    <row r="305" spans="1:12" x14ac:dyDescent="0.25">
      <c r="A305" s="15" t="s">
        <v>2144</v>
      </c>
      <c r="B305" s="12" t="s">
        <v>1800</v>
      </c>
      <c r="C305" s="12" t="s">
        <v>1625</v>
      </c>
      <c r="D305" s="18" t="s">
        <v>1696</v>
      </c>
      <c r="E305" s="12">
        <v>359</v>
      </c>
      <c r="F305" s="12">
        <v>0</v>
      </c>
      <c r="G305" s="18" t="s">
        <v>2143</v>
      </c>
      <c r="H305" s="12">
        <v>0</v>
      </c>
      <c r="I305" s="19">
        <v>46303.069155092591</v>
      </c>
      <c r="J305" s="12">
        <v>0</v>
      </c>
      <c r="K305" s="12" t="s">
        <v>1279</v>
      </c>
    </row>
    <row r="306" spans="1:12" x14ac:dyDescent="0.25">
      <c r="A306" s="15" t="s">
        <v>2145</v>
      </c>
      <c r="B306" s="12" t="s">
        <v>1738</v>
      </c>
      <c r="C306" s="12" t="s">
        <v>1625</v>
      </c>
      <c r="D306" s="18" t="s">
        <v>2117</v>
      </c>
      <c r="E306" s="12">
        <v>59</v>
      </c>
      <c r="F306" s="12">
        <v>0</v>
      </c>
      <c r="G306" s="18" t="s">
        <v>2143</v>
      </c>
      <c r="H306" s="12">
        <v>1</v>
      </c>
      <c r="I306" s="19">
        <v>46303.069201388891</v>
      </c>
      <c r="J306" s="12">
        <v>252</v>
      </c>
      <c r="K306" s="12" t="s">
        <v>1279</v>
      </c>
    </row>
    <row r="307" spans="1:12" ht="25.5" x14ac:dyDescent="0.25">
      <c r="A307" s="15" t="s">
        <v>2146</v>
      </c>
      <c r="B307" s="12" t="s">
        <v>1244</v>
      </c>
      <c r="C307" s="12" t="s">
        <v>1625</v>
      </c>
      <c r="D307" s="18" t="s">
        <v>2114</v>
      </c>
      <c r="E307" s="12">
        <v>2566</v>
      </c>
      <c r="F307" s="12">
        <v>0</v>
      </c>
      <c r="G307" s="18" t="s">
        <v>2147</v>
      </c>
      <c r="H307" s="12">
        <v>11</v>
      </c>
      <c r="I307" s="19">
        <v>46303.091134259259</v>
      </c>
      <c r="J307" s="12">
        <v>667</v>
      </c>
      <c r="K307" s="12" t="s">
        <v>566</v>
      </c>
    </row>
    <row r="308" spans="1:12" ht="25.5" x14ac:dyDescent="0.25">
      <c r="A308" s="15" t="s">
        <v>2148</v>
      </c>
      <c r="B308" s="12" t="s">
        <v>1800</v>
      </c>
      <c r="C308" s="12" t="s">
        <v>1625</v>
      </c>
      <c r="D308" s="18" t="s">
        <v>1696</v>
      </c>
      <c r="E308" s="12">
        <v>364</v>
      </c>
      <c r="F308" s="12">
        <v>0</v>
      </c>
      <c r="G308" s="18" t="s">
        <v>2147</v>
      </c>
      <c r="H308" s="12">
        <v>0</v>
      </c>
      <c r="I308" s="19">
        <v>46303.091180555559</v>
      </c>
      <c r="J308" s="12">
        <v>0</v>
      </c>
      <c r="K308" s="12" t="s">
        <v>566</v>
      </c>
    </row>
    <row r="309" spans="1:12" ht="25.5" x14ac:dyDescent="0.25">
      <c r="A309" s="15" t="s">
        <v>2149</v>
      </c>
      <c r="B309" s="12" t="s">
        <v>1738</v>
      </c>
      <c r="C309" s="12" t="s">
        <v>1625</v>
      </c>
      <c r="D309" s="18" t="s">
        <v>2117</v>
      </c>
      <c r="E309" s="12">
        <v>59</v>
      </c>
      <c r="F309" s="12">
        <v>0</v>
      </c>
      <c r="G309" s="18" t="s">
        <v>2147</v>
      </c>
      <c r="H309" s="12">
        <v>1</v>
      </c>
      <c r="I309" s="19">
        <v>46303.091238425928</v>
      </c>
      <c r="J309" s="12">
        <v>282</v>
      </c>
      <c r="K309" s="12" t="s">
        <v>566</v>
      </c>
    </row>
    <row r="310" spans="1:12" x14ac:dyDescent="0.25">
      <c r="A310" s="15" t="s">
        <v>2150</v>
      </c>
      <c r="B310" s="12" t="s">
        <v>1244</v>
      </c>
      <c r="C310" s="12" t="s">
        <v>1625</v>
      </c>
      <c r="D310" s="18" t="s">
        <v>2114</v>
      </c>
      <c r="E310" s="12">
        <v>2571</v>
      </c>
      <c r="F310" s="12">
        <v>0</v>
      </c>
      <c r="G310" s="18" t="s">
        <v>2151</v>
      </c>
      <c r="H310" s="12">
        <v>11</v>
      </c>
      <c r="I310" s="19">
        <v>46303.100381944438</v>
      </c>
      <c r="J310" s="12">
        <v>558</v>
      </c>
      <c r="K310" s="12" t="s">
        <v>1100</v>
      </c>
    </row>
    <row r="311" spans="1:12" ht="38.25" x14ac:dyDescent="0.25">
      <c r="A311" s="15" t="s">
        <v>2152</v>
      </c>
      <c r="B311" s="12" t="s">
        <v>1244</v>
      </c>
      <c r="C311" s="12" t="s">
        <v>1625</v>
      </c>
      <c r="D311" s="18" t="s">
        <v>2114</v>
      </c>
      <c r="E311" s="12">
        <v>2578</v>
      </c>
      <c r="F311" s="12">
        <v>0</v>
      </c>
      <c r="G311" s="18" t="s">
        <v>2153</v>
      </c>
      <c r="H311" s="12">
        <v>11</v>
      </c>
      <c r="I311" s="19">
        <v>46308.596319444441</v>
      </c>
      <c r="J311" s="12">
        <v>651</v>
      </c>
      <c r="K311" s="12" t="s">
        <v>1431</v>
      </c>
    </row>
    <row r="314" spans="1:12" ht="15.75" x14ac:dyDescent="0.25">
      <c r="A314" s="5" t="s">
        <v>2154</v>
      </c>
    </row>
    <row r="315" spans="1:12" x14ac:dyDescent="0.25">
      <c r="A315" s="10" t="s">
        <v>166</v>
      </c>
      <c r="B315" s="10" t="s">
        <v>100</v>
      </c>
      <c r="C315" s="10" t="s">
        <v>43</v>
      </c>
      <c r="D315" s="10" t="s">
        <v>167</v>
      </c>
      <c r="E315" s="10" t="s">
        <v>169</v>
      </c>
      <c r="F315" s="10" t="s">
        <v>57</v>
      </c>
      <c r="G315" s="10" t="s">
        <v>170</v>
      </c>
      <c r="H315" s="10" t="s">
        <v>171</v>
      </c>
      <c r="I315" s="10" t="s">
        <v>15</v>
      </c>
      <c r="J315" s="10" t="s">
        <v>177</v>
      </c>
      <c r="K315" s="10" t="s">
        <v>178</v>
      </c>
      <c r="L315" s="10" t="s">
        <v>179</v>
      </c>
    </row>
    <row r="316" spans="1:12" x14ac:dyDescent="0.25">
      <c r="A316" s="15" t="s">
        <v>203</v>
      </c>
      <c r="B316" s="12" t="str">
        <f>IFERROR(INDEX(MASTER!$C$2:$C$2000,MATCH($A316,MASTER!$A$2:$A$2000,0))&amp;"","")</f>
        <v>TESTING</v>
      </c>
      <c r="C316" s="16">
        <f>IFERROR(INDEX(MASTER!$B$2:$B$2000,MATCH($A316,MASTER!$A$2:$A$2000,0)),"")</f>
        <v>0</v>
      </c>
      <c r="D316" s="12" t="str">
        <f>IFERROR(INDEX(MASTER!$D$2:$D$2000,MATCH($A316,MASTER!$A$2:$A$2000,0))&amp;"","")</f>
        <v>Baseline: backend tests</v>
      </c>
      <c r="E316" s="12" t="str">
        <f>IFERROR(INDEX(MASTER!$F$2:$F$2000,MATCH($A316,MASTER!$A$2:$A$2000,0))&amp;"","")</f>
        <v>P0</v>
      </c>
      <c r="F316" s="12" t="str">
        <f>IFERROR(INDEX(MASTER!$G$2:$G$2000,MATCH($A316,MASTER!$A$2:$A$2000,0))&amp;"","NOT IN MASTER")</f>
        <v>DONE</v>
      </c>
      <c r="G316" s="12" t="str">
        <f>IFERROR(INDEX(MASTER!$H$2:$H$2000,MATCH($A316,MASTER!$A$2:$A$2000,0))&amp;"","")</f>
        <v>docs/architecture/current-baseline.md; TESTING RUN-0001</v>
      </c>
      <c r="H316" s="12" t="str">
        <f>IFERROR(INDEX(MASTER!$I$2:$I$2000,MATCH($A316,MASTER!$A$2:$A$2000,0))&amp;"","")</f>
        <v>backend pytest: 643 passed, 1 skipped, 0 failed (88 s)</v>
      </c>
      <c r="I316" s="19">
        <f>IFERROR(IF(INDEX(MASTER!$O$2:$O$2000,MATCH($A316,MASTER!$A$2:$A$2000,0))="","",INDEX(MASTER!$O$2:$O$2000,MATCH($A316,MASTER!$A$2:$A$2000,0))),"")</f>
        <v>46292.17150462963</v>
      </c>
      <c r="J316" s="12" t="str">
        <f>IFERROR(INDEX(MASTER!$P$2:$P$2000,MATCH($A316,MASTER!$A$2:$A$2000,0))&amp;"","")</f>
        <v>4da4ecb</v>
      </c>
      <c r="K316" s="12" t="str">
        <f>IFERROR(INDEX(MASTER!$Q$2:$Q$2000,MATCH($A316,MASTER!$A$2:$A$2000,0))&amp;"","")</f>
        <v/>
      </c>
      <c r="L316" s="12" t="str">
        <f>IFERROR(INDEX(MASTER!$R$2:$R$2000,MATCH($A316,MASTER!$A$2:$A$2000,0))&amp;"","")</f>
        <v/>
      </c>
    </row>
    <row r="317" spans="1:12" x14ac:dyDescent="0.25">
      <c r="A317" s="15" t="s">
        <v>209</v>
      </c>
      <c r="B317" s="12" t="str">
        <f>IFERROR(INDEX(MASTER!$C$2:$C$2000,MATCH($A317,MASTER!$A$2:$A$2000,0))&amp;"","")</f>
        <v>TESTING</v>
      </c>
      <c r="C317" s="16">
        <f>IFERROR(INDEX(MASTER!$B$2:$B$2000,MATCH($A317,MASTER!$A$2:$A$2000,0)),"")</f>
        <v>0</v>
      </c>
      <c r="D317" s="12" t="str">
        <f>IFERROR(INDEX(MASTER!$D$2:$D$2000,MATCH($A317,MASTER!$A$2:$A$2000,0))&amp;"","")</f>
        <v>Baseline: frontend tests, typecheck, lint, build</v>
      </c>
      <c r="E317" s="12" t="str">
        <f>IFERROR(INDEX(MASTER!$F$2:$F$2000,MATCH($A317,MASTER!$A$2:$A$2000,0))&amp;"","")</f>
        <v>P0</v>
      </c>
      <c r="F317" s="12" t="str">
        <f>IFERROR(INDEX(MASTER!$G$2:$G$2000,MATCH($A317,MASTER!$A$2:$A$2000,0))&amp;"","NOT IN MASTER")</f>
        <v>DONE</v>
      </c>
      <c r="G317" s="12" t="str">
        <f>IFERROR(INDEX(MASTER!$H$2:$H$2000,MATCH($A317,MASTER!$A$2:$A$2000,0))&amp;"","")</f>
        <v>docs/architecture/current-baseline.md; TESTING RUN-0002..0005</v>
      </c>
      <c r="H317" s="12" t="str">
        <f>IFERROR(INDEX(MASTER!$I$2:$I$2000,MATCH($A317,MASTER!$A$2:$A$2000,0))&amp;"","")</f>
        <v>eslint 0 problems; tsc 0 errors; Vitest 46/46; next build OK (11 routes)</v>
      </c>
      <c r="I317" s="19">
        <f>IFERROR(IF(INDEX(MASTER!$O$2:$O$2000,MATCH($A317,MASTER!$A$2:$A$2000,0))="","",INDEX(MASTER!$O$2:$O$2000,MATCH($A317,MASTER!$A$2:$A$2000,0))),"")</f>
        <v>46292.171550925923</v>
      </c>
      <c r="J317" s="12" t="str">
        <f>IFERROR(INDEX(MASTER!$P$2:$P$2000,MATCH($A317,MASTER!$A$2:$A$2000,0))&amp;"","")</f>
        <v>4da4ecb</v>
      </c>
      <c r="K317" s="12" t="str">
        <f>IFERROR(INDEX(MASTER!$Q$2:$Q$2000,MATCH($A317,MASTER!$A$2:$A$2000,0))&amp;"","")</f>
        <v/>
      </c>
      <c r="L317" s="12" t="str">
        <f>IFERROR(INDEX(MASTER!$R$2:$R$2000,MATCH($A317,MASTER!$A$2:$A$2000,0))&amp;"","")</f>
        <v/>
      </c>
    </row>
    <row r="318" spans="1:12" x14ac:dyDescent="0.25">
      <c r="A318" s="15" t="s">
        <v>215</v>
      </c>
      <c r="B318" s="12" t="str">
        <f>IFERROR(INDEX(MASTER!$C$2:$C$2000,MATCH($A318,MASTER!$A$2:$A$2000,0))&amp;"","")</f>
        <v>TESTING</v>
      </c>
      <c r="C318" s="16">
        <f>IFERROR(INDEX(MASTER!$B$2:$B$2000,MATCH($A318,MASTER!$A$2:$A$2000,0)),"")</f>
        <v>0</v>
      </c>
      <c r="D318" s="12" t="str">
        <f>IFERROR(INDEX(MASTER!$D$2:$D$2000,MATCH($A318,MASTER!$A$2:$A$2000,0))&amp;"","")</f>
        <v>Baseline: Playwright E2E</v>
      </c>
      <c r="E318" s="12" t="str">
        <f>IFERROR(INDEX(MASTER!$F$2:$F$2000,MATCH($A318,MASTER!$A$2:$A$2000,0))&amp;"","")</f>
        <v>P0</v>
      </c>
      <c r="F318" s="12" t="str">
        <f>IFERROR(INDEX(MASTER!$G$2:$G$2000,MATCH($A318,MASTER!$A$2:$A$2000,0))&amp;"","NOT IN MASTER")</f>
        <v>DONE</v>
      </c>
      <c r="G318" s="12" t="str">
        <f>IFERROR(INDEX(MASTER!$H$2:$H$2000,MATCH($A318,MASTER!$A$2:$A$2000,0))&amp;"","")</f>
        <v>docs/architecture/current-baseline.md; TESTING RUN-0006</v>
      </c>
      <c r="H318" s="12" t="str">
        <f>IFERROR(INDEX(MASTER!$I$2:$I$2000,MATCH($A318,MASTER!$A$2:$A$2000,0))&amp;"","")</f>
        <v>Playwright (Edge): 16 passed, 0 failed (67 s)</v>
      </c>
      <c r="I318" s="19">
        <f>IFERROR(IF(INDEX(MASTER!$O$2:$O$2000,MATCH($A318,MASTER!$A$2:$A$2000,0))="","",INDEX(MASTER!$O$2:$O$2000,MATCH($A318,MASTER!$A$2:$A$2000,0))),"")</f>
        <v>46292.171585648153</v>
      </c>
      <c r="J318" s="12" t="str">
        <f>IFERROR(INDEX(MASTER!$P$2:$P$2000,MATCH($A318,MASTER!$A$2:$A$2000,0))&amp;"","")</f>
        <v>4da4ecb</v>
      </c>
      <c r="K318" s="12" t="str">
        <f>IFERROR(INDEX(MASTER!$Q$2:$Q$2000,MATCH($A318,MASTER!$A$2:$A$2000,0))&amp;"","")</f>
        <v/>
      </c>
      <c r="L318" s="12" t="str">
        <f>IFERROR(INDEX(MASTER!$R$2:$R$2000,MATCH($A318,MASTER!$A$2:$A$2000,0))&amp;"","")</f>
        <v/>
      </c>
    </row>
    <row r="319" spans="1:12" x14ac:dyDescent="0.25">
      <c r="A319" s="15" t="s">
        <v>221</v>
      </c>
      <c r="B319" s="12" t="str">
        <f>IFERROR(INDEX(MASTER!$C$2:$C$2000,MATCH($A319,MASTER!$A$2:$A$2000,0))&amp;"","")</f>
        <v>TESTING</v>
      </c>
      <c r="C319" s="16">
        <f>IFERROR(INDEX(MASTER!$B$2:$B$2000,MATCH($A319,MASTER!$A$2:$A$2000,0)),"")</f>
        <v>0</v>
      </c>
      <c r="D319" s="12" t="str">
        <f>IFERROR(INDEX(MASTER!$D$2:$D$2000,MATCH($A319,MASTER!$A$2:$A$2000,0))&amp;"","")</f>
        <v>Baseline: migrations and database</v>
      </c>
      <c r="E319" s="12" t="str">
        <f>IFERROR(INDEX(MASTER!$F$2:$F$2000,MATCH($A319,MASTER!$A$2:$A$2000,0))&amp;"","")</f>
        <v>P0</v>
      </c>
      <c r="F319" s="12" t="str">
        <f>IFERROR(INDEX(MASTER!$G$2:$G$2000,MATCH($A319,MASTER!$A$2:$A$2000,0))&amp;"","NOT IN MASTER")</f>
        <v>DONE</v>
      </c>
      <c r="G319" s="12" t="str">
        <f>IFERROR(INDEX(MASTER!$H$2:$H$2000,MATCH($A319,MASTER!$A$2:$A$2000,0))&amp;"","")</f>
        <v>docs/architecture/current-baseline.md; TESTING RUN-0007, RUN-0008</v>
      </c>
      <c r="H319" s="12" t="str">
        <f>IFERROR(INDEX(MASTER!$I$2:$I$2000,MATCH($A319,MASTER!$A$2:$A$2000,0))&amp;"","")</f>
        <v>alembic upgrade/check/downgrade/upgrade on scratch SQLite; offline PostgreSQL SQL; Supabase list_migrations 8/8 + advisors</v>
      </c>
      <c r="I319" s="19">
        <f>IFERROR(IF(INDEX(MASTER!$O$2:$O$2000,MATCH($A319,MASTER!$A$2:$A$2000,0))="","",INDEX(MASTER!$O$2:$O$2000,MATCH($A319,MASTER!$A$2:$A$2000,0))),"")</f>
        <v>46292.171620370369</v>
      </c>
      <c r="J319" s="12" t="str">
        <f>IFERROR(INDEX(MASTER!$P$2:$P$2000,MATCH($A319,MASTER!$A$2:$A$2000,0))&amp;"","")</f>
        <v>4da4ecb</v>
      </c>
      <c r="K319" s="12" t="str">
        <f>IFERROR(INDEX(MASTER!$Q$2:$Q$2000,MATCH($A319,MASTER!$A$2:$A$2000,0))&amp;"","")</f>
        <v/>
      </c>
      <c r="L319" s="12" t="str">
        <f>IFERROR(INDEX(MASTER!$R$2:$R$2000,MATCH($A319,MASTER!$A$2:$A$2000,0))&amp;"","")</f>
        <v/>
      </c>
    </row>
    <row r="320" spans="1:12" x14ac:dyDescent="0.25">
      <c r="A320" s="15" t="s">
        <v>240</v>
      </c>
      <c r="B320" s="12" t="str">
        <f>IFERROR(INDEX(MASTER!$C$2:$C$2000,MATCH($A320,MASTER!$A$2:$A$2000,0))&amp;"","")</f>
        <v>TESTING</v>
      </c>
      <c r="C320" s="16">
        <f>IFERROR(INDEX(MASTER!$B$2:$B$2000,MATCH($A320,MASTER!$A$2:$A$2000,0)),"")</f>
        <v>0</v>
      </c>
      <c r="D320" s="12" t="str">
        <f>IFERROR(INDEX(MASTER!$D$2:$D$2000,MATCH($A320,MASTER!$A$2:$A$2000,0))&amp;"","")</f>
        <v>Baseline: fixture inventory</v>
      </c>
      <c r="E320" s="12" t="str">
        <f>IFERROR(INDEX(MASTER!$F$2:$F$2000,MATCH($A320,MASTER!$A$2:$A$2000,0))&amp;"","")</f>
        <v>P1</v>
      </c>
      <c r="F320" s="12" t="str">
        <f>IFERROR(INDEX(MASTER!$G$2:$G$2000,MATCH($A320,MASTER!$A$2:$A$2000,0))&amp;"","NOT IN MASTER")</f>
        <v>DONE</v>
      </c>
      <c r="G320" s="12" t="str">
        <f>IFERROR(INDEX(MASTER!$H$2:$H$2000,MATCH($A320,MASTER!$A$2:$A$2000,0))&amp;"","")</f>
        <v>docs/architecture/current-baseline.md (fixture inventory)</v>
      </c>
      <c r="H320" s="12" t="str">
        <f>IFERROR(INDEX(MASTER!$I$2:$I$2000,MATCH($A320,MASTER!$A$2:$A$2000,0))&amp;"","")</f>
        <v>backend/tests/fixtures: 12 generated DOCX + sample.pdf; 17 Word-authored audit fixtures (a01-a12, r01-r05) outside the repo</v>
      </c>
      <c r="I320" s="19">
        <f>IFERROR(IF(INDEX(MASTER!$O$2:$O$2000,MATCH($A320,MASTER!$A$2:$A$2000,0))="","",INDEX(MASTER!$O$2:$O$2000,MATCH($A320,MASTER!$A$2:$A$2000,0))),"")</f>
        <v>46292.171655092592</v>
      </c>
      <c r="J320" s="12" t="str">
        <f>IFERROR(INDEX(MASTER!$P$2:$P$2000,MATCH($A320,MASTER!$A$2:$A$2000,0))&amp;"","")</f>
        <v>4da4ecb</v>
      </c>
      <c r="K320" s="12" t="str">
        <f>IFERROR(INDEX(MASTER!$Q$2:$Q$2000,MATCH($A320,MASTER!$A$2:$A$2000,0))&amp;"","")</f>
        <v/>
      </c>
      <c r="L320" s="12" t="str">
        <f>IFERROR(INDEX(MASTER!$R$2:$R$2000,MATCH($A320,MASTER!$A$2:$A$2000,0))&amp;"","")</f>
        <v/>
      </c>
    </row>
    <row r="321" spans="1:12" x14ac:dyDescent="0.25">
      <c r="A321" s="15" t="s">
        <v>393</v>
      </c>
      <c r="B321" s="12" t="str">
        <f>IFERROR(INDEX(MASTER!$C$2:$C$2000,MATCH($A321,MASTER!$A$2:$A$2000,0))&amp;"","")</f>
        <v>TESTING</v>
      </c>
      <c r="C321" s="16">
        <f>IFERROR(INDEX(MASTER!$B$2:$B$2000,MATCH($A321,MASTER!$A$2:$A$2000,0)),"")</f>
        <v>1</v>
      </c>
      <c r="D321" s="12" t="str">
        <f>IFERROR(INDEX(MASTER!$D$2:$D$2000,MATCH($A321,MASTER!$A$2:$A$2000,0))&amp;"","")</f>
        <v>Regression tests for nested structures</v>
      </c>
      <c r="E321" s="12" t="str">
        <f>IFERROR(INDEX(MASTER!$F$2:$F$2000,MATCH($A321,MASTER!$A$2:$A$2000,0))&amp;"","")</f>
        <v>P0</v>
      </c>
      <c r="F321" s="12" t="str">
        <f>IFERROR(INDEX(MASTER!$G$2:$G$2000,MATCH($A321,MASTER!$A$2:$A$2000,0))&amp;"","NOT IN MASTER")</f>
        <v>DONE</v>
      </c>
      <c r="G321" s="12" t="str">
        <f>IFERROR(INDEX(MASTER!$H$2:$H$2000,MATCH($A321,MASTER!$A$2:$A$2000,0))&amp;"","")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321" s="12" t="str">
        <f>IFERROR(INDEX(MASTER!$I$2:$I$2000,MATCH($A321,MASTER!$A$2:$A$2000,0))&amp;"","")</f>
        <v>backend 753 passed; Vitest 113; Playwright 19</v>
      </c>
      <c r="I321" s="19">
        <f>IFERROR(IF(INDEX(MASTER!$O$2:$O$2000,MATCH($A321,MASTER!$A$2:$A$2000,0))="","",INDEX(MASTER!$O$2:$O$2000,MATCH($A321,MASTER!$A$2:$A$2000,0))),"")</f>
        <v>46292.416215277779</v>
      </c>
      <c r="J321" s="12" t="str">
        <f>IFERROR(INDEX(MASTER!$P$2:$P$2000,MATCH($A321,MASTER!$A$2:$A$2000,0))&amp;"","")</f>
        <v>66bbdf1</v>
      </c>
      <c r="K321" s="12" t="str">
        <f>IFERROR(INDEX(MASTER!$Q$2:$Q$2000,MATCH($A321,MASTER!$A$2:$A$2000,0))&amp;"","")</f>
        <v/>
      </c>
      <c r="L321" s="12" t="str">
        <f>IFERROR(INDEX(MASTER!$R$2:$R$2000,MATCH($A321,MASTER!$A$2:$A$2000,0))&amp;"","")</f>
        <v/>
      </c>
    </row>
    <row r="322" spans="1:12" x14ac:dyDescent="0.25">
      <c r="A322" s="15" t="s">
        <v>711</v>
      </c>
      <c r="B322" s="12" t="str">
        <f>IFERROR(INDEX(MASTER!$C$2:$C$2000,MATCH($A322,MASTER!$A$2:$A$2000,0))&amp;"","")</f>
        <v>TESTING</v>
      </c>
      <c r="C322" s="16">
        <f>IFERROR(INDEX(MASTER!$B$2:$B$2000,MATCH($A322,MASTER!$A$2:$A$2000,0)),"")</f>
        <v>3</v>
      </c>
      <c r="D322" s="12" t="str">
        <f>IFERROR(INDEX(MASTER!$D$2:$D$2000,MATCH($A322,MASTER!$A$2:$A$2000,0))&amp;"","")</f>
        <v>Word-authored fixtures in the repository</v>
      </c>
      <c r="E322" s="12" t="str">
        <f>IFERROR(INDEX(MASTER!$F$2:$F$2000,MATCH($A322,MASTER!$A$2:$A$2000,0))&amp;"","")</f>
        <v>P0</v>
      </c>
      <c r="F322" s="12" t="str">
        <f>IFERROR(INDEX(MASTER!$G$2:$G$2000,MATCH($A322,MASTER!$A$2:$A$2000,0))&amp;"","NOT IN MASTER")</f>
        <v>DONE</v>
      </c>
      <c r="G322" s="12" t="str">
        <f>IFERROR(INDEX(MASTER!$H$2:$H$2000,MATCH($A322,MASTER!$A$2:$A$2000,0))&amp;"","")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322" s="12" t="str">
        <f>IFERROR(INDEX(MASTER!$I$2:$I$2000,MATCH($A322,MASTER!$A$2:$A$2000,0))&amp;"","")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322" s="19">
        <f>IFERROR(IF(INDEX(MASTER!$O$2:$O$2000,MATCH($A322,MASTER!$A$2:$A$2000,0))="","",INDEX(MASTER!$O$2:$O$2000,MATCH($A322,MASTER!$A$2:$A$2000,0))),"")</f>
        <v>46295.122604166667</v>
      </c>
      <c r="J322" s="12" t="str">
        <f>IFERROR(INDEX(MASTER!$P$2:$P$2000,MATCH($A322,MASTER!$A$2:$A$2000,0))&amp;"","")</f>
        <v>505d97f</v>
      </c>
      <c r="K322" s="12" t="str">
        <f>IFERROR(INDEX(MASTER!$Q$2:$Q$2000,MATCH($A322,MASTER!$A$2:$A$2000,0))&amp;"","")</f>
        <v/>
      </c>
      <c r="L322" s="12" t="str">
        <f>IFERROR(INDEX(MASTER!$R$2:$R$2000,MATCH($A322,MASTER!$A$2:$A$2000,0))&amp;"","")</f>
        <v/>
      </c>
    </row>
    <row r="323" spans="1:12" x14ac:dyDescent="0.25">
      <c r="A323" s="15" t="s">
        <v>718</v>
      </c>
      <c r="B323" s="12" t="str">
        <f>IFERROR(INDEX(MASTER!$C$2:$C$2000,MATCH($A323,MASTER!$A$2:$A$2000,0))&amp;"","")</f>
        <v>TESTING</v>
      </c>
      <c r="C323" s="16">
        <f>IFERROR(INDEX(MASTER!$B$2:$B$2000,MATCH($A323,MASTER!$A$2:$A$2000,0)),"")</f>
        <v>3</v>
      </c>
      <c r="D323" s="12" t="str">
        <f>IFERROR(INDEX(MASTER!$D$2:$D$2000,MATCH($A323,MASTER!$A$2:$A$2000,0))&amp;"","")</f>
        <v>Expected-loss manifests in CI</v>
      </c>
      <c r="E323" s="12" t="str">
        <f>IFERROR(INDEX(MASTER!$F$2:$F$2000,MATCH($A323,MASTER!$A$2:$A$2000,0))&amp;"","")</f>
        <v>P0</v>
      </c>
      <c r="F323" s="12" t="str">
        <f>IFERROR(INDEX(MASTER!$G$2:$G$2000,MATCH($A323,MASTER!$A$2:$A$2000,0))&amp;"","NOT IN MASTER")</f>
        <v>DONE</v>
      </c>
      <c r="G323" s="12" t="str">
        <f>IFERROR(INDEX(MASTER!$H$2:$H$2000,MATCH($A323,MASTER!$A$2:$A$2000,0))&amp;"","")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323" s="12" t="str">
        <f>IFERROR(INDEX(MASTER!$I$2:$I$2000,MATCH($A323,MASTER!$A$2:$A$2000,0))&amp;"","")</f>
        <v>backend 1075 passed/1 skipped (tests/test_expected_losses.py 38: every fixture has a manifest; each fixture loses what its manifest says - deterministic over two runs; a mutated manifest fails naming the new item and the content change)</v>
      </c>
      <c r="I323" s="19">
        <f>IFERROR(IF(INDEX(MASTER!$O$2:$O$2000,MATCH($A323,MASTER!$A$2:$A$2000,0))="","",INDEX(MASTER!$O$2:$O$2000,MATCH($A323,MASTER!$A$2:$A$2000,0))),"")</f>
        <v>46295.127291666657</v>
      </c>
      <c r="J323" s="12" t="str">
        <f>IFERROR(INDEX(MASTER!$P$2:$P$2000,MATCH($A323,MASTER!$A$2:$A$2000,0))&amp;"","")</f>
        <v>05c6c69</v>
      </c>
      <c r="K323" s="12" t="str">
        <f>IFERROR(INDEX(MASTER!$Q$2:$Q$2000,MATCH($A323,MASTER!$A$2:$A$2000,0))&amp;"","")</f>
        <v/>
      </c>
      <c r="L323" s="12" t="str">
        <f>IFERROR(INDEX(MASTER!$R$2:$R$2000,MATCH($A323,MASTER!$A$2:$A$2000,0))&amp;"","")</f>
        <v>TEST-020</v>
      </c>
    </row>
    <row r="324" spans="1:12" x14ac:dyDescent="0.25">
      <c r="A324" s="15" t="s">
        <v>724</v>
      </c>
      <c r="B324" s="12" t="str">
        <f>IFERROR(INDEX(MASTER!$C$2:$C$2000,MATCH($A324,MASTER!$A$2:$A$2000,0))&amp;"","")</f>
        <v>TESTING</v>
      </c>
      <c r="C324" s="16">
        <f>IFERROR(INDEX(MASTER!$B$2:$B$2000,MATCH($A324,MASTER!$A$2:$A$2000,0)),"")</f>
        <v>3</v>
      </c>
      <c r="D324" s="12" t="str">
        <f>IFERROR(INDEX(MASTER!$D$2:$D$2000,MATCH($A324,MASTER!$A$2:$A$2000,0))&amp;"","")</f>
        <v>PDF expected losses on the CI platform</v>
      </c>
      <c r="E324" s="12" t="str">
        <f>IFERROR(INDEX(MASTER!$F$2:$F$2000,MATCH($A324,MASTER!$A$2:$A$2000,0))&amp;"","")</f>
        <v>P2</v>
      </c>
      <c r="F324" s="12" t="str">
        <f>IFERROR(INDEX(MASTER!$G$2:$G$2000,MATCH($A324,MASTER!$A$2:$A$2000,0))&amp;"","NOT IN MASTER")</f>
        <v>BLOCKED</v>
      </c>
      <c r="G324" s="12" t="str">
        <f>IFERROR(INDEX(MASTER!$H$2:$H$2000,MATCH($A324,MASTER!$A$2:$A$2000,0))&amp;"","")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324" s="12" t="str">
        <f>IFERROR(INDEX(MASTER!$I$2:$I$2000,MATCH($A324,MASTER!$A$2:$A$2000,0))&amp;"","")</f>
        <v>backend/tests/test_expected_losses.py::test_another_platforms_pdf_claims_are_merged_in_and_nothing_else</v>
      </c>
      <c r="I324" s="19" t="str">
        <f>IFERROR(IF(INDEX(MASTER!$O$2:$O$2000,MATCH($A324,MASTER!$A$2:$A$2000,0))="","",INDEX(MASTER!$O$2:$O$2000,MATCH($A324,MASTER!$A$2:$A$2000,0))),"")</f>
        <v/>
      </c>
      <c r="J324" s="12" t="str">
        <f>IFERROR(INDEX(MASTER!$P$2:$P$2000,MATCH($A324,MASTER!$A$2:$A$2000,0))&amp;"","")</f>
        <v>9760557</v>
      </c>
      <c r="K324" s="12" t="str">
        <f>IFERROR(INDEX(MASTER!$Q$2:$Q$2000,MATCH($A324,MASTER!$A$2:$A$2000,0))&amp;"","")</f>
        <v>BLOCKED: needs the CI artifact from GitHub (no Linux here: no Docker, no WSL distro; GitHub API not used from this machine). Boril: download expected-loss-linux from a CI run, run python -m scripts.merge_expected_losses DIR, commit.</v>
      </c>
      <c r="L324" s="12" t="str">
        <f>IFERROR(INDEX(MASTER!$R$2:$R$2000,MATCH($A324,MASTER!$A$2:$A$2000,0))&amp;"","")</f>
        <v>TEST-021</v>
      </c>
    </row>
    <row r="325" spans="1:12" x14ac:dyDescent="0.25">
      <c r="A325" s="15" t="s">
        <v>731</v>
      </c>
      <c r="B325" s="12" t="str">
        <f>IFERROR(INDEX(MASTER!$C$2:$C$2000,MATCH($A325,MASTER!$A$2:$A$2000,0))&amp;"","")</f>
        <v>TESTING</v>
      </c>
      <c r="C325" s="16">
        <f>IFERROR(INDEX(MASTER!$B$2:$B$2000,MATCH($A325,MASTER!$A$2:$A$2000,0)),"")</f>
        <v>3</v>
      </c>
      <c r="D325" s="12" t="str">
        <f>IFERROR(INDEX(MASTER!$D$2:$D$2000,MATCH($A325,MASTER!$A$2:$A$2000,0))&amp;"","")</f>
        <v>True fidelity test</v>
      </c>
      <c r="E325" s="12" t="str">
        <f>IFERROR(INDEX(MASTER!$F$2:$F$2000,MATCH($A325,MASTER!$A$2:$A$2000,0))&amp;"","")</f>
        <v>P0</v>
      </c>
      <c r="F325" s="12" t="str">
        <f>IFERROR(INDEX(MASTER!$G$2:$G$2000,MATCH($A325,MASTER!$A$2:$A$2000,0))&amp;"","NOT IN MASTER")</f>
        <v>DONE</v>
      </c>
      <c r="G325" s="12" t="str">
        <f>IFERROR(INDEX(MASTER!$H$2:$H$2000,MATCH($A325,MASTER!$A$2:$A$2000,0))&amp;"","")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325" s="12" t="str">
        <f>IFERROR(INDEX(MASTER!$I$2:$I$2000,MATCH($A325,MASTER!$A$2:$A$2000,0))&amp;"","")</f>
        <v>backend 1224 passed/1 skipped (tests/test_true_fidelity.py 149: 37 fixtures x 4 axes + manifest check; test_docx_detect title case updated incl. a rename); Vitest 166; Playwright 28 (visual baseline regenerated and reviewed); tsc + eslint clean</v>
      </c>
      <c r="I325" s="19">
        <f>IFERROR(IF(INDEX(MASTER!$O$2:$O$2000,MATCH($A325,MASTER!$A$2:$A$2000,0))="","",INDEX(MASTER!$O$2:$O$2000,MATCH($A325,MASTER!$A$2:$A$2000,0))),"")</f>
        <v>46295.137418981481</v>
      </c>
      <c r="J325" s="12" t="str">
        <f>IFERROR(INDEX(MASTER!$P$2:$P$2000,MATCH($A325,MASTER!$A$2:$A$2000,0))&amp;"","")</f>
        <v>6869d5c</v>
      </c>
      <c r="K325" s="12" t="str">
        <f>IFERROR(INDEX(MASTER!$Q$2:$Q$2000,MATCH($A325,MASTER!$A$2:$A$2000,0))&amp;"","")</f>
        <v/>
      </c>
      <c r="L325" s="12" t="str">
        <f>IFERROR(INDEX(MASTER!$R$2:$R$2000,MATCH($A325,MASTER!$A$2:$A$2000,0))&amp;"","")</f>
        <v>TEST-020</v>
      </c>
    </row>
    <row r="326" spans="1:12" x14ac:dyDescent="0.25">
      <c r="A326" s="15" t="s">
        <v>737</v>
      </c>
      <c r="B326" s="12" t="str">
        <f>IFERROR(INDEX(MASTER!$C$2:$C$2000,MATCH($A326,MASTER!$A$2:$A$2000,0))&amp;"","")</f>
        <v>TESTING</v>
      </c>
      <c r="C326" s="16">
        <f>IFERROR(INDEX(MASTER!$B$2:$B$2000,MATCH($A326,MASTER!$A$2:$A$2000,0)),"")</f>
        <v>3</v>
      </c>
      <c r="D326" s="12" t="str">
        <f>IFERROR(INDEX(MASTER!$D$2:$D$2000,MATCH($A326,MASTER!$A$2:$A$2000,0))&amp;"","")</f>
        <v>Independent validation</v>
      </c>
      <c r="E326" s="12" t="str">
        <f>IFERROR(INDEX(MASTER!$F$2:$F$2000,MATCH($A326,MASTER!$A$2:$A$2000,0))&amp;"","")</f>
        <v>P1</v>
      </c>
      <c r="F326" s="12" t="str">
        <f>IFERROR(INDEX(MASTER!$G$2:$G$2000,MATCH($A326,MASTER!$A$2:$A$2000,0))&amp;"","NOT IN MASTER")</f>
        <v>DONE</v>
      </c>
      <c r="G326" s="12" t="str">
        <f>IFERROR(INDEX(MASTER!$H$2:$H$2000,MATCH($A326,MASTER!$A$2:$A$2000,0))&amp;"","")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326" s="12" t="str">
        <f>IFERROR(INDEX(MASTER!$I$2:$I$2000,MATCH($A326,MASTER!$A$2:$A$2000,0))&amp;"","")</f>
        <v>tests/test_package_check.py (13)</v>
      </c>
      <c r="I326" s="19">
        <f>IFERROR(IF(INDEX(MASTER!$O$2:$O$2000,MATCH($A326,MASTER!$A$2:$A$2000,0))="","",INDEX(MASTER!$O$2:$O$2000,MATCH($A326,MASTER!$A$2:$A$2000,0))),"")</f>
        <v>46292.607662037037</v>
      </c>
      <c r="J326" s="12" t="str">
        <f>IFERROR(INDEX(MASTER!$P$2:$P$2000,MATCH($A326,MASTER!$A$2:$A$2000,0))&amp;"","")</f>
        <v>de23961</v>
      </c>
      <c r="K326" s="12" t="str">
        <f>IFERROR(INDEX(MASTER!$Q$2:$Q$2000,MATCH($A326,MASTER!$A$2:$A$2000,0))&amp;"","")</f>
        <v>The docx skill's XSD validator needs defusedxml (not installed; installing needs a download) - schema-level validation remains open.</v>
      </c>
      <c r="L326" s="12" t="str">
        <f>IFERROR(INDEX(MASTER!$R$2:$R$2000,MATCH($A326,MASTER!$A$2:$A$2000,0))&amp;"","")</f>
        <v/>
      </c>
    </row>
    <row r="327" spans="1:12" x14ac:dyDescent="0.25">
      <c r="A327" s="15" t="s">
        <v>864</v>
      </c>
      <c r="B327" s="12" t="str">
        <f>IFERROR(INDEX(MASTER!$C$2:$C$2000,MATCH($A327,MASTER!$A$2:$A$2000,0))&amp;"","")</f>
        <v>TESTING</v>
      </c>
      <c r="C327" s="16">
        <f>IFERROR(INDEX(MASTER!$B$2:$B$2000,MATCH($A327,MASTER!$A$2:$A$2000,0)),"")</f>
        <v>4</v>
      </c>
      <c r="D327" s="12" t="str">
        <f>IFERROR(INDEX(MASTER!$D$2:$D$2000,MATCH($A327,MASTER!$A$2:$A$2000,0))&amp;"","")</f>
        <v>Security regression suite</v>
      </c>
      <c r="E327" s="12" t="str">
        <f>IFERROR(INDEX(MASTER!$F$2:$F$2000,MATCH($A327,MASTER!$A$2:$A$2000,0))&amp;"","")</f>
        <v>P0</v>
      </c>
      <c r="F327" s="12" t="str">
        <f>IFERROR(INDEX(MASTER!$G$2:$G$2000,MATCH($A327,MASTER!$A$2:$A$2000,0))&amp;"","NOT IN MASTER")</f>
        <v>DONE</v>
      </c>
      <c r="G327" s="12" t="str">
        <f>IFERROR(INDEX(MASTER!$H$2:$H$2000,MATCH($A327,MASTER!$A$2:$A$2000,0))&amp;"","")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327" s="12" t="str">
        <f>IFERROR(INDEX(MASTER!$I$2:$I$2000,MATCH($A327,MASTER!$A$2:$A$2000,0))&amp;"","")</f>
        <v>backend/tests/test_security_suite.py (106); pytest -m security (433)</v>
      </c>
      <c r="I327" s="19">
        <f>IFERROR(IF(INDEX(MASTER!$O$2:$O$2000,MATCH($A327,MASTER!$A$2:$A$2000,0))="","",INDEX(MASTER!$O$2:$O$2000,MATCH($A327,MASTER!$A$2:$A$2000,0))),"")</f>
        <v>46295.975891203707</v>
      </c>
      <c r="J327" s="12" t="str">
        <f>IFERROR(INDEX(MASTER!$P$2:$P$2000,MATCH($A327,MASTER!$A$2:$A$2000,0))&amp;"","")</f>
        <v>d15574f</v>
      </c>
      <c r="K327" s="12" t="str">
        <f>IFERROR(INDEX(MASTER!$Q$2:$Q$2000,MATCH($A327,MASTER!$A$2:$A$2000,0))&amp;"","")</f>
        <v/>
      </c>
      <c r="L327" s="12" t="str">
        <f>IFERROR(INDEX(MASTER!$R$2:$R$2000,MATCH($A327,MASTER!$A$2:$A$2000,0))&amp;"","")</f>
        <v/>
      </c>
    </row>
    <row r="328" spans="1:12" x14ac:dyDescent="0.25">
      <c r="A328" s="15" t="s">
        <v>1312</v>
      </c>
      <c r="B328" s="12" t="str">
        <f>IFERROR(INDEX(MASTER!$C$2:$C$2000,MATCH($A328,MASTER!$A$2:$A$2000,0))&amp;"","")</f>
        <v>TESTING</v>
      </c>
      <c r="C328" s="16">
        <f>IFERROR(INDEX(MASTER!$B$2:$B$2000,MATCH($A328,MASTER!$A$2:$A$2000,0)),"")</f>
        <v>6</v>
      </c>
      <c r="D328" s="12" t="str">
        <f>IFERROR(INDEX(MASTER!$D$2:$D$2000,MATCH($A328,MASTER!$A$2:$A$2000,0))&amp;"","")</f>
        <v>Concurrency tests on PostgreSQL in CI</v>
      </c>
      <c r="E328" s="12" t="str">
        <f>IFERROR(INDEX(MASTER!$F$2:$F$2000,MATCH($A328,MASTER!$A$2:$A$2000,0))&amp;"","")</f>
        <v>P2</v>
      </c>
      <c r="F328" s="12" t="str">
        <f>IFERROR(INDEX(MASTER!$G$2:$G$2000,MATCH($A328,MASTER!$A$2:$A$2000,0))&amp;"","NOT IN MASTER")</f>
        <v>DONE</v>
      </c>
      <c r="G328" s="12" t="str">
        <f>IFERROR(INDEX(MASTER!$H$2:$H$2000,MATCH($A328,MASTER!$A$2:$A$2000,0))&amp;"","")</f>
        <v>backend/tests/conftest.py postgres_sessions, pytest marker postgres, CI migrations job</v>
      </c>
      <c r="H328" s="12" t="str">
        <f>IFERROR(INDEX(MASTER!$I$2:$I$2000,MATCH($A328,MASTER!$A$2:$A$2000,0))&amp;"","")</f>
        <v>tests/test_plan_limits_atomic.py on SQLite and PostgreSQL</v>
      </c>
      <c r="I328" s="19">
        <f>IFERROR(IF(INDEX(MASTER!$O$2:$O$2000,MATCH($A328,MASTER!$A$2:$A$2000,0))="","",INDEX(MASTER!$O$2:$O$2000,MATCH($A328,MASTER!$A$2:$A$2000,0))),"")</f>
        <v>46301.615254629629</v>
      </c>
      <c r="J328" s="12" t="str">
        <f>IFERROR(INDEX(MASTER!$P$2:$P$2000,MATCH($A328,MASTER!$A$2:$A$2000,0))&amp;"","")</f>
        <v>8966ec7</v>
      </c>
      <c r="K328" s="12" t="str">
        <f>IFERROR(INDEX(MASTER!$Q$2:$Q$2000,MATCH($A328,MASTER!$A$2:$A$2000,0))&amp;"","")</f>
        <v>PLAN-003's hold is a row lock on PostgreSQL; verified here only on SQLite (no PostgreSQL on this machine). CI runs only for pull requests and main.</v>
      </c>
      <c r="L328" s="12" t="str">
        <f>IFERROR(INDEX(MASTER!$R$2:$R$2000,MATCH($A328,MASTER!$A$2:$A$2000,0))&amp;"","")</f>
        <v/>
      </c>
    </row>
    <row r="329" spans="1:12" x14ac:dyDescent="0.25">
      <c r="A329" s="15" t="s">
        <v>1349</v>
      </c>
      <c r="B329" s="12" t="str">
        <f>IFERROR(INDEX(MASTER!$C$2:$C$2000,MATCH($A329,MASTER!$A$2:$A$2000,0))&amp;"","")</f>
        <v>TESTING</v>
      </c>
      <c r="C329" s="16">
        <f>IFERROR(INDEX(MASTER!$B$2:$B$2000,MATCH($A329,MASTER!$A$2:$A$2000,0)),"")</f>
        <v>17</v>
      </c>
      <c r="D329" s="12" t="str">
        <f>IFERROR(INDEX(MASTER!$D$2:$D$2000,MATCH($A329,MASTER!$A$2:$A$2000,0))&amp;"","")</f>
        <v>Playwright workflow coverage</v>
      </c>
      <c r="E329" s="12" t="str">
        <f>IFERROR(INDEX(MASTER!$F$2:$F$2000,MATCH($A329,MASTER!$A$2:$A$2000,0))&amp;"","")</f>
        <v>P0</v>
      </c>
      <c r="F329" s="12" t="str">
        <f>IFERROR(INDEX(MASTER!$G$2:$G$2000,MATCH($A329,MASTER!$A$2:$A$2000,0))&amp;"","NOT IN MASTER")</f>
        <v>DONE</v>
      </c>
      <c r="G329" s="12" t="str">
        <f>IFERROR(INDEX(MASTER!$H$2:$H$2000,MATCH($A329,MASTER!$A$2:$A$2000,0))&amp;"","")</f>
        <v>docs/testing/README.md (the 24 workflows mapped), frontend/e2e/workflows.spec.ts</v>
      </c>
      <c r="H329" s="12" t="str">
        <f>IFERROR(INDEX(MASTER!$I$2:$I$2000,MATCH($A329,MASTER!$A$2:$A$2000,0))&amp;"","")</f>
        <v>frontend/e2e/workflows.spec.ts (4); Playwright 42 passed</v>
      </c>
      <c r="I329" s="19">
        <f>IFERROR(IF(INDEX(MASTER!$O$2:$O$2000,MATCH($A329,MASTER!$A$2:$A$2000,0))="","",INDEX(MASTER!$O$2:$O$2000,MATCH($A329,MASTER!$A$2:$A$2000,0))),"")</f>
        <v>46301.640289351853</v>
      </c>
      <c r="J329" s="12" t="str">
        <f>IFERROR(INDEX(MASTER!$P$2:$P$2000,MATCH($A329,MASTER!$A$2:$A$2000,0))&amp;"","")</f>
        <v>a00632e</v>
      </c>
      <c r="K329" s="12" t="str">
        <f>IFERROR(INDEX(MASTER!$Q$2:$Q$2000,MATCH($A329,MASTER!$A$2:$A$2000,0))&amp;"","")</f>
        <v/>
      </c>
      <c r="L329" s="12" t="str">
        <f>IFERROR(INDEX(MASTER!$R$2:$R$2000,MATCH($A329,MASTER!$A$2:$A$2000,0))&amp;"","")</f>
        <v/>
      </c>
    </row>
    <row r="330" spans="1:12" x14ac:dyDescent="0.25">
      <c r="A330" s="15" t="s">
        <v>1355</v>
      </c>
      <c r="B330" s="12" t="str">
        <f>IFERROR(INDEX(MASTER!$C$2:$C$2000,MATCH($A330,MASTER!$A$2:$A$2000,0))&amp;"","")</f>
        <v>TESTING</v>
      </c>
      <c r="C330" s="16">
        <f>IFERROR(INDEX(MASTER!$B$2:$B$2000,MATCH($A330,MASTER!$A$2:$A$2000,0)),"")</f>
        <v>17</v>
      </c>
      <c r="D330" s="12" t="str">
        <f>IFERROR(INDEX(MASTER!$D$2:$D$2000,MATCH($A330,MASTER!$A$2:$A$2000,0))&amp;"","")</f>
        <v>Performance gates</v>
      </c>
      <c r="E330" s="12" t="str">
        <f>IFERROR(INDEX(MASTER!$F$2:$F$2000,MATCH($A330,MASTER!$A$2:$A$2000,0))&amp;"","")</f>
        <v>P1</v>
      </c>
      <c r="F330" s="12" t="str">
        <f>IFERROR(INDEX(MASTER!$G$2:$G$2000,MATCH($A330,MASTER!$A$2:$A$2000,0))&amp;"","NOT IN MASTER")</f>
        <v>DONE</v>
      </c>
      <c r="G330" s="12" t="str">
        <f>IFERROR(INDEX(MASTER!$H$2:$H$2000,MATCH($A330,MASTER!$A$2:$A$2000,0))&amp;"","")</f>
        <v>backend/scripts/perf_gate.py, docs/performance/gates.json, .github/workflows/ci.yml (Performance gate job), docs/performance/README.md + gate-2026-10-07.md; fix in translation/language.py + export/font_resolver.py</v>
      </c>
      <c r="H330" s="12" t="str">
        <f>IFERROR(INDEX(MASTER!$I$2:$I$2000,MATCH($A330,MASTER!$A$2:$A$2000,0))&amp;"","")</f>
        <v>tests/test_perf_gate.py (7), test_multilingual.py fast path; gate run 23b6c56 vs branch: failed (PDF export 500 blocks +66%), fixed, passed (0.377 vs 0.385 s)</v>
      </c>
      <c r="I330" s="19">
        <f>IFERROR(IF(INDEX(MASTER!$O$2:$O$2000,MATCH($A330,MASTER!$A$2:$A$2000,0))="","",INDEX(MASTER!$O$2:$O$2000,MATCH($A330,MASTER!$A$2:$A$2000,0))),"")</f>
        <v>46302.367442129631</v>
      </c>
      <c r="J330" s="12" t="str">
        <f>IFERROR(INDEX(MASTER!$P$2:$P$2000,MATCH($A330,MASTER!$A$2:$A$2000,0))&amp;"","")</f>
        <v>570a2da</v>
      </c>
      <c r="K330" s="12" t="str">
        <f>IFERROR(INDEX(MASTER!$Q$2:$Q$2000,MATCH($A330,MASTER!$A$2:$A$2000,0))&amp;"","")</f>
        <v>2026-10-07: gates against a same-machine baseline (CI: base and head on one runner); another machine's numbers refused. Found and fixed a real Phase 11 regression.</v>
      </c>
      <c r="L330" s="12" t="str">
        <f>IFERROR(INDEX(MASTER!$R$2:$R$2000,MATCH($A330,MASTER!$A$2:$A$2000,0))&amp;"","")</f>
        <v/>
      </c>
    </row>
    <row r="331" spans="1:12" x14ac:dyDescent="0.25">
      <c r="A331" s="15" t="s">
        <v>1362</v>
      </c>
      <c r="B331" s="12" t="str">
        <f>IFERROR(INDEX(MASTER!$C$2:$C$2000,MATCH($A331,MASTER!$A$2:$A$2000,0))&amp;"","")</f>
        <v>TESTING</v>
      </c>
      <c r="C331" s="16">
        <f>IFERROR(INDEX(MASTER!$B$2:$B$2000,MATCH($A331,MASTER!$A$2:$A$2000,0)),"")</f>
        <v>17</v>
      </c>
      <c r="D331" s="12" t="str">
        <f>IFERROR(INDEX(MASTER!$D$2:$D$2000,MATCH($A331,MASTER!$A$2:$A$2000,0))&amp;"","")</f>
        <v>Browser matrix</v>
      </c>
      <c r="E331" s="12" t="str">
        <f>IFERROR(INDEX(MASTER!$F$2:$F$2000,MATCH($A331,MASTER!$A$2:$A$2000,0))&amp;"","")</f>
        <v>P2</v>
      </c>
      <c r="F331" s="12" t="str">
        <f>IFERROR(INDEX(MASTER!$G$2:$G$2000,MATCH($A331,MASTER!$A$2:$A$2000,0))&amp;"","NOT IN MASTER")</f>
        <v>IMPLEMENTED</v>
      </c>
      <c r="G331" s="12" t="str">
        <f>IFERROR(INDEX(MASTER!$H$2:$H$2000,MATCH($A331,MASTER!$A$2:$A$2000,0))&amp;"","")</f>
        <v>frontend/playwright.config.ts projects from E2E_BROWSERS (chromium|firefox|webkit, unknown refused); .github/workflows/ci.yml e2e matrix [chromium, firefox, webkit], fail-fast off, report artifact per browser; visual baseline Chromium-only (editor-complex-academic-chromium-win32.png)</v>
      </c>
      <c r="H331" s="12" t="str">
        <f>IFERROR(INDEX(MASTER!$I$2:$I$2000,MATCH($A331,MASTER!$A$2:$A$2000,0))&amp;"","")</f>
        <v>npx playwright test (Edge/Chromium): 56 passed, 1 skipped (perf opt-in); --list: 57 tests per browser, 171 with all three. Firefox and WebKit runs await the CI matrix (no local Playwright browsers; downloading them needs Boril's OK)</v>
      </c>
      <c r="I331" s="19" t="str">
        <f>IFERROR(IF(INDEX(MASTER!$O$2:$O$2000,MATCH($A331,MASTER!$A$2:$A$2000,0))="","",INDEX(MASTER!$O$2:$O$2000,MATCH($A331,MASTER!$A$2:$A$2000,0))),"")</f>
        <v/>
      </c>
      <c r="J331" s="12" t="str">
        <f>IFERROR(INDEX(MASTER!$P$2:$P$2000,MATCH($A331,MASTER!$A$2:$A$2000,0))&amp;"","")</f>
        <v>a8cbb18</v>
      </c>
      <c r="K331" s="12" t="str">
        <f>IFERROR(INDEX(MASTER!$Q$2:$Q$2000,MATCH($A331,MASTER!$A$2:$A$2000,0))&amp;"","")</f>
        <v/>
      </c>
      <c r="L331" s="12" t="str">
        <f>IFERROR(INDEX(MASTER!$R$2:$R$2000,MATCH($A331,MASTER!$A$2:$A$2000,0))&amp;"","")</f>
        <v/>
      </c>
    </row>
    <row r="332" spans="1:12" x14ac:dyDescent="0.25">
      <c r="A332" s="15" t="s">
        <v>1368</v>
      </c>
      <c r="B332" s="12" t="str">
        <f>IFERROR(INDEX(MASTER!$C$2:$C$2000,MATCH($A332,MASTER!$A$2:$A$2000,0))&amp;"","")</f>
        <v>TESTING</v>
      </c>
      <c r="C332" s="16">
        <f>IFERROR(INDEX(MASTER!$B$2:$B$2000,MATCH($A332,MASTER!$A$2:$A$2000,0)),"")</f>
        <v>17</v>
      </c>
      <c r="D332" s="12" t="str">
        <f>IFERROR(INDEX(MASTER!$D$2:$D$2000,MATCH($A332,MASTER!$A$2:$A$2000,0))&amp;"","")</f>
        <v>E2E backend removes its temp directory</v>
      </c>
      <c r="E332" s="12" t="str">
        <f>IFERROR(INDEX(MASTER!$F$2:$F$2000,MATCH($A332,MASTER!$A$2:$A$2000,0))&amp;"","")</f>
        <v>P3</v>
      </c>
      <c r="F332" s="12" t="str">
        <f>IFERROR(INDEX(MASTER!$G$2:$G$2000,MATCH($A332,MASTER!$A$2:$A$2000,0))&amp;"","NOT IN MASTER")</f>
        <v>DONE</v>
      </c>
      <c r="G332" s="12" t="str">
        <f>IFERROR(INDEX(MASTER!$H$2:$H$2000,MATCH($A332,MASTER!$A$2:$A$2000,0))&amp;"","")</f>
        <v>backend/scripts/e2e_server.py: sweep(temp, keep, now) at start (prefix smartdoc-e2e-, e2e.db or empty, untouched STALE_HOURS=6, the E2E_OUTBOX_DIR kept, errors skipped), own directory removed in a finally after uvicorn stops; first real run: 'Removed 110 directories earlier end-to-end runs left' (216 -&gt; 107, the rest younger than 6 h); README</v>
      </c>
      <c r="H332" s="12" t="str">
        <f>IFERROR(INDEX(MASTER!$I$2:$I$2000,MATCH($A332,MASTER!$A$2:$A$2000,0))&amp;"","")</f>
        <v>backend tests/test_e2e_server.py (1: old database dir and old empty dir removed; a running one, the outbox with mail, a foreign dir, a non-matching name and a file kept); Playwright auth.spec through the new server: passed</v>
      </c>
      <c r="I332" s="19">
        <f>IFERROR(IF(INDEX(MASTER!$O$2:$O$2000,MATCH($A332,MASTER!$A$2:$A$2000,0))="","",INDEX(MASTER!$O$2:$O$2000,MATCH($A332,MASTER!$A$2:$A$2000,0))),"")</f>
        <v>46303.07099537037</v>
      </c>
      <c r="J332" s="12" t="str">
        <f>IFERROR(INDEX(MASTER!$P$2:$P$2000,MATCH($A332,MASTER!$A$2:$A$2000,0))&amp;"","")</f>
        <v>52849b9</v>
      </c>
      <c r="K332" s="12" t="str">
        <f>IFERROR(INDEX(MASTER!$Q$2:$Q$2000,MATCH($A332,MASTER!$A$2:$A$2000,0))&amp;"","")</f>
        <v/>
      </c>
      <c r="L332" s="12" t="str">
        <f>IFERROR(INDEX(MASTER!$R$2:$R$2000,MATCH($A332,MASTER!$A$2:$A$2000,0))&amp;"","")</f>
        <v/>
      </c>
    </row>
  </sheetData>
  <autoFilter ref="A315:L332" xr:uid="{00000000-0009-0000-0000-00000B000000}"/>
  <conditionalFormatting sqref="C8:C311">
    <cfRule type="cellIs" dxfId="148" priority="1" operator="equal">
      <formula>"PASS"</formula>
    </cfRule>
    <cfRule type="cellIs" dxfId="147" priority="2" operator="equal">
      <formula>"FAIL"</formula>
    </cfRule>
    <cfRule type="cellIs" dxfId="146" priority="3" operator="equal">
      <formula>"PARTIAL"</formula>
    </cfRule>
  </conditionalFormatting>
  <conditionalFormatting sqref="E316:E332">
    <cfRule type="cellIs" dxfId="145" priority="22" operator="equal">
      <formula>"P0"</formula>
    </cfRule>
    <cfRule type="cellIs" dxfId="144" priority="23" operator="equal">
      <formula>"P1"</formula>
    </cfRule>
  </conditionalFormatting>
  <conditionalFormatting sqref="F316:F332">
    <cfRule type="cellIs" dxfId="143" priority="4" operator="equal">
      <formula>"DONE"</formula>
    </cfRule>
    <cfRule type="cellIs" dxfId="142" priority="5" operator="equal">
      <formula>"VERIFIED"</formula>
    </cfRule>
    <cfRule type="cellIs" dxfId="141" priority="6" operator="equal">
      <formula>"IN_PROGRESS"</formula>
    </cfRule>
    <cfRule type="cellIs" dxfId="140" priority="7" operator="equal">
      <formula>"IMPLEMENTED"</formula>
    </cfRule>
    <cfRule type="cellIs" dxfId="139" priority="8" operator="equal">
      <formula>"TESTING"</formula>
    </cfRule>
    <cfRule type="cellIs" dxfId="138" priority="9" operator="equal">
      <formula>"BLOCKED"</formula>
    </cfRule>
    <cfRule type="cellIs" dxfId="137" priority="10" operator="equal">
      <formula>"FAILED"</formula>
    </cfRule>
    <cfRule type="cellIs" dxfId="136" priority="11" operator="equal">
      <formula>"DEFERRED"</formula>
    </cfRule>
    <cfRule type="cellIs" dxfId="135" priority="12" operator="equal">
      <formula>"UNKNOWN"</formula>
    </cfRule>
    <cfRule type="cellIs" dxfId="134" priority="13" operator="equal">
      <formula>"PASS"</formula>
    </cfRule>
    <cfRule type="cellIs" dxfId="133" priority="14" operator="equal">
      <formula>"FAIL"</formula>
    </cfRule>
    <cfRule type="cellIs" dxfId="132" priority="15" operator="equal">
      <formula>"PARTIAL"</formula>
    </cfRule>
    <cfRule type="cellIs" dxfId="131" priority="16" operator="equal">
      <formula>"RESOLVED"</formula>
    </cfRule>
    <cfRule type="cellIs" dxfId="130" priority="17" operator="equal">
      <formula>"OPEN"</formula>
    </cfRule>
    <cfRule type="cellIs" dxfId="129" priority="18" operator="equal">
      <formula>"WITHIN"</formula>
    </cfRule>
    <cfRule type="cellIs" dxfId="128" priority="19" operator="equal">
      <formula>"OVER"</formula>
    </cfRule>
    <cfRule type="cellIs" dxfId="127" priority="20" operator="equal">
      <formula>"NOW"</formula>
    </cfRule>
    <cfRule type="cellIs" dxfId="126" priority="21" operator="equal">
      <formula>"NOT IN MASTER"</formula>
    </cfRule>
  </conditionalFormatting>
  <dataValidations count="1">
    <dataValidation type="list" allowBlank="1" showErrorMessage="1" errorTitle="Invalid result" error="Pick a result from the list." sqref="C8:C311"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2155</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5</v>
      </c>
      <c r="C4" s="7">
        <f>COUNTIFS(MASTER!$C$2:$C$2000,"PRODUCT",MASTER!$G$2:$G$2000,"VERIFIED")+B4</f>
        <v>5</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1</v>
      </c>
      <c r="H4" s="9">
        <f>IF(A4=0,0,C4/A4)</f>
        <v>1</v>
      </c>
    </row>
    <row r="6" spans="1:8" ht="15.75" x14ac:dyDescent="0.25">
      <c r="A6" s="5" t="s">
        <v>2156</v>
      </c>
    </row>
    <row r="7" spans="1:8" ht="25.5" x14ac:dyDescent="0.25">
      <c r="A7" s="10" t="s">
        <v>2157</v>
      </c>
      <c r="B7" s="10" t="s">
        <v>2158</v>
      </c>
      <c r="C7" s="10" t="s">
        <v>2159</v>
      </c>
      <c r="D7" s="10" t="s">
        <v>2160</v>
      </c>
      <c r="E7" s="10" t="s">
        <v>2161</v>
      </c>
      <c r="F7" s="10" t="s">
        <v>178</v>
      </c>
    </row>
    <row r="8" spans="1:8" x14ac:dyDescent="0.25">
      <c r="A8" s="15" t="s">
        <v>2162</v>
      </c>
      <c r="B8" s="12" t="s">
        <v>2163</v>
      </c>
      <c r="C8" s="18" t="s">
        <v>2164</v>
      </c>
      <c r="D8" s="16">
        <f>SUMPRODUCT(ISNUMBER(SEARCH(","&amp;MASTER!$A$2:$A$2000&amp;",",","&amp;SUBSTITUTE($C8," ","")&amp;","))*((MASTER!$G$2:$G$2000="DONE")))</f>
        <v>3</v>
      </c>
      <c r="E8" s="16">
        <f t="shared" ref="E8:E39" si="0">IF(LEN(SUBSTITUTE($C8," ",""))=0,0,LEN(SUBSTITUTE($C8," ",""))-LEN(SUBSTITUTE(SUBSTITUTE($C8," ",""),",",""))+1)</f>
        <v>3</v>
      </c>
      <c r="F8" s="18" t="s">
        <v>2165</v>
      </c>
    </row>
    <row r="9" spans="1:8" x14ac:dyDescent="0.25">
      <c r="A9" s="15" t="s">
        <v>2166</v>
      </c>
      <c r="B9" s="12" t="s">
        <v>2163</v>
      </c>
      <c r="C9" s="18" t="s">
        <v>2167</v>
      </c>
      <c r="D9" s="16">
        <f>SUMPRODUCT(ISNUMBER(SEARCH(","&amp;MASTER!$A$2:$A$2000&amp;",",","&amp;SUBSTITUTE($C9," ","")&amp;","))*((MASTER!$G$2:$G$2000="DONE")))</f>
        <v>2</v>
      </c>
      <c r="E9" s="16">
        <f t="shared" si="0"/>
        <v>2</v>
      </c>
      <c r="F9" s="18" t="s">
        <v>2168</v>
      </c>
    </row>
    <row r="10" spans="1:8" x14ac:dyDescent="0.25">
      <c r="A10" s="15" t="s">
        <v>2169</v>
      </c>
      <c r="B10" s="12" t="s">
        <v>2163</v>
      </c>
      <c r="C10" s="18" t="s">
        <v>2170</v>
      </c>
      <c r="D10" s="16">
        <f>SUMPRODUCT(ISNUMBER(SEARCH(","&amp;MASTER!$A$2:$A$2000&amp;",",","&amp;SUBSTITUTE($C10," ","")&amp;","))*((MASTER!$G$2:$G$2000="DONE")))</f>
        <v>3</v>
      </c>
      <c r="E10" s="16">
        <f t="shared" si="0"/>
        <v>3</v>
      </c>
      <c r="F10" s="18" t="s">
        <v>2171</v>
      </c>
    </row>
    <row r="11" spans="1:8" x14ac:dyDescent="0.25">
      <c r="A11" s="15" t="s">
        <v>2172</v>
      </c>
      <c r="B11" s="12" t="s">
        <v>2163</v>
      </c>
      <c r="C11" s="18" t="s">
        <v>2173</v>
      </c>
      <c r="D11" s="16">
        <f>SUMPRODUCT(ISNUMBER(SEARCH(","&amp;MASTER!$A$2:$A$2000&amp;",",","&amp;SUBSTITUTE($C11," ","")&amp;","))*((MASTER!$G$2:$G$2000="DONE")))</f>
        <v>3</v>
      </c>
      <c r="E11" s="16">
        <f t="shared" si="0"/>
        <v>3</v>
      </c>
      <c r="F11" s="18" t="s">
        <v>2174</v>
      </c>
    </row>
    <row r="12" spans="1:8" x14ac:dyDescent="0.25">
      <c r="A12" s="15" t="s">
        <v>2175</v>
      </c>
      <c r="B12" s="12" t="s">
        <v>2163</v>
      </c>
      <c r="C12" s="18" t="s">
        <v>2176</v>
      </c>
      <c r="D12" s="16">
        <f>SUMPRODUCT(ISNUMBER(SEARCH(","&amp;MASTER!$A$2:$A$2000&amp;",",","&amp;SUBSTITUTE($C12," ","")&amp;","))*((MASTER!$G$2:$G$2000="DONE")))</f>
        <v>2</v>
      </c>
      <c r="E12" s="16">
        <f t="shared" si="0"/>
        <v>2</v>
      </c>
      <c r="F12" s="18" t="s">
        <v>2177</v>
      </c>
    </row>
    <row r="13" spans="1:8" x14ac:dyDescent="0.25">
      <c r="A13" s="15" t="s">
        <v>77</v>
      </c>
      <c r="B13" s="12" t="s">
        <v>2163</v>
      </c>
      <c r="C13" s="18" t="s">
        <v>2178</v>
      </c>
      <c r="D13" s="16">
        <f>SUMPRODUCT(ISNUMBER(SEARCH(","&amp;MASTER!$A$2:$A$2000&amp;",",","&amp;SUBSTITUTE($C13," ","")&amp;","))*((MASTER!$G$2:$G$2000="DONE")))</f>
        <v>2</v>
      </c>
      <c r="E13" s="16">
        <f t="shared" si="0"/>
        <v>2</v>
      </c>
      <c r="F13" s="18" t="s">
        <v>2179</v>
      </c>
    </row>
    <row r="14" spans="1:8" x14ac:dyDescent="0.25">
      <c r="A14" s="15" t="s">
        <v>1176</v>
      </c>
      <c r="B14" s="12" t="s">
        <v>2163</v>
      </c>
      <c r="C14" s="18" t="s">
        <v>2180</v>
      </c>
      <c r="D14" s="16">
        <f>SUMPRODUCT(ISNUMBER(SEARCH(","&amp;MASTER!$A$2:$A$2000&amp;",",","&amp;SUBSTITUTE($C14," ","")&amp;","))*((MASTER!$G$2:$G$2000="DONE")))</f>
        <v>2</v>
      </c>
      <c r="E14" s="16">
        <f t="shared" si="0"/>
        <v>2</v>
      </c>
      <c r="F14" s="18" t="s">
        <v>2181</v>
      </c>
    </row>
    <row r="15" spans="1:8" x14ac:dyDescent="0.25">
      <c r="A15" s="15" t="s">
        <v>2182</v>
      </c>
      <c r="B15" s="12" t="s">
        <v>2163</v>
      </c>
      <c r="C15" s="18" t="s">
        <v>2183</v>
      </c>
      <c r="D15" s="16">
        <f>SUMPRODUCT(ISNUMBER(SEARCH(","&amp;MASTER!$A$2:$A$2000&amp;",",","&amp;SUBSTITUTE($C15," ","")&amp;","))*((MASTER!$G$2:$G$2000="DONE")))</f>
        <v>2</v>
      </c>
      <c r="E15" s="16">
        <f t="shared" si="0"/>
        <v>2</v>
      </c>
      <c r="F15" s="18" t="s">
        <v>2184</v>
      </c>
    </row>
    <row r="16" spans="1:8" x14ac:dyDescent="0.25">
      <c r="A16" s="15" t="s">
        <v>86</v>
      </c>
      <c r="B16" s="12" t="s">
        <v>2163</v>
      </c>
      <c r="C16" s="18" t="s">
        <v>2185</v>
      </c>
      <c r="D16" s="16">
        <f>SUMPRODUCT(ISNUMBER(SEARCH(","&amp;MASTER!$A$2:$A$2000&amp;",",","&amp;SUBSTITUTE($C16," ","")&amp;","))*((MASTER!$G$2:$G$2000="DONE")))</f>
        <v>2</v>
      </c>
      <c r="E16" s="16">
        <f t="shared" si="0"/>
        <v>2</v>
      </c>
      <c r="F16" s="18" t="s">
        <v>2186</v>
      </c>
    </row>
    <row r="17" spans="1:6" x14ac:dyDescent="0.25">
      <c r="A17" s="15" t="s">
        <v>83</v>
      </c>
      <c r="B17" s="12" t="s">
        <v>2163</v>
      </c>
      <c r="C17" s="18" t="s">
        <v>2187</v>
      </c>
      <c r="D17" s="16">
        <f>SUMPRODUCT(ISNUMBER(SEARCH(","&amp;MASTER!$A$2:$A$2000&amp;",",","&amp;SUBSTITUTE($C17," ","")&amp;","))*((MASTER!$G$2:$G$2000="DONE")))</f>
        <v>3</v>
      </c>
      <c r="E17" s="16">
        <f t="shared" si="0"/>
        <v>3</v>
      </c>
      <c r="F17" s="18" t="s">
        <v>2188</v>
      </c>
    </row>
    <row r="18" spans="1:6" x14ac:dyDescent="0.25">
      <c r="A18" s="15" t="s">
        <v>2189</v>
      </c>
      <c r="B18" s="12" t="s">
        <v>2163</v>
      </c>
      <c r="C18" s="18" t="s">
        <v>1073</v>
      </c>
      <c r="D18" s="16">
        <f>SUMPRODUCT(ISNUMBER(SEARCH(","&amp;MASTER!$A$2:$A$2000&amp;",",","&amp;SUBSTITUTE($C18," ","")&amp;","))*((MASTER!$G$2:$G$2000="DONE")))</f>
        <v>1</v>
      </c>
      <c r="E18" s="16">
        <f t="shared" si="0"/>
        <v>1</v>
      </c>
      <c r="F18" s="18" t="s">
        <v>2190</v>
      </c>
    </row>
    <row r="19" spans="1:6" x14ac:dyDescent="0.25">
      <c r="A19" s="15" t="s">
        <v>2191</v>
      </c>
      <c r="B19" s="12" t="s">
        <v>2163</v>
      </c>
      <c r="C19" s="18" t="s">
        <v>2192</v>
      </c>
      <c r="D19" s="16">
        <f>SUMPRODUCT(ISNUMBER(SEARCH(","&amp;MASTER!$A$2:$A$2000&amp;",",","&amp;SUBSTITUTE($C19," ","")&amp;","))*((MASTER!$G$2:$G$2000="DONE")))</f>
        <v>2</v>
      </c>
      <c r="E19" s="16">
        <f t="shared" si="0"/>
        <v>2</v>
      </c>
      <c r="F19" s="18" t="s">
        <v>2193</v>
      </c>
    </row>
    <row r="20" spans="1:6" x14ac:dyDescent="0.25">
      <c r="A20" s="15" t="s">
        <v>2194</v>
      </c>
      <c r="B20" s="12" t="s">
        <v>2163</v>
      </c>
      <c r="C20" s="18" t="s">
        <v>2195</v>
      </c>
      <c r="D20" s="16">
        <f>SUMPRODUCT(ISNUMBER(SEARCH(","&amp;MASTER!$A$2:$A$2000&amp;",",","&amp;SUBSTITUTE($C20," ","")&amp;","))*((MASTER!$G$2:$G$2000="DONE")))</f>
        <v>2</v>
      </c>
      <c r="E20" s="16">
        <f t="shared" si="0"/>
        <v>2</v>
      </c>
      <c r="F20" s="18" t="s">
        <v>2196</v>
      </c>
    </row>
    <row r="21" spans="1:6" x14ac:dyDescent="0.25">
      <c r="A21" s="15" t="s">
        <v>2197</v>
      </c>
      <c r="B21" s="12" t="s">
        <v>2163</v>
      </c>
      <c r="C21" s="18" t="s">
        <v>1179</v>
      </c>
      <c r="D21" s="16">
        <f>SUMPRODUCT(ISNUMBER(SEARCH(","&amp;MASTER!$A$2:$A$2000&amp;",",","&amp;SUBSTITUTE($C21," ","")&amp;","))*((MASTER!$G$2:$G$2000="DONE")))</f>
        <v>1</v>
      </c>
      <c r="E21" s="16">
        <f t="shared" si="0"/>
        <v>1</v>
      </c>
      <c r="F21" s="18" t="s">
        <v>2196</v>
      </c>
    </row>
    <row r="22" spans="1:6" x14ac:dyDescent="0.25">
      <c r="A22" s="15" t="s">
        <v>2198</v>
      </c>
      <c r="B22" s="12" t="s">
        <v>2163</v>
      </c>
      <c r="C22" s="18" t="s">
        <v>1139</v>
      </c>
      <c r="D22" s="16">
        <f>SUMPRODUCT(ISNUMBER(SEARCH(","&amp;MASTER!$A$2:$A$2000&amp;",",","&amp;SUBSTITUTE($C22," ","")&amp;","))*((MASTER!$G$2:$G$2000="DONE")))</f>
        <v>1</v>
      </c>
      <c r="E22" s="16">
        <f t="shared" si="0"/>
        <v>1</v>
      </c>
      <c r="F22" s="18" t="s">
        <v>2199</v>
      </c>
    </row>
    <row r="23" spans="1:6" x14ac:dyDescent="0.25">
      <c r="A23" s="15" t="s">
        <v>2200</v>
      </c>
      <c r="B23" s="12" t="s">
        <v>2163</v>
      </c>
      <c r="C23" s="18" t="s">
        <v>1139</v>
      </c>
      <c r="D23" s="16">
        <f>SUMPRODUCT(ISNUMBER(SEARCH(","&amp;MASTER!$A$2:$A$2000&amp;",",","&amp;SUBSTITUTE($C23," ","")&amp;","))*((MASTER!$G$2:$G$2000="DONE")))</f>
        <v>1</v>
      </c>
      <c r="E23" s="16">
        <f t="shared" si="0"/>
        <v>1</v>
      </c>
      <c r="F23" s="18" t="s">
        <v>2199</v>
      </c>
    </row>
    <row r="24" spans="1:6" x14ac:dyDescent="0.25">
      <c r="A24" s="15" t="s">
        <v>2201</v>
      </c>
      <c r="B24" s="12" t="s">
        <v>2163</v>
      </c>
      <c r="C24" s="18" t="s">
        <v>630</v>
      </c>
      <c r="D24" s="16">
        <f>SUMPRODUCT(ISNUMBER(SEARCH(","&amp;MASTER!$A$2:$A$2000&amp;",",","&amp;SUBSTITUTE($C24," ","")&amp;","))*((MASTER!$G$2:$G$2000="DONE")))</f>
        <v>1</v>
      </c>
      <c r="E24" s="16">
        <f t="shared" si="0"/>
        <v>1</v>
      </c>
      <c r="F24" s="18" t="s">
        <v>2202</v>
      </c>
    </row>
    <row r="25" spans="1:6" x14ac:dyDescent="0.25">
      <c r="A25" s="15" t="s">
        <v>2203</v>
      </c>
      <c r="B25" s="12" t="s">
        <v>2163</v>
      </c>
      <c r="C25" s="18" t="s">
        <v>630</v>
      </c>
      <c r="D25" s="16">
        <f>SUMPRODUCT(ISNUMBER(SEARCH(","&amp;MASTER!$A$2:$A$2000&amp;",",","&amp;SUBSTITUTE($C25," ","")&amp;","))*((MASTER!$G$2:$G$2000="DONE")))</f>
        <v>1</v>
      </c>
      <c r="E25" s="16">
        <f t="shared" si="0"/>
        <v>1</v>
      </c>
      <c r="F25" s="18" t="s">
        <v>2204</v>
      </c>
    </row>
    <row r="26" spans="1:6" x14ac:dyDescent="0.25">
      <c r="A26" s="15" t="s">
        <v>2205</v>
      </c>
      <c r="B26" s="12" t="s">
        <v>2163</v>
      </c>
      <c r="C26" s="18" t="s">
        <v>668</v>
      </c>
      <c r="D26" s="16">
        <f>SUMPRODUCT(ISNUMBER(SEARCH(","&amp;MASTER!$A$2:$A$2000&amp;",",","&amp;SUBSTITUTE($C26," ","")&amp;","))*((MASTER!$G$2:$G$2000="DONE")))</f>
        <v>1</v>
      </c>
      <c r="E26" s="16">
        <f t="shared" si="0"/>
        <v>1</v>
      </c>
      <c r="F26" s="18" t="s">
        <v>2206</v>
      </c>
    </row>
    <row r="27" spans="1:6" ht="25.5" x14ac:dyDescent="0.25">
      <c r="A27" s="15" t="s">
        <v>2207</v>
      </c>
      <c r="B27" s="12" t="s">
        <v>2163</v>
      </c>
      <c r="C27" s="18" t="s">
        <v>1535</v>
      </c>
      <c r="D27" s="16">
        <f>SUMPRODUCT(ISNUMBER(SEARCH(","&amp;MASTER!$A$2:$A$2000&amp;",",","&amp;SUBSTITUTE($C27," ","")&amp;","))*((MASTER!$G$2:$G$2000="DONE")))</f>
        <v>2</v>
      </c>
      <c r="E27" s="16">
        <f t="shared" si="0"/>
        <v>2</v>
      </c>
      <c r="F27" s="18" t="s">
        <v>2208</v>
      </c>
    </row>
    <row r="28" spans="1:6" x14ac:dyDescent="0.25">
      <c r="A28" s="15" t="s">
        <v>2209</v>
      </c>
      <c r="B28" s="12" t="s">
        <v>2210</v>
      </c>
      <c r="C28" s="18"/>
      <c r="D28" s="16">
        <f>SUMPRODUCT(ISNUMBER(SEARCH(","&amp;MASTER!$A$2:$A$2000&amp;",",","&amp;SUBSTITUTE($C28," ","")&amp;","))*((MASTER!$G$2:$G$2000="DONE")))</f>
        <v>0</v>
      </c>
      <c r="E28" s="16">
        <f t="shared" si="0"/>
        <v>0</v>
      </c>
      <c r="F28" s="18" t="s">
        <v>2211</v>
      </c>
    </row>
    <row r="29" spans="1:6" x14ac:dyDescent="0.25">
      <c r="A29" s="15" t="s">
        <v>2212</v>
      </c>
      <c r="B29" s="12" t="s">
        <v>2210</v>
      </c>
      <c r="C29" s="18"/>
      <c r="D29" s="16">
        <f>SUMPRODUCT(ISNUMBER(SEARCH(","&amp;MASTER!$A$2:$A$2000&amp;",",","&amp;SUBSTITUTE($C29," ","")&amp;","))*((MASTER!$G$2:$G$2000="DONE")))</f>
        <v>0</v>
      </c>
      <c r="E29" s="16">
        <f t="shared" si="0"/>
        <v>0</v>
      </c>
      <c r="F29" s="18"/>
    </row>
    <row r="30" spans="1:6" x14ac:dyDescent="0.25">
      <c r="A30" s="15" t="s">
        <v>1260</v>
      </c>
      <c r="B30" s="12" t="s">
        <v>2210</v>
      </c>
      <c r="C30" s="18" t="s">
        <v>1259</v>
      </c>
      <c r="D30" s="16">
        <f>SUMPRODUCT(ISNUMBER(SEARCH(","&amp;MASTER!$A$2:$A$2000&amp;",",","&amp;SUBSTITUTE($C30," ","")&amp;","))*((MASTER!$G$2:$G$2000="DONE")))</f>
        <v>1</v>
      </c>
      <c r="E30" s="16">
        <f t="shared" si="0"/>
        <v>1</v>
      </c>
      <c r="F30" s="18" t="s">
        <v>2213</v>
      </c>
    </row>
    <row r="31" spans="1:6" x14ac:dyDescent="0.25">
      <c r="A31" s="15" t="s">
        <v>1268</v>
      </c>
      <c r="B31" s="12" t="s">
        <v>2210</v>
      </c>
      <c r="C31" s="18" t="s">
        <v>1267</v>
      </c>
      <c r="D31" s="16">
        <f>SUMPRODUCT(ISNUMBER(SEARCH(","&amp;MASTER!$A$2:$A$2000&amp;",",","&amp;SUBSTITUTE($C31," ","")&amp;","))*((MASTER!$G$2:$G$2000="DONE")))</f>
        <v>1</v>
      </c>
      <c r="E31" s="16">
        <f t="shared" si="0"/>
        <v>1</v>
      </c>
      <c r="F31" s="18" t="s">
        <v>2213</v>
      </c>
    </row>
    <row r="32" spans="1:6" x14ac:dyDescent="0.25">
      <c r="A32" s="15" t="s">
        <v>1275</v>
      </c>
      <c r="B32" s="12" t="s">
        <v>2210</v>
      </c>
      <c r="C32" s="18" t="s">
        <v>1274</v>
      </c>
      <c r="D32" s="16">
        <f>SUMPRODUCT(ISNUMBER(SEARCH(","&amp;MASTER!$A$2:$A$2000&amp;",",","&amp;SUBSTITUTE($C32," ","")&amp;","))*((MASTER!$G$2:$G$2000="DONE")))</f>
        <v>1</v>
      </c>
      <c r="E32" s="16">
        <f t="shared" si="0"/>
        <v>1</v>
      </c>
      <c r="F32" s="18" t="s">
        <v>2214</v>
      </c>
    </row>
    <row r="33" spans="1:6" x14ac:dyDescent="0.25">
      <c r="A33" s="15" t="s">
        <v>1247</v>
      </c>
      <c r="B33" s="12" t="s">
        <v>2210</v>
      </c>
      <c r="C33" s="18" t="s">
        <v>1246</v>
      </c>
      <c r="D33" s="16">
        <f>SUMPRODUCT(ISNUMBER(SEARCH(","&amp;MASTER!$A$2:$A$2000&amp;",",","&amp;SUBSTITUTE($C33," ","")&amp;","))*((MASTER!$G$2:$G$2000="DONE")))</f>
        <v>1</v>
      </c>
      <c r="E33" s="16">
        <f t="shared" si="0"/>
        <v>1</v>
      </c>
      <c r="F33" s="18" t="s">
        <v>2211</v>
      </c>
    </row>
    <row r="34" spans="1:6" x14ac:dyDescent="0.25">
      <c r="A34" s="15" t="s">
        <v>2215</v>
      </c>
      <c r="B34" s="12" t="s">
        <v>2210</v>
      </c>
      <c r="C34" s="18" t="s">
        <v>1246</v>
      </c>
      <c r="D34" s="16">
        <f>SUMPRODUCT(ISNUMBER(SEARCH(","&amp;MASTER!$A$2:$A$2000&amp;",",","&amp;SUBSTITUTE($C34," ","")&amp;","))*((MASTER!$G$2:$G$2000="DONE")))</f>
        <v>1</v>
      </c>
      <c r="E34" s="16">
        <f t="shared" si="0"/>
        <v>1</v>
      </c>
      <c r="F34" s="18"/>
    </row>
    <row r="35" spans="1:6" x14ac:dyDescent="0.25">
      <c r="A35" s="15" t="s">
        <v>2216</v>
      </c>
      <c r="B35" s="12" t="s">
        <v>2210</v>
      </c>
      <c r="C35" s="18" t="s">
        <v>1246</v>
      </c>
      <c r="D35" s="16">
        <f>SUMPRODUCT(ISNUMBER(SEARCH(","&amp;MASTER!$A$2:$A$2000&amp;",",","&amp;SUBSTITUTE($C35," ","")&amp;","))*((MASTER!$G$2:$G$2000="DONE")))</f>
        <v>1</v>
      </c>
      <c r="E35" s="16">
        <f t="shared" si="0"/>
        <v>1</v>
      </c>
      <c r="F35" s="18"/>
    </row>
    <row r="36" spans="1:6" x14ac:dyDescent="0.25">
      <c r="A36" s="15" t="s">
        <v>1281</v>
      </c>
      <c r="B36" s="12" t="s">
        <v>2210</v>
      </c>
      <c r="C36" s="18" t="s">
        <v>1280</v>
      </c>
      <c r="D36" s="16">
        <f>SUMPRODUCT(ISNUMBER(SEARCH(","&amp;MASTER!$A$2:$A$2000&amp;",",","&amp;SUBSTITUTE($C36," ","")&amp;","))*((MASTER!$G$2:$G$2000="DONE")))</f>
        <v>1</v>
      </c>
      <c r="E36" s="16">
        <f t="shared" si="0"/>
        <v>1</v>
      </c>
      <c r="F36" s="18" t="s">
        <v>2217</v>
      </c>
    </row>
    <row r="37" spans="1:6" x14ac:dyDescent="0.25">
      <c r="A37" s="15" t="s">
        <v>2218</v>
      </c>
      <c r="B37" s="12" t="s">
        <v>2210</v>
      </c>
      <c r="C37" s="18" t="s">
        <v>1280</v>
      </c>
      <c r="D37" s="16">
        <f>SUMPRODUCT(ISNUMBER(SEARCH(","&amp;MASTER!$A$2:$A$2000&amp;",",","&amp;SUBSTITUTE($C37," ","")&amp;","))*((MASTER!$G$2:$G$2000="DONE")))</f>
        <v>1</v>
      </c>
      <c r="E37" s="16">
        <f t="shared" si="0"/>
        <v>1</v>
      </c>
      <c r="F37" s="18"/>
    </row>
    <row r="38" spans="1:6" x14ac:dyDescent="0.25">
      <c r="A38" s="15" t="s">
        <v>2219</v>
      </c>
      <c r="B38" s="12" t="s">
        <v>2210</v>
      </c>
      <c r="C38" s="18" t="s">
        <v>1217</v>
      </c>
      <c r="D38" s="16">
        <f>SUMPRODUCT(ISNUMBER(SEARCH(","&amp;MASTER!$A$2:$A$2000&amp;",",","&amp;SUBSTITUTE($C38," ","")&amp;","))*((MASTER!$G$2:$G$2000="DONE")))</f>
        <v>1</v>
      </c>
      <c r="E38" s="16">
        <f t="shared" si="0"/>
        <v>1</v>
      </c>
      <c r="F38" s="18"/>
    </row>
    <row r="39" spans="1:6" x14ac:dyDescent="0.25">
      <c r="A39" s="15" t="s">
        <v>2220</v>
      </c>
      <c r="B39" s="12" t="s">
        <v>2210</v>
      </c>
      <c r="C39" s="18" t="s">
        <v>2221</v>
      </c>
      <c r="D39" s="16">
        <f>SUMPRODUCT(ISNUMBER(SEARCH(","&amp;MASTER!$A$2:$A$2000&amp;",",","&amp;SUBSTITUTE($C39," ","")&amp;","))*((MASTER!$G$2:$G$2000="DONE")))</f>
        <v>2</v>
      </c>
      <c r="E39" s="16">
        <f t="shared" si="0"/>
        <v>2</v>
      </c>
      <c r="F39" s="18"/>
    </row>
    <row r="40" spans="1:6" x14ac:dyDescent="0.25">
      <c r="A40" s="15" t="s">
        <v>2222</v>
      </c>
      <c r="B40" s="12" t="s">
        <v>2210</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2223</v>
      </c>
      <c r="B41" s="12" t="s">
        <v>2210</v>
      </c>
      <c r="C41" s="18"/>
      <c r="D41" s="16">
        <f>SUMPRODUCT(ISNUMBER(SEARCH(","&amp;MASTER!$A$2:$A$2000&amp;",",","&amp;SUBSTITUTE($C41," ","")&amp;","))*((MASTER!$G$2:$G$2000="DONE")))</f>
        <v>0</v>
      </c>
      <c r="E41" s="16">
        <f t="shared" si="1"/>
        <v>0</v>
      </c>
      <c r="F41" s="18"/>
    </row>
    <row r="42" spans="1:6" x14ac:dyDescent="0.25">
      <c r="A42" s="15" t="s">
        <v>2224</v>
      </c>
      <c r="B42" s="12" t="s">
        <v>2210</v>
      </c>
      <c r="C42" s="18"/>
      <c r="D42" s="16">
        <f>SUMPRODUCT(ISNUMBER(SEARCH(","&amp;MASTER!$A$2:$A$2000&amp;",",","&amp;SUBSTITUTE($C42," ","")&amp;","))*((MASTER!$G$2:$G$2000="DONE")))</f>
        <v>0</v>
      </c>
      <c r="E42" s="16">
        <f t="shared" si="1"/>
        <v>0</v>
      </c>
      <c r="F42" s="18"/>
    </row>
    <row r="43" spans="1:6" x14ac:dyDescent="0.25">
      <c r="A43" s="15" t="s">
        <v>1254</v>
      </c>
      <c r="B43" s="12" t="s">
        <v>2210</v>
      </c>
      <c r="C43" s="18" t="s">
        <v>1253</v>
      </c>
      <c r="D43" s="16">
        <f>SUMPRODUCT(ISNUMBER(SEARCH(","&amp;MASTER!$A$2:$A$2000&amp;",",","&amp;SUBSTITUTE($C43," ","")&amp;","))*((MASTER!$G$2:$G$2000="DONE")))</f>
        <v>1</v>
      </c>
      <c r="E43" s="16">
        <f t="shared" si="1"/>
        <v>1</v>
      </c>
      <c r="F43" s="18"/>
    </row>
    <row r="44" spans="1:6" x14ac:dyDescent="0.25">
      <c r="A44" s="15" t="s">
        <v>2225</v>
      </c>
      <c r="B44" s="12" t="s">
        <v>2210</v>
      </c>
      <c r="C44" s="18" t="s">
        <v>1253</v>
      </c>
      <c r="D44" s="16">
        <f>SUMPRODUCT(ISNUMBER(SEARCH(","&amp;MASTER!$A$2:$A$2000&amp;",",","&amp;SUBSTITUTE($C44," ","")&amp;","))*((MASTER!$G$2:$G$2000="DONE")))</f>
        <v>1</v>
      </c>
      <c r="E44" s="16">
        <f t="shared" si="1"/>
        <v>1</v>
      </c>
      <c r="F44" s="18"/>
    </row>
    <row r="45" spans="1:6" x14ac:dyDescent="0.25">
      <c r="A45" s="15" t="s">
        <v>2226</v>
      </c>
      <c r="B45" s="12" t="s">
        <v>2210</v>
      </c>
      <c r="C45" s="18" t="s">
        <v>1197</v>
      </c>
      <c r="D45" s="16">
        <f>SUMPRODUCT(ISNUMBER(SEARCH(","&amp;MASTER!$A$2:$A$2000&amp;",",","&amp;SUBSTITUTE($C45," ","")&amp;","))*((MASTER!$G$2:$G$2000="DONE")))</f>
        <v>1</v>
      </c>
      <c r="E45" s="16">
        <f t="shared" si="1"/>
        <v>1</v>
      </c>
      <c r="F45" s="18"/>
    </row>
    <row r="46" spans="1:6" x14ac:dyDescent="0.25">
      <c r="A46" s="15" t="s">
        <v>2227</v>
      </c>
      <c r="B46" s="12" t="s">
        <v>2210</v>
      </c>
      <c r="C46" s="18" t="s">
        <v>1197</v>
      </c>
      <c r="D46" s="16">
        <f>SUMPRODUCT(ISNUMBER(SEARCH(","&amp;MASTER!$A$2:$A$2000&amp;",",","&amp;SUBSTITUTE($C46," ","")&amp;","))*((MASTER!$G$2:$G$2000="DONE")))</f>
        <v>1</v>
      </c>
      <c r="E46" s="16">
        <f t="shared" si="1"/>
        <v>1</v>
      </c>
      <c r="F46" s="18"/>
    </row>
    <row r="47" spans="1:6" x14ac:dyDescent="0.25">
      <c r="A47" s="15" t="s">
        <v>2228</v>
      </c>
      <c r="B47" s="12" t="s">
        <v>2210</v>
      </c>
      <c r="C47" s="18"/>
      <c r="D47" s="16">
        <f>SUMPRODUCT(ISNUMBER(SEARCH(","&amp;MASTER!$A$2:$A$2000&amp;",",","&amp;SUBSTITUTE($C47," ","")&amp;","))*((MASTER!$G$2:$G$2000="DONE")))</f>
        <v>0</v>
      </c>
      <c r="E47" s="16">
        <f t="shared" si="1"/>
        <v>0</v>
      </c>
      <c r="F47" s="18"/>
    </row>
    <row r="48" spans="1:6" x14ac:dyDescent="0.25">
      <c r="A48" s="15" t="s">
        <v>2229</v>
      </c>
      <c r="B48" s="12" t="s">
        <v>2210</v>
      </c>
      <c r="C48" s="18"/>
      <c r="D48" s="16">
        <f>SUMPRODUCT(ISNUMBER(SEARCH(","&amp;MASTER!$A$2:$A$2000&amp;",",","&amp;SUBSTITUTE($C48," ","")&amp;","))*((MASTER!$G$2:$G$2000="DONE")))</f>
        <v>0</v>
      </c>
      <c r="E48" s="16">
        <f t="shared" si="1"/>
        <v>0</v>
      </c>
      <c r="F48" s="18" t="s">
        <v>2211</v>
      </c>
    </row>
    <row r="49" spans="1:6" x14ac:dyDescent="0.25">
      <c r="A49" s="15" t="s">
        <v>2230</v>
      </c>
      <c r="B49" s="12" t="s">
        <v>2210</v>
      </c>
      <c r="C49" s="18"/>
      <c r="D49" s="16">
        <f>SUMPRODUCT(ISNUMBER(SEARCH(","&amp;MASTER!$A$2:$A$2000&amp;",",","&amp;SUBSTITUTE($C49," ","")&amp;","))*((MASTER!$G$2:$G$2000="DONE")))</f>
        <v>0</v>
      </c>
      <c r="E49" s="16">
        <f t="shared" si="1"/>
        <v>0</v>
      </c>
      <c r="F49" s="18" t="s">
        <v>2211</v>
      </c>
    </row>
    <row r="50" spans="1:6" x14ac:dyDescent="0.25">
      <c r="A50" s="15" t="s">
        <v>2231</v>
      </c>
      <c r="B50" s="12" t="s">
        <v>2210</v>
      </c>
      <c r="C50" s="18"/>
      <c r="D50" s="16">
        <f>SUMPRODUCT(ISNUMBER(SEARCH(","&amp;MASTER!$A$2:$A$2000&amp;",",","&amp;SUBSTITUTE($C50," ","")&amp;","))*((MASTER!$G$2:$G$2000="DONE")))</f>
        <v>0</v>
      </c>
      <c r="E50" s="16">
        <f t="shared" si="1"/>
        <v>0</v>
      </c>
      <c r="F50" s="18" t="s">
        <v>2211</v>
      </c>
    </row>
    <row r="51" spans="1:6" x14ac:dyDescent="0.25">
      <c r="A51" s="15" t="s">
        <v>2232</v>
      </c>
      <c r="B51" s="12" t="s">
        <v>2210</v>
      </c>
      <c r="C51" s="18" t="s">
        <v>1118</v>
      </c>
      <c r="D51" s="16">
        <f>SUMPRODUCT(ISNUMBER(SEARCH(","&amp;MASTER!$A$2:$A$2000&amp;",",","&amp;SUBSTITUTE($C51," ","")&amp;","))*((MASTER!$G$2:$G$2000="DONE")))</f>
        <v>1</v>
      </c>
      <c r="E51" s="16">
        <f t="shared" si="1"/>
        <v>1</v>
      </c>
      <c r="F51" s="18"/>
    </row>
    <row r="52" spans="1:6" x14ac:dyDescent="0.25">
      <c r="A52" s="15" t="s">
        <v>2233</v>
      </c>
      <c r="B52" s="12" t="s">
        <v>2210</v>
      </c>
      <c r="C52" s="18" t="s">
        <v>1118</v>
      </c>
      <c r="D52" s="16">
        <f>SUMPRODUCT(ISNUMBER(SEARCH(","&amp;MASTER!$A$2:$A$2000&amp;",",","&amp;SUBSTITUTE($C52," ","")&amp;","))*((MASTER!$G$2:$G$2000="DONE")))</f>
        <v>1</v>
      </c>
      <c r="E52" s="16">
        <f t="shared" si="1"/>
        <v>1</v>
      </c>
      <c r="F52" s="18"/>
    </row>
    <row r="53" spans="1:6" x14ac:dyDescent="0.25">
      <c r="A53" s="15" t="s">
        <v>2234</v>
      </c>
      <c r="B53" s="12" t="s">
        <v>2210</v>
      </c>
      <c r="C53" s="18" t="s">
        <v>1118</v>
      </c>
      <c r="D53" s="16">
        <f>SUMPRODUCT(ISNUMBER(SEARCH(","&amp;MASTER!$A$2:$A$2000&amp;",",","&amp;SUBSTITUTE($C53," ","")&amp;","))*((MASTER!$G$2:$G$2000="DONE")))</f>
        <v>1</v>
      </c>
      <c r="E53" s="16">
        <f t="shared" si="1"/>
        <v>1</v>
      </c>
      <c r="F53" s="18"/>
    </row>
    <row r="54" spans="1:6" x14ac:dyDescent="0.25">
      <c r="A54" s="15" t="s">
        <v>2235</v>
      </c>
      <c r="B54" s="12" t="s">
        <v>2210</v>
      </c>
      <c r="C54" s="18" t="s">
        <v>1118</v>
      </c>
      <c r="D54" s="16">
        <f>SUMPRODUCT(ISNUMBER(SEARCH(","&amp;MASTER!$A$2:$A$2000&amp;",",","&amp;SUBSTITUTE($C54," ","")&amp;","))*((MASTER!$G$2:$G$2000="DONE")))</f>
        <v>1</v>
      </c>
      <c r="E54" s="16">
        <f t="shared" si="1"/>
        <v>1</v>
      </c>
      <c r="F54" s="18"/>
    </row>
    <row r="55" spans="1:6" x14ac:dyDescent="0.25">
      <c r="A55" s="15" t="s">
        <v>2236</v>
      </c>
      <c r="B55" s="12" t="s">
        <v>2210</v>
      </c>
      <c r="C55" s="18" t="s">
        <v>1118</v>
      </c>
      <c r="D55" s="16">
        <f>SUMPRODUCT(ISNUMBER(SEARCH(","&amp;MASTER!$A$2:$A$2000&amp;",",","&amp;SUBSTITUTE($C55," ","")&amp;","))*((MASTER!$G$2:$G$2000="DONE")))</f>
        <v>1</v>
      </c>
      <c r="E55" s="16">
        <f t="shared" si="1"/>
        <v>1</v>
      </c>
      <c r="F55" s="18"/>
    </row>
    <row r="56" spans="1:6" x14ac:dyDescent="0.25">
      <c r="A56" s="15" t="s">
        <v>2237</v>
      </c>
      <c r="B56" s="12" t="s">
        <v>2238</v>
      </c>
      <c r="C56" s="18"/>
      <c r="D56" s="16">
        <f>SUMPRODUCT(ISNUMBER(SEARCH(","&amp;MASTER!$A$2:$A$2000&amp;",",","&amp;SUBSTITUTE($C56," ","")&amp;","))*((MASTER!$G$2:$G$2000="DONE")))</f>
        <v>0</v>
      </c>
      <c r="E56" s="16">
        <f t="shared" si="1"/>
        <v>0</v>
      </c>
      <c r="F56" s="18"/>
    </row>
    <row r="57" spans="1:6" x14ac:dyDescent="0.25">
      <c r="A57" s="15" t="s">
        <v>2239</v>
      </c>
      <c r="B57" s="12" t="s">
        <v>2238</v>
      </c>
      <c r="C57" s="18"/>
      <c r="D57" s="16">
        <f>SUMPRODUCT(ISNUMBER(SEARCH(","&amp;MASTER!$A$2:$A$2000&amp;",",","&amp;SUBSTITUTE($C57," ","")&amp;","))*((MASTER!$G$2:$G$2000="DONE")))</f>
        <v>0</v>
      </c>
      <c r="E57" s="16">
        <f t="shared" si="1"/>
        <v>0</v>
      </c>
      <c r="F57" s="18"/>
    </row>
    <row r="58" spans="1:6" x14ac:dyDescent="0.25">
      <c r="A58" s="15" t="s">
        <v>2240</v>
      </c>
      <c r="B58" s="12" t="s">
        <v>2238</v>
      </c>
      <c r="C58" s="18"/>
      <c r="D58" s="16">
        <f>SUMPRODUCT(ISNUMBER(SEARCH(","&amp;MASTER!$A$2:$A$2000&amp;",",","&amp;SUBSTITUTE($C58," ","")&amp;","))*((MASTER!$G$2:$G$2000="DONE")))</f>
        <v>0</v>
      </c>
      <c r="E58" s="16">
        <f t="shared" si="1"/>
        <v>0</v>
      </c>
      <c r="F58" s="18"/>
    </row>
    <row r="59" spans="1:6" x14ac:dyDescent="0.25">
      <c r="A59" s="15" t="s">
        <v>2241</v>
      </c>
      <c r="B59" s="12" t="s">
        <v>2238</v>
      </c>
      <c r="C59" s="18"/>
      <c r="D59" s="16">
        <f>SUMPRODUCT(ISNUMBER(SEARCH(","&amp;MASTER!$A$2:$A$2000&amp;",",","&amp;SUBSTITUTE($C59," ","")&amp;","))*((MASTER!$G$2:$G$2000="DONE")))</f>
        <v>0</v>
      </c>
      <c r="E59" s="16">
        <f t="shared" si="1"/>
        <v>0</v>
      </c>
      <c r="F59" s="18" t="s">
        <v>2242</v>
      </c>
    </row>
    <row r="60" spans="1:6" x14ac:dyDescent="0.25">
      <c r="A60" s="15" t="s">
        <v>2243</v>
      </c>
      <c r="B60" s="12" t="s">
        <v>2238</v>
      </c>
      <c r="C60" s="18"/>
      <c r="D60" s="16">
        <f>SUMPRODUCT(ISNUMBER(SEARCH(","&amp;MASTER!$A$2:$A$2000&amp;",",","&amp;SUBSTITUTE($C60," ","")&amp;","))*((MASTER!$G$2:$G$2000="DONE")))</f>
        <v>0</v>
      </c>
      <c r="E60" s="16">
        <f t="shared" si="1"/>
        <v>0</v>
      </c>
      <c r="F60" s="18" t="s">
        <v>2244</v>
      </c>
    </row>
    <row r="61" spans="1:6" x14ac:dyDescent="0.25">
      <c r="A61" s="15" t="s">
        <v>2245</v>
      </c>
      <c r="B61" s="12" t="s">
        <v>2238</v>
      </c>
      <c r="C61" s="18"/>
      <c r="D61" s="16">
        <f>SUMPRODUCT(ISNUMBER(SEARCH(","&amp;MASTER!$A$2:$A$2000&amp;",",","&amp;SUBSTITUTE($C61," ","")&amp;","))*((MASTER!$G$2:$G$2000="DONE")))</f>
        <v>0</v>
      </c>
      <c r="E61" s="16">
        <f t="shared" si="1"/>
        <v>0</v>
      </c>
      <c r="F61" s="18" t="s">
        <v>2246</v>
      </c>
    </row>
    <row r="62" spans="1:6" x14ac:dyDescent="0.25">
      <c r="A62" s="15" t="s">
        <v>2247</v>
      </c>
      <c r="B62" s="12" t="s">
        <v>2238</v>
      </c>
      <c r="C62" s="18"/>
      <c r="D62" s="16">
        <f>SUMPRODUCT(ISNUMBER(SEARCH(","&amp;MASTER!$A$2:$A$2000&amp;",",","&amp;SUBSTITUTE($C62," ","")&amp;","))*((MASTER!$G$2:$G$2000="DONE")))</f>
        <v>0</v>
      </c>
      <c r="E62" s="16">
        <f t="shared" si="1"/>
        <v>0</v>
      </c>
      <c r="F62" s="18" t="s">
        <v>2242</v>
      </c>
    </row>
    <row r="63" spans="1:6" x14ac:dyDescent="0.25">
      <c r="A63" s="15" t="s">
        <v>2248</v>
      </c>
      <c r="B63" s="12" t="s">
        <v>2238</v>
      </c>
      <c r="C63" s="18"/>
      <c r="D63" s="16">
        <f>SUMPRODUCT(ISNUMBER(SEARCH(","&amp;MASTER!$A$2:$A$2000&amp;",",","&amp;SUBSTITUTE($C63," ","")&amp;","))*((MASTER!$G$2:$G$2000="DONE")))</f>
        <v>0</v>
      </c>
      <c r="E63" s="16">
        <f t="shared" si="1"/>
        <v>0</v>
      </c>
      <c r="F63" s="18" t="s">
        <v>2242</v>
      </c>
    </row>
    <row r="64" spans="1:6" x14ac:dyDescent="0.25">
      <c r="A64" s="15" t="s">
        <v>2249</v>
      </c>
      <c r="B64" s="12" t="s">
        <v>2238</v>
      </c>
      <c r="C64" s="18"/>
      <c r="D64" s="16">
        <f>SUMPRODUCT(ISNUMBER(SEARCH(","&amp;MASTER!$A$2:$A$2000&amp;",",","&amp;SUBSTITUTE($C64," ","")&amp;","))*((MASTER!$G$2:$G$2000="DONE")))</f>
        <v>0</v>
      </c>
      <c r="E64" s="16">
        <f t="shared" si="1"/>
        <v>0</v>
      </c>
      <c r="F64" s="18" t="s">
        <v>2242</v>
      </c>
    </row>
    <row r="65" spans="1:12" x14ac:dyDescent="0.25">
      <c r="A65" s="15" t="s">
        <v>2250</v>
      </c>
      <c r="B65" s="12" t="s">
        <v>2251</v>
      </c>
      <c r="C65" s="18" t="s">
        <v>1101</v>
      </c>
      <c r="D65" s="16">
        <f>SUMPRODUCT(ISNUMBER(SEARCH(","&amp;MASTER!$A$2:$A$2000&amp;",",","&amp;SUBSTITUTE($C65," ","")&amp;","))*((MASTER!$G$2:$G$2000="DONE")))</f>
        <v>1</v>
      </c>
      <c r="E65" s="16">
        <f t="shared" si="1"/>
        <v>1</v>
      </c>
      <c r="F65" s="18" t="s">
        <v>2252</v>
      </c>
    </row>
    <row r="68" spans="1:12" ht="15.75" x14ac:dyDescent="0.25">
      <c r="A68" s="5" t="s">
        <v>2253</v>
      </c>
    </row>
    <row r="69" spans="1:12" x14ac:dyDescent="0.25">
      <c r="A69" s="10" t="s">
        <v>166</v>
      </c>
      <c r="B69" s="10" t="s">
        <v>100</v>
      </c>
      <c r="C69" s="10" t="s">
        <v>43</v>
      </c>
      <c r="D69" s="10" t="s">
        <v>167</v>
      </c>
      <c r="E69" s="10" t="s">
        <v>169</v>
      </c>
      <c r="F69" s="10" t="s">
        <v>57</v>
      </c>
      <c r="G69" s="10" t="s">
        <v>170</v>
      </c>
      <c r="H69" s="10" t="s">
        <v>171</v>
      </c>
      <c r="I69" s="10" t="s">
        <v>15</v>
      </c>
      <c r="J69" s="10" t="s">
        <v>177</v>
      </c>
      <c r="K69" s="10" t="s">
        <v>178</v>
      </c>
      <c r="L69" s="10" t="s">
        <v>179</v>
      </c>
    </row>
    <row r="70" spans="1:12" x14ac:dyDescent="0.25">
      <c r="A70" s="15" t="s">
        <v>1259</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DONE</v>
      </c>
      <c r="G70" s="12" t="str">
        <f>IFERROR(INDEX(MASTER!$H$2:$H$2000,MATCH($A70,MASTER!$A$2:$A$2000,0))&amp;"","")</f>
        <v>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v>
      </c>
      <c r="H70" s="12" t="str">
        <f>IFERROR(INDEX(MASTER!$I$2:$I$2000,MATCH($A70,MASTER!$A$2:$A$2000,0))&amp;"","")</f>
        <v>backend/tests/test_batch_format.py (7; 9/9 mutations); BatchBar.test.tsx (2); e2e batch.spec.ts; security suite; backend 2472/11, Vitest 307, Playwright 56</v>
      </c>
      <c r="I70" s="19">
        <f>IFERROR(IF(INDEX(MASTER!$O$2:$O$2000,MATCH($A70,MASTER!$A$2:$A$2000,0))="","",INDEX(MASTER!$O$2:$O$2000,MATCH($A70,MASTER!$A$2:$A$2000,0))),"")</f>
        <v>46302.856273148151</v>
      </c>
      <c r="J70" s="12" t="str">
        <f>IFERROR(INDEX(MASTER!$P$2:$P$2000,MATCH($A70,MASTER!$A$2:$A$2000,0))&amp;"","")</f>
        <v>fe4a89d</v>
      </c>
      <c r="K70" s="12" t="str">
        <f>IFERROR(INDEX(MASTER!$Q$2:$Q$2000,MATCH($A70,MASTER!$A$2:$A$2000,0))&amp;"","")</f>
        <v>A reference document's look goes into a batch as a template (Format by Example: Save as template). Conflicting documents wait for their own resolution.</v>
      </c>
      <c r="L70" s="12" t="str">
        <f>IFERROR(INDEX(MASTER!$R$2:$R$2000,MATCH($A70,MASTER!$A$2:$A$2000,0))&amp;"","")</f>
        <v/>
      </c>
    </row>
    <row r="71" spans="1:12" x14ac:dyDescent="0.25">
      <c r="A71" s="15" t="s">
        <v>1267</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DONE</v>
      </c>
      <c r="G71" s="12" t="str">
        <f>IFERROR(INDEX(MASTER!$H$2:$H$2000,MATCH($A71,MASTER!$A$2:$A$2000,0))&amp;"","")</f>
        <v>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v>
      </c>
      <c r="H71" s="12" t="str">
        <f>IFERROR(INDEX(MASTER!$I$2:$I$2000,MATCH($A71,MASTER!$A$2:$A$2000,0))&amp;"","")</f>
        <v>backend/tests/test_batch_export.py (5; 8/8 mutations); BatchBar.test.tsx (+1); e2e batch.spec.ts; test_jobs/test_storage_retention/test_pdf_pages updated; backend 2479/11, Vitest 308, Playwright 56</v>
      </c>
      <c r="I71" s="19">
        <f>IFERROR(IF(INDEX(MASTER!$O$2:$O$2000,MATCH($A71,MASTER!$A$2:$A$2000,0))="","",INDEX(MASTER!$O$2:$O$2000,MATCH($A71,MASTER!$A$2:$A$2000,0))),"")</f>
        <v>46302.873078703713</v>
      </c>
      <c r="J71" s="12" t="str">
        <f>IFERROR(INDEX(MASTER!$P$2:$P$2000,MATCH($A71,MASTER!$A$2:$A$2000,0))&amp;"","")</f>
        <v>03891a4</v>
      </c>
      <c r="K71" s="12" t="str">
        <f>IFERROR(INDEX(MASTER!$Q$2:$Q$2000,MATCH($A71,MASTER!$A$2:$A$2000,0))&amp;"","")</f>
        <v>The ZIP's job belongs to the first document: deleting it removes the ZIP.</v>
      </c>
      <c r="L71" s="12" t="str">
        <f>IFERROR(INDEX(MASTER!$R$2:$R$2000,MATCH($A71,MASTER!$A$2:$A$2000,0))&amp;"","")</f>
        <v/>
      </c>
    </row>
    <row r="72" spans="1:12" x14ac:dyDescent="0.25">
      <c r="A72" s="15" t="s">
        <v>1274</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DONE</v>
      </c>
      <c r="G72" s="12" t="str">
        <f>IFERROR(INDEX(MASTER!$H$2:$H$2000,MATCH($A72,MASTER!$A$2:$A$2000,0))&amp;"","")</f>
        <v>backend/app/api/jobs.py batch_translate (POST /api/v1/jobs/batch-translate: documents checked, BATCH 1, check_new_document(count=N), TRANSLATION characters via translation.service.collect, batch_jobs usage row, TRANSLATE jobs with batchId/batchIndex, audit batch.translate); schemas BatchTranslateRequest; EntitlementsService.check_new_document(count); frontend services/api batchTranslate, BatchBar 'Translate into' + 'Translate N documents', status and links to new documents; README</v>
      </c>
      <c r="H72" s="12" t="str">
        <f>IFERROR(INDEX(MASTER!$I$2:$I$2000,MATCH($A72,MASTER!$A$2:$A$2000,0))&amp;"","")</f>
        <v>backend tests/test_batch_translate.py (3: versions made and originals untouched, every check before queueing incl. 402 batches/documents/characters, 404, 422; someone else's documents 404); full backend 2562 passed/11 skipped; Vitest 359 (BatchBar translate case); Playwright full 59 passed/1 skipped (batch.spec translates both and checks the new document and the untouched original); mutations 6/6</v>
      </c>
      <c r="I72" s="19">
        <f>IFERROR(IF(INDEX(MASTER!$O$2:$O$2000,MATCH($A72,MASTER!$A$2:$A$2000,0))="","",INDEX(MASTER!$O$2:$O$2000,MATCH($A72,MASTER!$A$2:$A$2000,0))),"")</f>
        <v>46303.069062499999</v>
      </c>
      <c r="J72" s="12" t="str">
        <f>IFERROR(INDEX(MASTER!$P$2:$P$2000,MATCH($A72,MASTER!$A$2:$A$2000,0))&amp;"","")</f>
        <v>e9c4922</v>
      </c>
      <c r="K72" s="12" t="str">
        <f>IFERROR(INDEX(MASTER!$Q$2:$Q$2000,MATCH($A72,MASTER!$A$2:$A$2000,0))&amp;"","")</f>
        <v/>
      </c>
      <c r="L72" s="12" t="str">
        <f>IFERROR(INDEX(MASTER!$R$2:$R$2000,MATCH($A72,MASTER!$A$2:$A$2000,0))&amp;"","")</f>
        <v/>
      </c>
    </row>
    <row r="73" spans="1:12" x14ac:dyDescent="0.25">
      <c r="A73" s="15" t="s">
        <v>1280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1287</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25" priority="1" operator="equal">
      <formula>"NOW"</formula>
    </cfRule>
  </conditionalFormatting>
  <conditionalFormatting sqref="E70:E74">
    <cfRule type="cellIs" dxfId="124" priority="20" operator="equal">
      <formula>"P0"</formula>
    </cfRule>
    <cfRule type="cellIs" dxfId="123" priority="21" operator="equal">
      <formula>"P1"</formula>
    </cfRule>
  </conditionalFormatting>
  <conditionalFormatting sqref="F70:F74">
    <cfRule type="cellIs" dxfId="122" priority="2" operator="equal">
      <formula>"DONE"</formula>
    </cfRule>
    <cfRule type="cellIs" dxfId="121" priority="3" operator="equal">
      <formula>"VERIFIED"</formula>
    </cfRule>
    <cfRule type="cellIs" dxfId="120" priority="4" operator="equal">
      <formula>"IN_PROGRESS"</formula>
    </cfRule>
    <cfRule type="cellIs" dxfId="119" priority="5" operator="equal">
      <formula>"IMPLEMENTED"</formula>
    </cfRule>
    <cfRule type="cellIs" dxfId="118" priority="6" operator="equal">
      <formula>"TESTING"</formula>
    </cfRule>
    <cfRule type="cellIs" dxfId="117" priority="7" operator="equal">
      <formula>"BLOCKED"</formula>
    </cfRule>
    <cfRule type="cellIs" dxfId="116" priority="8" operator="equal">
      <formula>"FAILED"</formula>
    </cfRule>
    <cfRule type="cellIs" dxfId="115" priority="9" operator="equal">
      <formula>"DEFERRED"</formula>
    </cfRule>
    <cfRule type="cellIs" dxfId="114" priority="10" operator="equal">
      <formula>"UNKNOWN"</formula>
    </cfRule>
    <cfRule type="cellIs" dxfId="113" priority="11" operator="equal">
      <formula>"PASS"</formula>
    </cfRule>
    <cfRule type="cellIs" dxfId="112" priority="12" operator="equal">
      <formula>"FAIL"</formula>
    </cfRule>
    <cfRule type="cellIs" dxfId="111" priority="13" operator="equal">
      <formula>"PARTIAL"</formula>
    </cfRule>
    <cfRule type="cellIs" dxfId="110" priority="14" operator="equal">
      <formula>"RESOLVED"</formula>
    </cfRule>
    <cfRule type="cellIs" dxfId="109" priority="15" operator="equal">
      <formula>"OPEN"</formula>
    </cfRule>
    <cfRule type="cellIs" dxfId="108" priority="16" operator="equal">
      <formula>"WITHIN"</formula>
    </cfRule>
    <cfRule type="cellIs" dxfId="107" priority="17" operator="equal">
      <formula>"OVER"</formula>
    </cfRule>
    <cfRule type="cellIs" dxfId="106" priority="18" operator="equal">
      <formula>"NOW"</formula>
    </cfRule>
    <cfRule type="cellIs" dxfId="10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2254</v>
      </c>
    </row>
    <row r="2" spans="1:12" x14ac:dyDescent="0.25">
      <c r="A2" s="4" t="s">
        <v>2255</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1545</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1125</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1133</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1136</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1139</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1147</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1151</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1154</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1157</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1160</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1163</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1166</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1175</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1179</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1183</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1187</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1193</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104" priority="19" operator="equal">
      <formula>"P0"</formula>
    </cfRule>
    <cfRule type="cellIs" dxfId="103" priority="20" operator="equal">
      <formula>"P1"</formula>
    </cfRule>
  </conditionalFormatting>
  <conditionalFormatting sqref="F8:F23">
    <cfRule type="cellIs" dxfId="102" priority="1" operator="equal">
      <formula>"DONE"</formula>
    </cfRule>
    <cfRule type="cellIs" dxfId="101" priority="2" operator="equal">
      <formula>"VERIFIED"</formula>
    </cfRule>
    <cfRule type="cellIs" dxfId="100" priority="3" operator="equal">
      <formula>"IN_PROGRESS"</formula>
    </cfRule>
    <cfRule type="cellIs" dxfId="99" priority="4" operator="equal">
      <formula>"IMPLEMENTED"</formula>
    </cfRule>
    <cfRule type="cellIs" dxfId="98" priority="5" operator="equal">
      <formula>"TESTING"</formula>
    </cfRule>
    <cfRule type="cellIs" dxfId="97" priority="6" operator="equal">
      <formula>"BLOCKED"</formula>
    </cfRule>
    <cfRule type="cellIs" dxfId="96" priority="7" operator="equal">
      <formula>"FAILED"</formula>
    </cfRule>
    <cfRule type="cellIs" dxfId="95" priority="8" operator="equal">
      <formula>"DEFERRED"</formula>
    </cfRule>
    <cfRule type="cellIs" dxfId="94" priority="9" operator="equal">
      <formula>"UNKNOWN"</formula>
    </cfRule>
    <cfRule type="cellIs" dxfId="93" priority="10" operator="equal">
      <formula>"PASS"</formula>
    </cfRule>
    <cfRule type="cellIs" dxfId="92" priority="11" operator="equal">
      <formula>"FAIL"</formula>
    </cfRule>
    <cfRule type="cellIs" dxfId="91" priority="12" operator="equal">
      <formula>"PARTIAL"</formula>
    </cfRule>
    <cfRule type="cellIs" dxfId="90" priority="13" operator="equal">
      <formula>"RESOLVED"</formula>
    </cfRule>
    <cfRule type="cellIs" dxfId="89" priority="14" operator="equal">
      <formula>"OPEN"</formula>
    </cfRule>
    <cfRule type="cellIs" dxfId="88" priority="15" operator="equal">
      <formula>"WITHIN"</formula>
    </cfRule>
    <cfRule type="cellIs" dxfId="87" priority="16" operator="equal">
      <formula>"OVER"</formula>
    </cfRule>
    <cfRule type="cellIs" dxfId="86" priority="17" operator="equal">
      <formula>"NOW"</formula>
    </cfRule>
    <cfRule type="cellIs" dxfId="8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2256</v>
      </c>
    </row>
    <row r="2" spans="1:12" x14ac:dyDescent="0.25">
      <c r="A2" s="4" t="s">
        <v>2257</v>
      </c>
    </row>
    <row r="3" spans="1:12" x14ac:dyDescent="0.25">
      <c r="A3" s="6" t="s">
        <v>45</v>
      </c>
      <c r="B3" s="6" t="s">
        <v>46</v>
      </c>
      <c r="C3" s="6" t="s">
        <v>47</v>
      </c>
      <c r="D3" s="6" t="s">
        <v>13</v>
      </c>
      <c r="E3" s="6" t="s">
        <v>16</v>
      </c>
      <c r="F3" s="6" t="s">
        <v>19</v>
      </c>
      <c r="G3" s="6" t="s">
        <v>48</v>
      </c>
      <c r="H3" s="6" t="s">
        <v>33</v>
      </c>
    </row>
    <row r="4" spans="1:12" x14ac:dyDescent="0.25">
      <c r="A4" s="7">
        <f>COUNTIF(MASTER!$C$2:$C$2000,"P2E")</f>
        <v>11</v>
      </c>
      <c r="B4" s="7">
        <f>COUNTIFS(MASTER!$C$2:$C$2000,"P2E",MASTER!$G$2:$G$2000,"DONE")</f>
        <v>10</v>
      </c>
      <c r="C4" s="7">
        <f>COUNTIFS(MASTER!$C$2:$C$2000,"P2E",MASTER!$G$2:$G$2000,"VERIFIED")+B4</f>
        <v>10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0.90909090909090906</v>
      </c>
      <c r="H4" s="9">
        <f>IF(A4=0,0,C4/A4)</f>
        <v>0.90909090909090906</v>
      </c>
    </row>
    <row r="6" spans="1:12" ht="15.75" x14ac:dyDescent="0.25">
      <c r="A6" s="5" t="s">
        <v>1545</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1038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1045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1052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1059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1066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1073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1081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1089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1101</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1108</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DONE</v>
      </c>
      <c r="G17" s="12" t="str">
        <f>IFERROR(INDEX(MASTER!$H$2:$H$2000,MATCH($A17,MASTER!$A$2:$A$2000,0))&amp;"","")</f>
        <v>backend/app/export/pdf_layout.py (is_layout_document, _pages, _with_overflow, _draw_block with 0/90/180/270 turns, build_layout_pdf) used by pdf_export._build_pdf for layout-focused imports; pdf_export._Anchored/_anchor_across/_anchor_down/_anchored for Word pictures and text boxes behind/in front of the text; import notes, capabilities (pdf.import_layout, docx.image_layout), frames.py docstring, docs/architecture/layout-preserving.md 'Done: the PDF export'</v>
      </c>
      <c r="H17" s="12" t="str">
        <f>IFERROR(INDEX(MASTER!$I$2:$I$2000,MATCH($A17,MASTER!$A$2:$A$2000,0))&amp;"","")</f>
        <v>backend tests/test_pdf_frames.py (6: structure.pdf blocks within 3 pt across / 8 pt down of their boxes on their pages and the picture within 3 pt; columns side by side; rotated pages and text; added blocks under the one before and overflow onto an added page; editable import flows; behind (page offsets) and in front (margin right/top) drawn at place with the text unmoved); full backend 2557 passed/11 skipped; mutations 10/11 (the survivor unobservable: the fallback x equals the fixture's)</v>
      </c>
      <c r="I17" s="19">
        <f>IFERROR(IF(INDEX(MASTER!$O$2:$O$2000,MATCH($A17,MASTER!$A$2:$A$2000,0))="","",INDEX(MASTER!$O$2:$O$2000,MATCH($A17,MASTER!$A$2:$A$2000,0))),"")</f>
        <v>46303.055833333332</v>
      </c>
      <c r="J17" s="12" t="str">
        <f>IFERROR(INDEX(MASTER!$P$2:$P$2000,MATCH($A17,MASTER!$A$2:$A$2000,0))&amp;"","")</f>
        <v>3193d78</v>
      </c>
      <c r="K17" s="12" t="str">
        <f>IFERROR(INDEX(MASTER!$Q$2:$Q$2000,MATCH($A17,MASTER!$A$2:$A$2000,0))&amp;"","")</f>
        <v>The editor's positioned layer and moving frames split to P2E-022. Top-and-bottom and centred floats stay in line.</v>
      </c>
      <c r="L17" s="12" t="str">
        <f>IFERROR(INDEX(MASTER!$R$2:$R$2000,MATCH($A17,MASTER!$A$2:$A$2000,0))&amp;"","")</f>
        <v>P2E-020</v>
      </c>
    </row>
    <row r="18" spans="1:12" x14ac:dyDescent="0.25">
      <c r="A18" s="15" t="s">
        <v>1115</v>
      </c>
      <c r="B18" s="12" t="str">
        <f>IFERROR(INDEX(MASTER!$C$2:$C$2000,MATCH($A18,MASTER!$A$2:$A$2000,0))&amp;"","")</f>
        <v>P2E</v>
      </c>
      <c r="C18" s="16">
        <f>IFERROR(INDEX(MASTER!$B$2:$B$2000,MATCH($A18,MASTER!$A$2:$A$2000,0)),"")</f>
        <v>9</v>
      </c>
      <c r="D18" s="12" t="str">
        <f>IFERROR(INDEX(MASTER!$D$2:$D$2000,MATCH($A18,MASTER!$A$2:$A$2000,0))&amp;"","")</f>
        <v>Frames on the editor's pages, and moving them</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P2E-021</v>
      </c>
    </row>
  </sheetData>
  <autoFilter ref="A7:L18" xr:uid="{00000000-0009-0000-0000-00000E000000}"/>
  <conditionalFormatting sqref="E8:E18">
    <cfRule type="cellIs" dxfId="84" priority="19" operator="equal">
      <formula>"P0"</formula>
    </cfRule>
    <cfRule type="cellIs" dxfId="83" priority="20" operator="equal">
      <formula>"P1"</formula>
    </cfRule>
  </conditionalFormatting>
  <conditionalFormatting sqref="F8:F18">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2258</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2259</v>
      </c>
    </row>
    <row r="7" spans="1:8" x14ac:dyDescent="0.25">
      <c r="A7" s="10" t="s">
        <v>2260</v>
      </c>
      <c r="B7" s="10" t="s">
        <v>2261</v>
      </c>
      <c r="C7" s="10" t="s">
        <v>2262</v>
      </c>
      <c r="D7" s="10" t="s">
        <v>2263</v>
      </c>
      <c r="E7" s="10" t="s">
        <v>178</v>
      </c>
    </row>
    <row r="8" spans="1:8" x14ac:dyDescent="0.25">
      <c r="A8" s="15" t="s">
        <v>2264</v>
      </c>
      <c r="B8" s="20">
        <v>5</v>
      </c>
      <c r="C8" s="20">
        <v>100</v>
      </c>
      <c r="D8" s="20">
        <v>1000</v>
      </c>
      <c r="E8" s="18" t="s">
        <v>2265</v>
      </c>
    </row>
    <row r="9" spans="1:8" x14ac:dyDescent="0.25">
      <c r="A9" s="15" t="s">
        <v>2266</v>
      </c>
      <c r="B9" s="20">
        <v>20</v>
      </c>
      <c r="C9" s="20">
        <v>500</v>
      </c>
      <c r="D9" s="20">
        <v>5000</v>
      </c>
      <c r="E9" s="18"/>
    </row>
    <row r="10" spans="1:8" x14ac:dyDescent="0.25">
      <c r="A10" s="15" t="s">
        <v>2267</v>
      </c>
      <c r="B10" s="20">
        <v>5</v>
      </c>
      <c r="C10" s="20">
        <v>100</v>
      </c>
      <c r="D10" s="20">
        <v>1000</v>
      </c>
      <c r="E10" s="18"/>
    </row>
    <row r="11" spans="1:8" x14ac:dyDescent="0.25">
      <c r="A11" s="15" t="s">
        <v>2268</v>
      </c>
      <c r="B11" s="20">
        <v>10000</v>
      </c>
      <c r="C11" s="20">
        <v>500000</v>
      </c>
      <c r="D11" s="20">
        <v>5000000</v>
      </c>
      <c r="E11" s="18"/>
    </row>
    <row r="12" spans="1:8" x14ac:dyDescent="0.25">
      <c r="A12" s="15" t="s">
        <v>2269</v>
      </c>
      <c r="B12" s="20">
        <v>10</v>
      </c>
      <c r="C12" s="20">
        <v>300</v>
      </c>
      <c r="D12" s="20">
        <v>2000</v>
      </c>
      <c r="E12" s="18"/>
    </row>
    <row r="13" spans="1:8" ht="25.5" x14ac:dyDescent="0.25">
      <c r="A13" s="15" t="s">
        <v>2270</v>
      </c>
      <c r="B13" s="20">
        <v>25</v>
      </c>
      <c r="C13" s="20">
        <v>500</v>
      </c>
      <c r="D13" s="21" t="s">
        <v>2271</v>
      </c>
      <c r="E13" s="18" t="s">
        <v>2272</v>
      </c>
    </row>
    <row r="14" spans="1:8" x14ac:dyDescent="0.25">
      <c r="A14" s="15" t="s">
        <v>2273</v>
      </c>
      <c r="B14" s="21" t="s">
        <v>2274</v>
      </c>
      <c r="C14" s="21" t="s">
        <v>2275</v>
      </c>
      <c r="D14" s="21" t="s">
        <v>2276</v>
      </c>
      <c r="E14" s="18"/>
    </row>
    <row r="15" spans="1:8" x14ac:dyDescent="0.25">
      <c r="A15" s="15" t="s">
        <v>2277</v>
      </c>
      <c r="B15" s="21" t="s">
        <v>2274</v>
      </c>
      <c r="C15" s="21" t="s">
        <v>2278</v>
      </c>
      <c r="D15" s="21" t="s">
        <v>2279</v>
      </c>
      <c r="E15" s="18"/>
    </row>
    <row r="16" spans="1:8" x14ac:dyDescent="0.25">
      <c r="A16" s="15" t="s">
        <v>2280</v>
      </c>
      <c r="B16" s="21" t="s">
        <v>2279</v>
      </c>
      <c r="C16" s="21" t="s">
        <v>2281</v>
      </c>
      <c r="D16" s="21" t="s">
        <v>2279</v>
      </c>
      <c r="E16" s="18"/>
    </row>
    <row r="17" spans="1:12" x14ac:dyDescent="0.25">
      <c r="A17" s="15" t="s">
        <v>2282</v>
      </c>
      <c r="B17" s="21" t="s">
        <v>2279</v>
      </c>
      <c r="C17" s="21" t="s">
        <v>2281</v>
      </c>
      <c r="D17" s="21" t="s">
        <v>2279</v>
      </c>
      <c r="E17" s="18"/>
    </row>
    <row r="18" spans="1:12" x14ac:dyDescent="0.25">
      <c r="A18" s="15" t="s">
        <v>90</v>
      </c>
      <c r="B18" s="21" t="s">
        <v>2283</v>
      </c>
      <c r="C18" s="21" t="s">
        <v>2284</v>
      </c>
      <c r="D18" s="21" t="s">
        <v>2281</v>
      </c>
      <c r="E18" s="18"/>
    </row>
    <row r="19" spans="1:12" x14ac:dyDescent="0.25">
      <c r="A19" s="15" t="s">
        <v>2285</v>
      </c>
      <c r="B19" s="21" t="s">
        <v>2283</v>
      </c>
      <c r="C19" s="21" t="s">
        <v>2279</v>
      </c>
      <c r="D19" s="21" t="s">
        <v>2281</v>
      </c>
      <c r="E19" s="18"/>
    </row>
    <row r="20" spans="1:12" x14ac:dyDescent="0.25">
      <c r="A20" s="15" t="s">
        <v>2286</v>
      </c>
      <c r="B20" s="21" t="s">
        <v>2279</v>
      </c>
      <c r="C20" s="21" t="s">
        <v>2279</v>
      </c>
      <c r="D20" s="21" t="s">
        <v>2281</v>
      </c>
      <c r="E20" s="18"/>
    </row>
    <row r="21" spans="1:12" x14ac:dyDescent="0.25">
      <c r="A21" s="15" t="s">
        <v>2287</v>
      </c>
      <c r="B21" s="21" t="s">
        <v>2279</v>
      </c>
      <c r="C21" s="21" t="s">
        <v>2279</v>
      </c>
      <c r="D21" s="21" t="s">
        <v>2281</v>
      </c>
      <c r="E21" s="18"/>
    </row>
    <row r="24" spans="1:12" ht="15.75" x14ac:dyDescent="0.25">
      <c r="A24" s="5" t="s">
        <v>2288</v>
      </c>
    </row>
    <row r="25" spans="1:12" x14ac:dyDescent="0.25">
      <c r="A25" s="10" t="s">
        <v>166</v>
      </c>
      <c r="B25" s="10" t="s">
        <v>100</v>
      </c>
      <c r="C25" s="10" t="s">
        <v>43</v>
      </c>
      <c r="D25" s="10" t="s">
        <v>167</v>
      </c>
      <c r="E25" s="10" t="s">
        <v>169</v>
      </c>
      <c r="F25" s="10" t="s">
        <v>57</v>
      </c>
      <c r="G25" s="10" t="s">
        <v>170</v>
      </c>
      <c r="H25" s="10" t="s">
        <v>171</v>
      </c>
      <c r="I25" s="10" t="s">
        <v>15</v>
      </c>
      <c r="J25" s="10" t="s">
        <v>177</v>
      </c>
      <c r="K25" s="10" t="s">
        <v>178</v>
      </c>
      <c r="L25" s="10" t="s">
        <v>179</v>
      </c>
    </row>
    <row r="26" spans="1:12" x14ac:dyDescent="0.25">
      <c r="A26" s="15" t="s">
        <v>991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999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1004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1010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1016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64" priority="19" operator="equal">
      <formula>"P0"</formula>
    </cfRule>
    <cfRule type="cellIs" dxfId="63" priority="20" operator="equal">
      <formula>"P1"</formula>
    </cfRule>
  </conditionalFormatting>
  <conditionalFormatting sqref="F26:F30">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2289</v>
      </c>
    </row>
    <row r="2" spans="1:12" x14ac:dyDescent="0.25">
      <c r="A2" s="4" t="s">
        <v>2290</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14</v>
      </c>
      <c r="C4" s="7">
        <f>COUNTIFS(MASTER!$C$2:$C$2000,"INFRA",MASTER!$G$2:$G$2000,"VERIFIED")+COUNTIFS(MASTER!$C$2:$C$2000,"JOBS",MASTER!$G$2:$G$2000,"VERIFIED")+COUNTIFS(MASTER!$C$2:$C$2000,"STORAGE",MASTER!$G$2:$G$2000,"VERIFIED")+COUNTIFS(MASTER!$C$2:$C$2000,"OBSERVABILITY",MASTER!$G$2:$G$2000,"VERIFIED")+COUNTIFS(MASTER!$C$2:$C$2000,"DOCS",MASTER!$G$2:$G$2000,"VERIFIED")+B4</f>
        <v>14</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0.93333333333333335</v>
      </c>
      <c r="H4" s="9">
        <f>IF(A4=0,0,C4/A4)</f>
        <v>0.93333333333333335</v>
      </c>
    </row>
    <row r="6" spans="1:12" ht="15.75" x14ac:dyDescent="0.25">
      <c r="A6" s="5" t="s">
        <v>1545</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181</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190</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196</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233</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246</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400</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1293</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1307</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1319</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1327</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1331</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DONE</v>
      </c>
      <c r="G18" s="12" t="str">
        <f>IFERROR(INDEX(MASTER!$H$2:$H$2000,MATCH($A18,MASTER!$A$2:$A$2000,0))&amp;"","")</f>
        <v>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v>
      </c>
      <c r="H18" s="12" t="str">
        <f>IFERROR(INDEX(MASTER!$I$2:$I$2000,MATCH($A18,MASTER!$A$2:$A$2000,0))&amp;"","")</f>
        <v>backend/tests/test_operations_admin.py (4): token guard, failures/stuck/spikes/storage/busy workspaces with nothing of a document or account in the answer, refusals counted, labels never free text; 12/12 mutations caught</v>
      </c>
      <c r="I18" s="19">
        <f>IFERROR(IF(INDEX(MASTER!$O$2:$O$2000,MATCH($A18,MASTER!$A$2:$A$2000,0))="","",INDEX(MASTER!$O$2:$O$2000,MATCH($A18,MASTER!$A$2:$A$2000,0))),"")</f>
        <v>46302.894976851851</v>
      </c>
      <c r="J18" s="12" t="str">
        <f>IFERROR(INDEX(MASTER!$P$2:$P$2000,MATCH($A18,MASTER!$A$2:$A$2000,0))&amp;"","")</f>
        <v>baf66da</v>
      </c>
      <c r="K18" s="12" t="str">
        <f>IFERROR(INDEX(MASTER!$Q$2:$Q$2000,MATCH($A18,MASTER!$A$2:$A$2000,0))&amp;"","")</f>
        <v/>
      </c>
      <c r="L18" s="12" t="str">
        <f>IFERROR(INDEX(MASTER!$R$2:$R$2000,MATCH($A18,MASTER!$A$2:$A$2000,0))&amp;"","")</f>
        <v/>
      </c>
    </row>
    <row r="19" spans="1:12" x14ac:dyDescent="0.25">
      <c r="A19" s="15" t="s">
        <v>1337</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1342</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1375</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1382</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44" priority="19" operator="equal">
      <formula>"P0"</formula>
    </cfRule>
    <cfRule type="cellIs" dxfId="43" priority="20" operator="equal">
      <formula>"P1"</formula>
    </cfRule>
  </conditionalFormatting>
  <conditionalFormatting sqref="F8:F22">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L2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2291</v>
      </c>
    </row>
    <row r="2" spans="1:12" x14ac:dyDescent="0.25">
      <c r="A2" s="4" t="s">
        <v>2292</v>
      </c>
    </row>
    <row r="3" spans="1:12" x14ac:dyDescent="0.25">
      <c r="A3" s="6" t="s">
        <v>45</v>
      </c>
      <c r="B3" s="6" t="s">
        <v>46</v>
      </c>
      <c r="C3" s="6" t="s">
        <v>47</v>
      </c>
      <c r="D3" s="6" t="s">
        <v>13</v>
      </c>
      <c r="E3" s="6" t="s">
        <v>16</v>
      </c>
      <c r="F3" s="6" t="s">
        <v>19</v>
      </c>
      <c r="G3" s="6" t="s">
        <v>48</v>
      </c>
      <c r="H3" s="6" t="s">
        <v>33</v>
      </c>
    </row>
    <row r="4" spans="1:12" x14ac:dyDescent="0.25">
      <c r="A4" s="7">
        <f>COUNTIF(MASTER!$C$2:$C$2000,"RELEASE")</f>
        <v>20</v>
      </c>
      <c r="B4" s="7">
        <f>COUNTIFS(MASTER!$C$2:$C$2000,"RELEASE",MASTER!$G$2:$G$2000,"DONE")</f>
        <v>2</v>
      </c>
      <c r="C4" s="7">
        <f>COUNTIFS(MASTER!$C$2:$C$2000,"RELEASE",MASTER!$G$2:$G$2000,"VERIFIED")+B4</f>
        <v>2</v>
      </c>
      <c r="D4" s="7">
        <f>COUNTIFS(MASTER!$C$2:$C$2000,"RELEASE",MASTER!$G$2:$G$2000,"IN_PROGRESS")+COUNTIFS(MASTER!$C$2:$C$2000,"RELEASE",MASTER!$G$2:$G$2000,"IMPLEMENTED")+COUNTIFS(MASTER!$C$2:$C$2000,"RELEASE",MASTER!$G$2:$G$2000,"TESTING")</f>
        <v>3</v>
      </c>
      <c r="E4" s="7">
        <f>COUNTIFS(MASTER!$C$2:$C$2000,"RELEASE",MASTER!$G$2:$G$2000,"BLOCKED")</f>
        <v>1</v>
      </c>
      <c r="F4" s="7">
        <f>COUNTIFS(MASTER!$C$2:$C$2000,"RELEASE",MASTER!$G$2:$G$2000,"FAILED")</f>
        <v>0</v>
      </c>
      <c r="G4" s="9">
        <f>IF(A4=0,0,B4/A4)</f>
        <v>0.1</v>
      </c>
      <c r="H4" s="9">
        <f>IF(A4=0,0,C4/A4)</f>
        <v>0.1</v>
      </c>
    </row>
    <row r="6" spans="1:12" ht="15.75" x14ac:dyDescent="0.25">
      <c r="A6" s="5" t="s">
        <v>1545</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1389</v>
      </c>
      <c r="B8" s="12" t="str">
        <f>IFERROR(INDEX(MASTER!$C$2:$C$2000,MATCH($A8,MASTER!$A$2:$A$2000,0))&amp;"","")</f>
        <v>RELEASE</v>
      </c>
      <c r="C8" s="16">
        <f>IFERROR(INDEX(MASTER!$B$2:$B$2000,MATCH($A8,MASTER!$A$2:$A$2000,0)),"")</f>
        <v>19</v>
      </c>
      <c r="D8" s="12" t="str">
        <f>IFERROR(INDEX(MASTER!$D$2:$D$2000,MATCH($A8,MASTER!$A$2:$A$2000,0))&amp;"","")</f>
        <v>Release scope and feature freeze</v>
      </c>
      <c r="E8" s="12" t="str">
        <f>IFERROR(INDEX(MASTER!$F$2:$F$2000,MATCH($A8,MASTER!$A$2:$A$2000,0))&amp;"","")</f>
        <v>P0</v>
      </c>
      <c r="F8" s="12" t="str">
        <f>IFERROR(INDEX(MASTER!$G$2:$G$2000,MATCH($A8,MASTER!$A$2:$A$2000,0))&amp;"","NOT IN MASTER")</f>
        <v>DONE</v>
      </c>
      <c r="G8" s="12" t="str">
        <f>IFERROR(INDEX(MASTER!$H$2:$H$2000,MATCH($A8,MASTER!$A$2:$A$2000,0))&amp;"","")</f>
        <v>Scope agreed with the owner in chat on 2026-10-13 (Vercel Hobby; billing off; no e-mail domain; uploads/downloads under 4.5 MB) and written down in docs/deployment/vercel.md 'Limits of this release'.</v>
      </c>
      <c r="H8" s="12" t="str">
        <f>IFERROR(INDEX(MASTER!$I$2:$I$2000,MATCH($A8,MASTER!$A$2:$A$2000,0))&amp;"","")</f>
        <v>Owner's answers recorded 2026-10-13; docs/deployment/vercel.md committed in 68a89a9.</v>
      </c>
      <c r="I8" s="19">
        <f>IFERROR(IF(INDEX(MASTER!$O$2:$O$2000,MATCH($A8,MASTER!$A$2:$A$2000,0))="","",INDEX(MASTER!$O$2:$O$2000,MATCH($A8,MASTER!$A$2:$A$2000,0))),"")</f>
        <v>46308.595995370371</v>
      </c>
      <c r="J8" s="12" t="str">
        <f>IFERROR(INDEX(MASTER!$P$2:$P$2000,MATCH($A8,MASTER!$A$2:$A$2000,0))&amp;"","")</f>
        <v>68a89a9</v>
      </c>
      <c r="K8" s="12" t="str">
        <f>IFERROR(INDEX(MASTER!$Q$2:$Q$2000,MATCH($A8,MASTER!$A$2:$A$2000,0))&amp;"","")</f>
        <v>Mandatory before launch: yes. Owner approved: Vercel Hobby, billing off, no e-mail domain, 4.5 MB limit (2026-10-13).</v>
      </c>
      <c r="L8" s="12" t="str">
        <f>IFERROR(INDEX(MASTER!$R$2:$R$2000,MATCH($A8,MASTER!$A$2:$A$2000,0))&amp;"","")</f>
        <v/>
      </c>
    </row>
    <row r="9" spans="1:12" x14ac:dyDescent="0.25">
      <c r="A9" s="15" t="s">
        <v>1397</v>
      </c>
      <c r="B9" s="12" t="str">
        <f>IFERROR(INDEX(MASTER!$C$2:$C$2000,MATCH($A9,MASTER!$A$2:$A$2000,0))&amp;"","")</f>
        <v>RELEASE</v>
      </c>
      <c r="C9" s="16">
        <f>IFERROR(INDEX(MASTER!$B$2:$B$2000,MATCH($A9,MASTER!$A$2:$A$2000,0)),"")</f>
        <v>19</v>
      </c>
      <c r="D9" s="12" t="str">
        <f>IFERROR(INDEX(MASTER!$D$2:$D$2000,MATCH($A9,MASTER!$A$2:$A$2000,0))&amp;"","")</f>
        <v>Vercel project with frontend + backend services</v>
      </c>
      <c r="E9" s="12" t="str">
        <f>IFERROR(INDEX(MASTER!$F$2:$F$2000,MATCH($A9,MASTER!$A$2:$A$2000,0))&amp;"","")</f>
        <v>P0</v>
      </c>
      <c r="F9" s="12" t="str">
        <f>IFERROR(INDEX(MASTER!$G$2:$G$2000,MATCH($A9,MASTER!$A$2:$A$2000,0))&amp;"","NOT IN MASTER")</f>
        <v>BLOCKED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Mandatory before launch: yes. BLOCKED 2026-10-13: the Vercel connector's token is not authorized for the account's team scope 'drajeto' (403 on list/create project). Owner: re-authorize the Vercel connector for that scope, or import Drajeto07/claude in the Vercel dashboard (framework Services from vercel.json).</v>
      </c>
      <c r="L9" s="12" t="str">
        <f>IFERROR(INDEX(MASTER!$R$2:$R$2000,MATCH($A9,MASTER!$A$2:$A$2000,0))&amp;"","")</f>
        <v/>
      </c>
    </row>
    <row r="10" spans="1:12" x14ac:dyDescent="0.25">
      <c r="A10" s="15" t="s">
        <v>1402</v>
      </c>
      <c r="B10" s="12" t="str">
        <f>IFERROR(INDEX(MASTER!$C$2:$C$2000,MATCH($A10,MASTER!$A$2:$A$2000,0))&amp;"","")</f>
        <v>RELEASE</v>
      </c>
      <c r="C10" s="16">
        <f>IFERROR(INDEX(MASTER!$B$2:$B$2000,MATCH($A10,MASTER!$A$2:$A$2000,0)),"")</f>
        <v>19</v>
      </c>
      <c r="D10" s="12" t="str">
        <f>IFERROR(INDEX(MASTER!$D$2:$D$2000,MATCH($A10,MASTER!$A$2:$A$2000,0))&amp;"","")</f>
        <v>Production settings and secrets in Vercel</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Mandatory before launch: yes. Secrets entered by the owner in the Vercel dashboard only.</v>
      </c>
      <c r="L10" s="12" t="str">
        <f>IFERROR(INDEX(MASTER!$R$2:$R$2000,MATCH($A10,MASTER!$A$2:$A$2000,0))&amp;"","")</f>
        <v/>
      </c>
    </row>
    <row r="11" spans="1:12" x14ac:dyDescent="0.25">
      <c r="A11" s="15" t="s">
        <v>1406</v>
      </c>
      <c r="B11" s="12" t="str">
        <f>IFERROR(INDEX(MASTER!$C$2:$C$2000,MATCH($A11,MASTER!$A$2:$A$2000,0))&amp;"","")</f>
        <v>RELEASE</v>
      </c>
      <c r="C11" s="16">
        <f>IFERROR(INDEX(MASTER!$B$2:$B$2000,MATCH($A11,MASTER!$A$2:$A$2000,0)),"")</f>
        <v>19</v>
      </c>
      <c r="D11" s="12" t="str">
        <f>IFERROR(INDEX(MASTER!$D$2:$D$2000,MATCH($A11,MASTER!$A$2:$A$2000,0))&amp;"","")</f>
        <v>Production database: restored, schema current, RLS on</v>
      </c>
      <c r="E11" s="12" t="str">
        <f>IFERROR(INDEX(MASTER!$F$2:$F$2000,MATCH($A11,MASTER!$A$2:$A$2000,0))&amp;"","")</f>
        <v>P0</v>
      </c>
      <c r="F11" s="12" t="str">
        <f>IFERROR(INDEX(MASTER!$G$2:$G$2000,MATCH($A11,MASTER!$A$2:$A$2000,0))&amp;"","NOT IN MASTER")</f>
        <v>DONE</v>
      </c>
      <c r="G11" s="12" t="str">
        <f>IFERROR(INDEX(MASTER!$H$2:$H$2000,MATCH($A11,MASTER!$A$2:$A$2000,0))&amp;"","")</f>
        <v>Supabase connector: restore_project -&gt; ACTIVE_HEALTHY (eu-central-1, Postgres 17); SQL: alembic_version = d41f7a60c9e2 = `alembic heads` of the code; list_migrations: 14 applied, the last d41f7a60c9e2; security advisors: only rls_enabled_no_policy (INFO) on all 16 public tables (RLS on, no policies by design: the API connects as owner). Holds 1 account and 8 documents from development (REL-020).</v>
      </c>
      <c r="H11" s="12" t="str">
        <f>IFERROR(INDEX(MASTER!$I$2:$I$2000,MATCH($A11,MASTER!$A$2:$A$2000,0))&amp;"","")</f>
        <v>Supabase get_project, execute_sql (alembic_version), list_migrations, get_advisors(security) on 2026-10-13.</v>
      </c>
      <c r="I11" s="19">
        <f>IFERROR(IF(INDEX(MASTER!$O$2:$O$2000,MATCH($A11,MASTER!$A$2:$A$2000,0))="","",INDEX(MASTER!$O$2:$O$2000,MATCH($A11,MASTER!$A$2:$A$2000,0))),"")</f>
        <v>46308.596041666657</v>
      </c>
      <c r="J11" s="12" t="str">
        <f>IFERROR(INDEX(MASTER!$P$2:$P$2000,MATCH($A11,MASTER!$A$2:$A$2000,0))&amp;"","")</f>
        <v>68a89a9</v>
      </c>
      <c r="K11" s="12" t="str">
        <f>IFERROR(INDEX(MASTER!$Q$2:$Q$2000,MATCH($A11,MASTER!$A$2:$A$2000,0))&amp;"","")</f>
        <v>Mandatory before launch: yes. Restored from paused 2026-10-13 with the owner's approval.</v>
      </c>
      <c r="L11" s="12" t="str">
        <f>IFERROR(INDEX(MASTER!$R$2:$R$2000,MATCH($A11,MASTER!$A$2:$A$2000,0))&amp;"","")</f>
        <v/>
      </c>
    </row>
    <row r="12" spans="1:12" x14ac:dyDescent="0.25">
      <c r="A12" s="15" t="s">
        <v>1413</v>
      </c>
      <c r="B12" s="12" t="str">
        <f>IFERROR(INDEX(MASTER!$C$2:$C$2000,MATCH($A12,MASTER!$A$2:$A$2000,0))&amp;"","")</f>
        <v>RELEASE</v>
      </c>
      <c r="C12" s="16">
        <f>IFERROR(INDEX(MASTER!$B$2:$B$2000,MATCH($A12,MASTER!$A$2:$A$2000,0)),"")</f>
        <v>19</v>
      </c>
      <c r="D12" s="12" t="str">
        <f>IFERROR(INDEX(MASTER!$D$2:$D$2000,MATCH($A12,MASTER!$A$2:$A$2000,0))&amp;"","")</f>
        <v>File storage: private Supabase Storage bucket over S3</v>
      </c>
      <c r="E12" s="12" t="str">
        <f>IFERROR(INDEX(MASTER!$F$2:$F$2000,MATCH($A12,MASTER!$A$2:$A$2000,0))&amp;"","")</f>
        <v>P0</v>
      </c>
      <c r="F12" s="12" t="str">
        <f>IFERROR(INDEX(MASTER!$G$2:$G$2000,MATCH($A12,MASTER!$A$2:$A$2000,0))&amp;"","NOT IN MASTER")</f>
        <v>IN_PROGRESS</v>
      </c>
      <c r="G12" s="12" t="str">
        <f>IFERROR(INDEX(MASTER!$H$2:$H$2000,MATCH($A12,MASTER!$A$2:$A$2000,0))&amp;"","")</f>
        <v>Private bucket smartdoc-files created in Supabase Storage (storage.buckets public=false) on 2026-10-13. Waiting: an S3 access key pair created by the owner (Supabase -&gt; Storage -&gt; S3 Connection) and entered in Vercel.</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Mandatory before launch: yes. Bucket created 2026-10-13; keys: owner (Supabase -&gt; Storage -&gt; S3 Connection).</v>
      </c>
      <c r="L12" s="12" t="str">
        <f>IFERROR(INDEX(MASTER!$R$2:$R$2000,MATCH($A12,MASTER!$A$2:$A$2000,0))&amp;"","")</f>
        <v/>
      </c>
    </row>
    <row r="13" spans="1:12" x14ac:dyDescent="0.25">
      <c r="A13" s="15" t="s">
        <v>1418</v>
      </c>
      <c r="B13" s="12" t="str">
        <f>IFERROR(INDEX(MASTER!$C$2:$C$2000,MATCH($A13,MASTER!$A$2:$A$2000,0))&amp;"","")</f>
        <v>RELEASE</v>
      </c>
      <c r="C13" s="16">
        <f>IFERROR(INDEX(MASTER!$B$2:$B$2000,MATCH($A13,MASTER!$A$2:$A$2000,0)),"")</f>
        <v>19</v>
      </c>
      <c r="D13" s="12" t="str">
        <f>IFERROR(INDEX(MASTER!$D$2:$D$2000,MATCH($A13,MASTER!$A$2:$A$2000,0))&amp;"","")</f>
        <v>Serverless-ready configuration in code</v>
      </c>
      <c r="E13" s="12" t="str">
        <f>IFERROR(INDEX(MASTER!$F$2:$F$2000,MATCH($A13,MASTER!$A$2:$A$2000,0))&amp;"","")</f>
        <v>P0</v>
      </c>
      <c r="F13" s="12" t="str">
        <f>IFERROR(INDEX(MASTER!$G$2:$G$2000,MATCH($A13,MASTER!$A$2:$A$2000,0))&amp;"","NOT IN MASTER")</f>
        <v>IMPLEMENTED</v>
      </c>
      <c r="G13" s="12" t="str">
        <f>IFERROR(INDEX(MASTER!$H$2:$H$2000,MATCH($A13,MASTER!$A$2:$A$2000,0))&amp;"","")</f>
        <v>vercel.json (services frontend/backend, rewrites /api/* -&gt; backend, binding API_INTERNAL_URL); backend/Dockerfile.vercel; frontend client.ts/proxy.ts same-origin mode; config.browser_origins (VERCEL_URL ...); db/session.engine_options (DATABASE_POOLER=transaction: NullPool, statement cache off, unique prepared names); docs/deployment/vercel.md.</v>
      </c>
      <c r="H13" s="12" t="str">
        <f>IFERROR(INDEX(MASTER!$I$2:$I$2000,MATCH($A13,MASTER!$A$2:$A$2000,0))&amp;"","")</f>
        <v>backend tests/test_release_config.py (4) + test_config (11 in run); frontend services/api/client.test.ts (10); full backend run 2577 passed + 1 stub fixed (9/9 in its file). Not yet verified on a deployment (REL-009).</v>
      </c>
      <c r="I13" s="19" t="str">
        <f>IFERROR(IF(INDEX(MASTER!$O$2:$O$2000,MATCH($A13,MASTER!$A$2:$A$2000,0))="","",INDEX(MASTER!$O$2:$O$2000,MATCH($A13,MASTER!$A$2:$A$2000,0))),"")</f>
        <v/>
      </c>
      <c r="J13" s="12" t="str">
        <f>IFERROR(INDEX(MASTER!$P$2:$P$2000,MATCH($A13,MASTER!$A$2:$A$2000,0))&amp;"","")</f>
        <v>68a89a9</v>
      </c>
      <c r="K13" s="12" t="str">
        <f>IFERROR(INDEX(MASTER!$Q$2:$Q$2000,MATCH($A13,MASTER!$A$2:$A$2000,0))&amp;"","")</f>
        <v>Mandatory before launch: yes.</v>
      </c>
      <c r="L13" s="12" t="str">
        <f>IFERROR(INDEX(MASTER!$R$2:$R$2000,MATCH($A13,MASTER!$A$2:$A$2000,0))&amp;"","")</f>
        <v/>
      </c>
    </row>
    <row r="14" spans="1:12" x14ac:dyDescent="0.25">
      <c r="A14" s="15" t="s">
        <v>1425</v>
      </c>
      <c r="B14" s="12" t="str">
        <f>IFERROR(INDEX(MASTER!$C$2:$C$2000,MATCH($A14,MASTER!$A$2:$A$2000,0))&amp;"","")</f>
        <v>RELEASE</v>
      </c>
      <c r="C14" s="16">
        <f>IFERROR(INDEX(MASTER!$B$2:$B$2000,MATCH($A14,MASTER!$A$2:$A$2000,0)),"")</f>
        <v>19</v>
      </c>
      <c r="D14" s="12" t="str">
        <f>IFERROR(INDEX(MASTER!$D$2:$D$2000,MATCH($A14,MASTER!$A$2:$A$2000,0))&amp;"","")</f>
        <v>Error monitoring (Sentry, backend)</v>
      </c>
      <c r="E14" s="12" t="str">
        <f>IFERROR(INDEX(MASTER!$F$2:$F$2000,MATCH($A14,MASTER!$A$2:$A$2000,0))&amp;"","")</f>
        <v>P0</v>
      </c>
      <c r="F14" s="12" t="str">
        <f>IFERROR(INDEX(MASTER!$G$2:$G$2000,MATCH($A14,MASTER!$A$2:$A$2000,0))&amp;"","NOT IN MASTER")</f>
        <v>IMPLEMENTED</v>
      </c>
      <c r="G14" s="12" t="str">
        <f>IFERROR(INDEX(MASTER!$H$2:$H$2000,MATCH($A14,MASTER!$A$2:$A$2000,0))&amp;"","")</f>
        <v>backend/app/monitoring.py (init_monitoring, scrub) called from app/main.py; settings SENTRY_DSN, SENTRY_ENVIRONMENT, SENTRY_TRACES_SAMPLE_RATE; sentry-sdk 2.70.0 direct dependency; Sentry project drajeto/smartdoc-backend created (EU, python-fastapi) with a DSN.</v>
      </c>
      <c r="H14" s="12" t="str">
        <f>IFERROR(INDEX(MASTER!$I$2:$I$2000,MATCH($A14,MASTER!$A$2:$A$2000,0))&amp;"","")</f>
        <v>backend tests/test_monitoring.py (3: off without DSN; real SDK with a captured transport: the error and request id reported, the body/cookie/Authorization/query/local variable not; scrub unit test). Pending: SENTRY_DSN in Vercel and a test event from the deployment.</v>
      </c>
      <c r="I14" s="19" t="str">
        <f>IFERROR(IF(INDEX(MASTER!$O$2:$O$2000,MATCH($A14,MASTER!$A$2:$A$2000,0))="","",INDEX(MASTER!$O$2:$O$2000,MATCH($A14,MASTER!$A$2:$A$2000,0))),"")</f>
        <v/>
      </c>
      <c r="J14" s="12" t="str">
        <f>IFERROR(INDEX(MASTER!$P$2:$P$2000,MATCH($A14,MASTER!$A$2:$A$2000,0))&amp;"","")</f>
        <v>c25b124</v>
      </c>
      <c r="K14" s="12" t="str">
        <f>IFERROR(INDEX(MASTER!$Q$2:$Q$2000,MATCH($A14,MASTER!$A$2:$A$2000,0))&amp;"","")</f>
        <v>Mandatory before launch: yes. Project created 2026-10-13 (EU region).</v>
      </c>
      <c r="L14" s="12" t="str">
        <f>IFERROR(INDEX(MASTER!$R$2:$R$2000,MATCH($A14,MASTER!$A$2:$A$2000,0))&amp;"","")</f>
        <v/>
      </c>
    </row>
    <row r="15" spans="1:12" x14ac:dyDescent="0.25">
      <c r="A15" s="15" t="s">
        <v>1433</v>
      </c>
      <c r="B15" s="12" t="str">
        <f>IFERROR(INDEX(MASTER!$C$2:$C$2000,MATCH($A15,MASTER!$A$2:$A$2000,0))&amp;"","")</f>
        <v>RELEASE</v>
      </c>
      <c r="C15" s="16">
        <f>IFERROR(INDEX(MASTER!$B$2:$B$2000,MATCH($A15,MASTER!$A$2:$A$2000,0)),"")</f>
        <v>19</v>
      </c>
      <c r="D15" s="12" t="str">
        <f>IFERROR(INDEX(MASTER!$D$2:$D$2000,MATCH($A15,MASTER!$A$2:$A$2000,0))&amp;"","")</f>
        <v>Uptime monitor on the public URL</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Mandatory before launch: yes (basic alert).</v>
      </c>
      <c r="L15" s="12" t="str">
        <f>IFERROR(INDEX(MASTER!$R$2:$R$2000,MATCH($A15,MASTER!$A$2:$A$2000,0))&amp;"","")</f>
        <v/>
      </c>
    </row>
    <row r="16" spans="1:12" x14ac:dyDescent="0.25">
      <c r="A16" s="15" t="s">
        <v>1438</v>
      </c>
      <c r="B16" s="12" t="str">
        <f>IFERROR(INDEX(MASTER!$C$2:$C$2000,MATCH($A16,MASTER!$A$2:$A$2000,0))&amp;"","")</f>
        <v>RELEASE</v>
      </c>
      <c r="C16" s="16">
        <f>IFERROR(INDEX(MASTER!$B$2:$B$2000,MATCH($A16,MASTER!$A$2:$A$2000,0)),"")</f>
        <v>19</v>
      </c>
      <c r="D16" s="12" t="str">
        <f>IFERROR(INDEX(MASTER!$D$2:$D$2000,MATCH($A16,MASTER!$A$2:$A$2000,0))&amp;"","")</f>
        <v>Preview deployment and smoke test</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Mandatory before launch: yes.</v>
      </c>
      <c r="L16" s="12" t="str">
        <f>IFERROR(INDEX(MASTER!$R$2:$R$2000,MATCH($A16,MASTER!$A$2:$A$2000,0))&amp;"","")</f>
        <v/>
      </c>
    </row>
    <row r="17" spans="1:12" x14ac:dyDescent="0.25">
      <c r="A17" s="15" t="s">
        <v>1436</v>
      </c>
      <c r="B17" s="12" t="str">
        <f>IFERROR(INDEX(MASTER!$C$2:$C$2000,MATCH($A17,MASTER!$A$2:$A$2000,0))&amp;"","")</f>
        <v>RELEASE</v>
      </c>
      <c r="C17" s="16">
        <f>IFERROR(INDEX(MASTER!$B$2:$B$2000,MATCH($A17,MASTER!$A$2:$A$2000,0)),"")</f>
        <v>19</v>
      </c>
      <c r="D17" s="12" t="str">
        <f>IFERROR(INDEX(MASTER!$D$2:$D$2000,MATCH($A17,MASTER!$A$2:$A$2000,0))&amp;"","")</f>
        <v>Production deployment and live acceptance</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Mandatory before launch: yes. Needs the owner's go-ahead (public).</v>
      </c>
      <c r="L17" s="12" t="str">
        <f>IFERROR(INDEX(MASTER!$R$2:$R$2000,MATCH($A17,MASTER!$A$2:$A$2000,0))&amp;"","")</f>
        <v/>
      </c>
    </row>
    <row r="18" spans="1:12" x14ac:dyDescent="0.25">
      <c r="A18" s="15" t="s">
        <v>1445</v>
      </c>
      <c r="B18" s="12" t="str">
        <f>IFERROR(INDEX(MASTER!$C$2:$C$2000,MATCH($A18,MASTER!$A$2:$A$2000,0))&amp;"","")</f>
        <v>RELEASE</v>
      </c>
      <c r="C18" s="16">
        <f>IFERROR(INDEX(MASTER!$B$2:$B$2000,MATCH($A18,MASTER!$A$2:$A$2000,0)),"")</f>
        <v>19</v>
      </c>
      <c r="D18" s="12" t="str">
        <f>IFERROR(INDEX(MASTER!$D$2:$D$2000,MATCH($A18,MASTER!$A$2:$A$2000,0))&amp;"","")</f>
        <v>Cross-user isolation on the live deployment</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Mandatory before launch: yes.</v>
      </c>
      <c r="L18" s="12" t="str">
        <f>IFERROR(INDEX(MASTER!$R$2:$R$2000,MATCH($A18,MASTER!$A$2:$A$2000,0))&amp;"","")</f>
        <v/>
      </c>
    </row>
    <row r="19" spans="1:12" x14ac:dyDescent="0.25">
      <c r="A19" s="15" t="s">
        <v>1449</v>
      </c>
      <c r="B19" s="12" t="str">
        <f>IFERROR(INDEX(MASTER!$C$2:$C$2000,MATCH($A19,MASTER!$A$2:$A$2000,0))&amp;"","")</f>
        <v>RELEASE</v>
      </c>
      <c r="C19" s="16">
        <f>IFERROR(INDEX(MASTER!$B$2:$B$2000,MATCH($A19,MASTER!$A$2:$A$2000,0)),"")</f>
        <v>19</v>
      </c>
      <c r="D19" s="12" t="str">
        <f>IFERROR(INDEX(MASTER!$D$2:$D$2000,MATCH($A19,MASTER!$A$2:$A$2000,0))&amp;"","")</f>
        <v>Rollback readiness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Mandatory before launch: yes (documented).</v>
      </c>
      <c r="L19" s="12" t="str">
        <f>IFERROR(INDEX(MASTER!$R$2:$R$2000,MATCH($A19,MASTER!$A$2:$A$2000,0))&amp;"","")</f>
        <v/>
      </c>
    </row>
    <row r="20" spans="1:12" x14ac:dyDescent="0.25">
      <c r="A20" s="15" t="s">
        <v>1453</v>
      </c>
      <c r="B20" s="12" t="str">
        <f>IFERROR(INDEX(MASTER!$C$2:$C$2000,MATCH($A20,MASTER!$A$2:$A$2000,0))&amp;"","")</f>
        <v>RELEASE</v>
      </c>
      <c r="C20" s="16">
        <f>IFERROR(INDEX(MASTER!$B$2:$B$2000,MATCH($A20,MASTER!$A$2:$A$2000,0)),"")</f>
        <v>19</v>
      </c>
      <c r="D20" s="12" t="str">
        <f>IFERROR(INDEX(MASTER!$D$2:$D$2000,MATCH($A20,MASTER!$A$2:$A$2000,0))&amp;"","")</f>
        <v>Known limitations stated to users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Mandatory before launch: yes.</v>
      </c>
      <c r="L20" s="12" t="str">
        <f>IFERROR(INDEX(MASTER!$R$2:$R$2000,MATCH($A20,MASTER!$A$2:$A$2000,0))&amp;"","")</f>
        <v/>
      </c>
    </row>
    <row r="21" spans="1:12" x14ac:dyDescent="0.25">
      <c r="A21" s="15" t="s">
        <v>1457</v>
      </c>
      <c r="B21" s="12" t="str">
        <f>IFERROR(INDEX(MASTER!$C$2:$C$2000,MATCH($A21,MASTER!$A$2:$A$2000,0))&amp;"","")</f>
        <v>RELEASE</v>
      </c>
      <c r="C21" s="16">
        <f>IFERROR(INDEX(MASTER!$B$2:$B$2000,MATCH($A21,MASTER!$A$2:$A$2000,0)),"")</f>
        <v>19</v>
      </c>
      <c r="D21" s="12" t="str">
        <f>IFERROR(INDEX(MASTER!$D$2:$D$2000,MATCH($A21,MASTER!$A$2:$A$2000,0))&amp;"","")</f>
        <v>Post-launch: scheduled sweep and stuck-job recovery</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Mandatory before launch: no (post-launch).</v>
      </c>
      <c r="L21" s="12" t="str">
        <f>IFERROR(INDEX(MASTER!$R$2:$R$2000,MATCH($A21,MASTER!$A$2:$A$2000,0))&amp;"","")</f>
        <v/>
      </c>
    </row>
    <row r="22" spans="1:12" x14ac:dyDescent="0.25">
      <c r="A22" s="15" t="s">
        <v>1462</v>
      </c>
      <c r="B22" s="12" t="str">
        <f>IFERROR(INDEX(MASTER!$C$2:$C$2000,MATCH($A22,MASTER!$A$2:$A$2000,0))&amp;"","")</f>
        <v>RELEASE</v>
      </c>
      <c r="C22" s="16">
        <f>IFERROR(INDEX(MASTER!$B$2:$B$2000,MATCH($A22,MASTER!$A$2:$A$2000,0)),"")</f>
        <v>19</v>
      </c>
      <c r="D22" s="12" t="str">
        <f>IFERROR(INDEX(MASTER!$D$2:$D$2000,MATCH($A22,MASTER!$A$2:$A$2000,0))&amp;"","")</f>
        <v>Post-launch: frontend error monitoring and product analytics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Mandatory before launch: no.</v>
      </c>
      <c r="L22" s="12" t="str">
        <f>IFERROR(INDEX(MASTER!$R$2:$R$2000,MATCH($A22,MASTER!$A$2:$A$2000,0))&amp;"","")</f>
        <v/>
      </c>
    </row>
    <row r="23" spans="1:12" x14ac:dyDescent="0.25">
      <c r="A23" s="15" t="s">
        <v>1466</v>
      </c>
      <c r="B23" s="12" t="str">
        <f>IFERROR(INDEX(MASTER!$C$2:$C$2000,MATCH($A23,MASTER!$A$2:$A$2000,0))&amp;"","")</f>
        <v>RELEASE</v>
      </c>
      <c r="C23" s="16">
        <f>IFERROR(INDEX(MASTER!$B$2:$B$2000,MATCH($A23,MASTER!$A$2:$A$2000,0)),"")</f>
        <v>19</v>
      </c>
      <c r="D23" s="12" t="str">
        <f>IFERROR(INDEX(MASTER!$D$2:$D$2000,MATCH($A23,MASTER!$A$2:$A$2000,0))&amp;"","")</f>
        <v>Post-launch: transactional e-mail</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Mandatory before launch: no. Needs a domain the owner owns.</v>
      </c>
      <c r="L23" s="12" t="str">
        <f>IFERROR(INDEX(MASTER!$R$2:$R$2000,MATCH($A23,MASTER!$A$2:$A$2000,0))&amp;"","")</f>
        <v/>
      </c>
    </row>
    <row r="24" spans="1:12" x14ac:dyDescent="0.25">
      <c r="A24" s="15" t="s">
        <v>1471</v>
      </c>
      <c r="B24" s="12" t="str">
        <f>IFERROR(INDEX(MASTER!$C$2:$C$2000,MATCH($A24,MASTER!$A$2:$A$2000,0))&amp;"","")</f>
        <v>RELEASE</v>
      </c>
      <c r="C24" s="16">
        <f>IFERROR(INDEX(MASTER!$B$2:$B$2000,MATCH($A24,MASTER!$A$2:$A$2000,0)),"")</f>
        <v>19</v>
      </c>
      <c r="D24" s="12" t="str">
        <f>IFERROR(INDEX(MASTER!$D$2:$D$2000,MATCH($A24,MASTER!$A$2:$A$2000,0))&amp;"","")</f>
        <v>Post-launch: shared rate limits and a job worker</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Mandatory before launch: no.</v>
      </c>
      <c r="L24" s="12" t="str">
        <f>IFERROR(INDEX(MASTER!$R$2:$R$2000,MATCH($A24,MASTER!$A$2:$A$2000,0))&amp;"","")</f>
        <v/>
      </c>
    </row>
    <row r="25" spans="1:12" x14ac:dyDescent="0.25">
      <c r="A25" s="15" t="s">
        <v>1475</v>
      </c>
      <c r="B25" s="12" t="str">
        <f>IFERROR(INDEX(MASTER!$C$2:$C$2000,MATCH($A25,MASTER!$A$2:$A$2000,0))&amp;"","")</f>
        <v>RELEASE</v>
      </c>
      <c r="C25" s="16">
        <f>IFERROR(INDEX(MASTER!$B$2:$B$2000,MATCH($A25,MASTER!$A$2:$A$2000,0)),"")</f>
        <v>19</v>
      </c>
      <c r="D25" s="12" t="str">
        <f>IFERROR(INDEX(MASTER!$D$2:$D$2000,MATCH($A25,MASTER!$A$2:$A$2000,0))&amp;"","")</f>
        <v>Post-launch: commercial plan before charging</v>
      </c>
      <c r="E25" s="12" t="str">
        <f>IFERROR(INDEX(MASTER!$F$2:$F$2000,MATCH($A25,MASTER!$A$2:$A$2000,0))&amp;"","")</f>
        <v>P2</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Mandatory before launch: no. Owner decisions.</v>
      </c>
      <c r="L25" s="12" t="str">
        <f>IFERROR(INDEX(MASTER!$R$2:$R$2000,MATCH($A25,MASTER!$A$2:$A$2000,0))&amp;"","")</f>
        <v/>
      </c>
    </row>
    <row r="26" spans="1:12" x14ac:dyDescent="0.25">
      <c r="A26" s="15" t="s">
        <v>1480</v>
      </c>
      <c r="B26" s="12" t="str">
        <f>IFERROR(INDEX(MASTER!$C$2:$C$2000,MATCH($A26,MASTER!$A$2:$A$2000,0))&amp;"","")</f>
        <v>RELEASE</v>
      </c>
      <c r="C26" s="16">
        <f>IFERROR(INDEX(MASTER!$B$2:$B$2000,MATCH($A26,MASTER!$A$2:$A$2000,0)),"")</f>
        <v>19</v>
      </c>
      <c r="D26" s="12" t="str">
        <f>IFERROR(INDEX(MASTER!$D$2:$D$2000,MATCH($A26,MASTER!$A$2:$A$2000,0))&amp;"","")</f>
        <v>Post-launch audit of untested and unverified capabilities</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Mandatory before launch: no (release blockers found are fixed before).</v>
      </c>
      <c r="L26" s="12" t="str">
        <f>IFERROR(INDEX(MASTER!$R$2:$R$2000,MATCH($A26,MASTER!$A$2:$A$2000,0))&amp;"","")</f>
        <v/>
      </c>
    </row>
    <row r="27" spans="1:12" x14ac:dyDescent="0.25">
      <c r="A27" s="15" t="s">
        <v>1484</v>
      </c>
      <c r="B27" s="12" t="str">
        <f>IFERROR(INDEX(MASTER!$C$2:$C$2000,MATCH($A27,MASTER!$A$2:$A$2000,0))&amp;"","")</f>
        <v>RELEASE</v>
      </c>
      <c r="C27" s="16">
        <f>IFERROR(INDEX(MASTER!$B$2:$B$2000,MATCH($A27,MASTER!$A$2:$A$2000,0)),"")</f>
        <v>19</v>
      </c>
      <c r="D27" s="12" t="str">
        <f>IFERROR(INDEX(MASTER!$D$2:$D$2000,MATCH($A27,MASTER!$A$2:$A$2000,0))&amp;"","")</f>
        <v>Development data in the production database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Mandatory before launch: yes (decision only). Never deleted without the owner's explicit approval.</v>
      </c>
      <c r="L27" s="12" t="str">
        <f>IFERROR(INDEX(MASTER!$R$2:$R$2000,MATCH($A27,MASTER!$A$2:$A$2000,0))&amp;"","")</f>
        <v/>
      </c>
    </row>
  </sheetData>
  <autoFilter ref="A7:L27" xr:uid="{00000000-0009-0000-0000-000011000000}"/>
  <conditionalFormatting sqref="E8:E27">
    <cfRule type="cellIs" dxfId="24" priority="19" operator="equal">
      <formula>"P0"</formula>
    </cfRule>
    <cfRule type="cellIs" dxfId="23" priority="20" operator="equal">
      <formula>"P1"</formula>
    </cfRule>
  </conditionalFormatting>
  <conditionalFormatting sqref="F8:F27">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I209"/>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2293</v>
      </c>
      <c r="B1" s="10" t="s">
        <v>2294</v>
      </c>
      <c r="C1" s="10" t="s">
        <v>43</v>
      </c>
      <c r="D1" s="10" t="s">
        <v>2295</v>
      </c>
      <c r="E1" s="10" t="s">
        <v>2296</v>
      </c>
      <c r="F1" s="10" t="s">
        <v>171</v>
      </c>
      <c r="G1" s="10" t="s">
        <v>94</v>
      </c>
      <c r="H1" s="10" t="s">
        <v>177</v>
      </c>
      <c r="I1" s="10" t="s">
        <v>178</v>
      </c>
    </row>
    <row r="2" spans="1:9" ht="25.5" x14ac:dyDescent="0.25">
      <c r="A2" s="19">
        <v>46292.158703703702</v>
      </c>
      <c r="B2" s="12" t="s">
        <v>181</v>
      </c>
      <c r="C2" s="12">
        <v>0</v>
      </c>
      <c r="D2" s="18" t="s">
        <v>2297</v>
      </c>
      <c r="E2" s="18" t="s">
        <v>2298</v>
      </c>
      <c r="F2" s="18"/>
      <c r="G2" s="12" t="s">
        <v>2299</v>
      </c>
      <c r="H2" s="12"/>
      <c r="I2" s="18"/>
    </row>
    <row r="3" spans="1:9" ht="76.5" x14ac:dyDescent="0.25">
      <c r="A3" s="19">
        <v>46292.160995370366</v>
      </c>
      <c r="B3" s="12" t="s">
        <v>181</v>
      </c>
      <c r="C3" s="12">
        <v>0</v>
      </c>
      <c r="D3" s="18" t="s">
        <v>2300</v>
      </c>
      <c r="E3" s="18" t="s">
        <v>2301</v>
      </c>
      <c r="F3" s="18" t="s">
        <v>186</v>
      </c>
      <c r="G3" s="12" t="s">
        <v>1625</v>
      </c>
      <c r="H3" s="12"/>
      <c r="I3" s="18"/>
    </row>
    <row r="4" spans="1:9" ht="38.25" x14ac:dyDescent="0.25">
      <c r="A4" s="19">
        <v>46292.161030092589</v>
      </c>
      <c r="B4" s="12" t="s">
        <v>196</v>
      </c>
      <c r="C4" s="12">
        <v>0</v>
      </c>
      <c r="D4" s="18" t="s">
        <v>2302</v>
      </c>
      <c r="E4" s="18"/>
      <c r="F4" s="18" t="s">
        <v>201</v>
      </c>
      <c r="G4" s="12" t="s">
        <v>1625</v>
      </c>
      <c r="H4" s="12"/>
      <c r="I4" s="18"/>
    </row>
    <row r="5" spans="1:9" ht="63.75" x14ac:dyDescent="0.25">
      <c r="A5" s="19">
        <v>46292.161874999998</v>
      </c>
      <c r="B5" s="12" t="s">
        <v>190</v>
      </c>
      <c r="C5" s="12">
        <v>0</v>
      </c>
      <c r="D5" s="18" t="s">
        <v>2303</v>
      </c>
      <c r="E5" s="18" t="s">
        <v>2304</v>
      </c>
      <c r="F5" s="18" t="s">
        <v>194</v>
      </c>
      <c r="G5" s="12" t="s">
        <v>1625</v>
      </c>
      <c r="H5" s="12"/>
      <c r="I5" s="18"/>
    </row>
    <row r="6" spans="1:9" ht="25.5" x14ac:dyDescent="0.25">
      <c r="A6" s="19">
        <v>46292.167349537027</v>
      </c>
      <c r="B6" s="12" t="s">
        <v>203</v>
      </c>
      <c r="C6" s="12">
        <v>0</v>
      </c>
      <c r="D6" s="18" t="s">
        <v>2305</v>
      </c>
      <c r="E6" s="18" t="s">
        <v>249</v>
      </c>
      <c r="F6" s="18" t="s">
        <v>207</v>
      </c>
      <c r="G6" s="12" t="s">
        <v>1625</v>
      </c>
      <c r="H6" s="12"/>
      <c r="I6" s="18"/>
    </row>
    <row r="7" spans="1:9" ht="25.5" x14ac:dyDescent="0.25">
      <c r="A7" s="19">
        <v>46292.167395833327</v>
      </c>
      <c r="B7" s="12" t="s">
        <v>209</v>
      </c>
      <c r="C7" s="12">
        <v>0</v>
      </c>
      <c r="D7" s="18" t="s">
        <v>2306</v>
      </c>
      <c r="E7" s="18" t="s">
        <v>249</v>
      </c>
      <c r="F7" s="18" t="s">
        <v>213</v>
      </c>
      <c r="G7" s="12" t="s">
        <v>1625</v>
      </c>
      <c r="H7" s="12"/>
      <c r="I7" s="18"/>
    </row>
    <row r="8" spans="1:9" ht="38.25" x14ac:dyDescent="0.25">
      <c r="A8" s="19">
        <v>46292.167430555557</v>
      </c>
      <c r="B8" s="12" t="s">
        <v>215</v>
      </c>
      <c r="C8" s="12">
        <v>0</v>
      </c>
      <c r="D8" s="18" t="s">
        <v>2307</v>
      </c>
      <c r="E8" s="18" t="s">
        <v>249</v>
      </c>
      <c r="F8" s="18" t="s">
        <v>219</v>
      </c>
      <c r="G8" s="12" t="s">
        <v>1625</v>
      </c>
      <c r="H8" s="12"/>
      <c r="I8" s="18"/>
    </row>
    <row r="9" spans="1:9" ht="38.25" x14ac:dyDescent="0.25">
      <c r="A9" s="19">
        <v>46292.16746527778</v>
      </c>
      <c r="B9" s="12" t="s">
        <v>221</v>
      </c>
      <c r="C9" s="12">
        <v>0</v>
      </c>
      <c r="D9" s="18" t="s">
        <v>2308</v>
      </c>
      <c r="E9" s="18" t="s">
        <v>249</v>
      </c>
      <c r="F9" s="18" t="s">
        <v>225</v>
      </c>
      <c r="G9" s="12" t="s">
        <v>1625</v>
      </c>
      <c r="H9" s="12"/>
      <c r="I9" s="18"/>
    </row>
    <row r="10" spans="1:9" ht="38.25" x14ac:dyDescent="0.25">
      <c r="A10" s="19">
        <v>46292.167500000003</v>
      </c>
      <c r="B10" s="12" t="s">
        <v>227</v>
      </c>
      <c r="C10" s="12">
        <v>0</v>
      </c>
      <c r="D10" s="18" t="s">
        <v>2309</v>
      </c>
      <c r="E10" s="18" t="s">
        <v>249</v>
      </c>
      <c r="F10" s="18" t="s">
        <v>231</v>
      </c>
      <c r="G10" s="12" t="s">
        <v>1625</v>
      </c>
      <c r="H10" s="12"/>
      <c r="I10" s="18"/>
    </row>
    <row r="11" spans="1:9" ht="51" x14ac:dyDescent="0.25">
      <c r="A11" s="19">
        <v>46292.167534722219</v>
      </c>
      <c r="B11" s="12" t="s">
        <v>233</v>
      </c>
      <c r="C11" s="12">
        <v>0</v>
      </c>
      <c r="D11" s="18" t="s">
        <v>2310</v>
      </c>
      <c r="E11" s="18" t="s">
        <v>249</v>
      </c>
      <c r="F11" s="18" t="s">
        <v>237</v>
      </c>
      <c r="G11" s="12" t="s">
        <v>1625</v>
      </c>
      <c r="H11" s="12"/>
      <c r="I11" s="18"/>
    </row>
    <row r="12" spans="1:9" ht="38.25" x14ac:dyDescent="0.25">
      <c r="A12" s="19">
        <v>46292.167569444442</v>
      </c>
      <c r="B12" s="12" t="s">
        <v>240</v>
      </c>
      <c r="C12" s="12">
        <v>0</v>
      </c>
      <c r="D12" s="18" t="s">
        <v>2311</v>
      </c>
      <c r="E12" s="18" t="s">
        <v>249</v>
      </c>
      <c r="F12" s="18" t="s">
        <v>244</v>
      </c>
      <c r="G12" s="12" t="s">
        <v>1625</v>
      </c>
      <c r="H12" s="12"/>
      <c r="I12" s="18"/>
    </row>
    <row r="13" spans="1:9" ht="51" x14ac:dyDescent="0.25">
      <c r="A13" s="19">
        <v>46292.16815972222</v>
      </c>
      <c r="B13" s="12" t="s">
        <v>246</v>
      </c>
      <c r="C13" s="12">
        <v>0</v>
      </c>
      <c r="D13" s="18" t="s">
        <v>2312</v>
      </c>
      <c r="E13" s="18" t="s">
        <v>249</v>
      </c>
      <c r="F13" s="18" t="s">
        <v>250</v>
      </c>
      <c r="G13" s="12" t="s">
        <v>1625</v>
      </c>
      <c r="H13" s="12"/>
      <c r="I13" s="18"/>
    </row>
    <row r="14" spans="1:9" ht="38.25" x14ac:dyDescent="0.25">
      <c r="A14" s="19">
        <v>46292.171805555547</v>
      </c>
      <c r="B14" s="12" t="s">
        <v>2313</v>
      </c>
      <c r="C14" s="12">
        <v>0</v>
      </c>
      <c r="D14" s="18" t="s">
        <v>2314</v>
      </c>
      <c r="E14" s="18" t="s">
        <v>2315</v>
      </c>
      <c r="F14" s="18"/>
      <c r="G14" s="12" t="s">
        <v>1625</v>
      </c>
      <c r="H14" s="12" t="s">
        <v>189</v>
      </c>
      <c r="I14" s="18"/>
    </row>
    <row r="15" spans="1:9" ht="51" x14ac:dyDescent="0.25">
      <c r="A15" s="19">
        <v>46292.189722222232</v>
      </c>
      <c r="B15" s="12" t="s">
        <v>252</v>
      </c>
      <c r="C15" s="12">
        <v>1</v>
      </c>
      <c r="D15" s="18" t="s">
        <v>2316</v>
      </c>
      <c r="E15" s="18" t="s">
        <v>2317</v>
      </c>
      <c r="F15" s="18" t="s">
        <v>256</v>
      </c>
      <c r="G15" s="12" t="s">
        <v>1625</v>
      </c>
      <c r="H15" s="12"/>
      <c r="I15" s="18"/>
    </row>
    <row r="16" spans="1:9" ht="25.5" x14ac:dyDescent="0.25">
      <c r="A16" s="19">
        <v>46292.189768518518</v>
      </c>
      <c r="B16" s="12" t="s">
        <v>262</v>
      </c>
      <c r="C16" s="12">
        <v>1</v>
      </c>
      <c r="D16" s="18" t="s">
        <v>2318</v>
      </c>
      <c r="E16" s="18" t="s">
        <v>2319</v>
      </c>
      <c r="F16" s="18" t="s">
        <v>266</v>
      </c>
      <c r="G16" s="12" t="s">
        <v>1625</v>
      </c>
      <c r="H16" s="12"/>
      <c r="I16" s="18"/>
    </row>
    <row r="17" spans="1:9" ht="51" x14ac:dyDescent="0.25">
      <c r="A17" s="19">
        <v>46292.189803240741</v>
      </c>
      <c r="B17" s="12" t="s">
        <v>270</v>
      </c>
      <c r="C17" s="12">
        <v>1</v>
      </c>
      <c r="D17" s="18" t="s">
        <v>2320</v>
      </c>
      <c r="E17" s="18" t="s">
        <v>2321</v>
      </c>
      <c r="F17" s="18" t="s">
        <v>274</v>
      </c>
      <c r="G17" s="12" t="s">
        <v>1625</v>
      </c>
      <c r="H17" s="12"/>
      <c r="I17" s="18"/>
    </row>
    <row r="18" spans="1:9" ht="63.75" x14ac:dyDescent="0.25">
      <c r="A18" s="19">
        <v>46292.189837962957</v>
      </c>
      <c r="B18" s="12" t="s">
        <v>341</v>
      </c>
      <c r="C18" s="12">
        <v>1</v>
      </c>
      <c r="D18" s="18" t="s">
        <v>2322</v>
      </c>
      <c r="E18" s="18" t="s">
        <v>2323</v>
      </c>
      <c r="F18" s="18" t="s">
        <v>345</v>
      </c>
      <c r="G18" s="12" t="s">
        <v>1625</v>
      </c>
      <c r="H18" s="12"/>
      <c r="I18" s="18"/>
    </row>
    <row r="19" spans="1:9" ht="38.25" x14ac:dyDescent="0.25">
      <c r="A19" s="19">
        <v>46292.189872685187</v>
      </c>
      <c r="B19" s="12" t="s">
        <v>347</v>
      </c>
      <c r="C19" s="12">
        <v>1</v>
      </c>
      <c r="D19" s="18" t="s">
        <v>2324</v>
      </c>
      <c r="E19" s="18" t="s">
        <v>2325</v>
      </c>
      <c r="F19" s="18" t="s">
        <v>351</v>
      </c>
      <c r="G19" s="12" t="s">
        <v>1625</v>
      </c>
      <c r="H19" s="12"/>
      <c r="I19" s="18"/>
    </row>
    <row r="20" spans="1:9" ht="51" x14ac:dyDescent="0.25">
      <c r="A20" s="19">
        <v>46292.190057870372</v>
      </c>
      <c r="B20" s="12" t="s">
        <v>292</v>
      </c>
      <c r="C20" s="12">
        <v>1</v>
      </c>
      <c r="D20" s="18" t="s">
        <v>2326</v>
      </c>
      <c r="E20" s="18" t="s">
        <v>2327</v>
      </c>
      <c r="F20" s="18" t="s">
        <v>2328</v>
      </c>
      <c r="G20" s="12" t="s">
        <v>2299</v>
      </c>
      <c r="H20" s="12"/>
      <c r="I20" s="18"/>
    </row>
    <row r="21" spans="1:9" ht="38.25" x14ac:dyDescent="0.25">
      <c r="A21" s="19">
        <v>46292.193043981482</v>
      </c>
      <c r="B21" s="12" t="s">
        <v>330</v>
      </c>
      <c r="C21" s="12">
        <v>1</v>
      </c>
      <c r="D21" s="18" t="s">
        <v>2329</v>
      </c>
      <c r="E21" s="18" t="s">
        <v>2330</v>
      </c>
      <c r="F21" s="18" t="s">
        <v>334</v>
      </c>
      <c r="G21" s="12" t="s">
        <v>1625</v>
      </c>
      <c r="H21" s="12"/>
      <c r="I21" s="18"/>
    </row>
    <row r="22" spans="1:9" ht="38.25" x14ac:dyDescent="0.25">
      <c r="A22" s="19">
        <v>46292.196898148148</v>
      </c>
      <c r="B22" s="12" t="s">
        <v>2331</v>
      </c>
      <c r="C22" s="12">
        <v>1</v>
      </c>
      <c r="D22" s="18" t="s">
        <v>2332</v>
      </c>
      <c r="E22" s="18"/>
      <c r="F22" s="18"/>
      <c r="G22" s="12" t="s">
        <v>1625</v>
      </c>
      <c r="H22" s="12" t="s">
        <v>259</v>
      </c>
      <c r="I22" s="18"/>
    </row>
    <row r="23" spans="1:9" ht="63.75" x14ac:dyDescent="0.25">
      <c r="A23" s="19">
        <v>46292.217905092592</v>
      </c>
      <c r="B23" s="12" t="s">
        <v>352</v>
      </c>
      <c r="C23" s="12">
        <v>1</v>
      </c>
      <c r="D23" s="18" t="s">
        <v>2333</v>
      </c>
      <c r="E23" s="18" t="s">
        <v>2334</v>
      </c>
      <c r="F23" s="18" t="s">
        <v>356</v>
      </c>
      <c r="G23" s="12" t="s">
        <v>1625</v>
      </c>
      <c r="H23" s="12"/>
      <c r="I23" s="18"/>
    </row>
    <row r="24" spans="1:9" ht="25.5" x14ac:dyDescent="0.25">
      <c r="A24" s="19">
        <v>46292.217939814807</v>
      </c>
      <c r="B24" s="12" t="s">
        <v>379</v>
      </c>
      <c r="C24" s="12">
        <v>1</v>
      </c>
      <c r="D24" s="18" t="s">
        <v>2335</v>
      </c>
      <c r="E24" s="18"/>
      <c r="F24" s="18" t="s">
        <v>383</v>
      </c>
      <c r="G24" s="12" t="s">
        <v>1625</v>
      </c>
      <c r="H24" s="12"/>
      <c r="I24" s="18"/>
    </row>
    <row r="25" spans="1:9" ht="51" x14ac:dyDescent="0.25">
      <c r="A25" s="19">
        <v>46292.217986111107</v>
      </c>
      <c r="B25" s="12" t="s">
        <v>374</v>
      </c>
      <c r="C25" s="12">
        <v>1</v>
      </c>
      <c r="D25" s="18" t="s">
        <v>2336</v>
      </c>
      <c r="E25" s="18" t="s">
        <v>2337</v>
      </c>
      <c r="F25" s="18" t="s">
        <v>378</v>
      </c>
      <c r="G25" s="12" t="s">
        <v>1625</v>
      </c>
      <c r="H25" s="12"/>
      <c r="I25" s="18"/>
    </row>
    <row r="26" spans="1:9" ht="38.25" x14ac:dyDescent="0.25">
      <c r="A26" s="19">
        <v>46292.219421296293</v>
      </c>
      <c r="B26" s="12" t="s">
        <v>2338</v>
      </c>
      <c r="C26" s="12">
        <v>1</v>
      </c>
      <c r="D26" s="18" t="s">
        <v>2339</v>
      </c>
      <c r="E26" s="18"/>
      <c r="F26" s="18"/>
      <c r="G26" s="12" t="s">
        <v>1625</v>
      </c>
      <c r="H26" s="12" t="s">
        <v>357</v>
      </c>
      <c r="I26" s="18"/>
    </row>
    <row r="27" spans="1:9" ht="89.25" x14ac:dyDescent="0.25">
      <c r="A27" s="19">
        <v>46292.350648148153</v>
      </c>
      <c r="B27" s="12" t="s">
        <v>367</v>
      </c>
      <c r="C27" s="12">
        <v>1</v>
      </c>
      <c r="D27" s="18" t="s">
        <v>2340</v>
      </c>
      <c r="E27" s="18"/>
      <c r="F27" s="18" t="s">
        <v>371</v>
      </c>
      <c r="G27" s="12" t="s">
        <v>1625</v>
      </c>
      <c r="H27" s="12"/>
      <c r="I27" s="18"/>
    </row>
    <row r="28" spans="1:9" ht="25.5" x14ac:dyDescent="0.25">
      <c r="A28" s="19">
        <v>46292.351168981477</v>
      </c>
      <c r="B28" s="12" t="s">
        <v>367</v>
      </c>
      <c r="C28" s="12">
        <v>1</v>
      </c>
      <c r="D28" s="18" t="s">
        <v>2341</v>
      </c>
      <c r="E28" s="18"/>
      <c r="F28" s="18"/>
      <c r="G28" s="12" t="s">
        <v>1625</v>
      </c>
      <c r="H28" s="12" t="s">
        <v>372</v>
      </c>
      <c r="I28" s="18"/>
    </row>
    <row r="29" spans="1:9" ht="63.75" x14ac:dyDescent="0.25">
      <c r="A29" s="19">
        <v>46292.356574074067</v>
      </c>
      <c r="B29" s="12" t="s">
        <v>384</v>
      </c>
      <c r="C29" s="12">
        <v>1</v>
      </c>
      <c r="D29" s="18" t="s">
        <v>2342</v>
      </c>
      <c r="E29" s="18" t="s">
        <v>2343</v>
      </c>
      <c r="F29" s="18" t="s">
        <v>388</v>
      </c>
      <c r="G29" s="12" t="s">
        <v>1625</v>
      </c>
      <c r="H29" s="12"/>
      <c r="I29" s="18"/>
    </row>
    <row r="30" spans="1:9" x14ac:dyDescent="0.25">
      <c r="A30" s="19">
        <v>46292.357893518521</v>
      </c>
      <c r="B30" s="12" t="s">
        <v>384</v>
      </c>
      <c r="C30" s="12">
        <v>1</v>
      </c>
      <c r="D30" s="18" t="s">
        <v>2344</v>
      </c>
      <c r="E30" s="18"/>
      <c r="F30" s="18"/>
      <c r="G30" s="12" t="s">
        <v>1625</v>
      </c>
      <c r="H30" s="12" t="s">
        <v>390</v>
      </c>
      <c r="I30" s="18"/>
    </row>
    <row r="31" spans="1:9" ht="76.5" x14ac:dyDescent="0.25">
      <c r="A31" s="19">
        <v>46292.373900462961</v>
      </c>
      <c r="B31" s="12" t="s">
        <v>358</v>
      </c>
      <c r="C31" s="12">
        <v>1</v>
      </c>
      <c r="D31" s="18" t="s">
        <v>2345</v>
      </c>
      <c r="E31" s="18" t="s">
        <v>2346</v>
      </c>
      <c r="F31" s="18" t="s">
        <v>362</v>
      </c>
      <c r="G31" s="12" t="s">
        <v>1625</v>
      </c>
      <c r="H31" s="12"/>
      <c r="I31" s="18"/>
    </row>
    <row r="32" spans="1:9" ht="38.25" x14ac:dyDescent="0.25">
      <c r="A32" s="19">
        <v>46292.373935185176</v>
      </c>
      <c r="B32" s="12" t="s">
        <v>514</v>
      </c>
      <c r="C32" s="12">
        <v>3</v>
      </c>
      <c r="D32" s="18" t="s">
        <v>2347</v>
      </c>
      <c r="E32" s="18"/>
      <c r="F32" s="18" t="s">
        <v>2348</v>
      </c>
      <c r="G32" s="12" t="s">
        <v>1625</v>
      </c>
      <c r="H32" s="12"/>
      <c r="I32" s="18"/>
    </row>
    <row r="33" spans="1:9" ht="25.5" x14ac:dyDescent="0.25">
      <c r="A33" s="19">
        <v>46292.373981481483</v>
      </c>
      <c r="B33" s="12" t="s">
        <v>540</v>
      </c>
      <c r="C33" s="12">
        <v>3</v>
      </c>
      <c r="D33" s="18" t="s">
        <v>2349</v>
      </c>
      <c r="E33" s="18"/>
      <c r="F33" s="18" t="s">
        <v>2350</v>
      </c>
      <c r="G33" s="12" t="s">
        <v>1625</v>
      </c>
      <c r="H33" s="12"/>
      <c r="I33" s="18"/>
    </row>
    <row r="34" spans="1:9" ht="76.5" x14ac:dyDescent="0.25">
      <c r="A34" s="19">
        <v>46292.374016203707</v>
      </c>
      <c r="B34" s="12" t="s">
        <v>492</v>
      </c>
      <c r="C34" s="12">
        <v>3</v>
      </c>
      <c r="D34" s="18" t="s">
        <v>2351</v>
      </c>
      <c r="E34" s="18"/>
      <c r="F34" s="18" t="s">
        <v>2352</v>
      </c>
      <c r="G34" s="12" t="s">
        <v>1625</v>
      </c>
      <c r="H34" s="12"/>
      <c r="I34" s="18"/>
    </row>
    <row r="35" spans="1:9" ht="25.5" x14ac:dyDescent="0.25">
      <c r="A35" s="19">
        <v>46292.374050925922</v>
      </c>
      <c r="B35" s="12" t="s">
        <v>696</v>
      </c>
      <c r="C35" s="12">
        <v>3</v>
      </c>
      <c r="D35" s="18" t="s">
        <v>2353</v>
      </c>
      <c r="E35" s="18"/>
      <c r="F35" s="18" t="s">
        <v>2354</v>
      </c>
      <c r="G35" s="12" t="s">
        <v>1625</v>
      </c>
      <c r="H35" s="12"/>
      <c r="I35" s="18"/>
    </row>
    <row r="36" spans="1:9" ht="38.25" x14ac:dyDescent="0.25">
      <c r="A36" s="19">
        <v>46292.374340277784</v>
      </c>
      <c r="B36" s="12" t="s">
        <v>393</v>
      </c>
      <c r="C36" s="12">
        <v>1</v>
      </c>
      <c r="D36" s="18" t="s">
        <v>2355</v>
      </c>
      <c r="E36" s="18" t="s">
        <v>2356</v>
      </c>
      <c r="F36" s="18" t="s">
        <v>2357</v>
      </c>
      <c r="G36" s="12" t="s">
        <v>1625</v>
      </c>
      <c r="H36" s="12"/>
      <c r="I36" s="18"/>
    </row>
    <row r="37" spans="1:9" ht="76.5" x14ac:dyDescent="0.25">
      <c r="A37" s="19">
        <v>46292.376377314817</v>
      </c>
      <c r="B37" s="12" t="s">
        <v>358</v>
      </c>
      <c r="C37" s="12">
        <v>1</v>
      </c>
      <c r="D37" s="18" t="s">
        <v>2358</v>
      </c>
      <c r="E37" s="18"/>
      <c r="F37" s="18" t="s">
        <v>362</v>
      </c>
      <c r="G37" s="12" t="s">
        <v>1625</v>
      </c>
      <c r="H37" s="12" t="s">
        <v>364</v>
      </c>
      <c r="I37" s="18"/>
    </row>
    <row r="38" spans="1:9" ht="76.5" x14ac:dyDescent="0.25">
      <c r="A38" s="19">
        <v>46292.397314814807</v>
      </c>
      <c r="B38" s="12" t="s">
        <v>877</v>
      </c>
      <c r="C38" s="12">
        <v>4</v>
      </c>
      <c r="D38" s="18" t="s">
        <v>2359</v>
      </c>
      <c r="E38" s="18" t="s">
        <v>2360</v>
      </c>
      <c r="F38" s="18" t="s">
        <v>881</v>
      </c>
      <c r="G38" s="12" t="s">
        <v>1625</v>
      </c>
      <c r="H38" s="12"/>
      <c r="I38" s="18"/>
    </row>
    <row r="39" spans="1:9" ht="25.5" x14ac:dyDescent="0.25">
      <c r="A39" s="19">
        <v>46292.397361111107</v>
      </c>
      <c r="B39" s="12" t="s">
        <v>1212</v>
      </c>
      <c r="C39" s="12">
        <v>12</v>
      </c>
      <c r="D39" s="18" t="s">
        <v>2361</v>
      </c>
      <c r="E39" s="18"/>
      <c r="F39" s="18" t="s">
        <v>1216</v>
      </c>
      <c r="G39" s="12" t="s">
        <v>1625</v>
      </c>
      <c r="H39" s="12"/>
      <c r="I39" s="18"/>
    </row>
    <row r="40" spans="1:9" ht="127.5" x14ac:dyDescent="0.25">
      <c r="A40" s="19">
        <v>46292.397581018522</v>
      </c>
      <c r="B40" s="12" t="s">
        <v>297</v>
      </c>
      <c r="C40" s="12">
        <v>1</v>
      </c>
      <c r="D40" s="18" t="s">
        <v>2362</v>
      </c>
      <c r="E40" s="18" t="s">
        <v>2363</v>
      </c>
      <c r="F40" s="18" t="s">
        <v>301</v>
      </c>
      <c r="G40" s="12" t="s">
        <v>1625</v>
      </c>
      <c r="H40" s="12"/>
      <c r="I40" s="18"/>
    </row>
    <row r="41" spans="1:9" ht="51" x14ac:dyDescent="0.25">
      <c r="A41" s="19">
        <v>46292.397627314807</v>
      </c>
      <c r="B41" s="12" t="s">
        <v>304</v>
      </c>
      <c r="C41" s="12">
        <v>1</v>
      </c>
      <c r="D41" s="18" t="s">
        <v>2364</v>
      </c>
      <c r="E41" s="18"/>
      <c r="F41" s="18" t="s">
        <v>308</v>
      </c>
      <c r="G41" s="12" t="s">
        <v>1625</v>
      </c>
      <c r="H41" s="12"/>
      <c r="I41" s="18"/>
    </row>
    <row r="42" spans="1:9" ht="76.5" x14ac:dyDescent="0.25">
      <c r="A42" s="19">
        <v>46292.397662037038</v>
      </c>
      <c r="B42" s="12" t="s">
        <v>324</v>
      </c>
      <c r="C42" s="12">
        <v>1</v>
      </c>
      <c r="D42" s="18" t="s">
        <v>2365</v>
      </c>
      <c r="E42" s="18"/>
      <c r="F42" s="18" t="s">
        <v>329</v>
      </c>
      <c r="G42" s="12" t="s">
        <v>1625</v>
      </c>
      <c r="H42" s="12"/>
      <c r="I42" s="18"/>
    </row>
    <row r="43" spans="1:9" ht="25.5" x14ac:dyDescent="0.25">
      <c r="A43" s="19">
        <v>46292.397696759261</v>
      </c>
      <c r="B43" s="12" t="s">
        <v>317</v>
      </c>
      <c r="C43" s="12">
        <v>1</v>
      </c>
      <c r="D43" s="18" t="s">
        <v>2366</v>
      </c>
      <c r="E43" s="18"/>
      <c r="F43" s="18" t="s">
        <v>321</v>
      </c>
      <c r="G43" s="12" t="s">
        <v>1625</v>
      </c>
      <c r="H43" s="12"/>
      <c r="I43" s="18"/>
    </row>
    <row r="44" spans="1:9" x14ac:dyDescent="0.25">
      <c r="A44" s="19">
        <v>46292.39912037037</v>
      </c>
      <c r="B44" s="12" t="s">
        <v>2367</v>
      </c>
      <c r="C44" s="12">
        <v>1</v>
      </c>
      <c r="D44" s="18" t="s">
        <v>2368</v>
      </c>
      <c r="E44" s="18"/>
      <c r="F44" s="18"/>
      <c r="G44" s="12" t="s">
        <v>1625</v>
      </c>
      <c r="H44" s="12" t="s">
        <v>302</v>
      </c>
      <c r="I44" s="18"/>
    </row>
    <row r="45" spans="1:9" ht="89.25" x14ac:dyDescent="0.25">
      <c r="A45" s="19">
        <v>46292.406631944446</v>
      </c>
      <c r="B45" s="12" t="s">
        <v>310</v>
      </c>
      <c r="C45" s="12">
        <v>1</v>
      </c>
      <c r="D45" s="18" t="s">
        <v>2369</v>
      </c>
      <c r="E45" s="18" t="s">
        <v>2370</v>
      </c>
      <c r="F45" s="18" t="s">
        <v>315</v>
      </c>
      <c r="G45" s="12" t="s">
        <v>1625</v>
      </c>
      <c r="H45" s="12"/>
      <c r="I45" s="18"/>
    </row>
    <row r="46" spans="1:9" ht="63.75" x14ac:dyDescent="0.25">
      <c r="A46" s="19">
        <v>46292.406701388893</v>
      </c>
      <c r="B46" s="12" t="s">
        <v>406</v>
      </c>
      <c r="C46" s="12">
        <v>1</v>
      </c>
      <c r="D46" s="18" t="s">
        <v>2371</v>
      </c>
      <c r="E46" s="18" t="s">
        <v>2372</v>
      </c>
      <c r="F46" s="18" t="s">
        <v>410</v>
      </c>
      <c r="G46" s="12" t="s">
        <v>1625</v>
      </c>
      <c r="H46" s="12"/>
      <c r="I46" s="18"/>
    </row>
    <row r="47" spans="1:9" ht="25.5" x14ac:dyDescent="0.25">
      <c r="A47" s="19">
        <v>46292.406851851847</v>
      </c>
      <c r="B47" s="12" t="s">
        <v>317</v>
      </c>
      <c r="C47" s="12">
        <v>1</v>
      </c>
      <c r="D47" s="18" t="s">
        <v>2373</v>
      </c>
      <c r="E47" s="18"/>
      <c r="F47" s="18" t="s">
        <v>321</v>
      </c>
      <c r="G47" s="12" t="s">
        <v>1625</v>
      </c>
      <c r="H47" s="12" t="s">
        <v>302</v>
      </c>
      <c r="I47" s="18"/>
    </row>
    <row r="48" spans="1:9" ht="63.75" x14ac:dyDescent="0.25">
      <c r="A48" s="19">
        <v>46292.408773148149</v>
      </c>
      <c r="B48" s="12" t="s">
        <v>335</v>
      </c>
      <c r="C48" s="12">
        <v>1</v>
      </c>
      <c r="D48" s="18" t="s">
        <v>2374</v>
      </c>
      <c r="E48" s="18" t="s">
        <v>2375</v>
      </c>
      <c r="F48" s="18" t="s">
        <v>339</v>
      </c>
      <c r="G48" s="12" t="s">
        <v>1625</v>
      </c>
      <c r="H48" s="12"/>
      <c r="I48" s="18"/>
    </row>
    <row r="49" spans="1:9" ht="25.5" x14ac:dyDescent="0.25">
      <c r="A49" s="19">
        <v>46292.408819444441</v>
      </c>
      <c r="B49" s="12" t="s">
        <v>393</v>
      </c>
      <c r="C49" s="12">
        <v>1</v>
      </c>
      <c r="D49" s="18" t="s">
        <v>2376</v>
      </c>
      <c r="E49" s="18"/>
      <c r="F49" s="18" t="s">
        <v>397</v>
      </c>
      <c r="G49" s="12" t="s">
        <v>1625</v>
      </c>
      <c r="H49" s="12"/>
      <c r="I49" s="18"/>
    </row>
    <row r="50" spans="1:9" ht="76.5" x14ac:dyDescent="0.25">
      <c r="A50" s="19">
        <v>46292.4140625</v>
      </c>
      <c r="B50" s="12" t="s">
        <v>2377</v>
      </c>
      <c r="C50" s="12">
        <v>1</v>
      </c>
      <c r="D50" s="18" t="s">
        <v>2378</v>
      </c>
      <c r="E50" s="18"/>
      <c r="F50" s="18" t="s">
        <v>2379</v>
      </c>
      <c r="G50" s="12" t="s">
        <v>1625</v>
      </c>
      <c r="H50" s="12"/>
      <c r="I50" s="18"/>
    </row>
    <row r="51" spans="1:9" ht="25.5" x14ac:dyDescent="0.25">
      <c r="A51" s="19">
        <v>46292.414097222223</v>
      </c>
      <c r="B51" s="12" t="s">
        <v>1382</v>
      </c>
      <c r="C51" s="12">
        <v>18</v>
      </c>
      <c r="D51" s="18" t="s">
        <v>2380</v>
      </c>
      <c r="E51" s="18"/>
      <c r="F51" s="18"/>
      <c r="G51" s="12" t="s">
        <v>1625</v>
      </c>
      <c r="H51" s="12"/>
      <c r="I51" s="18"/>
    </row>
    <row r="52" spans="1:9" x14ac:dyDescent="0.25">
      <c r="A52" s="19">
        <v>46292.416261574072</v>
      </c>
      <c r="B52" s="12" t="s">
        <v>2381</v>
      </c>
      <c r="C52" s="12">
        <v>1</v>
      </c>
      <c r="D52" s="18" t="s">
        <v>2382</v>
      </c>
      <c r="E52" s="18"/>
      <c r="F52" s="18"/>
      <c r="G52" s="12" t="s">
        <v>1625</v>
      </c>
      <c r="H52" s="12" t="s">
        <v>316</v>
      </c>
      <c r="I52" s="18"/>
    </row>
    <row r="53" spans="1:9" ht="25.5" x14ac:dyDescent="0.25">
      <c r="A53" s="19">
        <v>46292.60565972222</v>
      </c>
      <c r="B53" s="12" t="s">
        <v>412</v>
      </c>
      <c r="C53" s="12">
        <v>2</v>
      </c>
      <c r="D53" s="18" t="s">
        <v>2383</v>
      </c>
      <c r="E53" s="18" t="s">
        <v>2384</v>
      </c>
      <c r="F53" s="18" t="s">
        <v>416</v>
      </c>
      <c r="G53" s="12" t="s">
        <v>1625</v>
      </c>
      <c r="H53" s="12"/>
      <c r="I53" s="18"/>
    </row>
    <row r="54" spans="1:9" ht="51" x14ac:dyDescent="0.25">
      <c r="A54" s="19">
        <v>46292.605706018519</v>
      </c>
      <c r="B54" s="12" t="s">
        <v>421</v>
      </c>
      <c r="C54" s="12">
        <v>2</v>
      </c>
      <c r="D54" s="18" t="s">
        <v>2385</v>
      </c>
      <c r="E54" s="18"/>
      <c r="F54" s="18" t="s">
        <v>425</v>
      </c>
      <c r="G54" s="12" t="s">
        <v>1625</v>
      </c>
      <c r="H54" s="12"/>
      <c r="I54" s="18"/>
    </row>
    <row r="55" spans="1:9" ht="127.5" x14ac:dyDescent="0.25">
      <c r="A55" s="19">
        <v>46292.605740740742</v>
      </c>
      <c r="B55" s="12" t="s">
        <v>427</v>
      </c>
      <c r="C55" s="12">
        <v>2</v>
      </c>
      <c r="D55" s="18" t="s">
        <v>2386</v>
      </c>
      <c r="E55" s="18" t="s">
        <v>2387</v>
      </c>
      <c r="F55" s="18" t="s">
        <v>431</v>
      </c>
      <c r="G55" s="12" t="s">
        <v>1625</v>
      </c>
      <c r="H55" s="12"/>
      <c r="I55" s="18"/>
    </row>
    <row r="56" spans="1:9" ht="25.5" x14ac:dyDescent="0.25">
      <c r="A56" s="19">
        <v>46292.605787037042</v>
      </c>
      <c r="B56" s="12" t="s">
        <v>432</v>
      </c>
      <c r="C56" s="12">
        <v>2</v>
      </c>
      <c r="D56" s="18" t="s">
        <v>2388</v>
      </c>
      <c r="E56" s="18"/>
      <c r="F56" s="18" t="s">
        <v>436</v>
      </c>
      <c r="G56" s="12" t="s">
        <v>1625</v>
      </c>
      <c r="H56" s="12"/>
      <c r="I56" s="18"/>
    </row>
    <row r="57" spans="1:9" x14ac:dyDescent="0.25">
      <c r="A57" s="19">
        <v>46292.606099537043</v>
      </c>
      <c r="B57" s="12" t="s">
        <v>2389</v>
      </c>
      <c r="C57" s="12">
        <v>2</v>
      </c>
      <c r="D57" s="18" t="s">
        <v>2390</v>
      </c>
      <c r="E57" s="18"/>
      <c r="F57" s="18"/>
      <c r="G57" s="12" t="s">
        <v>1625</v>
      </c>
      <c r="H57" s="12" t="s">
        <v>418</v>
      </c>
      <c r="I57" s="18"/>
    </row>
    <row r="58" spans="1:9" ht="51" x14ac:dyDescent="0.25">
      <c r="A58" s="19">
        <v>46292.606134259258</v>
      </c>
      <c r="B58" s="12" t="s">
        <v>437</v>
      </c>
      <c r="C58" s="12">
        <v>2</v>
      </c>
      <c r="D58" s="18" t="s">
        <v>2391</v>
      </c>
      <c r="E58" s="18" t="s">
        <v>2392</v>
      </c>
      <c r="F58" s="18" t="s">
        <v>441</v>
      </c>
      <c r="G58" s="12" t="s">
        <v>1625</v>
      </c>
      <c r="H58" s="12"/>
      <c r="I58" s="18"/>
    </row>
    <row r="59" spans="1:9" ht="25.5" x14ac:dyDescent="0.25">
      <c r="A59" s="19">
        <v>46292.606180555558</v>
      </c>
      <c r="B59" s="12" t="s">
        <v>468</v>
      </c>
      <c r="C59" s="12">
        <v>2</v>
      </c>
      <c r="D59" s="18" t="s">
        <v>2393</v>
      </c>
      <c r="E59" s="18" t="s">
        <v>2394</v>
      </c>
      <c r="F59" s="18" t="s">
        <v>472</v>
      </c>
      <c r="G59" s="12" t="s">
        <v>1625</v>
      </c>
      <c r="H59" s="12"/>
      <c r="I59" s="18"/>
    </row>
    <row r="60" spans="1:9" ht="76.5" x14ac:dyDescent="0.25">
      <c r="A60" s="19">
        <v>46292.606215277781</v>
      </c>
      <c r="B60" s="12" t="s">
        <v>444</v>
      </c>
      <c r="C60" s="12">
        <v>2</v>
      </c>
      <c r="D60" s="18" t="s">
        <v>2395</v>
      </c>
      <c r="E60" s="18" t="s">
        <v>2396</v>
      </c>
      <c r="F60" s="18" t="s">
        <v>448</v>
      </c>
      <c r="G60" s="12" t="s">
        <v>1625</v>
      </c>
      <c r="H60" s="12"/>
      <c r="I60" s="18"/>
    </row>
    <row r="61" spans="1:9" ht="102" x14ac:dyDescent="0.25">
      <c r="A61" s="19">
        <v>46292.606261574067</v>
      </c>
      <c r="B61" s="12" t="s">
        <v>451</v>
      </c>
      <c r="C61" s="12">
        <v>2</v>
      </c>
      <c r="D61" s="18" t="s">
        <v>2397</v>
      </c>
      <c r="E61" s="18" t="s">
        <v>2398</v>
      </c>
      <c r="F61" s="18" t="s">
        <v>455</v>
      </c>
      <c r="G61" s="12" t="s">
        <v>1625</v>
      </c>
      <c r="H61" s="12"/>
      <c r="I61" s="18"/>
    </row>
    <row r="62" spans="1:9" x14ac:dyDescent="0.25">
      <c r="A62" s="19">
        <v>46292.60665509259</v>
      </c>
      <c r="B62" s="12" t="s">
        <v>2399</v>
      </c>
      <c r="C62" s="12">
        <v>2</v>
      </c>
      <c r="D62" s="18" t="s">
        <v>2400</v>
      </c>
      <c r="E62" s="18"/>
      <c r="F62" s="18"/>
      <c r="G62" s="12" t="s">
        <v>1625</v>
      </c>
      <c r="H62" s="12" t="s">
        <v>442</v>
      </c>
      <c r="I62" s="18"/>
    </row>
    <row r="63" spans="1:9" ht="51" x14ac:dyDescent="0.25">
      <c r="A63" s="19">
        <v>46292.60670138889</v>
      </c>
      <c r="B63" s="12" t="s">
        <v>456</v>
      </c>
      <c r="C63" s="12">
        <v>2</v>
      </c>
      <c r="D63" s="18" t="s">
        <v>2401</v>
      </c>
      <c r="E63" s="18" t="s">
        <v>2402</v>
      </c>
      <c r="F63" s="18" t="s">
        <v>460</v>
      </c>
      <c r="G63" s="12" t="s">
        <v>1625</v>
      </c>
      <c r="H63" s="12"/>
      <c r="I63" s="18"/>
    </row>
    <row r="64" spans="1:9" x14ac:dyDescent="0.25">
      <c r="A64" s="19">
        <v>46292.606817129628</v>
      </c>
      <c r="B64" s="12" t="s">
        <v>456</v>
      </c>
      <c r="C64" s="12">
        <v>2</v>
      </c>
      <c r="D64" s="18" t="s">
        <v>2403</v>
      </c>
      <c r="E64" s="18"/>
      <c r="F64" s="18"/>
      <c r="G64" s="12" t="s">
        <v>1625</v>
      </c>
      <c r="H64" s="12" t="s">
        <v>461</v>
      </c>
      <c r="I64" s="18"/>
    </row>
    <row r="65" spans="1:9" ht="38.25" x14ac:dyDescent="0.25">
      <c r="A65" s="19">
        <v>46292.606863425928</v>
      </c>
      <c r="B65" s="12" t="s">
        <v>462</v>
      </c>
      <c r="C65" s="12">
        <v>2</v>
      </c>
      <c r="D65" s="18" t="s">
        <v>2404</v>
      </c>
      <c r="E65" s="18" t="s">
        <v>2405</v>
      </c>
      <c r="F65" s="18" t="s">
        <v>466</v>
      </c>
      <c r="G65" s="12" t="s">
        <v>1625</v>
      </c>
      <c r="H65" s="12"/>
      <c r="I65" s="18"/>
    </row>
    <row r="66" spans="1:9" x14ac:dyDescent="0.25">
      <c r="A66" s="19">
        <v>46292.606898148151</v>
      </c>
      <c r="B66" s="12" t="s">
        <v>846</v>
      </c>
      <c r="C66" s="12">
        <v>4</v>
      </c>
      <c r="D66" s="18" t="s">
        <v>2406</v>
      </c>
      <c r="E66" s="18"/>
      <c r="F66" s="18" t="s">
        <v>850</v>
      </c>
      <c r="G66" s="12" t="s">
        <v>1625</v>
      </c>
      <c r="H66" s="12"/>
      <c r="I66" s="18"/>
    </row>
    <row r="67" spans="1:9" ht="63.75" x14ac:dyDescent="0.25">
      <c r="A67" s="19">
        <v>46292.607094907413</v>
      </c>
      <c r="B67" s="12" t="s">
        <v>2407</v>
      </c>
      <c r="C67" s="12">
        <v>2</v>
      </c>
      <c r="D67" s="18" t="s">
        <v>2408</v>
      </c>
      <c r="E67" s="18"/>
      <c r="F67" s="18" t="s">
        <v>2409</v>
      </c>
      <c r="G67" s="12" t="s">
        <v>1625</v>
      </c>
      <c r="H67" s="12"/>
      <c r="I67" s="18"/>
    </row>
    <row r="68" spans="1:9" ht="76.5" x14ac:dyDescent="0.25">
      <c r="A68" s="19">
        <v>46292.607222222221</v>
      </c>
      <c r="B68" s="12" t="s">
        <v>477</v>
      </c>
      <c r="C68" s="12">
        <v>3</v>
      </c>
      <c r="D68" s="18" t="s">
        <v>2410</v>
      </c>
      <c r="E68" s="18" t="s">
        <v>2411</v>
      </c>
      <c r="F68" s="18" t="s">
        <v>481</v>
      </c>
      <c r="G68" s="12" t="s">
        <v>1625</v>
      </c>
      <c r="H68" s="12"/>
      <c r="I68" s="18"/>
    </row>
    <row r="69" spans="1:9" ht="102" x14ac:dyDescent="0.25">
      <c r="A69" s="19">
        <v>46292.607268518521</v>
      </c>
      <c r="B69" s="12" t="s">
        <v>486</v>
      </c>
      <c r="C69" s="12">
        <v>3</v>
      </c>
      <c r="D69" s="18" t="s">
        <v>2412</v>
      </c>
      <c r="E69" s="18" t="s">
        <v>2413</v>
      </c>
      <c r="F69" s="18" t="s">
        <v>490</v>
      </c>
      <c r="G69" s="12" t="s">
        <v>1625</v>
      </c>
      <c r="H69" s="12"/>
      <c r="I69" s="18"/>
    </row>
    <row r="70" spans="1:9" ht="25.5" x14ac:dyDescent="0.25">
      <c r="A70" s="19">
        <v>46292.607303240737</v>
      </c>
      <c r="B70" s="12" t="s">
        <v>737</v>
      </c>
      <c r="C70" s="12">
        <v>3</v>
      </c>
      <c r="D70" s="18" t="s">
        <v>2414</v>
      </c>
      <c r="E70" s="18" t="s">
        <v>2415</v>
      </c>
      <c r="F70" s="18" t="s">
        <v>741</v>
      </c>
      <c r="G70" s="12" t="s">
        <v>1625</v>
      </c>
      <c r="H70" s="12"/>
      <c r="I70" s="18"/>
    </row>
    <row r="71" spans="1:9" ht="76.5" x14ac:dyDescent="0.25">
      <c r="A71" s="19">
        <v>46292.607349537036</v>
      </c>
      <c r="B71" s="12" t="s">
        <v>492</v>
      </c>
      <c r="C71" s="12">
        <v>3</v>
      </c>
      <c r="D71" s="18" t="s">
        <v>2416</v>
      </c>
      <c r="E71" s="18"/>
      <c r="F71" s="18" t="s">
        <v>496</v>
      </c>
      <c r="G71" s="12" t="s">
        <v>1625</v>
      </c>
      <c r="H71" s="12" t="s">
        <v>364</v>
      </c>
      <c r="I71" s="18"/>
    </row>
    <row r="72" spans="1:9" ht="140.25" x14ac:dyDescent="0.25">
      <c r="A72" s="19">
        <v>46292.77983796296</v>
      </c>
      <c r="B72" s="12" t="s">
        <v>756</v>
      </c>
      <c r="C72" s="12">
        <v>3</v>
      </c>
      <c r="D72" s="18" t="s">
        <v>2417</v>
      </c>
      <c r="E72" s="18" t="s">
        <v>2418</v>
      </c>
      <c r="F72" s="18" t="s">
        <v>760</v>
      </c>
      <c r="G72" s="12" t="s">
        <v>1625</v>
      </c>
      <c r="H72" s="12"/>
      <c r="I72" s="18"/>
    </row>
    <row r="73" spans="1:9" ht="127.5" x14ac:dyDescent="0.25">
      <c r="A73" s="19">
        <v>46292.781261574077</v>
      </c>
      <c r="B73" s="12" t="s">
        <v>756</v>
      </c>
      <c r="C73" s="12">
        <v>3</v>
      </c>
      <c r="D73" s="18" t="s">
        <v>2419</v>
      </c>
      <c r="E73" s="18"/>
      <c r="F73" s="18" t="s">
        <v>760</v>
      </c>
      <c r="G73" s="12" t="s">
        <v>1625</v>
      </c>
      <c r="H73" s="12" t="s">
        <v>761</v>
      </c>
      <c r="I73" s="18"/>
    </row>
    <row r="74" spans="1:9" ht="165.75" x14ac:dyDescent="0.25">
      <c r="A74" s="19">
        <v>46292.792407407411</v>
      </c>
      <c r="B74" s="12" t="s">
        <v>688</v>
      </c>
      <c r="C74" s="12">
        <v>3</v>
      </c>
      <c r="D74" s="18" t="s">
        <v>2420</v>
      </c>
      <c r="E74" s="18" t="s">
        <v>2421</v>
      </c>
      <c r="F74" s="18" t="s">
        <v>692</v>
      </c>
      <c r="G74" s="12" t="s">
        <v>1625</v>
      </c>
      <c r="H74" s="12"/>
      <c r="I74" s="18"/>
    </row>
    <row r="75" spans="1:9" ht="127.5" x14ac:dyDescent="0.25">
      <c r="A75" s="19">
        <v>46292.793113425927</v>
      </c>
      <c r="B75" s="12" t="s">
        <v>688</v>
      </c>
      <c r="C75" s="12">
        <v>3</v>
      </c>
      <c r="D75" s="18" t="s">
        <v>2422</v>
      </c>
      <c r="E75" s="18"/>
      <c r="F75" s="18" t="s">
        <v>692</v>
      </c>
      <c r="G75" s="12" t="s">
        <v>1625</v>
      </c>
      <c r="H75" s="12" t="s">
        <v>694</v>
      </c>
      <c r="I75" s="18"/>
    </row>
    <row r="76" spans="1:9" ht="114.75" x14ac:dyDescent="0.25">
      <c r="A76" s="19">
        <v>46292.807187500002</v>
      </c>
      <c r="B76" s="12" t="s">
        <v>499</v>
      </c>
      <c r="C76" s="12">
        <v>3</v>
      </c>
      <c r="D76" s="18" t="s">
        <v>2423</v>
      </c>
      <c r="E76" s="18" t="s">
        <v>2424</v>
      </c>
      <c r="F76" s="18" t="s">
        <v>2425</v>
      </c>
      <c r="G76" s="12" t="s">
        <v>1625</v>
      </c>
      <c r="H76" s="12"/>
      <c r="I76" s="18"/>
    </row>
    <row r="77" spans="1:9" ht="63.75" x14ac:dyDescent="0.25">
      <c r="A77" s="19">
        <v>46292.807824074072</v>
      </c>
      <c r="B77" s="12" t="s">
        <v>499</v>
      </c>
      <c r="C77" s="12">
        <v>3</v>
      </c>
      <c r="D77" s="18" t="s">
        <v>2426</v>
      </c>
      <c r="E77" s="18"/>
      <c r="F77" s="18" t="s">
        <v>2425</v>
      </c>
      <c r="G77" s="12" t="s">
        <v>1625</v>
      </c>
      <c r="H77" s="12" t="s">
        <v>2427</v>
      </c>
      <c r="I77" s="18"/>
    </row>
    <row r="78" spans="1:9" ht="76.5" x14ac:dyDescent="0.25">
      <c r="A78" s="19">
        <v>46292.817372685182</v>
      </c>
      <c r="B78" s="12" t="s">
        <v>782</v>
      </c>
      <c r="C78" s="12">
        <v>3</v>
      </c>
      <c r="D78" s="18" t="s">
        <v>2428</v>
      </c>
      <c r="E78" s="18" t="s">
        <v>2429</v>
      </c>
      <c r="F78" s="18" t="s">
        <v>786</v>
      </c>
      <c r="G78" s="12" t="s">
        <v>1625</v>
      </c>
      <c r="H78" s="12"/>
      <c r="I78" s="18"/>
    </row>
    <row r="79" spans="1:9" ht="114.75" x14ac:dyDescent="0.25">
      <c r="A79" s="19">
        <v>46292.817407407398</v>
      </c>
      <c r="B79" s="12" t="s">
        <v>499</v>
      </c>
      <c r="C79" s="12">
        <v>3</v>
      </c>
      <c r="D79" s="18" t="s">
        <v>2430</v>
      </c>
      <c r="E79" s="18" t="s">
        <v>2431</v>
      </c>
      <c r="F79" s="18" t="s">
        <v>503</v>
      </c>
      <c r="G79" s="12" t="s">
        <v>1625</v>
      </c>
      <c r="H79" s="12" t="s">
        <v>2427</v>
      </c>
      <c r="I79" s="18"/>
    </row>
    <row r="80" spans="1:9" ht="114.75" x14ac:dyDescent="0.25">
      <c r="A80" s="19">
        <v>46292.818067129629</v>
      </c>
      <c r="B80" s="12" t="s">
        <v>499</v>
      </c>
      <c r="C80" s="12">
        <v>3</v>
      </c>
      <c r="D80" s="18" t="s">
        <v>2432</v>
      </c>
      <c r="E80" s="18"/>
      <c r="F80" s="18" t="s">
        <v>503</v>
      </c>
      <c r="G80" s="12" t="s">
        <v>1625</v>
      </c>
      <c r="H80" s="12" t="s">
        <v>505</v>
      </c>
      <c r="I80" s="18"/>
    </row>
    <row r="81" spans="1:9" ht="76.5" x14ac:dyDescent="0.25">
      <c r="A81" s="19">
        <v>46292.818101851852</v>
      </c>
      <c r="B81" s="12" t="s">
        <v>782</v>
      </c>
      <c r="C81" s="12">
        <v>3</v>
      </c>
      <c r="D81" s="18" t="s">
        <v>2433</v>
      </c>
      <c r="E81" s="18"/>
      <c r="F81" s="18" t="s">
        <v>786</v>
      </c>
      <c r="G81" s="12" t="s">
        <v>1625</v>
      </c>
      <c r="H81" s="12" t="s">
        <v>505</v>
      </c>
      <c r="I81" s="18"/>
    </row>
    <row r="82" spans="1:9" ht="76.5" x14ac:dyDescent="0.25">
      <c r="A82" s="19">
        <v>46292.826909722222</v>
      </c>
      <c r="B82" s="12" t="s">
        <v>507</v>
      </c>
      <c r="C82" s="12">
        <v>3</v>
      </c>
      <c r="D82" s="18" t="s">
        <v>2434</v>
      </c>
      <c r="E82" s="18" t="s">
        <v>2435</v>
      </c>
      <c r="F82" s="18" t="s">
        <v>2436</v>
      </c>
      <c r="G82" s="12" t="s">
        <v>1625</v>
      </c>
      <c r="H82" s="12"/>
      <c r="I82" s="18"/>
    </row>
    <row r="83" spans="1:9" ht="38.25" x14ac:dyDescent="0.25">
      <c r="A83" s="19">
        <v>46292.827546296299</v>
      </c>
      <c r="B83" s="12" t="s">
        <v>507</v>
      </c>
      <c r="C83" s="12">
        <v>3</v>
      </c>
      <c r="D83" s="18" t="s">
        <v>2437</v>
      </c>
      <c r="E83" s="18"/>
      <c r="F83" s="18" t="s">
        <v>2436</v>
      </c>
      <c r="G83" s="12" t="s">
        <v>1625</v>
      </c>
      <c r="H83" s="12" t="s">
        <v>2438</v>
      </c>
      <c r="I83" s="18"/>
    </row>
    <row r="84" spans="1:9" ht="76.5" x14ac:dyDescent="0.25">
      <c r="A84" s="19">
        <v>46292.833958333344</v>
      </c>
      <c r="B84" s="12" t="s">
        <v>507</v>
      </c>
      <c r="C84" s="12">
        <v>3</v>
      </c>
      <c r="D84" s="18" t="s">
        <v>2439</v>
      </c>
      <c r="E84" s="18" t="s">
        <v>2440</v>
      </c>
      <c r="F84" s="18" t="s">
        <v>511</v>
      </c>
      <c r="G84" s="12" t="s">
        <v>1625</v>
      </c>
      <c r="H84" s="12" t="s">
        <v>2438</v>
      </c>
      <c r="I84" s="18"/>
    </row>
    <row r="85" spans="1:9" ht="76.5" x14ac:dyDescent="0.25">
      <c r="A85" s="19">
        <v>46292.834537037037</v>
      </c>
      <c r="B85" s="12" t="s">
        <v>507</v>
      </c>
      <c r="C85" s="12">
        <v>3</v>
      </c>
      <c r="D85" s="18" t="s">
        <v>2441</v>
      </c>
      <c r="E85" s="18"/>
      <c r="F85" s="18" t="s">
        <v>511</v>
      </c>
      <c r="G85" s="12" t="s">
        <v>1625</v>
      </c>
      <c r="H85" s="12" t="s">
        <v>512</v>
      </c>
      <c r="I85" s="18"/>
    </row>
    <row r="86" spans="1:9" ht="76.5" x14ac:dyDescent="0.25">
      <c r="A86" s="19">
        <v>46292.846956018519</v>
      </c>
      <c r="B86" s="12" t="s">
        <v>514</v>
      </c>
      <c r="C86" s="12">
        <v>3</v>
      </c>
      <c r="D86" s="18" t="s">
        <v>2442</v>
      </c>
      <c r="E86" s="18" t="s">
        <v>2443</v>
      </c>
      <c r="F86" s="18" t="s">
        <v>2444</v>
      </c>
      <c r="G86" s="12" t="s">
        <v>1625</v>
      </c>
      <c r="H86" s="12" t="s">
        <v>364</v>
      </c>
      <c r="I86" s="18"/>
    </row>
    <row r="87" spans="1:9" ht="76.5" x14ac:dyDescent="0.25">
      <c r="A87" s="19">
        <v>46292.980775462973</v>
      </c>
      <c r="B87" s="12" t="s">
        <v>514</v>
      </c>
      <c r="C87" s="12">
        <v>3</v>
      </c>
      <c r="D87" s="18" t="s">
        <v>2445</v>
      </c>
      <c r="E87" s="18"/>
      <c r="F87" s="18" t="s">
        <v>2444</v>
      </c>
      <c r="G87" s="12" t="s">
        <v>1625</v>
      </c>
      <c r="H87" s="12" t="s">
        <v>2446</v>
      </c>
      <c r="I87" s="18"/>
    </row>
    <row r="88" spans="1:9" ht="114.75" x14ac:dyDescent="0.25">
      <c r="A88" s="19">
        <v>46292.980810185189</v>
      </c>
      <c r="B88" s="12" t="s">
        <v>514</v>
      </c>
      <c r="C88" s="12">
        <v>3</v>
      </c>
      <c r="D88" s="18" t="s">
        <v>2447</v>
      </c>
      <c r="E88" s="18" t="s">
        <v>2448</v>
      </c>
      <c r="F88" s="18" t="s">
        <v>2449</v>
      </c>
      <c r="G88" s="12" t="s">
        <v>1625</v>
      </c>
      <c r="H88" s="12" t="s">
        <v>2446</v>
      </c>
      <c r="I88" s="18"/>
    </row>
    <row r="89" spans="1:9" ht="114.75" x14ac:dyDescent="0.25">
      <c r="A89" s="19">
        <v>46292.981423611112</v>
      </c>
      <c r="B89" s="12" t="s">
        <v>514</v>
      </c>
      <c r="C89" s="12">
        <v>3</v>
      </c>
      <c r="D89" s="18" t="s">
        <v>2450</v>
      </c>
      <c r="E89" s="18"/>
      <c r="F89" s="18" t="s">
        <v>2449</v>
      </c>
      <c r="G89" s="12" t="s">
        <v>1625</v>
      </c>
      <c r="H89" s="12" t="s">
        <v>2451</v>
      </c>
      <c r="I89" s="18"/>
    </row>
    <row r="90" spans="1:9" ht="165.75" x14ac:dyDescent="0.25">
      <c r="A90" s="19">
        <v>46294.632870370369</v>
      </c>
      <c r="B90" s="12" t="s">
        <v>514</v>
      </c>
      <c r="C90" s="12">
        <v>3</v>
      </c>
      <c r="D90" s="18" t="s">
        <v>2452</v>
      </c>
      <c r="E90" s="18"/>
      <c r="F90" s="18" t="s">
        <v>2453</v>
      </c>
      <c r="G90" s="12" t="s">
        <v>2299</v>
      </c>
      <c r="H90" s="12" t="s">
        <v>2451</v>
      </c>
      <c r="I90" s="18"/>
    </row>
    <row r="91" spans="1:9" ht="165.75" x14ac:dyDescent="0.25">
      <c r="A91" s="19">
        <v>46294.63385416667</v>
      </c>
      <c r="B91" s="12" t="s">
        <v>514</v>
      </c>
      <c r="C91" s="12">
        <v>3</v>
      </c>
      <c r="D91" s="18" t="s">
        <v>2454</v>
      </c>
      <c r="E91" s="18"/>
      <c r="F91" s="18" t="s">
        <v>2453</v>
      </c>
      <c r="G91" s="12" t="s">
        <v>2299</v>
      </c>
      <c r="H91" s="12" t="s">
        <v>2455</v>
      </c>
      <c r="I91" s="18"/>
    </row>
    <row r="92" spans="1:9" ht="76.5" x14ac:dyDescent="0.25">
      <c r="A92" s="19">
        <v>46294.640011574083</v>
      </c>
      <c r="B92" s="12" t="s">
        <v>514</v>
      </c>
      <c r="C92" s="12">
        <v>3</v>
      </c>
      <c r="D92" s="18" t="s">
        <v>2456</v>
      </c>
      <c r="E92" s="18"/>
      <c r="F92" s="18" t="s">
        <v>2457</v>
      </c>
      <c r="G92" s="12" t="s">
        <v>2299</v>
      </c>
      <c r="H92" s="12" t="s">
        <v>2455</v>
      </c>
      <c r="I92" s="18"/>
    </row>
    <row r="93" spans="1:9" ht="76.5" x14ac:dyDescent="0.25">
      <c r="A93" s="19">
        <v>46294.651689814818</v>
      </c>
      <c r="B93" s="12" t="s">
        <v>514</v>
      </c>
      <c r="C93" s="12">
        <v>3</v>
      </c>
      <c r="D93" s="18" t="s">
        <v>2458</v>
      </c>
      <c r="E93" s="18"/>
      <c r="F93" s="18" t="s">
        <v>518</v>
      </c>
      <c r="G93" s="12" t="s">
        <v>1625</v>
      </c>
      <c r="H93" s="12" t="s">
        <v>2455</v>
      </c>
      <c r="I93" s="18"/>
    </row>
    <row r="94" spans="1:9" x14ac:dyDescent="0.25">
      <c r="A94" s="19">
        <v>46294.652326388888</v>
      </c>
      <c r="B94" s="12" t="s">
        <v>514</v>
      </c>
      <c r="C94" s="12">
        <v>3</v>
      </c>
      <c r="D94" s="18" t="s">
        <v>2459</v>
      </c>
      <c r="E94" s="18"/>
      <c r="F94" s="18"/>
      <c r="G94" s="12" t="s">
        <v>1625</v>
      </c>
      <c r="H94" s="12"/>
      <c r="I94" s="18"/>
    </row>
    <row r="95" spans="1:9" ht="76.5" x14ac:dyDescent="0.25">
      <c r="A95" s="19">
        <v>46294.65284722222</v>
      </c>
      <c r="B95" s="12" t="s">
        <v>514</v>
      </c>
      <c r="C95" s="12">
        <v>3</v>
      </c>
      <c r="D95" s="18" t="s">
        <v>2460</v>
      </c>
      <c r="E95" s="18"/>
      <c r="F95" s="18" t="s">
        <v>518</v>
      </c>
      <c r="G95" s="12" t="s">
        <v>1625</v>
      </c>
      <c r="H95" s="12" t="s">
        <v>520</v>
      </c>
      <c r="I95" s="18"/>
    </row>
    <row r="96" spans="1:9" ht="89.25" x14ac:dyDescent="0.25">
      <c r="A96" s="19">
        <v>46294.675335648149</v>
      </c>
      <c r="B96" s="12" t="s">
        <v>540</v>
      </c>
      <c r="C96" s="12">
        <v>3</v>
      </c>
      <c r="D96" s="18" t="s">
        <v>2461</v>
      </c>
      <c r="E96" s="18"/>
      <c r="F96" s="18" t="s">
        <v>2462</v>
      </c>
      <c r="G96" s="12" t="s">
        <v>2299</v>
      </c>
      <c r="H96" s="12" t="s">
        <v>364</v>
      </c>
      <c r="I96" s="18"/>
    </row>
    <row r="97" spans="1:9" ht="51" x14ac:dyDescent="0.25">
      <c r="A97" s="19">
        <v>46294.68273148148</v>
      </c>
      <c r="B97" s="12" t="s">
        <v>540</v>
      </c>
      <c r="C97" s="12">
        <v>3</v>
      </c>
      <c r="D97" s="18" t="s">
        <v>2463</v>
      </c>
      <c r="E97" s="18"/>
      <c r="F97" s="18" t="s">
        <v>2464</v>
      </c>
      <c r="G97" s="12" t="s">
        <v>2299</v>
      </c>
      <c r="H97" s="12" t="s">
        <v>364</v>
      </c>
      <c r="I97" s="18"/>
    </row>
    <row r="98" spans="1:9" ht="89.25" x14ac:dyDescent="0.25">
      <c r="A98" s="19">
        <v>46294.694965277777</v>
      </c>
      <c r="B98" s="12" t="s">
        <v>540</v>
      </c>
      <c r="C98" s="12">
        <v>3</v>
      </c>
      <c r="D98" s="18" t="s">
        <v>2465</v>
      </c>
      <c r="E98" s="18"/>
      <c r="F98" s="18" t="s">
        <v>544</v>
      </c>
      <c r="G98" s="12" t="s">
        <v>1625</v>
      </c>
      <c r="H98" s="12" t="s">
        <v>364</v>
      </c>
      <c r="I98" s="18"/>
    </row>
    <row r="99" spans="1:9" ht="89.25" x14ac:dyDescent="0.25">
      <c r="A99" s="19">
        <v>46294.696053240739</v>
      </c>
      <c r="B99" s="12" t="s">
        <v>540</v>
      </c>
      <c r="C99" s="12">
        <v>3</v>
      </c>
      <c r="D99" s="18" t="s">
        <v>2466</v>
      </c>
      <c r="E99" s="18"/>
      <c r="F99" s="18" t="s">
        <v>544</v>
      </c>
      <c r="G99" s="12" t="s">
        <v>1625</v>
      </c>
      <c r="H99" s="12" t="s">
        <v>545</v>
      </c>
      <c r="I99" s="18"/>
    </row>
    <row r="100" spans="1:9" ht="63.75" x14ac:dyDescent="0.25">
      <c r="A100" s="19">
        <v>46294.906423611108</v>
      </c>
      <c r="B100" s="12" t="s">
        <v>568</v>
      </c>
      <c r="C100" s="12">
        <v>3</v>
      </c>
      <c r="D100" s="18" t="s">
        <v>2467</v>
      </c>
      <c r="E100" s="18"/>
      <c r="F100" s="18" t="s">
        <v>2468</v>
      </c>
      <c r="G100" s="12" t="s">
        <v>2299</v>
      </c>
      <c r="H100" s="12"/>
      <c r="I100" s="18"/>
    </row>
    <row r="101" spans="1:9" ht="114.75" x14ac:dyDescent="0.25">
      <c r="A101" s="19">
        <v>46294.923136574071</v>
      </c>
      <c r="B101" s="12" t="s">
        <v>568</v>
      </c>
      <c r="C101" s="12">
        <v>3</v>
      </c>
      <c r="D101" s="18" t="s">
        <v>2469</v>
      </c>
      <c r="E101" s="18"/>
      <c r="F101" s="18" t="s">
        <v>572</v>
      </c>
      <c r="G101" s="12" t="s">
        <v>1625</v>
      </c>
      <c r="H101" s="12"/>
      <c r="I101" s="18"/>
    </row>
    <row r="102" spans="1:9" ht="114.75" x14ac:dyDescent="0.25">
      <c r="A102" s="19">
        <v>46294.923842592587</v>
      </c>
      <c r="B102" s="12" t="s">
        <v>568</v>
      </c>
      <c r="C102" s="12">
        <v>3</v>
      </c>
      <c r="D102" s="18" t="s">
        <v>2470</v>
      </c>
      <c r="E102" s="18"/>
      <c r="F102" s="18" t="s">
        <v>572</v>
      </c>
      <c r="G102" s="12" t="s">
        <v>1625</v>
      </c>
      <c r="H102" s="12" t="s">
        <v>573</v>
      </c>
      <c r="I102" s="18"/>
    </row>
    <row r="103" spans="1:9" ht="114.75" x14ac:dyDescent="0.25">
      <c r="A103" s="19">
        <v>46294.955821759257</v>
      </c>
      <c r="B103" s="12" t="s">
        <v>588</v>
      </c>
      <c r="C103" s="12">
        <v>3</v>
      </c>
      <c r="D103" s="18" t="s">
        <v>2471</v>
      </c>
      <c r="E103" s="18"/>
      <c r="F103" s="18" t="s">
        <v>592</v>
      </c>
      <c r="G103" s="12" t="s">
        <v>1625</v>
      </c>
      <c r="H103" s="12"/>
      <c r="I103" s="18"/>
    </row>
    <row r="104" spans="1:9" ht="102" x14ac:dyDescent="0.25">
      <c r="A104" s="19">
        <v>46294.956192129634</v>
      </c>
      <c r="B104" s="12" t="s">
        <v>763</v>
      </c>
      <c r="C104" s="12">
        <v>3</v>
      </c>
      <c r="D104" s="18" t="s">
        <v>2472</v>
      </c>
      <c r="E104" s="18"/>
      <c r="F104" s="18" t="s">
        <v>767</v>
      </c>
      <c r="G104" s="12" t="s">
        <v>1625</v>
      </c>
      <c r="H104" s="12"/>
      <c r="I104" s="18"/>
    </row>
    <row r="105" spans="1:9" ht="51" x14ac:dyDescent="0.25">
      <c r="A105" s="19">
        <v>46294.956238425933</v>
      </c>
      <c r="B105" s="12" t="s">
        <v>788</v>
      </c>
      <c r="C105" s="12">
        <v>3</v>
      </c>
      <c r="D105" s="18" t="s">
        <v>2473</v>
      </c>
      <c r="E105" s="18"/>
      <c r="F105" s="18" t="s">
        <v>792</v>
      </c>
      <c r="G105" s="12" t="s">
        <v>1625</v>
      </c>
      <c r="H105" s="12"/>
      <c r="I105" s="18"/>
    </row>
    <row r="106" spans="1:9" ht="114.75" x14ac:dyDescent="0.25">
      <c r="A106" s="19">
        <v>46294.965115740742</v>
      </c>
      <c r="B106" s="12" t="s">
        <v>743</v>
      </c>
      <c r="C106" s="12">
        <v>3</v>
      </c>
      <c r="D106" s="18" t="s">
        <v>2474</v>
      </c>
      <c r="E106" s="18"/>
      <c r="F106" s="18" t="s">
        <v>747</v>
      </c>
      <c r="G106" s="12" t="s">
        <v>1625</v>
      </c>
      <c r="H106" s="12"/>
      <c r="I106" s="18"/>
    </row>
    <row r="107" spans="1:9" ht="102" x14ac:dyDescent="0.25">
      <c r="A107" s="19">
        <v>46295.105879629627</v>
      </c>
      <c r="B107" s="12" t="s">
        <v>704</v>
      </c>
      <c r="C107" s="12">
        <v>3</v>
      </c>
      <c r="D107" s="18" t="s">
        <v>2475</v>
      </c>
      <c r="E107" s="18"/>
      <c r="F107" s="18" t="s">
        <v>708</v>
      </c>
      <c r="G107" s="12" t="s">
        <v>1625</v>
      </c>
      <c r="H107" s="12"/>
      <c r="I107" s="18"/>
    </row>
    <row r="108" spans="1:9" ht="114.75" x14ac:dyDescent="0.25">
      <c r="A108" s="19">
        <v>46295.114583333343</v>
      </c>
      <c r="B108" s="12" t="s">
        <v>696</v>
      </c>
      <c r="C108" s="12">
        <v>3</v>
      </c>
      <c r="D108" s="18" t="s">
        <v>2476</v>
      </c>
      <c r="E108" s="18"/>
      <c r="F108" s="18" t="s">
        <v>700</v>
      </c>
      <c r="G108" s="12" t="s">
        <v>1625</v>
      </c>
      <c r="H108" s="12" t="s">
        <v>364</v>
      </c>
      <c r="I108" s="18"/>
    </row>
    <row r="109" spans="1:9" ht="89.25" x14ac:dyDescent="0.25">
      <c r="A109" s="19">
        <v>46295.121990740743</v>
      </c>
      <c r="B109" s="12" t="s">
        <v>711</v>
      </c>
      <c r="C109" s="12">
        <v>3</v>
      </c>
      <c r="D109" s="18" t="s">
        <v>2477</v>
      </c>
      <c r="E109" s="18"/>
      <c r="F109" s="18" t="s">
        <v>715</v>
      </c>
      <c r="G109" s="12" t="s">
        <v>1625</v>
      </c>
      <c r="H109" s="12"/>
      <c r="I109" s="18"/>
    </row>
    <row r="110" spans="1:9" ht="76.5" x14ac:dyDescent="0.25">
      <c r="A110" s="19">
        <v>46295.126597222217</v>
      </c>
      <c r="B110" s="12" t="s">
        <v>718</v>
      </c>
      <c r="C110" s="12">
        <v>3</v>
      </c>
      <c r="D110" s="18" t="s">
        <v>2478</v>
      </c>
      <c r="E110" s="18"/>
      <c r="F110" s="18" t="s">
        <v>722</v>
      </c>
      <c r="G110" s="12" t="s">
        <v>1625</v>
      </c>
      <c r="H110" s="12"/>
      <c r="I110" s="18"/>
    </row>
    <row r="111" spans="1:9" ht="76.5" x14ac:dyDescent="0.25">
      <c r="A111" s="19">
        <v>46295.136481481481</v>
      </c>
      <c r="B111" s="12" t="s">
        <v>731</v>
      </c>
      <c r="C111" s="12">
        <v>3</v>
      </c>
      <c r="D111" s="18" t="s">
        <v>2479</v>
      </c>
      <c r="E111" s="18"/>
      <c r="F111" s="18" t="s">
        <v>735</v>
      </c>
      <c r="G111" s="12" t="s">
        <v>1625</v>
      </c>
      <c r="H111" s="12"/>
      <c r="I111" s="18"/>
    </row>
    <row r="112" spans="1:9" ht="140.25" x14ac:dyDescent="0.25">
      <c r="A112" s="19">
        <v>46295.148645833331</v>
      </c>
      <c r="B112" s="12" t="s">
        <v>616</v>
      </c>
      <c r="C112" s="12">
        <v>3</v>
      </c>
      <c r="D112" s="18" t="s">
        <v>2480</v>
      </c>
      <c r="E112" s="18"/>
      <c r="F112" s="18" t="s">
        <v>620</v>
      </c>
      <c r="G112" s="12" t="s">
        <v>1625</v>
      </c>
      <c r="H112" s="12"/>
      <c r="I112" s="18"/>
    </row>
    <row r="113" spans="1:9" ht="178.5" x14ac:dyDescent="0.25">
      <c r="A113" s="19">
        <v>46295.31453703704</v>
      </c>
      <c r="B113" s="12" t="s">
        <v>630</v>
      </c>
      <c r="C113" s="12">
        <v>3</v>
      </c>
      <c r="D113" s="18" t="s">
        <v>2481</v>
      </c>
      <c r="E113" s="18"/>
      <c r="F113" s="18" t="s">
        <v>634</v>
      </c>
      <c r="G113" s="12" t="s">
        <v>1625</v>
      </c>
      <c r="H113" s="12"/>
      <c r="I113" s="18"/>
    </row>
    <row r="114" spans="1:9" ht="229.5" x14ac:dyDescent="0.25">
      <c r="A114" s="19">
        <v>46295.344085648147</v>
      </c>
      <c r="B114" s="12" t="s">
        <v>646</v>
      </c>
      <c r="C114" s="12">
        <v>3</v>
      </c>
      <c r="D114" s="18" t="s">
        <v>2482</v>
      </c>
      <c r="E114" s="18" t="s">
        <v>2483</v>
      </c>
      <c r="F114" s="18" t="s">
        <v>650</v>
      </c>
      <c r="G114" s="12" t="s">
        <v>1625</v>
      </c>
      <c r="H114" s="12"/>
      <c r="I114" s="18"/>
    </row>
    <row r="115" spans="1:9" ht="165.75" x14ac:dyDescent="0.25">
      <c r="A115" s="19">
        <v>46295.353587962964</v>
      </c>
      <c r="B115" s="12" t="s">
        <v>768</v>
      </c>
      <c r="C115" s="12">
        <v>3</v>
      </c>
      <c r="D115" s="18" t="s">
        <v>2484</v>
      </c>
      <c r="E115" s="18" t="s">
        <v>2485</v>
      </c>
      <c r="F115" s="18" t="s">
        <v>772</v>
      </c>
      <c r="G115" s="12" t="s">
        <v>1625</v>
      </c>
      <c r="H115" s="12"/>
      <c r="I115" s="18"/>
    </row>
    <row r="116" spans="1:9" ht="267.75" x14ac:dyDescent="0.25">
      <c r="A116" s="19">
        <v>46295.373136574082</v>
      </c>
      <c r="B116" s="12" t="s">
        <v>654</v>
      </c>
      <c r="C116" s="12">
        <v>3</v>
      </c>
      <c r="D116" s="18" t="s">
        <v>2486</v>
      </c>
      <c r="E116" s="18" t="s">
        <v>2487</v>
      </c>
      <c r="F116" s="18" t="s">
        <v>658</v>
      </c>
      <c r="G116" s="12" t="s">
        <v>1625</v>
      </c>
      <c r="H116" s="12"/>
      <c r="I116" s="18"/>
    </row>
    <row r="117" spans="1:9" ht="229.5" x14ac:dyDescent="0.25">
      <c r="A117" s="19">
        <v>46295.549432870372</v>
      </c>
      <c r="B117" s="12" t="s">
        <v>668</v>
      </c>
      <c r="C117" s="12">
        <v>3</v>
      </c>
      <c r="D117" s="18" t="s">
        <v>2488</v>
      </c>
      <c r="E117" s="18" t="s">
        <v>2489</v>
      </c>
      <c r="F117" s="18" t="s">
        <v>672</v>
      </c>
      <c r="G117" s="12" t="s">
        <v>1625</v>
      </c>
      <c r="H117" s="12"/>
      <c r="I117" s="18"/>
    </row>
    <row r="118" spans="1:9" ht="229.5" x14ac:dyDescent="0.25">
      <c r="A118" s="19">
        <v>46295.565578703703</v>
      </c>
      <c r="B118" s="12" t="s">
        <v>682</v>
      </c>
      <c r="C118" s="12">
        <v>3</v>
      </c>
      <c r="D118" s="18" t="s">
        <v>2490</v>
      </c>
      <c r="E118" s="18" t="s">
        <v>2491</v>
      </c>
      <c r="F118" s="18" t="s">
        <v>686</v>
      </c>
      <c r="G118" s="12" t="s">
        <v>1625</v>
      </c>
      <c r="H118" s="12"/>
      <c r="I118" s="18"/>
    </row>
    <row r="119" spans="1:9" ht="242.25" x14ac:dyDescent="0.25">
      <c r="A119" s="19">
        <v>46295.589004629634</v>
      </c>
      <c r="B119" s="12" t="s">
        <v>548</v>
      </c>
      <c r="C119" s="12">
        <v>3</v>
      </c>
      <c r="D119" s="18" t="s">
        <v>2492</v>
      </c>
      <c r="E119" s="18" t="s">
        <v>2493</v>
      </c>
      <c r="F119" s="18" t="s">
        <v>552</v>
      </c>
      <c r="G119" s="12" t="s">
        <v>1625</v>
      </c>
      <c r="H119" s="12"/>
      <c r="I119" s="18"/>
    </row>
    <row r="120" spans="1:9" ht="38.25" x14ac:dyDescent="0.25">
      <c r="A120" s="19">
        <v>46295.598414351851</v>
      </c>
      <c r="B120" s="12" t="s">
        <v>668</v>
      </c>
      <c r="C120" s="12">
        <v>3</v>
      </c>
      <c r="D120" s="18" t="s">
        <v>2494</v>
      </c>
      <c r="E120" s="18" t="s">
        <v>2495</v>
      </c>
      <c r="F120" s="18" t="s">
        <v>2496</v>
      </c>
      <c r="G120" s="12" t="s">
        <v>1625</v>
      </c>
      <c r="H120" s="12"/>
      <c r="I120" s="18"/>
    </row>
    <row r="121" spans="1:9" ht="127.5" x14ac:dyDescent="0.25">
      <c r="A121" s="19">
        <v>46295.625150462962</v>
      </c>
      <c r="B121" s="12" t="s">
        <v>793</v>
      </c>
      <c r="C121" s="12">
        <v>4</v>
      </c>
      <c r="D121" s="18" t="s">
        <v>2497</v>
      </c>
      <c r="E121" s="18" t="s">
        <v>2498</v>
      </c>
      <c r="F121" s="18" t="s">
        <v>797</v>
      </c>
      <c r="G121" s="12" t="s">
        <v>1625</v>
      </c>
      <c r="H121" s="12"/>
      <c r="I121" s="18"/>
    </row>
    <row r="122" spans="1:9" ht="76.5" x14ac:dyDescent="0.25">
      <c r="A122" s="19">
        <v>46295.62641203704</v>
      </c>
      <c r="B122" s="12" t="s">
        <v>2279</v>
      </c>
      <c r="C122" s="12"/>
      <c r="D122" s="18" t="s">
        <v>2499</v>
      </c>
      <c r="E122" s="18" t="s">
        <v>2500</v>
      </c>
      <c r="F122" s="18" t="s">
        <v>2501</v>
      </c>
      <c r="G122" s="12" t="s">
        <v>1625</v>
      </c>
      <c r="H122" s="12"/>
      <c r="I122" s="18"/>
    </row>
    <row r="123" spans="1:9" ht="165.75" x14ac:dyDescent="0.25">
      <c r="A123" s="19">
        <v>46295.914097222223</v>
      </c>
      <c r="B123" s="12" t="s">
        <v>800</v>
      </c>
      <c r="C123" s="12">
        <v>4</v>
      </c>
      <c r="D123" s="18" t="s">
        <v>2502</v>
      </c>
      <c r="E123" s="18" t="s">
        <v>2503</v>
      </c>
      <c r="F123" s="18" t="s">
        <v>804</v>
      </c>
      <c r="G123" s="12" t="s">
        <v>1625</v>
      </c>
      <c r="H123" s="12"/>
      <c r="I123" s="18"/>
    </row>
    <row r="124" spans="1:9" ht="63.75" x14ac:dyDescent="0.25">
      <c r="A124" s="19">
        <v>46295.914340277777</v>
      </c>
      <c r="B124" s="12" t="s">
        <v>883</v>
      </c>
      <c r="C124" s="12">
        <v>4</v>
      </c>
      <c r="D124" s="18" t="s">
        <v>2504</v>
      </c>
      <c r="E124" s="18" t="s">
        <v>2505</v>
      </c>
      <c r="F124" s="18" t="s">
        <v>887</v>
      </c>
      <c r="G124" s="12" t="s">
        <v>1625</v>
      </c>
      <c r="H124" s="12"/>
      <c r="I124" s="18"/>
    </row>
    <row r="125" spans="1:9" ht="191.25" x14ac:dyDescent="0.25">
      <c r="A125" s="19">
        <v>46295.935115740736</v>
      </c>
      <c r="B125" s="12" t="s">
        <v>806</v>
      </c>
      <c r="C125" s="12">
        <v>4</v>
      </c>
      <c r="D125" s="18" t="s">
        <v>2506</v>
      </c>
      <c r="E125" s="18" t="s">
        <v>2507</v>
      </c>
      <c r="F125" s="18" t="s">
        <v>810</v>
      </c>
      <c r="G125" s="12" t="s">
        <v>1625</v>
      </c>
      <c r="H125" s="12"/>
      <c r="I125" s="18"/>
    </row>
    <row r="126" spans="1:9" ht="216.75" x14ac:dyDescent="0.25">
      <c r="A126" s="19">
        <v>46295.949259259258</v>
      </c>
      <c r="B126" s="12" t="s">
        <v>820</v>
      </c>
      <c r="C126" s="12">
        <v>4</v>
      </c>
      <c r="D126" s="18" t="s">
        <v>2508</v>
      </c>
      <c r="E126" s="18" t="s">
        <v>2509</v>
      </c>
      <c r="F126" s="18" t="s">
        <v>824</v>
      </c>
      <c r="G126" s="12" t="s">
        <v>1625</v>
      </c>
      <c r="H126" s="12"/>
      <c r="I126" s="18"/>
    </row>
    <row r="127" spans="1:9" ht="140.25" x14ac:dyDescent="0.25">
      <c r="A127" s="19">
        <v>46295.965289351851</v>
      </c>
      <c r="B127" s="12" t="s">
        <v>828</v>
      </c>
      <c r="C127" s="12">
        <v>4</v>
      </c>
      <c r="D127" s="18" t="s">
        <v>2510</v>
      </c>
      <c r="E127" s="18" t="s">
        <v>2511</v>
      </c>
      <c r="F127" s="18" t="s">
        <v>832</v>
      </c>
      <c r="G127" s="12" t="s">
        <v>1625</v>
      </c>
      <c r="H127" s="12"/>
      <c r="I127" s="18"/>
    </row>
    <row r="128" spans="1:9" ht="165.75" x14ac:dyDescent="0.25">
      <c r="A128" s="19">
        <v>46295.975208333337</v>
      </c>
      <c r="B128" s="12" t="s">
        <v>864</v>
      </c>
      <c r="C128" s="12">
        <v>4</v>
      </c>
      <c r="D128" s="18" t="s">
        <v>2512</v>
      </c>
      <c r="E128" s="18" t="s">
        <v>2513</v>
      </c>
      <c r="F128" s="18" t="s">
        <v>868</v>
      </c>
      <c r="G128" s="12" t="s">
        <v>1625</v>
      </c>
      <c r="H128" s="12"/>
      <c r="I128" s="18"/>
    </row>
    <row r="129" spans="1:9" ht="127.5" x14ac:dyDescent="0.25">
      <c r="A129" s="19">
        <v>46295.985347222217</v>
      </c>
      <c r="B129" s="12" t="s">
        <v>834</v>
      </c>
      <c r="C129" s="12">
        <v>4</v>
      </c>
      <c r="D129" s="18" t="s">
        <v>2514</v>
      </c>
      <c r="E129" s="18" t="s">
        <v>2515</v>
      </c>
      <c r="F129" s="18" t="s">
        <v>838</v>
      </c>
      <c r="G129" s="12" t="s">
        <v>1625</v>
      </c>
      <c r="H129" s="12"/>
      <c r="I129" s="18"/>
    </row>
    <row r="130" spans="1:9" ht="38.25" x14ac:dyDescent="0.25">
      <c r="A130" s="19">
        <v>46295.990624999999</v>
      </c>
      <c r="B130" s="12" t="s">
        <v>840</v>
      </c>
      <c r="C130" s="12">
        <v>4</v>
      </c>
      <c r="D130" s="18" t="s">
        <v>2516</v>
      </c>
      <c r="E130" s="18" t="s">
        <v>2517</v>
      </c>
      <c r="F130" s="18" t="s">
        <v>844</v>
      </c>
      <c r="G130" s="12" t="s">
        <v>1625</v>
      </c>
      <c r="H130" s="12"/>
      <c r="I130" s="18"/>
    </row>
    <row r="131" spans="1:9" ht="38.25" x14ac:dyDescent="0.25">
      <c r="A131" s="19">
        <v>46296.425092592603</v>
      </c>
      <c r="B131" s="12" t="s">
        <v>851</v>
      </c>
      <c r="C131" s="12">
        <v>4</v>
      </c>
      <c r="D131" s="18" t="s">
        <v>2518</v>
      </c>
      <c r="E131" s="18" t="s">
        <v>2519</v>
      </c>
      <c r="F131" s="18" t="s">
        <v>855</v>
      </c>
      <c r="G131" s="12" t="s">
        <v>1625</v>
      </c>
      <c r="H131" s="12"/>
      <c r="I131" s="18"/>
    </row>
    <row r="132" spans="1:9" ht="51" x14ac:dyDescent="0.25">
      <c r="A132" s="19">
        <v>46296.447638888887</v>
      </c>
      <c r="B132" s="12" t="s">
        <v>814</v>
      </c>
      <c r="C132" s="12">
        <v>4</v>
      </c>
      <c r="D132" s="18" t="s">
        <v>2520</v>
      </c>
      <c r="E132" s="18" t="s">
        <v>2521</v>
      </c>
      <c r="F132" s="18" t="s">
        <v>818</v>
      </c>
      <c r="G132" s="12" t="s">
        <v>1625</v>
      </c>
      <c r="H132" s="12"/>
      <c r="I132" s="18"/>
    </row>
    <row r="133" spans="1:9" ht="76.5" x14ac:dyDescent="0.25">
      <c r="A133" s="19">
        <v>46296.462013888893</v>
      </c>
      <c r="B133" s="12" t="s">
        <v>828</v>
      </c>
      <c r="C133" s="12">
        <v>4</v>
      </c>
      <c r="D133" s="18" t="s">
        <v>2522</v>
      </c>
      <c r="E133" s="18" t="s">
        <v>2523</v>
      </c>
      <c r="F133" s="18" t="s">
        <v>2524</v>
      </c>
      <c r="G133" s="12" t="s">
        <v>1625</v>
      </c>
      <c r="H133" s="12"/>
      <c r="I133" s="18"/>
    </row>
    <row r="134" spans="1:9" ht="102" x14ac:dyDescent="0.25">
      <c r="A134" s="19">
        <v>46296.494606481479</v>
      </c>
      <c r="B134" s="12" t="s">
        <v>904</v>
      </c>
      <c r="C134" s="12">
        <v>5</v>
      </c>
      <c r="D134" s="18" t="s">
        <v>2525</v>
      </c>
      <c r="E134" s="18" t="s">
        <v>2526</v>
      </c>
      <c r="F134" s="18" t="s">
        <v>908</v>
      </c>
      <c r="G134" s="12" t="s">
        <v>1625</v>
      </c>
      <c r="H134" s="12" t="s">
        <v>910</v>
      </c>
      <c r="I134" s="18"/>
    </row>
    <row r="135" spans="1:9" ht="51" x14ac:dyDescent="0.25">
      <c r="A135" s="19">
        <v>46296.63181712963</v>
      </c>
      <c r="B135" s="12" t="s">
        <v>1004</v>
      </c>
      <c r="C135" s="12">
        <v>6</v>
      </c>
      <c r="D135" s="18" t="s">
        <v>2527</v>
      </c>
      <c r="E135" s="18" t="s">
        <v>2528</v>
      </c>
      <c r="F135" s="18" t="s">
        <v>2529</v>
      </c>
      <c r="G135" s="12" t="s">
        <v>1625</v>
      </c>
      <c r="H135" s="12" t="s">
        <v>1911</v>
      </c>
      <c r="I135" s="18"/>
    </row>
    <row r="136" spans="1:9" ht="51" x14ac:dyDescent="0.25">
      <c r="A136" s="19">
        <v>46296.64025462963</v>
      </c>
      <c r="B136" s="12" t="s">
        <v>948</v>
      </c>
      <c r="C136" s="12">
        <v>6</v>
      </c>
      <c r="D136" s="18" t="s">
        <v>2530</v>
      </c>
      <c r="E136" s="18" t="s">
        <v>2531</v>
      </c>
      <c r="F136" s="18" t="s">
        <v>952</v>
      </c>
      <c r="G136" s="12" t="s">
        <v>1625</v>
      </c>
      <c r="H136" s="12" t="s">
        <v>953</v>
      </c>
      <c r="I136" s="18"/>
    </row>
    <row r="137" spans="1:9" ht="89.25" x14ac:dyDescent="0.25">
      <c r="A137" s="19">
        <v>46296.657175925917</v>
      </c>
      <c r="B137" s="12" t="s">
        <v>955</v>
      </c>
      <c r="C137" s="12">
        <v>6</v>
      </c>
      <c r="D137" s="18" t="s">
        <v>2532</v>
      </c>
      <c r="E137" s="18" t="s">
        <v>2533</v>
      </c>
      <c r="F137" s="18" t="s">
        <v>2534</v>
      </c>
      <c r="G137" s="12" t="s">
        <v>1625</v>
      </c>
      <c r="H137" s="12" t="s">
        <v>961</v>
      </c>
      <c r="I137" s="18"/>
    </row>
    <row r="138" spans="1:9" ht="63.75" x14ac:dyDescent="0.25">
      <c r="A138" s="19">
        <v>46296.673958333333</v>
      </c>
      <c r="B138" s="12" t="s">
        <v>955</v>
      </c>
      <c r="C138" s="12">
        <v>6</v>
      </c>
      <c r="D138" s="18" t="s">
        <v>2535</v>
      </c>
      <c r="E138" s="18" t="s">
        <v>2279</v>
      </c>
      <c r="F138" s="18" t="s">
        <v>959</v>
      </c>
      <c r="G138" s="12" t="s">
        <v>2299</v>
      </c>
      <c r="H138" s="12" t="s">
        <v>961</v>
      </c>
      <c r="I138" s="18"/>
    </row>
    <row r="139" spans="1:9" ht="76.5" x14ac:dyDescent="0.25">
      <c r="A139" s="19">
        <v>46296.673993055563</v>
      </c>
      <c r="B139" s="12" t="s">
        <v>962</v>
      </c>
      <c r="C139" s="12">
        <v>6</v>
      </c>
      <c r="D139" s="18" t="s">
        <v>2536</v>
      </c>
      <c r="E139" s="18" t="s">
        <v>2537</v>
      </c>
      <c r="F139" s="18" t="s">
        <v>966</v>
      </c>
      <c r="G139" s="12" t="s">
        <v>1625</v>
      </c>
      <c r="H139" s="12" t="s">
        <v>967</v>
      </c>
      <c r="I139" s="18"/>
    </row>
    <row r="140" spans="1:9" ht="63.75" x14ac:dyDescent="0.25">
      <c r="A140" s="19">
        <v>46296.683622685188</v>
      </c>
      <c r="B140" s="12" t="s">
        <v>968</v>
      </c>
      <c r="C140" s="12">
        <v>6</v>
      </c>
      <c r="D140" s="18" t="s">
        <v>2538</v>
      </c>
      <c r="E140" s="18" t="s">
        <v>2539</v>
      </c>
      <c r="F140" s="18" t="s">
        <v>972</v>
      </c>
      <c r="G140" s="12" t="s">
        <v>1625</v>
      </c>
      <c r="H140" s="12" t="s">
        <v>973</v>
      </c>
      <c r="I140" s="18"/>
    </row>
    <row r="141" spans="1:9" ht="38.25" x14ac:dyDescent="0.25">
      <c r="A141" s="19">
        <v>46301.614942129629</v>
      </c>
      <c r="B141" s="12" t="s">
        <v>889</v>
      </c>
      <c r="C141" s="12">
        <v>5</v>
      </c>
      <c r="D141" s="18" t="s">
        <v>2540</v>
      </c>
      <c r="E141" s="18"/>
      <c r="F141" s="18" t="s">
        <v>893</v>
      </c>
      <c r="G141" s="12" t="s">
        <v>1625</v>
      </c>
      <c r="H141" s="12" t="s">
        <v>894</v>
      </c>
      <c r="I141" s="18"/>
    </row>
    <row r="142" spans="1:9" ht="38.25" x14ac:dyDescent="0.25">
      <c r="A142" s="19">
        <v>46301.614988425928</v>
      </c>
      <c r="B142" s="12" t="s">
        <v>897</v>
      </c>
      <c r="C142" s="12">
        <v>5</v>
      </c>
      <c r="D142" s="18" t="s">
        <v>2541</v>
      </c>
      <c r="E142" s="18"/>
      <c r="F142" s="18" t="s">
        <v>901</v>
      </c>
      <c r="G142" s="12" t="s">
        <v>1625</v>
      </c>
      <c r="H142" s="12" t="s">
        <v>894</v>
      </c>
      <c r="I142" s="18"/>
    </row>
    <row r="143" spans="1:9" ht="38.25" x14ac:dyDescent="0.25">
      <c r="A143" s="19">
        <v>46301.615023148152</v>
      </c>
      <c r="B143" s="12" t="s">
        <v>911</v>
      </c>
      <c r="C143" s="12">
        <v>5</v>
      </c>
      <c r="D143" s="18" t="s">
        <v>2542</v>
      </c>
      <c r="E143" s="18"/>
      <c r="F143" s="18" t="s">
        <v>915</v>
      </c>
      <c r="G143" s="12" t="s">
        <v>1625</v>
      </c>
      <c r="H143" s="12" t="s">
        <v>894</v>
      </c>
      <c r="I143" s="18"/>
    </row>
    <row r="144" spans="1:9" ht="38.25" x14ac:dyDescent="0.25">
      <c r="A144" s="19">
        <v>46301.615069444437</v>
      </c>
      <c r="B144" s="12" t="s">
        <v>933</v>
      </c>
      <c r="C144" s="12">
        <v>5</v>
      </c>
      <c r="D144" s="18" t="s">
        <v>2543</v>
      </c>
      <c r="E144" s="18"/>
      <c r="F144" s="18" t="s">
        <v>937</v>
      </c>
      <c r="G144" s="12" t="s">
        <v>1625</v>
      </c>
      <c r="H144" s="12" t="s">
        <v>894</v>
      </c>
      <c r="I144" s="18"/>
    </row>
    <row r="145" spans="1:9" ht="38.25" x14ac:dyDescent="0.25">
      <c r="A145" s="19">
        <v>46301.615115740737</v>
      </c>
      <c r="B145" s="12" t="s">
        <v>1293</v>
      </c>
      <c r="C145" s="12">
        <v>5</v>
      </c>
      <c r="D145" s="18" t="s">
        <v>2544</v>
      </c>
      <c r="E145" s="18"/>
      <c r="F145" s="18" t="s">
        <v>1297</v>
      </c>
      <c r="G145" s="12" t="s">
        <v>1625</v>
      </c>
      <c r="H145" s="12" t="s">
        <v>894</v>
      </c>
      <c r="I145" s="18"/>
    </row>
    <row r="146" spans="1:9" ht="38.25" x14ac:dyDescent="0.25">
      <c r="A146" s="19">
        <v>46301.615162037036</v>
      </c>
      <c r="B146" s="12" t="s">
        <v>940</v>
      </c>
      <c r="C146" s="12">
        <v>5</v>
      </c>
      <c r="D146" s="18" t="s">
        <v>2545</v>
      </c>
      <c r="E146" s="18"/>
      <c r="F146" s="18" t="s">
        <v>944</v>
      </c>
      <c r="G146" s="12" t="s">
        <v>1625</v>
      </c>
      <c r="H146" s="12" t="s">
        <v>894</v>
      </c>
      <c r="I146" s="18"/>
    </row>
    <row r="147" spans="1:9" ht="51" x14ac:dyDescent="0.25">
      <c r="A147" s="19">
        <v>46301.615208333344</v>
      </c>
      <c r="B147" s="12" t="s">
        <v>1342</v>
      </c>
      <c r="C147" s="12">
        <v>17</v>
      </c>
      <c r="D147" s="18" t="s">
        <v>2546</v>
      </c>
      <c r="E147" s="18"/>
      <c r="F147" s="18" t="s">
        <v>1346</v>
      </c>
      <c r="G147" s="12" t="s">
        <v>1625</v>
      </c>
      <c r="H147" s="12" t="s">
        <v>894</v>
      </c>
      <c r="I147" s="18"/>
    </row>
    <row r="148" spans="1:9" ht="38.25" x14ac:dyDescent="0.25">
      <c r="A148" s="19">
        <v>46301.615254629629</v>
      </c>
      <c r="B148" s="12" t="s">
        <v>1312</v>
      </c>
      <c r="C148" s="12">
        <v>6</v>
      </c>
      <c r="D148" s="18" t="s">
        <v>2547</v>
      </c>
      <c r="E148" s="18"/>
      <c r="F148" s="18" t="s">
        <v>1316</v>
      </c>
      <c r="G148" s="12" t="s">
        <v>1625</v>
      </c>
      <c r="H148" s="12" t="s">
        <v>894</v>
      </c>
      <c r="I148" s="18"/>
    </row>
    <row r="149" spans="1:9" ht="38.25" x14ac:dyDescent="0.25">
      <c r="A149" s="19">
        <v>46301.615300925929</v>
      </c>
      <c r="B149" s="12" t="s">
        <v>1004</v>
      </c>
      <c r="C149" s="12">
        <v>6</v>
      </c>
      <c r="D149" s="18" t="s">
        <v>2548</v>
      </c>
      <c r="E149" s="18"/>
      <c r="F149" s="18" t="s">
        <v>1008</v>
      </c>
      <c r="G149" s="12" t="s">
        <v>1625</v>
      </c>
      <c r="H149" s="12" t="s">
        <v>997</v>
      </c>
      <c r="I149" s="18"/>
    </row>
    <row r="150" spans="1:9" ht="38.25" x14ac:dyDescent="0.25">
      <c r="A150" s="19">
        <v>46301.615335648137</v>
      </c>
      <c r="B150" s="12" t="s">
        <v>991</v>
      </c>
      <c r="C150" s="12">
        <v>6</v>
      </c>
      <c r="D150" s="18" t="s">
        <v>2549</v>
      </c>
      <c r="E150" s="18"/>
      <c r="F150" s="18" t="s">
        <v>995</v>
      </c>
      <c r="G150" s="12" t="s">
        <v>1625</v>
      </c>
      <c r="H150" s="12" t="s">
        <v>997</v>
      </c>
      <c r="I150" s="18"/>
    </row>
    <row r="151" spans="1:9" ht="38.25" x14ac:dyDescent="0.25">
      <c r="A151" s="19">
        <v>46301.615381944437</v>
      </c>
      <c r="B151" s="12" t="s">
        <v>999</v>
      </c>
      <c r="C151" s="12">
        <v>6</v>
      </c>
      <c r="D151" s="18" t="s">
        <v>2550</v>
      </c>
      <c r="E151" s="18"/>
      <c r="F151" s="18" t="s">
        <v>1003</v>
      </c>
      <c r="G151" s="12" t="s">
        <v>1625</v>
      </c>
      <c r="H151" s="12" t="s">
        <v>997</v>
      </c>
      <c r="I151" s="18"/>
    </row>
    <row r="152" spans="1:9" ht="38.25" x14ac:dyDescent="0.25">
      <c r="A152" s="19">
        <v>46301.615428240737</v>
      </c>
      <c r="B152" s="12" t="s">
        <v>1016</v>
      </c>
      <c r="C152" s="12">
        <v>6</v>
      </c>
      <c r="D152" s="18" t="s">
        <v>2551</v>
      </c>
      <c r="E152" s="18"/>
      <c r="F152" s="18" t="s">
        <v>1020</v>
      </c>
      <c r="G152" s="12" t="s">
        <v>1625</v>
      </c>
      <c r="H152" s="12" t="s">
        <v>997</v>
      </c>
      <c r="I152" s="18"/>
    </row>
    <row r="153" spans="1:9" ht="51" x14ac:dyDescent="0.25">
      <c r="A153" s="19">
        <v>46301.615474537037</v>
      </c>
      <c r="B153" s="12" t="s">
        <v>1010</v>
      </c>
      <c r="C153" s="12">
        <v>6</v>
      </c>
      <c r="D153" s="18" t="s">
        <v>2552</v>
      </c>
      <c r="E153" s="18"/>
      <c r="F153" s="18" t="s">
        <v>1014</v>
      </c>
      <c r="G153" s="12" t="s">
        <v>1625</v>
      </c>
      <c r="H153" s="12" t="s">
        <v>1015</v>
      </c>
      <c r="I153" s="18"/>
    </row>
    <row r="154" spans="1:9" ht="38.25" x14ac:dyDescent="0.25">
      <c r="A154" s="19">
        <v>46301.615520833337</v>
      </c>
      <c r="B154" s="12" t="s">
        <v>974</v>
      </c>
      <c r="C154" s="12">
        <v>6</v>
      </c>
      <c r="D154" s="18" t="s">
        <v>2553</v>
      </c>
      <c r="E154" s="18"/>
      <c r="F154" s="18" t="s">
        <v>978</v>
      </c>
      <c r="G154" s="12" t="s">
        <v>1625</v>
      </c>
      <c r="H154" s="12" t="s">
        <v>979</v>
      </c>
      <c r="I154" s="18"/>
    </row>
    <row r="155" spans="1:9" ht="38.25" x14ac:dyDescent="0.25">
      <c r="A155" s="19">
        <v>46301.615567129629</v>
      </c>
      <c r="B155" s="12" t="s">
        <v>980</v>
      </c>
      <c r="C155" s="12">
        <v>6</v>
      </c>
      <c r="D155" s="18" t="s">
        <v>2554</v>
      </c>
      <c r="E155" s="18"/>
      <c r="F155" s="18" t="s">
        <v>984</v>
      </c>
      <c r="G155" s="12" t="s">
        <v>1625</v>
      </c>
      <c r="H155" s="12" t="s">
        <v>985</v>
      </c>
      <c r="I155" s="18"/>
    </row>
    <row r="156" spans="1:9" ht="51" x14ac:dyDescent="0.25">
      <c r="A156" s="19">
        <v>46301.615613425929</v>
      </c>
      <c r="B156" s="12" t="s">
        <v>986</v>
      </c>
      <c r="C156" s="12">
        <v>6</v>
      </c>
      <c r="D156" s="18" t="s">
        <v>2555</v>
      </c>
      <c r="E156" s="18"/>
      <c r="F156" s="18" t="s">
        <v>990</v>
      </c>
      <c r="G156" s="12" t="s">
        <v>1625</v>
      </c>
      <c r="H156" s="12" t="s">
        <v>979</v>
      </c>
      <c r="I156" s="18"/>
    </row>
    <row r="157" spans="1:9" ht="38.25" x14ac:dyDescent="0.25">
      <c r="A157" s="19">
        <v>46301.615659722222</v>
      </c>
      <c r="B157" s="12" t="s">
        <v>1022</v>
      </c>
      <c r="C157" s="12">
        <v>7</v>
      </c>
      <c r="D157" s="18" t="s">
        <v>2556</v>
      </c>
      <c r="E157" s="18"/>
      <c r="F157" s="18" t="s">
        <v>1026</v>
      </c>
      <c r="G157" s="12" t="s">
        <v>1625</v>
      </c>
      <c r="H157" s="12" t="s">
        <v>1028</v>
      </c>
      <c r="I157" s="18"/>
    </row>
    <row r="158" spans="1:9" ht="38.25" x14ac:dyDescent="0.25">
      <c r="A158" s="19">
        <v>46301.615706018521</v>
      </c>
      <c r="B158" s="12" t="s">
        <v>1029</v>
      </c>
      <c r="C158" s="12">
        <v>7</v>
      </c>
      <c r="D158" s="18" t="s">
        <v>2557</v>
      </c>
      <c r="E158" s="18"/>
      <c r="F158" s="18" t="s">
        <v>1033</v>
      </c>
      <c r="G158" s="12" t="s">
        <v>1625</v>
      </c>
      <c r="H158" s="12" t="s">
        <v>1028</v>
      </c>
      <c r="I158" s="18"/>
    </row>
    <row r="159" spans="1:9" ht="38.25" x14ac:dyDescent="0.25">
      <c r="A159" s="19">
        <v>46301.615752314807</v>
      </c>
      <c r="B159" s="12" t="s">
        <v>1034</v>
      </c>
      <c r="C159" s="12">
        <v>7</v>
      </c>
      <c r="D159" s="18" t="s">
        <v>2558</v>
      </c>
      <c r="E159" s="18"/>
      <c r="F159" s="18" t="s">
        <v>1033</v>
      </c>
      <c r="G159" s="12" t="s">
        <v>1625</v>
      </c>
      <c r="H159" s="12" t="s">
        <v>1028</v>
      </c>
      <c r="I159" s="18"/>
    </row>
    <row r="160" spans="1:9" ht="38.25" x14ac:dyDescent="0.25">
      <c r="A160" s="19">
        <v>46301.615798611107</v>
      </c>
      <c r="B160" s="12" t="s">
        <v>858</v>
      </c>
      <c r="C160" s="12">
        <v>4</v>
      </c>
      <c r="D160" s="18" t="s">
        <v>2559</v>
      </c>
      <c r="E160" s="18"/>
      <c r="F160" s="18" t="s">
        <v>862</v>
      </c>
      <c r="G160" s="12" t="s">
        <v>1625</v>
      </c>
      <c r="H160" s="12" t="s">
        <v>863</v>
      </c>
      <c r="I160" s="18"/>
    </row>
    <row r="161" spans="1:9" ht="38.25" x14ac:dyDescent="0.25">
      <c r="A161" s="19">
        <v>46301.615844907406</v>
      </c>
      <c r="B161" s="12" t="s">
        <v>1307</v>
      </c>
      <c r="C161" s="12">
        <v>6</v>
      </c>
      <c r="D161" s="18" t="s">
        <v>2560</v>
      </c>
      <c r="E161" s="18"/>
      <c r="F161" s="18" t="s">
        <v>1311</v>
      </c>
      <c r="G161" s="12" t="s">
        <v>1625</v>
      </c>
      <c r="H161" s="12" t="s">
        <v>863</v>
      </c>
      <c r="I161" s="18"/>
    </row>
    <row r="162" spans="1:9" ht="76.5" x14ac:dyDescent="0.25">
      <c r="A162" s="19">
        <v>46301.615972222222</v>
      </c>
      <c r="B162" s="12" t="s">
        <v>2561</v>
      </c>
      <c r="C162" s="12">
        <v>6</v>
      </c>
      <c r="D162" s="18" t="s">
        <v>2562</v>
      </c>
      <c r="E162" s="18" t="s">
        <v>2563</v>
      </c>
      <c r="F162" s="18" t="s">
        <v>2564</v>
      </c>
      <c r="G162" s="12" t="s">
        <v>1625</v>
      </c>
      <c r="H162" s="12"/>
      <c r="I162" s="18"/>
    </row>
    <row r="163" spans="1:9" ht="38.25" x14ac:dyDescent="0.25">
      <c r="A163" s="19">
        <v>46301.640243055554</v>
      </c>
      <c r="B163" s="12" t="s">
        <v>1299</v>
      </c>
      <c r="C163" s="12">
        <v>5</v>
      </c>
      <c r="D163" s="18" t="s">
        <v>2565</v>
      </c>
      <c r="E163" s="18" t="s">
        <v>2566</v>
      </c>
      <c r="F163" s="18" t="s">
        <v>1303</v>
      </c>
      <c r="G163" s="12" t="s">
        <v>1625</v>
      </c>
      <c r="H163" s="12" t="s">
        <v>1305</v>
      </c>
      <c r="I163" s="18"/>
    </row>
    <row r="164" spans="1:9" ht="38.25" x14ac:dyDescent="0.25">
      <c r="A164" s="19">
        <v>46301.640289351853</v>
      </c>
      <c r="B164" s="12" t="s">
        <v>1349</v>
      </c>
      <c r="C164" s="12">
        <v>17</v>
      </c>
      <c r="D164" s="18" t="s">
        <v>2567</v>
      </c>
      <c r="E164" s="18" t="s">
        <v>2568</v>
      </c>
      <c r="F164" s="18" t="s">
        <v>1353</v>
      </c>
      <c r="G164" s="12" t="s">
        <v>1625</v>
      </c>
      <c r="H164" s="12" t="s">
        <v>1354</v>
      </c>
      <c r="I164" s="18"/>
    </row>
    <row r="165" spans="1:9" ht="38.25" x14ac:dyDescent="0.25">
      <c r="A165" s="19">
        <v>46301.6408912037</v>
      </c>
      <c r="B165" s="12" t="s">
        <v>2569</v>
      </c>
      <c r="C165" s="12">
        <v>7</v>
      </c>
      <c r="D165" s="18" t="s">
        <v>2570</v>
      </c>
      <c r="E165" s="18"/>
      <c r="F165" s="18" t="s">
        <v>2571</v>
      </c>
      <c r="G165" s="12" t="s">
        <v>1625</v>
      </c>
      <c r="H165" s="12"/>
      <c r="I165" s="18"/>
    </row>
    <row r="166" spans="1:9" ht="25.5" x14ac:dyDescent="0.25">
      <c r="A166" s="19">
        <v>46301.88385416667</v>
      </c>
      <c r="B166" s="12" t="s">
        <v>2572</v>
      </c>
      <c r="C166" s="12">
        <v>8</v>
      </c>
      <c r="D166" s="18" t="s">
        <v>2573</v>
      </c>
      <c r="E166" s="18"/>
      <c r="F166" s="18" t="s">
        <v>2574</v>
      </c>
      <c r="G166" s="12" t="s">
        <v>1625</v>
      </c>
      <c r="H166" s="12"/>
      <c r="I166" s="18"/>
    </row>
    <row r="167" spans="1:9" ht="25.5" x14ac:dyDescent="0.25">
      <c r="A167" s="19">
        <v>46301.92359953704</v>
      </c>
      <c r="B167" s="12" t="s">
        <v>2575</v>
      </c>
      <c r="C167" s="12">
        <v>10</v>
      </c>
      <c r="D167" s="18" t="s">
        <v>2576</v>
      </c>
      <c r="E167" s="18"/>
      <c r="F167" s="18" t="s">
        <v>2574</v>
      </c>
      <c r="G167" s="12" t="s">
        <v>1625</v>
      </c>
      <c r="H167" s="12"/>
      <c r="I167" s="18"/>
    </row>
    <row r="168" spans="1:9" ht="25.5" x14ac:dyDescent="0.25">
      <c r="A168" s="19">
        <v>46302.365069444437</v>
      </c>
      <c r="B168" s="12" t="s">
        <v>2577</v>
      </c>
      <c r="C168" s="12">
        <v>11</v>
      </c>
      <c r="D168" s="18" t="s">
        <v>2578</v>
      </c>
      <c r="E168" s="18"/>
      <c r="F168" s="18" t="s">
        <v>2574</v>
      </c>
      <c r="G168" s="12" t="s">
        <v>1625</v>
      </c>
      <c r="H168" s="12"/>
      <c r="I168" s="18"/>
    </row>
    <row r="169" spans="1:9" ht="25.5" x14ac:dyDescent="0.25">
      <c r="A169" s="19">
        <v>46302.36550925926</v>
      </c>
      <c r="B169" s="12" t="s">
        <v>2579</v>
      </c>
      <c r="C169" s="12">
        <v>12</v>
      </c>
      <c r="D169" s="18" t="s">
        <v>2580</v>
      </c>
      <c r="E169" s="18"/>
      <c r="F169" s="18" t="s">
        <v>2574</v>
      </c>
      <c r="G169" s="12" t="s">
        <v>1625</v>
      </c>
      <c r="H169" s="12"/>
      <c r="I169" s="18"/>
    </row>
    <row r="170" spans="1:9" ht="25.5" x14ac:dyDescent="0.25">
      <c r="A170" s="19">
        <v>46302.365891203714</v>
      </c>
      <c r="B170" s="12" t="s">
        <v>2581</v>
      </c>
      <c r="C170" s="12">
        <v>13</v>
      </c>
      <c r="D170" s="18" t="s">
        <v>2582</v>
      </c>
      <c r="E170" s="18"/>
      <c r="F170" s="18" t="s">
        <v>2574</v>
      </c>
      <c r="G170" s="12" t="s">
        <v>1625</v>
      </c>
      <c r="H170" s="12"/>
      <c r="I170" s="18"/>
    </row>
    <row r="171" spans="1:9" ht="25.5" x14ac:dyDescent="0.25">
      <c r="A171" s="19">
        <v>46302.366319444453</v>
      </c>
      <c r="B171" s="12" t="s">
        <v>2583</v>
      </c>
      <c r="C171" s="12">
        <v>14</v>
      </c>
      <c r="D171" s="18" t="s">
        <v>2584</v>
      </c>
      <c r="E171" s="18"/>
      <c r="F171" s="18" t="s">
        <v>2574</v>
      </c>
      <c r="G171" s="12" t="s">
        <v>1625</v>
      </c>
      <c r="H171" s="12"/>
      <c r="I171" s="18"/>
    </row>
    <row r="172" spans="1:9" ht="25.5" x14ac:dyDescent="0.25">
      <c r="A172" s="19">
        <v>46302.366724537038</v>
      </c>
      <c r="B172" s="12" t="s">
        <v>2585</v>
      </c>
      <c r="C172" s="12">
        <v>16</v>
      </c>
      <c r="D172" s="18" t="s">
        <v>2586</v>
      </c>
      <c r="E172" s="18"/>
      <c r="F172" s="18" t="s">
        <v>2574</v>
      </c>
      <c r="G172" s="12" t="s">
        <v>1625</v>
      </c>
      <c r="H172" s="12"/>
      <c r="I172" s="18"/>
    </row>
    <row r="173" spans="1:9" ht="25.5" x14ac:dyDescent="0.25">
      <c r="A173" s="19">
        <v>46302.367129629631</v>
      </c>
      <c r="B173" s="12" t="s">
        <v>2587</v>
      </c>
      <c r="C173" s="12">
        <v>16</v>
      </c>
      <c r="D173" s="18" t="s">
        <v>2588</v>
      </c>
      <c r="E173" s="18"/>
      <c r="F173" s="18" t="s">
        <v>2574</v>
      </c>
      <c r="G173" s="12" t="s">
        <v>1625</v>
      </c>
      <c r="H173" s="12"/>
      <c r="I173" s="18"/>
    </row>
    <row r="174" spans="1:9" ht="38.25" x14ac:dyDescent="0.25">
      <c r="A174" s="19">
        <v>46302.367604166669</v>
      </c>
      <c r="B174" s="12" t="s">
        <v>2589</v>
      </c>
      <c r="C174" s="12">
        <v>17</v>
      </c>
      <c r="D174" s="18" t="s">
        <v>2590</v>
      </c>
      <c r="E174" s="18"/>
      <c r="F174" s="18" t="s">
        <v>2591</v>
      </c>
      <c r="G174" s="12" t="s">
        <v>1625</v>
      </c>
      <c r="H174" s="12"/>
      <c r="I174" s="18"/>
    </row>
    <row r="175" spans="1:9" ht="25.5" x14ac:dyDescent="0.25">
      <c r="A175" s="19">
        <v>46302.367858796293</v>
      </c>
      <c r="B175" s="12" t="s">
        <v>1375</v>
      </c>
      <c r="C175" s="12">
        <v>18</v>
      </c>
      <c r="D175" s="18" t="s">
        <v>2592</v>
      </c>
      <c r="E175" s="18"/>
      <c r="F175" s="18" t="s">
        <v>2593</v>
      </c>
      <c r="G175" s="12" t="s">
        <v>1625</v>
      </c>
      <c r="H175" s="12"/>
      <c r="I175" s="18"/>
    </row>
    <row r="176" spans="1:9" ht="38.25" x14ac:dyDescent="0.25">
      <c r="A176" s="19">
        <v>46302.369467592587</v>
      </c>
      <c r="B176" s="12" t="s">
        <v>2594</v>
      </c>
      <c r="C176" s="12">
        <v>18</v>
      </c>
      <c r="D176" s="18" t="s">
        <v>2595</v>
      </c>
      <c r="E176" s="18"/>
      <c r="F176" s="18" t="s">
        <v>2596</v>
      </c>
      <c r="G176" s="12" t="s">
        <v>1625</v>
      </c>
      <c r="H176" s="12"/>
      <c r="I176" s="18"/>
    </row>
    <row r="177" spans="1:9" ht="102" x14ac:dyDescent="0.25">
      <c r="A177" s="19">
        <v>46302.468935185178</v>
      </c>
      <c r="B177" s="12" t="s">
        <v>639</v>
      </c>
      <c r="C177" s="12">
        <v>3</v>
      </c>
      <c r="D177" s="18" t="s">
        <v>2597</v>
      </c>
      <c r="E177" s="18" t="s">
        <v>2598</v>
      </c>
      <c r="F177" s="18" t="s">
        <v>643</v>
      </c>
      <c r="G177" s="12" t="s">
        <v>1625</v>
      </c>
      <c r="H177" s="12" t="s">
        <v>644</v>
      </c>
      <c r="I177" s="18"/>
    </row>
    <row r="178" spans="1:9" ht="127.5" x14ac:dyDescent="0.25">
      <c r="A178" s="19">
        <v>46302.500347222223</v>
      </c>
      <c r="B178" s="12" t="s">
        <v>661</v>
      </c>
      <c r="C178" s="12">
        <v>3</v>
      </c>
      <c r="D178" s="18" t="s">
        <v>2599</v>
      </c>
      <c r="E178" s="18" t="s">
        <v>2600</v>
      </c>
      <c r="F178" s="18" t="s">
        <v>665</v>
      </c>
      <c r="G178" s="12" t="s">
        <v>1625</v>
      </c>
      <c r="H178" s="12" t="s">
        <v>666</v>
      </c>
      <c r="I178" s="18"/>
    </row>
    <row r="179" spans="1:9" ht="89.25" x14ac:dyDescent="0.25">
      <c r="A179" s="19">
        <v>46302.524733796286</v>
      </c>
      <c r="B179" s="12" t="s">
        <v>675</v>
      </c>
      <c r="C179" s="12">
        <v>3</v>
      </c>
      <c r="D179" s="18" t="s">
        <v>2601</v>
      </c>
      <c r="E179" s="18" t="s">
        <v>2602</v>
      </c>
      <c r="F179" s="18" t="s">
        <v>679</v>
      </c>
      <c r="G179" s="12" t="s">
        <v>1625</v>
      </c>
      <c r="H179" s="12" t="s">
        <v>680</v>
      </c>
      <c r="I179" s="18"/>
    </row>
    <row r="180" spans="1:9" ht="38.25" x14ac:dyDescent="0.25">
      <c r="A180" s="19">
        <v>46302.52752314815</v>
      </c>
      <c r="B180" s="12" t="s">
        <v>724</v>
      </c>
      <c r="C180" s="12">
        <v>3</v>
      </c>
      <c r="D180" s="18" t="s">
        <v>2603</v>
      </c>
      <c r="E180" s="18"/>
      <c r="F180" s="18" t="s">
        <v>728</v>
      </c>
      <c r="G180" s="12" t="s">
        <v>2299</v>
      </c>
      <c r="H180" s="12" t="s">
        <v>729</v>
      </c>
      <c r="I180" s="18"/>
    </row>
    <row r="181" spans="1:9" ht="51" x14ac:dyDescent="0.25">
      <c r="A181" s="19">
        <v>46302.636307870373</v>
      </c>
      <c r="B181" s="12" t="s">
        <v>775</v>
      </c>
      <c r="C181" s="12">
        <v>3</v>
      </c>
      <c r="D181" s="18" t="s">
        <v>2604</v>
      </c>
      <c r="E181" s="18" t="s">
        <v>2605</v>
      </c>
      <c r="F181" s="18" t="s">
        <v>779</v>
      </c>
      <c r="G181" s="12" t="s">
        <v>1625</v>
      </c>
      <c r="H181" s="12" t="s">
        <v>780</v>
      </c>
      <c r="I181" s="18"/>
    </row>
    <row r="182" spans="1:9" ht="114.75" x14ac:dyDescent="0.25">
      <c r="A182" s="19">
        <v>46302.662361111114</v>
      </c>
      <c r="B182" s="12" t="s">
        <v>917</v>
      </c>
      <c r="C182" s="12">
        <v>5</v>
      </c>
      <c r="D182" s="18" t="s">
        <v>2606</v>
      </c>
      <c r="E182" s="18" t="s">
        <v>2607</v>
      </c>
      <c r="F182" s="18" t="s">
        <v>921</v>
      </c>
      <c r="G182" s="12" t="s">
        <v>1625</v>
      </c>
      <c r="H182" s="12" t="s">
        <v>922</v>
      </c>
      <c r="I182" s="18"/>
    </row>
    <row r="183" spans="1:9" ht="38.25" x14ac:dyDescent="0.25">
      <c r="A183" s="19">
        <v>46302.676979166667</v>
      </c>
      <c r="B183" s="12" t="s">
        <v>1118</v>
      </c>
      <c r="C183" s="12">
        <v>9</v>
      </c>
      <c r="D183" s="18" t="s">
        <v>2608</v>
      </c>
      <c r="E183" s="18" t="s">
        <v>2609</v>
      </c>
      <c r="F183" s="18" t="s">
        <v>1122</v>
      </c>
      <c r="G183" s="12" t="s">
        <v>1625</v>
      </c>
      <c r="H183" s="12" t="s">
        <v>1123</v>
      </c>
      <c r="I183" s="18"/>
    </row>
    <row r="184" spans="1:9" ht="25.5" x14ac:dyDescent="0.25">
      <c r="A184" s="19">
        <v>46302.680891203701</v>
      </c>
      <c r="B184" s="12" t="s">
        <v>1101</v>
      </c>
      <c r="C184" s="12">
        <v>9</v>
      </c>
      <c r="D184" s="18" t="s">
        <v>2610</v>
      </c>
      <c r="E184" s="18" t="s">
        <v>2611</v>
      </c>
      <c r="F184" s="18" t="s">
        <v>1105</v>
      </c>
      <c r="G184" s="12" t="s">
        <v>1625</v>
      </c>
      <c r="H184" s="12" t="s">
        <v>1107</v>
      </c>
      <c r="I184" s="18"/>
    </row>
    <row r="185" spans="1:9" ht="63.75" x14ac:dyDescent="0.25">
      <c r="A185" s="19">
        <v>46302.690972222219</v>
      </c>
      <c r="B185" s="12" t="s">
        <v>1187</v>
      </c>
      <c r="C185" s="12">
        <v>11</v>
      </c>
      <c r="D185" s="18" t="s">
        <v>2612</v>
      </c>
      <c r="E185" s="18" t="s">
        <v>2613</v>
      </c>
      <c r="F185" s="18" t="s">
        <v>1191</v>
      </c>
      <c r="G185" s="12" t="s">
        <v>1625</v>
      </c>
      <c r="H185" s="12" t="s">
        <v>1192</v>
      </c>
      <c r="I185" s="18"/>
    </row>
    <row r="186" spans="1:9" ht="76.5" x14ac:dyDescent="0.25">
      <c r="A186" s="19">
        <v>46302.707743055558</v>
      </c>
      <c r="B186" s="12" t="s">
        <v>1228</v>
      </c>
      <c r="C186" s="12">
        <v>13</v>
      </c>
      <c r="D186" s="18" t="s">
        <v>2614</v>
      </c>
      <c r="E186" s="18" t="s">
        <v>2615</v>
      </c>
      <c r="F186" s="18" t="s">
        <v>1232</v>
      </c>
      <c r="G186" s="12" t="s">
        <v>1625</v>
      </c>
      <c r="H186" s="12" t="s">
        <v>1233</v>
      </c>
      <c r="I186" s="18"/>
    </row>
    <row r="187" spans="1:9" ht="89.25" x14ac:dyDescent="0.25">
      <c r="A187" s="19">
        <v>46302.733923611107</v>
      </c>
      <c r="B187" s="12" t="s">
        <v>1246</v>
      </c>
      <c r="C187" s="12">
        <v>14</v>
      </c>
      <c r="D187" s="18" t="s">
        <v>2616</v>
      </c>
      <c r="E187" s="18" t="s">
        <v>2617</v>
      </c>
      <c r="F187" s="18" t="s">
        <v>1250</v>
      </c>
      <c r="G187" s="12" t="s">
        <v>1625</v>
      </c>
      <c r="H187" s="12" t="s">
        <v>1251</v>
      </c>
      <c r="I187" s="18"/>
    </row>
    <row r="188" spans="1:9" ht="63.75" x14ac:dyDescent="0.25">
      <c r="A188" s="19">
        <v>46302.751793981479</v>
      </c>
      <c r="B188" s="12" t="s">
        <v>1253</v>
      </c>
      <c r="C188" s="12">
        <v>14</v>
      </c>
      <c r="D188" s="18" t="s">
        <v>2618</v>
      </c>
      <c r="E188" s="18" t="s">
        <v>2619</v>
      </c>
      <c r="F188" s="18" t="s">
        <v>1257</v>
      </c>
      <c r="G188" s="12" t="s">
        <v>1625</v>
      </c>
      <c r="H188" s="12" t="s">
        <v>1258</v>
      </c>
      <c r="I188" s="18"/>
    </row>
    <row r="189" spans="1:9" ht="89.25" x14ac:dyDescent="0.25">
      <c r="A189" s="19">
        <v>46302.856273148151</v>
      </c>
      <c r="B189" s="12" t="s">
        <v>1259</v>
      </c>
      <c r="C189" s="12">
        <v>15</v>
      </c>
      <c r="D189" s="18" t="s">
        <v>2620</v>
      </c>
      <c r="E189" s="18" t="s">
        <v>2621</v>
      </c>
      <c r="F189" s="18" t="s">
        <v>1263</v>
      </c>
      <c r="G189" s="12" t="s">
        <v>1625</v>
      </c>
      <c r="H189" s="12" t="s">
        <v>1265</v>
      </c>
      <c r="I189" s="18"/>
    </row>
    <row r="190" spans="1:9" ht="76.5" x14ac:dyDescent="0.25">
      <c r="A190" s="19">
        <v>46302.873078703713</v>
      </c>
      <c r="B190" s="12" t="s">
        <v>1267</v>
      </c>
      <c r="C190" s="12">
        <v>15</v>
      </c>
      <c r="D190" s="18" t="s">
        <v>2622</v>
      </c>
      <c r="E190" s="18" t="s">
        <v>2623</v>
      </c>
      <c r="F190" s="18" t="s">
        <v>1271</v>
      </c>
      <c r="G190" s="12" t="s">
        <v>1625</v>
      </c>
      <c r="H190" s="12" t="s">
        <v>1272</v>
      </c>
      <c r="I190" s="18"/>
    </row>
    <row r="191" spans="1:9" ht="76.5" x14ac:dyDescent="0.25">
      <c r="A191" s="19">
        <v>46302.894976851851</v>
      </c>
      <c r="B191" s="12" t="s">
        <v>1331</v>
      </c>
      <c r="C191" s="12">
        <v>16</v>
      </c>
      <c r="D191" s="18" t="s">
        <v>2624</v>
      </c>
      <c r="E191" s="18" t="s">
        <v>2625</v>
      </c>
      <c r="F191" s="18" t="s">
        <v>1335</v>
      </c>
      <c r="G191" s="12" t="s">
        <v>1625</v>
      </c>
      <c r="H191" s="12" t="s">
        <v>1336</v>
      </c>
      <c r="I191" s="18"/>
    </row>
    <row r="192" spans="1:9" ht="76.5" x14ac:dyDescent="0.25">
      <c r="A192" s="19">
        <v>46302.898645833331</v>
      </c>
      <c r="B192" s="12" t="s">
        <v>1362</v>
      </c>
      <c r="C192" s="12">
        <v>17</v>
      </c>
      <c r="D192" s="18" t="s">
        <v>2626</v>
      </c>
      <c r="E192" s="18" t="s">
        <v>2627</v>
      </c>
      <c r="F192" s="18" t="s">
        <v>1366</v>
      </c>
      <c r="G192" s="12" t="s">
        <v>2299</v>
      </c>
      <c r="H192" s="12" t="s">
        <v>1367</v>
      </c>
      <c r="I192" s="18"/>
    </row>
    <row r="193" spans="1:9" ht="140.25" x14ac:dyDescent="0.25">
      <c r="A193" s="19">
        <v>46302.921712962961</v>
      </c>
      <c r="B193" s="12" t="s">
        <v>554</v>
      </c>
      <c r="C193" s="12">
        <v>3</v>
      </c>
      <c r="D193" s="18" t="s">
        <v>2628</v>
      </c>
      <c r="E193" s="18" t="s">
        <v>2629</v>
      </c>
      <c r="F193" s="18" t="s">
        <v>558</v>
      </c>
      <c r="G193" s="12" t="s">
        <v>1625</v>
      </c>
      <c r="H193" s="12" t="s">
        <v>559</v>
      </c>
      <c r="I193" s="18"/>
    </row>
    <row r="194" spans="1:9" ht="38.25" x14ac:dyDescent="0.25">
      <c r="A194" s="19">
        <v>46302.922361111108</v>
      </c>
      <c r="B194" s="12" t="s">
        <v>561</v>
      </c>
      <c r="C194" s="12">
        <v>3</v>
      </c>
      <c r="D194" s="18" t="s">
        <v>2630</v>
      </c>
      <c r="E194" s="18"/>
      <c r="F194" s="18"/>
      <c r="G194" s="12" t="s">
        <v>2299</v>
      </c>
      <c r="H194" s="12"/>
      <c r="I194" s="18"/>
    </row>
    <row r="195" spans="1:9" ht="127.5" x14ac:dyDescent="0.25">
      <c r="A195" s="19">
        <v>46302.939097222217</v>
      </c>
      <c r="B195" s="12" t="s">
        <v>582</v>
      </c>
      <c r="C195" s="12">
        <v>3</v>
      </c>
      <c r="D195" s="18" t="s">
        <v>2631</v>
      </c>
      <c r="E195" s="18" t="s">
        <v>2632</v>
      </c>
      <c r="F195" s="18" t="s">
        <v>586</v>
      </c>
      <c r="G195" s="12" t="s">
        <v>1625</v>
      </c>
      <c r="H195" s="12" t="s">
        <v>587</v>
      </c>
      <c r="I195" s="18"/>
    </row>
    <row r="196" spans="1:9" ht="127.5" x14ac:dyDescent="0.25">
      <c r="A196" s="19">
        <v>46302.945914351847</v>
      </c>
      <c r="B196" s="12" t="s">
        <v>602</v>
      </c>
      <c r="C196" s="12">
        <v>3</v>
      </c>
      <c r="D196" s="18" t="s">
        <v>2633</v>
      </c>
      <c r="E196" s="18" t="s">
        <v>2634</v>
      </c>
      <c r="F196" s="18" t="s">
        <v>606</v>
      </c>
      <c r="G196" s="12" t="s">
        <v>1625</v>
      </c>
      <c r="H196" s="12" t="s">
        <v>607</v>
      </c>
      <c r="I196" s="18"/>
    </row>
    <row r="197" spans="1:9" ht="140.25" x14ac:dyDescent="0.25">
      <c r="A197" s="19">
        <v>46302.96539351852</v>
      </c>
      <c r="B197" s="12" t="s">
        <v>750</v>
      </c>
      <c r="C197" s="12">
        <v>3</v>
      </c>
      <c r="D197" s="18" t="s">
        <v>2635</v>
      </c>
      <c r="E197" s="18" t="s">
        <v>2636</v>
      </c>
      <c r="F197" s="18" t="s">
        <v>754</v>
      </c>
      <c r="G197" s="12" t="s">
        <v>1625</v>
      </c>
      <c r="H197" s="12" t="s">
        <v>755</v>
      </c>
      <c r="I197" s="18"/>
    </row>
    <row r="198" spans="1:9" ht="51" x14ac:dyDescent="0.25">
      <c r="A198" s="19">
        <v>46302.980925925927</v>
      </c>
      <c r="B198" s="12" t="s">
        <v>923</v>
      </c>
      <c r="C198" s="12">
        <v>5</v>
      </c>
      <c r="D198" s="18" t="s">
        <v>2637</v>
      </c>
      <c r="E198" s="18" t="s">
        <v>2638</v>
      </c>
      <c r="F198" s="18" t="s">
        <v>927</v>
      </c>
      <c r="G198" s="12" t="s">
        <v>1625</v>
      </c>
      <c r="H198" s="12" t="s">
        <v>928</v>
      </c>
      <c r="I198" s="18"/>
    </row>
    <row r="199" spans="1:9" ht="153" x14ac:dyDescent="0.25">
      <c r="A199" s="19">
        <v>46303.055833333332</v>
      </c>
      <c r="B199" s="12" t="s">
        <v>1108</v>
      </c>
      <c r="C199" s="12">
        <v>9</v>
      </c>
      <c r="D199" s="18" t="s">
        <v>2639</v>
      </c>
      <c r="E199" s="18" t="s">
        <v>2640</v>
      </c>
      <c r="F199" s="18" t="s">
        <v>1112</v>
      </c>
      <c r="G199" s="12" t="s">
        <v>1625</v>
      </c>
      <c r="H199" s="12" t="s">
        <v>1113</v>
      </c>
      <c r="I199" s="18"/>
    </row>
    <row r="200" spans="1:9" ht="127.5" x14ac:dyDescent="0.25">
      <c r="A200" s="19">
        <v>46303.069062499999</v>
      </c>
      <c r="B200" s="12" t="s">
        <v>1274</v>
      </c>
      <c r="C200" s="12">
        <v>15</v>
      </c>
      <c r="D200" s="18" t="s">
        <v>2641</v>
      </c>
      <c r="E200" s="18" t="s">
        <v>2642</v>
      </c>
      <c r="F200" s="18" t="s">
        <v>1278</v>
      </c>
      <c r="G200" s="12" t="s">
        <v>1625</v>
      </c>
      <c r="H200" s="12" t="s">
        <v>1279</v>
      </c>
      <c r="I200" s="18"/>
    </row>
    <row r="201" spans="1:9" ht="76.5" x14ac:dyDescent="0.25">
      <c r="A201" s="19">
        <v>46303.07099537037</v>
      </c>
      <c r="B201" s="12" t="s">
        <v>1368</v>
      </c>
      <c r="C201" s="12">
        <v>17</v>
      </c>
      <c r="D201" s="18" t="s">
        <v>2643</v>
      </c>
      <c r="E201" s="18" t="s">
        <v>2644</v>
      </c>
      <c r="F201" s="18" t="s">
        <v>1372</v>
      </c>
      <c r="G201" s="12" t="s">
        <v>1625</v>
      </c>
      <c r="H201" s="12" t="s">
        <v>1374</v>
      </c>
      <c r="I201" s="18"/>
    </row>
    <row r="202" spans="1:9" ht="165.75" x14ac:dyDescent="0.25">
      <c r="A202" s="19">
        <v>46303.091087962966</v>
      </c>
      <c r="B202" s="12" t="s">
        <v>561</v>
      </c>
      <c r="C202" s="12">
        <v>3</v>
      </c>
      <c r="D202" s="18" t="s">
        <v>2645</v>
      </c>
      <c r="E202" s="18" t="s">
        <v>2646</v>
      </c>
      <c r="F202" s="18" t="s">
        <v>565</v>
      </c>
      <c r="G202" s="12" t="s">
        <v>1625</v>
      </c>
      <c r="H202" s="12" t="s">
        <v>566</v>
      </c>
      <c r="I202" s="18"/>
    </row>
    <row r="203" spans="1:9" ht="89.25" x14ac:dyDescent="0.25">
      <c r="A203" s="19">
        <v>46303.100335648152</v>
      </c>
      <c r="B203" s="12" t="s">
        <v>1095</v>
      </c>
      <c r="C203" s="12">
        <v>8</v>
      </c>
      <c r="D203" s="18" t="s">
        <v>2647</v>
      </c>
      <c r="E203" s="18" t="s">
        <v>2648</v>
      </c>
      <c r="F203" s="18" t="s">
        <v>1099</v>
      </c>
      <c r="G203" s="12" t="s">
        <v>1625</v>
      </c>
      <c r="H203" s="12" t="s">
        <v>1100</v>
      </c>
      <c r="I203" s="18"/>
    </row>
    <row r="204" spans="1:9" ht="38.25" x14ac:dyDescent="0.25">
      <c r="A204" s="19">
        <v>46308.595995370371</v>
      </c>
      <c r="B204" s="12" t="s">
        <v>1389</v>
      </c>
      <c r="C204" s="12">
        <v>19</v>
      </c>
      <c r="D204" s="18" t="s">
        <v>2649</v>
      </c>
      <c r="E204" s="18"/>
      <c r="F204" s="18" t="s">
        <v>1393</v>
      </c>
      <c r="G204" s="12" t="s">
        <v>1625</v>
      </c>
      <c r="H204" s="12" t="s">
        <v>1395</v>
      </c>
      <c r="I204" s="18"/>
    </row>
    <row r="205" spans="1:9" ht="38.25" x14ac:dyDescent="0.25">
      <c r="A205" s="19">
        <v>46308.596041666657</v>
      </c>
      <c r="B205" s="12" t="s">
        <v>1406</v>
      </c>
      <c r="C205" s="12">
        <v>19</v>
      </c>
      <c r="D205" s="18" t="s">
        <v>2650</v>
      </c>
      <c r="E205" s="18"/>
      <c r="F205" s="18" t="s">
        <v>1410</v>
      </c>
      <c r="G205" s="12" t="s">
        <v>1625</v>
      </c>
      <c r="H205" s="12" t="s">
        <v>1395</v>
      </c>
      <c r="I205" s="18"/>
    </row>
    <row r="206" spans="1:9" ht="76.5" x14ac:dyDescent="0.25">
      <c r="A206" s="19">
        <v>46308.596099537041</v>
      </c>
      <c r="B206" s="12" t="s">
        <v>1418</v>
      </c>
      <c r="C206" s="12">
        <v>19</v>
      </c>
      <c r="D206" s="18" t="s">
        <v>2651</v>
      </c>
      <c r="E206" s="18"/>
      <c r="F206" s="18" t="s">
        <v>1422</v>
      </c>
      <c r="G206" s="12" t="s">
        <v>2299</v>
      </c>
      <c r="H206" s="12" t="s">
        <v>1395</v>
      </c>
      <c r="I206" s="18"/>
    </row>
    <row r="207" spans="1:9" ht="89.25" x14ac:dyDescent="0.25">
      <c r="A207" s="19">
        <v>46308.59615740741</v>
      </c>
      <c r="B207" s="12" t="s">
        <v>1425</v>
      </c>
      <c r="C207" s="12">
        <v>19</v>
      </c>
      <c r="D207" s="18" t="s">
        <v>2652</v>
      </c>
      <c r="E207" s="18"/>
      <c r="F207" s="18" t="s">
        <v>1429</v>
      </c>
      <c r="G207" s="12" t="s">
        <v>2299</v>
      </c>
      <c r="H207" s="12" t="s">
        <v>1431</v>
      </c>
      <c r="I207" s="18"/>
    </row>
    <row r="208" spans="1:9" ht="25.5" x14ac:dyDescent="0.25">
      <c r="A208" s="19">
        <v>46308.596203703702</v>
      </c>
      <c r="B208" s="12" t="s">
        <v>1413</v>
      </c>
      <c r="C208" s="12">
        <v>19</v>
      </c>
      <c r="D208" s="18" t="s">
        <v>2653</v>
      </c>
      <c r="E208" s="18"/>
      <c r="F208" s="18"/>
      <c r="G208" s="12" t="s">
        <v>2299</v>
      </c>
      <c r="H208" s="12"/>
      <c r="I208" s="18"/>
    </row>
    <row r="209" spans="1:9" ht="25.5" x14ac:dyDescent="0.25">
      <c r="A209" s="19">
        <v>46308.596261574072</v>
      </c>
      <c r="B209" s="12" t="s">
        <v>1397</v>
      </c>
      <c r="C209" s="12">
        <v>19</v>
      </c>
      <c r="D209" s="18" t="s">
        <v>2654</v>
      </c>
      <c r="E209" s="18"/>
      <c r="F209" s="18"/>
      <c r="G209" s="12" t="s">
        <v>2299</v>
      </c>
      <c r="H209" s="12"/>
      <c r="I209" s="18"/>
    </row>
  </sheetData>
  <autoFilter ref="A1:I209" xr:uid="{00000000-0009-0000-0000-000012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200-000000000000}">
      <formula1>"PASS,FAIL,PARTIAL,N/A"</formula1>
    </dataValidation>
  </dataValidations>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2655</v>
      </c>
    </row>
    <row r="2" spans="1:2" x14ac:dyDescent="0.25">
      <c r="A2" s="4" t="s">
        <v>154</v>
      </c>
    </row>
    <row r="3" spans="1:2" x14ac:dyDescent="0.25">
      <c r="A3" s="2" t="s">
        <v>2656</v>
      </c>
    </row>
    <row r="4" spans="1:2" x14ac:dyDescent="0.25">
      <c r="A4" s="10" t="s">
        <v>2657</v>
      </c>
      <c r="B4" s="10" t="s">
        <v>2658</v>
      </c>
    </row>
    <row r="5" spans="1:2" x14ac:dyDescent="0.25">
      <c r="A5" s="6" t="s">
        <v>6</v>
      </c>
      <c r="B5" s="18" t="s">
        <v>2659</v>
      </c>
    </row>
    <row r="6" spans="1:2" x14ac:dyDescent="0.25">
      <c r="A6" s="6" t="s">
        <v>9</v>
      </c>
      <c r="B6" s="18" t="s">
        <v>2660</v>
      </c>
    </row>
    <row r="7" spans="1:2" x14ac:dyDescent="0.25">
      <c r="A7" s="6" t="s">
        <v>12</v>
      </c>
      <c r="B7" s="18" t="s">
        <v>2661</v>
      </c>
    </row>
    <row r="8" spans="1:2" ht="25.5" x14ac:dyDescent="0.25">
      <c r="A8" s="6" t="s">
        <v>15</v>
      </c>
      <c r="B8" s="18" t="s">
        <v>2662</v>
      </c>
    </row>
    <row r="9" spans="1:2" x14ac:dyDescent="0.25">
      <c r="A9" s="6" t="s">
        <v>2663</v>
      </c>
      <c r="B9" s="18" t="s">
        <v>2664</v>
      </c>
    </row>
    <row r="10" spans="1:2" x14ac:dyDescent="0.25">
      <c r="A10" s="6" t="s">
        <v>2665</v>
      </c>
      <c r="B10" s="18" t="s">
        <v>2666</v>
      </c>
    </row>
    <row r="11" spans="1:2" x14ac:dyDescent="0.25">
      <c r="A11" s="6" t="s">
        <v>26</v>
      </c>
      <c r="B11" s="18" t="s">
        <v>2667</v>
      </c>
    </row>
    <row r="12" spans="1:2" x14ac:dyDescent="0.25">
      <c r="A12" s="6" t="s">
        <v>29</v>
      </c>
      <c r="B12" s="18" t="s">
        <v>2668</v>
      </c>
    </row>
    <row r="13" spans="1:2" ht="25.5" x14ac:dyDescent="0.25">
      <c r="A13" s="6" t="s">
        <v>32</v>
      </c>
      <c r="B13" s="18" t="s">
        <v>2669</v>
      </c>
    </row>
    <row r="14" spans="1:2" x14ac:dyDescent="0.25">
      <c r="A14" s="6" t="s">
        <v>18</v>
      </c>
      <c r="B14" s="18" t="s">
        <v>2670</v>
      </c>
    </row>
    <row r="15" spans="1:2" x14ac:dyDescent="0.25">
      <c r="A15" s="6" t="s">
        <v>21</v>
      </c>
      <c r="B15" s="18"/>
    </row>
    <row r="16" spans="1:2" x14ac:dyDescent="0.25">
      <c r="A16" s="6" t="s">
        <v>24</v>
      </c>
      <c r="B16" s="18"/>
    </row>
    <row r="17" spans="1:2" x14ac:dyDescent="0.25">
      <c r="A17" s="6" t="s">
        <v>35</v>
      </c>
      <c r="B17" s="18" t="s">
        <v>2671</v>
      </c>
    </row>
    <row r="18" spans="1:2" x14ac:dyDescent="0.25">
      <c r="A18" s="6" t="s">
        <v>2672</v>
      </c>
      <c r="B18" s="18" t="s">
        <v>2673</v>
      </c>
    </row>
    <row r="19" spans="1:2" x14ac:dyDescent="0.25">
      <c r="A19" s="6" t="s">
        <v>2674</v>
      </c>
      <c r="B19" s="18" t="str">
        <f>"Tasks "&amp;DASHBOARD!B5&amp;" · done "&amp;DASHBOARD!B6&amp;" · verified "&amp;DASHBOARD!B7&amp;" · in progress "&amp;DASHBOARD!B8&amp;" · blocked "&amp;DASHBOARD!B9&amp;" · failed "&amp;DASHBOARD!B10&amp;" · P0 open "&amp;DASHBOARD!B16&amp;" · P1 open "&amp;DASHBOARD!B17</f>
        <v>Tasks 213 · done 187 · verified 187 · in progress 4 · blocked 4 · failed 0 · P0 open 8 · P1 open 7</v>
      </c>
    </row>
    <row r="20" spans="1:2" x14ac:dyDescent="0.25">
      <c r="A20" s="6" t="s">
        <v>2675</v>
      </c>
      <c r="B20" s="18" t="s">
        <v>2281</v>
      </c>
    </row>
    <row r="21" spans="1:2" x14ac:dyDescent="0.25">
      <c r="A21" s="6" t="s">
        <v>2676</v>
      </c>
      <c r="B21" s="18" t="s">
        <v>2281</v>
      </c>
    </row>
  </sheetData>
  <pageMargins left="0.75" right="0.75" top="1" bottom="1" header="0.5" footer="0.5"/>
  <pageSetup fitToHeight="0"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2677</v>
      </c>
    </row>
    <row r="2" spans="1:9" x14ac:dyDescent="0.25">
      <c r="A2" s="4" t="s">
        <v>157</v>
      </c>
    </row>
    <row r="3" spans="1:9" x14ac:dyDescent="0.25">
      <c r="A3" s="6" t="s">
        <v>2678</v>
      </c>
      <c r="B3" s="6" t="s">
        <v>1625</v>
      </c>
      <c r="C3" s="6" t="s">
        <v>2679</v>
      </c>
      <c r="D3" s="6" t="s">
        <v>2680</v>
      </c>
    </row>
    <row r="4" spans="1:9" x14ac:dyDescent="0.25">
      <c r="A4" s="7">
        <f>COUNTA(A7:A21)</f>
        <v>15</v>
      </c>
      <c r="B4" s="7">
        <f>COUNTIF(C7:C21,"PASS")</f>
        <v>13</v>
      </c>
      <c r="C4" s="7">
        <f>COUNTIF(C7:C21,"FAIL")</f>
        <v>0</v>
      </c>
      <c r="D4" s="7">
        <f>COUNTIF(C7:C21,"NOT_EVALUATED")</f>
        <v>2</v>
      </c>
    </row>
    <row r="6" spans="1:9" ht="25.5" x14ac:dyDescent="0.25">
      <c r="A6" s="10" t="s">
        <v>2681</v>
      </c>
      <c r="B6" s="10" t="s">
        <v>2682</v>
      </c>
      <c r="C6" s="10" t="s">
        <v>57</v>
      </c>
      <c r="D6" s="10" t="s">
        <v>2159</v>
      </c>
      <c r="E6" s="10" t="s">
        <v>2160</v>
      </c>
      <c r="F6" s="10" t="s">
        <v>2161</v>
      </c>
      <c r="G6" s="10" t="s">
        <v>170</v>
      </c>
      <c r="H6" s="10" t="s">
        <v>15</v>
      </c>
      <c r="I6" s="10" t="s">
        <v>178</v>
      </c>
    </row>
    <row r="7" spans="1:9" ht="51" x14ac:dyDescent="0.25">
      <c r="A7" s="15" t="s">
        <v>2683</v>
      </c>
      <c r="B7" s="18" t="s">
        <v>2684</v>
      </c>
      <c r="C7" s="12" t="s">
        <v>1625</v>
      </c>
      <c r="D7" s="18" t="s">
        <v>2685</v>
      </c>
      <c r="E7" s="16">
        <f>SUMPRODUCT(ISNUMBER(SEARCH(","&amp;MASTER!$A$2:$A$2000&amp;",",","&amp;SUBSTITUTE($D7," ","")&amp;","))*((MASTER!$G$2:$G$2000="DONE")))</f>
        <v>3</v>
      </c>
      <c r="F7" s="16">
        <f t="shared" ref="F7:F21" si="0">IF(LEN(SUBSTITUTE($D7," ",""))=0,0,LEN(SUBSTITUTE($D7," ",""))-LEN(SUBSTITUTE(SUBSTITUTE($D7," ",""),",",""))+1)</f>
        <v>3</v>
      </c>
      <c r="G7" s="18" t="s">
        <v>2686</v>
      </c>
      <c r="H7" s="19">
        <v>46302.367951388893</v>
      </c>
      <c r="I7" s="18"/>
    </row>
    <row r="8" spans="1:9" ht="38.25" x14ac:dyDescent="0.25">
      <c r="A8" s="15" t="s">
        <v>2687</v>
      </c>
      <c r="B8" s="18" t="s">
        <v>2688</v>
      </c>
      <c r="C8" s="12" t="s">
        <v>1625</v>
      </c>
      <c r="D8" s="18" t="s">
        <v>864</v>
      </c>
      <c r="E8" s="16">
        <f>SUMPRODUCT(ISNUMBER(SEARCH(","&amp;MASTER!$A$2:$A$2000&amp;",",","&amp;SUBSTITUTE($D8," ","")&amp;","))*((MASTER!$G$2:$G$2000="DONE")))</f>
        <v>1</v>
      </c>
      <c r="F8" s="16">
        <f t="shared" si="0"/>
        <v>1</v>
      </c>
      <c r="G8" s="18" t="s">
        <v>2689</v>
      </c>
      <c r="H8" s="19">
        <v>46302.368009259262</v>
      </c>
      <c r="I8" s="18"/>
    </row>
    <row r="9" spans="1:9" ht="63.75" x14ac:dyDescent="0.25">
      <c r="A9" s="15" t="s">
        <v>2690</v>
      </c>
      <c r="B9" s="18" t="s">
        <v>2691</v>
      </c>
      <c r="C9" s="12" t="s">
        <v>1625</v>
      </c>
      <c r="D9" s="18" t="s">
        <v>2692</v>
      </c>
      <c r="E9" s="16">
        <f>SUMPRODUCT(ISNUMBER(SEARCH(","&amp;MASTER!$A$2:$A$2000&amp;",",","&amp;SUBSTITUTE($D9," ","")&amp;","))*((MASTER!$G$2:$G$2000="DONE")))</f>
        <v>2</v>
      </c>
      <c r="F9" s="16">
        <f t="shared" si="0"/>
        <v>2</v>
      </c>
      <c r="G9" s="18" t="s">
        <v>2693</v>
      </c>
      <c r="H9" s="19">
        <v>46302.368055555547</v>
      </c>
      <c r="I9" s="18"/>
    </row>
    <row r="10" spans="1:9" ht="63.75" x14ac:dyDescent="0.25">
      <c r="A10" s="15" t="s">
        <v>2694</v>
      </c>
      <c r="B10" s="18" t="s">
        <v>2695</v>
      </c>
      <c r="C10" s="12" t="s">
        <v>2680</v>
      </c>
      <c r="D10" s="18" t="s">
        <v>1004</v>
      </c>
      <c r="E10" s="16">
        <f>SUMPRODUCT(ISNUMBER(SEARCH(","&amp;MASTER!$A$2:$A$2000&amp;",",","&amp;SUBSTITUTE($D10," ","")&amp;","))*((MASTER!$G$2:$G$2000="DONE")))</f>
        <v>1</v>
      </c>
      <c r="F10" s="16">
        <f t="shared" si="0"/>
        <v>1</v>
      </c>
      <c r="G10" s="18"/>
      <c r="H10" s="19">
        <v>46302.368101851847</v>
      </c>
      <c r="I10" s="18" t="s">
        <v>2696</v>
      </c>
    </row>
    <row r="11" spans="1:9" ht="51" x14ac:dyDescent="0.25">
      <c r="A11" s="15" t="s">
        <v>2697</v>
      </c>
      <c r="B11" s="18" t="s">
        <v>2698</v>
      </c>
      <c r="C11" s="12" t="s">
        <v>1625</v>
      </c>
      <c r="D11" s="18" t="s">
        <v>2699</v>
      </c>
      <c r="E11" s="16">
        <f>SUMPRODUCT(ISNUMBER(SEARCH(","&amp;MASTER!$A$2:$A$2000&amp;",",","&amp;SUBSTITUTE($D11," ","")&amp;","))*((MASTER!$G$2:$G$2000="DONE")))</f>
        <v>3</v>
      </c>
      <c r="F11" s="16">
        <f t="shared" si="0"/>
        <v>3</v>
      </c>
      <c r="G11" s="18" t="s">
        <v>2700</v>
      </c>
      <c r="H11" s="19">
        <v>46302.368148148147</v>
      </c>
      <c r="I11" s="18"/>
    </row>
    <row r="12" spans="1:9" ht="51" x14ac:dyDescent="0.25">
      <c r="A12" s="15" t="s">
        <v>2701</v>
      </c>
      <c r="B12" s="18" t="s">
        <v>2702</v>
      </c>
      <c r="C12" s="12" t="s">
        <v>1625</v>
      </c>
      <c r="D12" s="18" t="s">
        <v>737</v>
      </c>
      <c r="E12" s="16">
        <f>SUMPRODUCT(ISNUMBER(SEARCH(","&amp;MASTER!$A$2:$A$2000&amp;",",","&amp;SUBSTITUTE($D12," ","")&amp;","))*((MASTER!$G$2:$G$2000="DONE")))</f>
        <v>1</v>
      </c>
      <c r="F12" s="16">
        <f t="shared" si="0"/>
        <v>1</v>
      </c>
      <c r="G12" s="18" t="s">
        <v>2703</v>
      </c>
      <c r="H12" s="19">
        <v>46302.368206018517</v>
      </c>
      <c r="I12" s="18"/>
    </row>
    <row r="13" spans="1:9" ht="51" x14ac:dyDescent="0.25">
      <c r="A13" s="15" t="s">
        <v>2704</v>
      </c>
      <c r="B13" s="18" t="s">
        <v>2705</v>
      </c>
      <c r="C13" s="12" t="s">
        <v>1625</v>
      </c>
      <c r="D13" s="18" t="s">
        <v>737</v>
      </c>
      <c r="E13" s="16">
        <f>SUMPRODUCT(ISNUMBER(SEARCH(","&amp;MASTER!$A$2:$A$2000&amp;",",","&amp;SUBSTITUTE($D13," ","")&amp;","))*((MASTER!$G$2:$G$2000="DONE")))</f>
        <v>1</v>
      </c>
      <c r="F13" s="16">
        <f t="shared" si="0"/>
        <v>1</v>
      </c>
      <c r="G13" s="18" t="s">
        <v>2706</v>
      </c>
      <c r="H13" s="19">
        <v>46302.368252314824</v>
      </c>
      <c r="I13" s="18"/>
    </row>
    <row r="14" spans="1:9" ht="51" x14ac:dyDescent="0.25">
      <c r="A14" s="15" t="s">
        <v>2707</v>
      </c>
      <c r="B14" s="18" t="s">
        <v>2708</v>
      </c>
      <c r="C14" s="12" t="s">
        <v>1625</v>
      </c>
      <c r="D14" s="18" t="s">
        <v>1193</v>
      </c>
      <c r="E14" s="16">
        <f>SUMPRODUCT(ISNUMBER(SEARCH(","&amp;MASTER!$A$2:$A$2000&amp;",",","&amp;SUBSTITUTE($D14," ","")&amp;","))*((MASTER!$G$2:$G$2000="DONE")))</f>
        <v>1</v>
      </c>
      <c r="F14" s="16">
        <f t="shared" si="0"/>
        <v>1</v>
      </c>
      <c r="G14" s="18" t="s">
        <v>2709</v>
      </c>
      <c r="H14" s="19">
        <v>46302.365023148152</v>
      </c>
      <c r="I14" s="18" t="s">
        <v>2710</v>
      </c>
    </row>
    <row r="15" spans="1:9" ht="51" x14ac:dyDescent="0.25">
      <c r="A15" s="15" t="s">
        <v>2711</v>
      </c>
      <c r="B15" s="18" t="s">
        <v>2712</v>
      </c>
      <c r="C15" s="12" t="s">
        <v>1625</v>
      </c>
      <c r="D15" s="18" t="s">
        <v>1066</v>
      </c>
      <c r="E15" s="16">
        <f>SUMPRODUCT(ISNUMBER(SEARCH(","&amp;MASTER!$A$2:$A$2000&amp;",",","&amp;SUBSTITUTE($D15," ","")&amp;","))*((MASTER!$G$2:$G$2000="DONE")))</f>
        <v>1</v>
      </c>
      <c r="F15" s="16">
        <f t="shared" si="0"/>
        <v>1</v>
      </c>
      <c r="G15" s="18" t="s">
        <v>2713</v>
      </c>
      <c r="H15" s="19">
        <v>46301.883796296293</v>
      </c>
      <c r="I15" s="18" t="s">
        <v>2714</v>
      </c>
    </row>
    <row r="16" spans="1:9" ht="51" x14ac:dyDescent="0.25">
      <c r="A16" s="15" t="s">
        <v>2715</v>
      </c>
      <c r="B16" s="18" t="s">
        <v>2716</v>
      </c>
      <c r="C16" s="12" t="s">
        <v>1625</v>
      </c>
      <c r="D16" s="18" t="s">
        <v>1163</v>
      </c>
      <c r="E16" s="16">
        <f>SUMPRODUCT(ISNUMBER(SEARCH(","&amp;MASTER!$A$2:$A$2000&amp;",",","&amp;SUBSTITUTE($D16," ","")&amp;","))*((MASTER!$G$2:$G$2000="DONE")))</f>
        <v>1</v>
      </c>
      <c r="F16" s="16">
        <f t="shared" si="0"/>
        <v>1</v>
      </c>
      <c r="G16" s="18" t="s">
        <v>2717</v>
      </c>
      <c r="H16" s="19">
        <v>46301.923506944448</v>
      </c>
      <c r="I16" s="18" t="s">
        <v>2718</v>
      </c>
    </row>
    <row r="17" spans="1:9" ht="51" x14ac:dyDescent="0.25">
      <c r="A17" s="15" t="s">
        <v>2719</v>
      </c>
      <c r="B17" s="18" t="s">
        <v>2720</v>
      </c>
      <c r="C17" s="12" t="s">
        <v>1625</v>
      </c>
      <c r="D17" s="18" t="s">
        <v>1151</v>
      </c>
      <c r="E17" s="16">
        <f>SUMPRODUCT(ISNUMBER(SEARCH(","&amp;MASTER!$A$2:$A$2000&amp;",",","&amp;SUBSTITUTE($D17," ","")&amp;","))*((MASTER!$G$2:$G$2000="DONE")))</f>
        <v>1</v>
      </c>
      <c r="F17" s="16">
        <f t="shared" si="0"/>
        <v>1</v>
      </c>
      <c r="G17" s="18" t="s">
        <v>2721</v>
      </c>
      <c r="H17" s="19">
        <v>46301.92355324074</v>
      </c>
      <c r="I17" s="18" t="s">
        <v>2718</v>
      </c>
    </row>
    <row r="18" spans="1:9" ht="25.5" x14ac:dyDescent="0.25">
      <c r="A18" s="15" t="s">
        <v>2722</v>
      </c>
      <c r="B18" s="18" t="s">
        <v>2723</v>
      </c>
      <c r="C18" s="12" t="s">
        <v>1625</v>
      </c>
      <c r="D18" s="18" t="s">
        <v>1349</v>
      </c>
      <c r="E18" s="16">
        <f>SUMPRODUCT(ISNUMBER(SEARCH(","&amp;MASTER!$A$2:$A$2000&amp;",",","&amp;SUBSTITUTE($D18," ","")&amp;","))*((MASTER!$G$2:$G$2000="DONE")))</f>
        <v>1</v>
      </c>
      <c r="F18" s="16">
        <f t="shared" si="0"/>
        <v>1</v>
      </c>
      <c r="G18" s="18" t="s">
        <v>2724</v>
      </c>
      <c r="H18" s="19">
        <v>46302.368298611109</v>
      </c>
      <c r="I18" s="18"/>
    </row>
    <row r="19" spans="1:9" ht="76.5" x14ac:dyDescent="0.25">
      <c r="A19" s="15" t="s">
        <v>2725</v>
      </c>
      <c r="B19" s="18" t="s">
        <v>2726</v>
      </c>
      <c r="C19" s="12" t="s">
        <v>2680</v>
      </c>
      <c r="D19" s="18" t="s">
        <v>221</v>
      </c>
      <c r="E19" s="16">
        <f>SUMPRODUCT(ISNUMBER(SEARCH(","&amp;MASTER!$A$2:$A$2000&amp;",",","&amp;SUBSTITUTE($D19," ","")&amp;","))*((MASTER!$G$2:$G$2000="DONE")))</f>
        <v>1</v>
      </c>
      <c r="F19" s="16">
        <f t="shared" si="0"/>
        <v>1</v>
      </c>
      <c r="G19" s="18"/>
      <c r="H19" s="19">
        <v>46302.368356481478</v>
      </c>
      <c r="I19" s="18" t="s">
        <v>2727</v>
      </c>
    </row>
    <row r="20" spans="1:9" ht="51" x14ac:dyDescent="0.25">
      <c r="A20" s="15" t="s">
        <v>2728</v>
      </c>
      <c r="B20" s="18" t="s">
        <v>2729</v>
      </c>
      <c r="C20" s="12" t="s">
        <v>1625</v>
      </c>
      <c r="D20" s="18" t="s">
        <v>2730</v>
      </c>
      <c r="E20" s="16">
        <f>SUMPRODUCT(ISNUMBER(SEARCH(","&amp;MASTER!$A$2:$A$2000&amp;",",","&amp;SUBSTITUTE($D20," ","")&amp;","))*((MASTER!$G$2:$G$2000="DONE")))</f>
        <v>2</v>
      </c>
      <c r="F20" s="16">
        <f t="shared" si="0"/>
        <v>2</v>
      </c>
      <c r="G20" s="18" t="s">
        <v>2731</v>
      </c>
      <c r="H20" s="19">
        <v>46302.368402777778</v>
      </c>
      <c r="I20" s="18"/>
    </row>
    <row r="21" spans="1:9" ht="38.25" x14ac:dyDescent="0.25">
      <c r="A21" s="15" t="s">
        <v>2732</v>
      </c>
      <c r="B21" s="18" t="s">
        <v>2733</v>
      </c>
      <c r="C21" s="12" t="s">
        <v>1625</v>
      </c>
      <c r="D21" s="18" t="s">
        <v>1319</v>
      </c>
      <c r="E21" s="16">
        <f>SUMPRODUCT(ISNUMBER(SEARCH(","&amp;MASTER!$A$2:$A$2000&amp;",",","&amp;SUBSTITUTE($D21," ","")&amp;","))*((MASTER!$G$2:$G$2000="DONE")))</f>
        <v>1</v>
      </c>
      <c r="F21" s="16">
        <f t="shared" si="0"/>
        <v>1</v>
      </c>
      <c r="G21" s="18" t="s">
        <v>2734</v>
      </c>
      <c r="H21" s="19">
        <v>46302.368449074071</v>
      </c>
      <c r="I21" s="18" t="s">
        <v>2735</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4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FIRST_RELEASE</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2026-10-13T11:19:25Z</dcterms:modified>
</cp:coreProperties>
</file>

<file path=docProps/custom.xml><?xml version="1.0" encoding="utf-8"?>
<Properties xmlns="http://schemas.openxmlformats.org/officeDocument/2006/custom-properties" xmlns:vt="http://schemas.openxmlformats.org/officeDocument/2006/docPropsVTypes"/>
</file>