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peed\Desktop\Claude - ПРОЕКТ\docs\"/>
    </mc:Choice>
  </mc:AlternateContent>
  <xr:revisionPtr revIDLastSave="0" documentId="13_ncr:1_{1C9552D2-8908-442D-B2E5-90878C50EA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Roadmap" sheetId="2" r:id="rId2"/>
    <sheet name="Tasks" sheetId="3" r:id="rId3"/>
    <sheet name="Bugs" sheetId="4" r:id="rId4"/>
    <sheet name="Tests" sheetId="5" r:id="rId5"/>
    <sheet name="Decisions" sheetId="6" r:id="rId6"/>
    <sheet name="Release Readiness" sheetId="7" r:id="rId7"/>
  </sheets>
  <definedNames>
    <definedName name="_xlnm._FilterDatabase" localSheetId="3" hidden="1">Bugs!$A$1:$H$6</definedName>
    <definedName name="_xlnm._FilterDatabase" localSheetId="5" hidden="1">Decisions!$A$1:$F$12</definedName>
    <definedName name="_xlnm._FilterDatabase" localSheetId="6" hidden="1">'Release Readiness'!$A$1:$E$7</definedName>
    <definedName name="_xlnm._FilterDatabase" localSheetId="1" hidden="1">Roadmap!$A$1:$F$10</definedName>
    <definedName name="_xlnm._FilterDatabase" localSheetId="2" hidden="1">Tasks!$A$1:$P$19</definedName>
    <definedName name="_xlnm._FilterDatabase" localSheetId="4" hidden="1">Tests!$A$1:$G$13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C12" i="1" s="1"/>
  <c r="B5" i="1"/>
  <c r="B12" i="1" s="1"/>
  <c r="B13" i="1" l="1"/>
</calcChain>
</file>

<file path=xl/sharedStrings.xml><?xml version="1.0" encoding="utf-8"?>
<sst xmlns="http://schemas.openxmlformats.org/spreadsheetml/2006/main" count="594" uniqueCount="361">
  <si>
    <t>SmartDoc 2.0 -- master tracker</t>
  </si>
  <si>
    <t>Branch feature/smartdoc-2.0 · source docs/SMARTDOC_2_0_TRACKER.json · updated 2026-10-14</t>
  </si>
  <si>
    <t>Status</t>
  </si>
  <si>
    <t>Tasks</t>
  </si>
  <si>
    <t>Roadmap milestones</t>
  </si>
  <si>
    <t>BACKLOG</t>
  </si>
  <si>
    <t>READY</t>
  </si>
  <si>
    <t>IN_PROGRESS</t>
  </si>
  <si>
    <t>BLOCKED</t>
  </si>
  <si>
    <t>TESTING</t>
  </si>
  <si>
    <t>VERIFIED</t>
  </si>
  <si>
    <t>DONE</t>
  </si>
  <si>
    <t>Total</t>
  </si>
  <si>
    <t>Tasks done or verified</t>
  </si>
  <si>
    <t>Open P0 tasks</t>
  </si>
  <si>
    <t>Open bugs</t>
  </si>
  <si>
    <t>Statuses: BACKLOG, READY, IN_PROGRESS, BLOCKED, TESTING, VERIFIED, DONE. Edit the JSON source and rebuild.</t>
  </si>
  <si>
    <t>Phase</t>
  </si>
  <si>
    <t>Milestone</t>
  </si>
  <si>
    <t>Objective</t>
  </si>
  <si>
    <t>Dependencies</t>
  </si>
  <si>
    <t>Target outcome</t>
  </si>
  <si>
    <t>P0</t>
  </si>
  <si>
    <t>Audit, baseline, branch, tracker</t>
  </si>
  <si>
    <t>Know the real state; plan; isolate 2.0</t>
  </si>
  <si>
    <t>Spec, decisions, tracker, branch, first milestone defined</t>
  </si>
  <si>
    <t>P1</t>
  </si>
  <si>
    <t>Design system and app shell</t>
  </si>
  <si>
    <t>Tokens, typography, primitives, states, responsive shell</t>
  </si>
  <si>
    <t>Every screen built from shared tokens and primitives</t>
  </si>
  <si>
    <t>P2</t>
  </si>
  <si>
    <t>Auth UI, Dashboard, New Project</t>
  </si>
  <si>
    <t>Approved screens 1-3 on existing auth and data</t>
  </si>
  <si>
    <t>Sign in/up, project gallery, project-type chooser</t>
  </si>
  <si>
    <t>P3</t>
  </si>
  <si>
    <t>Document creation workflow</t>
  </si>
  <si>
    <t>Add content -&gt; analyze -&gt; review structure -&gt; style -&gt; editor</t>
  </si>
  <si>
    <t>Screens 4-6 on the existing import/format backend</t>
  </si>
  <si>
    <t>P4</t>
  </si>
  <si>
    <t>Editor foundations</t>
  </si>
  <si>
    <t>New editor layout, selection model, contextual toolbar, properties, autosave</t>
  </si>
  <si>
    <t>Screen 7 for Document Mode</t>
  </si>
  <si>
    <t>P5</t>
  </si>
  <si>
    <t>Free Design foundations</t>
  </si>
  <si>
    <t>Canvas kind, elements, drag/resize, layers, alignment, sizes</t>
  </si>
  <si>
    <t>Editable canvas projects saved and exported</t>
  </si>
  <si>
    <t>P6</t>
  </si>
  <si>
    <t>Templates and AI design assistance</t>
  </si>
  <si>
    <t>Template library for both kinds; AI proposals with approval</t>
  </si>
  <si>
    <t>P4, P5</t>
  </si>
  <si>
    <t>Editable templates; approve/reject AI changes</t>
  </si>
  <si>
    <t>P7</t>
  </si>
  <si>
    <t>Translation</t>
  </si>
  <si>
    <t>Translate panel; segment pipeline; review; save as new; overflow warnings</t>
  </si>
  <si>
    <t>Structure-preserving translation with review</t>
  </si>
  <si>
    <t>P8</t>
  </si>
  <si>
    <t>Integration, hardening, release readiness</t>
  </si>
  <si>
    <t>Regression, security, a11y, responsive, compatibility with 1.x data</t>
  </si>
  <si>
    <t>P2-P7</t>
  </si>
  <si>
    <t>An approvable release candidate</t>
  </si>
  <si>
    <t>Task ID</t>
  </si>
  <si>
    <t>Category</t>
  </si>
  <si>
    <t>Title</t>
  </si>
  <si>
    <t>Description</t>
  </si>
  <si>
    <t>Priority</t>
  </si>
  <si>
    <t>Acceptance criteria</t>
  </si>
  <si>
    <t>Owner</t>
  </si>
  <si>
    <t>Branch</t>
  </si>
  <si>
    <t>Commit</t>
  </si>
  <si>
    <t>Preview deployment</t>
  </si>
  <si>
    <t>Test result</t>
  </si>
  <si>
    <t>Last updated</t>
  </si>
  <si>
    <t>Notes</t>
  </si>
  <si>
    <t>S2-001</t>
  </si>
  <si>
    <t>PROCESS</t>
  </si>
  <si>
    <t>Audit repository, deployment and trackers</t>
  </si>
  <si>
    <t>Git state, branches, Vercel project and deployments, 1.x tracker and docs, frontend/editor inventory.</t>
  </si>
  <si>
    <t>Baseline recorded in SMARTDOC_2_0_SPEC.md section 2</t>
  </si>
  <si>
    <t>Claude</t>
  </si>
  <si>
    <t>feature/smartdoc-2.0</t>
  </si>
  <si>
    <t>n/a (audit)</t>
  </si>
  <si>
    <t>2026-10-14</t>
  </si>
  <si>
    <t>HEAD 327e22e; production dpl_HxSobnp5... (4c8fdca); candidate dpl_322ED... (f644146) awaiting promote approval</t>
  </si>
  <si>
    <t>S2-002</t>
  </si>
  <si>
    <t>Create the SmartDoc 2.0 branch</t>
  </si>
  <si>
    <t>feature/smartdoc-2.0 from 327e22e, pushed; Preview builds from it.</t>
  </si>
  <si>
    <t>Branch on origin; a READY preview of it</t>
  </si>
  <si>
    <t>937d11a</t>
  </si>
  <si>
    <t>dpl_Bb5PUC2q963bMZmhGaz3bfb44Rb6 (READY); branch alias smartdoc-git-feature-smartdoc-20-drajeto.vercel.app</t>
  </si>
  <si>
    <t>Preview READY</t>
  </si>
  <si>
    <t>Branch alias always serves the newest preview of feature/smartdoc-2.0 (behind Vercel Authentication)</t>
  </si>
  <si>
    <t>S2-003</t>
  </si>
  <si>
    <t>Specification, decisions, roadmap, session state</t>
  </si>
  <si>
    <t>SMARTDOC_2_0_SPEC/DECISIONS/ROADMAP/PROGRESS/SESSION_STATE.md</t>
  </si>
  <si>
    <t>Files committed; next session can resume from them</t>
  </si>
  <si>
    <t>n/a (docs)</t>
  </si>
  <si>
    <t>S2-004</t>
  </si>
  <si>
    <t>Excel master tracker and its builder</t>
  </si>
  <si>
    <t>JSON source + tools/smartdoc2/build_tracker.py -&gt; formatted xlsx (filters, frozen headers, conditional formatting, summary formulas).</t>
  </si>
  <si>
    <t>xlsx builds and recalculates with 0 formula errors</t>
  </si>
  <si>
    <t>Builder + Excel recalc: 19 formulas, 0 errors; summary values checked</t>
  </si>
  <si>
    <t>tools/tracker/excel_recalc.py now recalculates any workbook; 1.x value checks only on the 1.x tracker</t>
  </si>
  <si>
    <t>S2-010</t>
  </si>
  <si>
    <t>DESIGN</t>
  </si>
  <si>
    <t>Design tokens and Inter font</t>
  </si>
  <si>
    <t>Colour, radius, shadow, spacing tokens in globals.css @theme; Inter (Latin + Cyrillic) via next/font; light theme first.</t>
  </si>
  <si>
    <t>Tokens used by the new primitives; build passes; Cyrillic renders in Inter</t>
  </si>
  <si>
    <t>eb69d40</t>
  </si>
  <si>
    <t>dpl_4KbNxArvRLBNuJARviMwh5Mj8bys (READY)</t>
  </si>
  <si>
    <t>tsc, eslint, next build; Playwright visual spec unchanged (editor fonts untouched); Cyrillic seen in Inter locally</t>
  </si>
  <si>
    <t>S2-011</t>
  </si>
  <si>
    <t>UI primitives</t>
  </si>
  <si>
    <t>components/ui: Button (primary/secondary/ghost/danger, sizes, loading), TextField (label, hint, error), Card, Logo, Spinner, EmptyState, ErrorState.</t>
  </si>
  <si>
    <t>Unit tests for states and accessibility (labels, aria-invalid, focus)</t>
  </si>
  <si>
    <t>ui.test.tsx 7 passed; Vitest 374</t>
  </si>
  <si>
    <t>S2-012</t>
  </si>
  <si>
    <t>UI</t>
  </si>
  <si>
    <t>Login / Registration screen (screen 1)</t>
  </si>
  <si>
    <t>Split layout: brand panel + form card; sign in / create account; validation and server errors; no social login, no reset promise while e-mail is off; existing auth API and session cookie unchanged.</t>
  </si>
  <si>
    <t>Existing AuthForm tests and Playwright auth specs pass; seen in the browser on a throwaway local server; preview builds</t>
  </si>
  <si>
    <t>Playwright auth/visual/CSP/documents 17 passed; local browser: sign in, create account, wrong-password message, 375 px</t>
  </si>
  <si>
    <t>Also forgot/reset password and address confirmation pages on the same layout. Owner's look at the preview pending.</t>
  </si>
  <si>
    <t>S2-013</t>
  </si>
  <si>
    <t>Application shell</t>
  </si>
  <si>
    <t>Top bar + left navigation (Home, Projects, Templates, Settings) + content area, responsive (drawer under md).</t>
  </si>
  <si>
    <t>All signed-in pages render inside it; keyboard navigation; 375 px works</t>
  </si>
  <si>
    <t>1003d53</t>
  </si>
  <si>
    <t>dpl_47bxa2UQMU5Q52ceD4T2uDAWUVrn (READY, 1003d53)</t>
  </si>
  <si>
    <t>AppShell.test.tsx 4; Vitest 378; Playwright full 57 + accessibility/auth 11 after fixes; local browser 1280 px and 375 px (drawer, Escape, no horizontal overflow)</t>
  </si>
  <si>
    <t>Editor, compare, create wizard and public page keep AppHeader (restyled) until their own milestones</t>
  </si>
  <si>
    <t>S2-014</t>
  </si>
  <si>
    <t>Dashboard (screen 2)</t>
  </si>
  <si>
    <t>Create Project, recent projects gallery with thumbnails, search, type/last-edited, templates and AI entry, empty/loading/error states.</t>
  </si>
  <si>
    <t>Existing documents listed; search works; states tested</t>
  </si>
  <si>
    <t>9ed36a6</t>
  </si>
  <si>
    <t>dpl_2rXqkcjNs6Ev8c5ngf3BcFXfornz (READY, 9ed36a6)</t>
  </si>
  <si>
    <t>Dashboard.test.tsx 7 (gallery, search debounce, empty/no-match/error/loading, describe -&gt; New Project, Bulgarian); e2e: empty dashboard -&gt; New Project, search by title; local browser EN/BG 1280 px</t>
  </si>
  <si>
    <t>Thumbnails are a drawn page (real first-page previews: S2-018). Search uses the existing /documents?q=.</t>
  </si>
  <si>
    <t>S2-015</t>
  </si>
  <si>
    <t>New Project (screen 3)</t>
  </si>
  <si>
    <t>Project-type chooser + 'Describe what you want to create...' input; routes Document types to Add Content, Free Design types to canvas size choice.</t>
  </si>
  <si>
    <t>Each type leads somewhere real; nothing pretends to work</t>
  </si>
  <si>
    <t>NewProject.test.tsx 18 (keyword suggestions EN/BG, whole-word short keys, real hrefs, canvas types disabled, description from the dashboard, Bulgarian); e2e: suggestion + Document -&gt; /new; signed-out redirect</t>
  </si>
  <si>
    <t>/projects/new; types without a flow are labelled Coming soon (canvas: P5). Suggestion is a keyword match and says so (not AI).</t>
  </si>
  <si>
    <t>S2-020</t>
  </si>
  <si>
    <t>Add Content / Structure Review / Style screens (4-6)</t>
  </si>
  <si>
    <t>Rebuild the create wizard as the approved 3-step flow on the existing import + structure + format APIs; structure review edits (rename, level, reorder, reclassify).</t>
  </si>
  <si>
    <t>TXT/DOCX/PDF/paste reach the editor through review; original content preserved</t>
  </si>
  <si>
    <t>Structure review editing may need a backend endpoint (additive)</t>
  </si>
  <si>
    <t>S2-030</t>
  </si>
  <si>
    <t>EDITOR</t>
  </si>
  <si>
    <t>Editor layout v2 (screen 7, Document Mode)</t>
  </si>
  <si>
    <t>Left (outline/pages/elements), center canvas, top contextual toolbar, right properties, collapsible AI panel; reuses the existing Tiptap editor modules.</t>
  </si>
  <si>
    <t>Existing editor tests and Playwright editor specs pass</t>
  </si>
  <si>
    <t>S2-040</t>
  </si>
  <si>
    <t>Canvas document kind and model</t>
  </si>
  <si>
    <t>kind=canvas in documents.data with schema_version; adapter: old documents = flow; validation on the backend.</t>
  </si>
  <si>
    <t>Round-trip tests; old documents unaffected; no schema migration</t>
  </si>
  <si>
    <t>D-004, D-006</t>
  </si>
  <si>
    <t>S2-060</t>
  </si>
  <si>
    <t>AI</t>
  </si>
  <si>
    <t>AI proposal framework</t>
  </si>
  <si>
    <t>Proposal = patch against a revision; preview/diff; accept -&gt; revision; reject -&gt; nothing.</t>
  </si>
  <si>
    <t>Rejecting leaves the saved document byte-identical (test)</t>
  </si>
  <si>
    <t>D-008</t>
  </si>
  <si>
    <t>S2-070</t>
  </si>
  <si>
    <t>TRANSLATION</t>
  </si>
  <si>
    <t>Translate panel and review</t>
  </si>
  <si>
    <t>Scope (selection/element/page/document), languages (auto-detect, BG/EN first), preview, side-by-side compare, save as new.</t>
  </si>
  <si>
    <t>DOCX fidelity tests on representative documents; overflow warnings</t>
  </si>
  <si>
    <t>Provider: D-007</t>
  </si>
  <si>
    <t>S2-016</t>
  </si>
  <si>
    <t>I18N</t>
  </si>
  <si>
    <t>Bulgarian / English interface (D-010)</t>
  </si>
  <si>
    <t>Typed dictionaries (en source, bg checked), cookie smartdoc_locale (1 year), first visit from Accept-Language (bg -&gt; BG, else EN), switch in Settings and on sign-in pages, &lt;html lang&gt;, Intl relative times; independent of document language and Translate.</t>
  </si>
  <si>
    <t>Both languages render; choice persists across reloads; parity of keys and placeholders tested</t>
  </si>
  <si>
    <t>i18n.test.tsx 19 (negotiation, cookie precedence, key/placeholder parity, switch + cookie + refresh, fallback); e2e: bg-BG browser starts in BG, switch to EN survives reload, Settings switch survives reload</t>
  </si>
  <si>
    <t>Preference per browser (cookie), not per account: an account-level setting would need a schema change (D-004).</t>
  </si>
  <si>
    <t>S2-017</t>
  </si>
  <si>
    <t>Move the remaining 1.x screens onto the dictionaries</t>
  </si>
  <si>
    <t>Editor, create wizard, templates, documents list, billing, account settings content, compare, password reset forms: their English strings into en/bg.</t>
  </si>
  <si>
    <t>No hard-coded interface English left in those screens (a grep test); both languages rendered in their tests</t>
  </si>
  <si>
    <t>Until then those screens show English in Bulgarian mode.</t>
  </si>
  <si>
    <t>S2-018</t>
  </si>
  <si>
    <t>Real project thumbnails</t>
  </si>
  <si>
    <t>A small rendering of a project's first page for the gallery (generated on save or on demand, stored as an asset).</t>
  </si>
  <si>
    <t>Cards show the real first page; no cost on every list request</t>
  </si>
  <si>
    <t>Needs a storage decision (assets) -- additive, no schema change if kept as an asset of the document.</t>
  </si>
  <si>
    <t>Bug ID</t>
  </si>
  <si>
    <t>Severity</t>
  </si>
  <si>
    <t>Reproduction steps</t>
  </si>
  <si>
    <t>Expected result</t>
  </si>
  <si>
    <t>Actual result</t>
  </si>
  <si>
    <t>Fix commit</t>
  </si>
  <si>
    <t>Verification</t>
  </si>
  <si>
    <t>B-001</t>
  </si>
  <si>
    <t>High</t>
  </si>
  <si>
    <t>Production (4c8fdca): upload a DOCX with a picture; wait &gt; 5 min idle; reopen</t>
  </si>
  <si>
    <t>Picture shown</t>
  </si>
  <si>
    <t>Production stores files on the container's disk until the promote with STORAGE_BACKEND=s3 (settings added 2026-10-13, not yet deployed)</t>
  </si>
  <si>
    <t>a07ebd3 / promote of f644146</t>
  </si>
  <si>
    <t>Verified on Preview (REL-005); production needs the approved promote</t>
  </si>
  <si>
    <t>B-002</t>
  </si>
  <si>
    <t>Low</t>
  </si>
  <si>
    <t>Open a document created on Production before the S3 settings, with pictures</t>
  </si>
  <si>
    <t>Pictures shown</t>
  </si>
  <si>
    <t>Pictures were on a replaced instance's disk: missing</t>
  </si>
  <si>
    <t>Not fixable retroactively; owner decided to keep the data (REL-020)</t>
  </si>
  <si>
    <t>B-003</t>
  </si>
  <si>
    <t>Phone width, open the menu drawer</t>
  </si>
  <si>
    <t>Logo mark in its blue-purple gradient</t>
  </si>
  <si>
    <t>Mark colourless: every logo copy used the same SVG gradient id; the first copy (hidden sidebar) defined it</t>
  </si>
  <si>
    <t>1003d53 (gradient in CSS)</t>
  </si>
  <si>
    <t>Seen in the local browser after reload</t>
  </si>
  <si>
    <t>B-004</t>
  </si>
  <si>
    <t>Medium</t>
  </si>
  <si>
    <t>Open Projects, Templates or Plan and billing inside the new shell; run axe</t>
  </si>
  <si>
    <t>No serious violations</t>
  </si>
  <si>
    <t>Grey zinc-500 text under 4.5:1 on the shell background</t>
  </si>
  <si>
    <t>1003d53 (text-muted token)</t>
  </si>
  <si>
    <t>Playwright accessibility spec passes</t>
  </si>
  <si>
    <t>B-005</t>
  </si>
  <si>
    <t>Local (SQLite) API: create a project, look at the dashboard from Sofia (UTC+3)</t>
  </si>
  <si>
    <t>Edited just now</t>
  </si>
  <si>
    <t>Edited 3 hours ago: a time without a zone was read as local time</t>
  </si>
  <si>
    <t>9ed36a6 (parseServerTime: no zone = UTC; also lib/format.ts)</t>
  </si>
  <si>
    <t>i18n.test.tsx case; seen in the local browser</t>
  </si>
  <si>
    <t>Test ID</t>
  </si>
  <si>
    <t>Area</t>
  </si>
  <si>
    <t>Scenario</t>
  </si>
  <si>
    <t>Environment</t>
  </si>
  <si>
    <t>Result</t>
  </si>
  <si>
    <t>Evidence</t>
  </si>
  <si>
    <t>Date</t>
  </si>
  <si>
    <t>T-001</t>
  </si>
  <si>
    <t>Backend</t>
  </si>
  <si>
    <t>Full pytest suite</t>
  </si>
  <si>
    <t>Local</t>
  </si>
  <si>
    <t>PASS 2599 / 11 skipped</t>
  </si>
  <si>
    <t>1.x tracker RUN-0309 (b5f8142)</t>
  </si>
  <si>
    <t>2026-10-13</t>
  </si>
  <si>
    <t>T-002</t>
  </si>
  <si>
    <t>Frontend</t>
  </si>
  <si>
    <t>Vitest</t>
  </si>
  <si>
    <t>PASS 368</t>
  </si>
  <si>
    <t>RUN-0306</t>
  </si>
  <si>
    <t>T-003</t>
  </si>
  <si>
    <t>E2E</t>
  </si>
  <si>
    <t>Playwright Chromium (production build, throwaway API)</t>
  </si>
  <si>
    <t>PASS 59 / 1 skipped</t>
  </si>
  <si>
    <t>RUN-0307</t>
  </si>
  <si>
    <t>T-004</t>
  </si>
  <si>
    <t>Storage</t>
  </si>
  <si>
    <t>TXT, DOCX with picture, export, reopen after idle</t>
  </si>
  <si>
    <t>Preview 3302c48</t>
  </si>
  <si>
    <t>PASS</t>
  </si>
  <si>
    <t>Owner's browser test + Supabase storage logs</t>
  </si>
  <si>
    <t>T-005</t>
  </si>
  <si>
    <t>Vitest full</t>
  </si>
  <si>
    <t>PASS 378</t>
  </si>
  <si>
    <t>T-006</t>
  </si>
  <si>
    <t>Playwright full (Chromium, production build)</t>
  </si>
  <si>
    <t>57 passed, 2 failed -&gt; fixed; accessibility + auth 11 passed</t>
  </si>
  <si>
    <t>T-007</t>
  </si>
  <si>
    <t>Sign in / create account / error / 375 px; shell 1280 + 375 px, drawer</t>
  </si>
  <si>
    <t>Local throwaway servers</t>
  </si>
  <si>
    <t>Browser pane screenshots</t>
  </si>
  <si>
    <t>T-008</t>
  </si>
  <si>
    <t>Deploy</t>
  </si>
  <si>
    <t>2.0 preview builds</t>
  </si>
  <si>
    <t>Vercel Preview</t>
  </si>
  <si>
    <t>READY: 937d11a, eb69d40</t>
  </si>
  <si>
    <t>dpl_Bb5P..., dpl_4KbN...</t>
  </si>
  <si>
    <t>T-009</t>
  </si>
  <si>
    <t>PASS 422</t>
  </si>
  <si>
    <t>T-010</t>
  </si>
  <si>
    <t>Playwright full incl. smartdoc2.spec.ts (5 new)</t>
  </si>
  <si>
    <t>Local (production build)</t>
  </si>
  <si>
    <t>PASS 64 / 1 skipped</t>
  </si>
  <si>
    <t>T-011</t>
  </si>
  <si>
    <t>Dashboard + New Project in English and Bulgarian, 1280 px; language switch from Settings</t>
  </si>
  <si>
    <t>PASS (2 layout issues + time-zone bug found and fixed)</t>
  </si>
  <si>
    <t>T-012</t>
  </si>
  <si>
    <t>READY: 1003d53, 9ed36a6</t>
  </si>
  <si>
    <t>dpl_47bx..., dpl_2rXq...</t>
  </si>
  <si>
    <t>Decision ID</t>
  </si>
  <si>
    <t>Topic</t>
  </si>
  <si>
    <t>Approved decision</t>
  </si>
  <si>
    <t>Impact</t>
  </si>
  <si>
    <t>Related tasks</t>
  </si>
  <si>
    <t>D-001</t>
  </si>
  <si>
    <t>feature/smartdoc-2.0 from 327e22e</t>
  </si>
  <si>
    <t>All 2.0 work</t>
  </si>
  <si>
    <t>D-002</t>
  </si>
  <si>
    <t>Isolation</t>
  </si>
  <si>
    <t>Branch + its own Preview; Production unchanged without approval</t>
  </si>
  <si>
    <t>Releases</t>
  </si>
  <si>
    <t>D-003</t>
  </si>
  <si>
    <t>Visual direction</t>
  </si>
  <si>
    <t>Approved Canva-inspired original design system; seven screens</t>
  </si>
  <si>
    <t>P1-P6</t>
  </si>
  <si>
    <t>S2-010..S2-030</t>
  </si>
  <si>
    <t>D-004</t>
  </si>
  <si>
    <t>Data safety</t>
  </si>
  <si>
    <t>Preview shares the production DB/bucket: no schema change or destructive operation without approval; new models in JSONB with kind+schema_version</t>
  </si>
  <si>
    <t>P3-P7</t>
  </si>
  <si>
    <t>D-005</t>
  </si>
  <si>
    <t>Font</t>
  </si>
  <si>
    <t>Inter (Latin + Cyrillic) via next/font</t>
  </si>
  <si>
    <t>D-006</t>
  </si>
  <si>
    <t>Document vs Free Design</t>
  </si>
  <si>
    <t>Two kinds (flow, canvas) in one store; paragraphs never free boxes</t>
  </si>
  <si>
    <t>P4-P5, P7</t>
  </si>
  <si>
    <t>D-007</t>
  </si>
  <si>
    <t>AI / translation providers</t>
  </si>
  <si>
    <t>Use existing adapters; paid keys/providers need approval</t>
  </si>
  <si>
    <t>P6-P7</t>
  </si>
  <si>
    <t>S2-060, S2-070</t>
  </si>
  <si>
    <t>AI approval model</t>
  </si>
  <si>
    <t>Proposal -&gt; preview -&gt; accept/reject; reject changes nothing</t>
  </si>
  <si>
    <t>D-009</t>
  </si>
  <si>
    <t>Dedicated panel; segment-level; new document by default; overflow warnings</t>
  </si>
  <si>
    <t>D-010</t>
  </si>
  <si>
    <t>UI language</t>
  </si>
  <si>
    <t>Interface in Bulgarian and English: first visit from the browser language (bg -&gt; BG, else EN); manual switch in Settings (and sign-in pages); remembered per browser (cookie, 1 year); independent of document language and Translate; centralised dictionaries; tests for both languages and persistence</t>
  </si>
  <si>
    <t>All screens</t>
  </si>
  <si>
    <t>S2-016, S2-017</t>
  </si>
  <si>
    <t>D-011</t>
  </si>
  <si>
    <t>Tracker</t>
  </si>
  <si>
    <t>JSON source + builder -&gt; SMARTDOC_2_0_MASTER_TRACKER.xlsx</t>
  </si>
  <si>
    <t>Process</t>
  </si>
  <si>
    <t>Requirement</t>
  </si>
  <si>
    <t>Preview status</t>
  </si>
  <si>
    <t>Production status</t>
  </si>
  <si>
    <t>Blocking issue</t>
  </si>
  <si>
    <t>Approval required</t>
  </si>
  <si>
    <t>1.x hardening promote (f644146) with S3 storage settings</t>
  </si>
  <si>
    <t>VERIFIED (storage, fra1)</t>
  </si>
  <si>
    <t>Settings added, not deployed</t>
  </si>
  <si>
    <t>Promote not approved</t>
  </si>
  <si>
    <t>Yes -- owner</t>
  </si>
  <si>
    <t>SENTRY_DSN in Production</t>
  </si>
  <si>
    <t>n/a</t>
  </si>
  <si>
    <t>Missing</t>
  </si>
  <si>
    <t>Owner adds it</t>
  </si>
  <si>
    <t>Owner action</t>
  </si>
  <si>
    <t>Real e-mail + password recovery</t>
  </si>
  <si>
    <t>Disabled honestly</t>
  </si>
  <si>
    <t>No sending domain</t>
  </si>
  <si>
    <t>Yes -- domain/provider</t>
  </si>
  <si>
    <t>Cross-account isolation verified live</t>
  </si>
  <si>
    <t>Local security suite passes</t>
  </si>
  <si>
    <t>Not verified live</t>
  </si>
  <si>
    <t>Owner's two-account check</t>
  </si>
  <si>
    <t>Public sign-up</t>
  </si>
  <si>
    <t>Behind Vercel Authentication</t>
  </si>
  <si>
    <t>E-mail + isolation above</t>
  </si>
  <si>
    <t>SmartDoc 2.0 release</t>
  </si>
  <si>
    <t>P1 + P2 done (design system, shell, sign-in, dashboard, new project, BG/EN)</t>
  </si>
  <si>
    <t>Not started</t>
  </si>
  <si>
    <t>Phases 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</si>
</sst>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312E81"/>
      <name val="Arial"/>
    </font>
    <font>
      <i/>
      <sz val="9"/>
      <color rgb="FF6B728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9"/>
      <color rgb="FF6B7280"/>
      <name val="Arial"/>
    </font>
  </fonts>
  <fills count="10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E5E7EB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BBF7D0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4" fillId="0" borderId="1" xfId="0" applyFont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5" fillId="0" borderId="0" xfId="0" applyFont="1"/>
    <xf numFmtId="0" fontId="4" fillId="0" borderId="0" xfId="0" applyFont="1"/>
    <xf numFmtId="9" fontId="0" fillId="0" borderId="0" xfId="0" applyNumberFormat="1"/>
    <xf numFmtId="0" fontId="6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21">
    <dxf>
      <fill>
        <patternFill patternType="solid">
          <fgColor rgb="FFBBF7D0"/>
        </patternFill>
      </fill>
    </dxf>
    <dxf>
      <fill>
        <patternFill patternType="solid">
          <fgColor rgb="FFD1FAE5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EDE9FE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E5E7EB"/>
        </patternFill>
      </fill>
    </dxf>
    <dxf>
      <fill>
        <patternFill patternType="solid">
          <fgColor rgb="FFBBF7D0"/>
        </patternFill>
      </fill>
    </dxf>
    <dxf>
      <fill>
        <patternFill patternType="solid">
          <fgColor rgb="FFD1FAE5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EDE9FE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E5E7EB"/>
        </patternFill>
      </fill>
    </dxf>
    <dxf>
      <fill>
        <patternFill patternType="solid">
          <fgColor rgb="FFBBF7D0"/>
        </patternFill>
      </fill>
    </dxf>
    <dxf>
      <fill>
        <patternFill patternType="solid">
          <fgColor rgb="FFD1FAE5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EDE9FE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E5E7E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cols>
    <col min="1" max="1" width="28" customWidth="1"/>
    <col min="2" max="2" width="12" customWidth="1"/>
    <col min="3" max="3" width="2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 t="s">
        <v>5</v>
      </c>
      <c r="B5" s="5">
        <f>COUNTIF(Tasks!$G$2:$G$19,A5)</f>
        <v>7</v>
      </c>
      <c r="C5" s="5">
        <f>COUNTIF(Roadmap!$D$2:$D$10,A5)</f>
        <v>5</v>
      </c>
    </row>
    <row r="6" spans="1:3" x14ac:dyDescent="0.25">
      <c r="A6" s="6" t="s">
        <v>6</v>
      </c>
      <c r="B6" s="5">
        <f>COUNTIF(Tasks!$G$2:$G$19,A6)</f>
        <v>0</v>
      </c>
      <c r="C6" s="5">
        <f>COUNTIF(Roadmap!$D$2:$D$10,A6)</f>
        <v>1</v>
      </c>
    </row>
    <row r="7" spans="1:3" x14ac:dyDescent="0.25">
      <c r="A7" s="7" t="s">
        <v>7</v>
      </c>
      <c r="B7" s="5">
        <f>COUNTIF(Tasks!$G$2:$G$19,A7)</f>
        <v>0</v>
      </c>
      <c r="C7" s="5">
        <f>COUNTIF(Roadmap!$D$2:$D$10,A7)</f>
        <v>0</v>
      </c>
    </row>
    <row r="8" spans="1:3" x14ac:dyDescent="0.25">
      <c r="A8" s="8" t="s">
        <v>8</v>
      </c>
      <c r="B8" s="5">
        <f>COUNTIF(Tasks!$G$2:$G$19,A8)</f>
        <v>0</v>
      </c>
      <c r="C8" s="5">
        <f>COUNTIF(Roadmap!$D$2:$D$10,A8)</f>
        <v>0</v>
      </c>
    </row>
    <row r="9" spans="1:3" x14ac:dyDescent="0.25">
      <c r="A9" s="9" t="s">
        <v>9</v>
      </c>
      <c r="B9" s="5">
        <f>COUNTIF(Tasks!$G$2:$G$19,A9)</f>
        <v>0</v>
      </c>
      <c r="C9" s="5">
        <f>COUNTIF(Roadmap!$D$2:$D$10,A9)</f>
        <v>0</v>
      </c>
    </row>
    <row r="10" spans="1:3" x14ac:dyDescent="0.25">
      <c r="A10" s="10" t="s">
        <v>10</v>
      </c>
      <c r="B10" s="5">
        <f>COUNTIF(Tasks!$G$2:$G$19,A10)</f>
        <v>7</v>
      </c>
      <c r="C10" s="5">
        <f>COUNTIF(Roadmap!$D$2:$D$10,A10)</f>
        <v>2</v>
      </c>
    </row>
    <row r="11" spans="1:3" x14ac:dyDescent="0.25">
      <c r="A11" s="11" t="s">
        <v>11</v>
      </c>
      <c r="B11" s="5">
        <f>COUNTIF(Tasks!$G$2:$G$19,A11)</f>
        <v>4</v>
      </c>
      <c r="C11" s="5">
        <f>COUNTIF(Roadmap!$D$2:$D$10,A11)</f>
        <v>1</v>
      </c>
    </row>
    <row r="12" spans="1:3" x14ac:dyDescent="0.25">
      <c r="A12" s="12" t="s">
        <v>12</v>
      </c>
      <c r="B12" s="12">
        <f>SUM(B5:B11)</f>
        <v>18</v>
      </c>
      <c r="C12" s="12">
        <f>SUM(C5:C11)</f>
        <v>9</v>
      </c>
    </row>
    <row r="13" spans="1:3" x14ac:dyDescent="0.25">
      <c r="A13" s="13" t="s">
        <v>13</v>
      </c>
      <c r="B13" s="14">
        <f>IFERROR((B11+B10)/B12,0)</f>
        <v>0.61111111111111116</v>
      </c>
    </row>
    <row r="14" spans="1:3" x14ac:dyDescent="0.25">
      <c r="A14" s="13" t="s">
        <v>14</v>
      </c>
      <c r="B14">
        <f>COUNTIFS(Tasks!$F$2:$F$19,"P0",Tasks!$G$2:$G$19,"&lt;&gt;DONE",Tasks!$G$2:$G$19,"&lt;&gt;VERIFIED")</f>
        <v>0</v>
      </c>
    </row>
    <row r="15" spans="1:3" x14ac:dyDescent="0.25">
      <c r="A15" s="13" t="s">
        <v>15</v>
      </c>
      <c r="B15">
        <f>COUNTA(Bugs!$A$2:$A$6)-COUNTIF(Bugs!$F$2:$F$6,"DONE")-COUNTIF(Bugs!$F$2:$F$6,"VERIFIED")</f>
        <v>2</v>
      </c>
    </row>
    <row r="17" spans="1:1" x14ac:dyDescent="0.25">
      <c r="A17" s="15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34" customWidth="1"/>
    <col min="3" max="3" width="50" customWidth="1"/>
    <col min="4" max="5" width="14" customWidth="1"/>
    <col min="6" max="6" width="50" customWidth="1"/>
  </cols>
  <sheetData>
    <row r="1" spans="1:6" x14ac:dyDescent="0.25">
      <c r="A1" s="16" t="s">
        <v>17</v>
      </c>
      <c r="B1" s="16" t="s">
        <v>18</v>
      </c>
      <c r="C1" s="16" t="s">
        <v>19</v>
      </c>
      <c r="D1" s="16" t="s">
        <v>2</v>
      </c>
      <c r="E1" s="16" t="s">
        <v>20</v>
      </c>
      <c r="F1" s="16" t="s">
        <v>21</v>
      </c>
    </row>
    <row r="2" spans="1:6" x14ac:dyDescent="0.25">
      <c r="A2" s="17" t="s">
        <v>22</v>
      </c>
      <c r="B2" s="17" t="s">
        <v>23</v>
      </c>
      <c r="C2" s="17" t="s">
        <v>24</v>
      </c>
      <c r="D2" s="17" t="s">
        <v>11</v>
      </c>
      <c r="E2" s="17"/>
      <c r="F2" s="17" t="s">
        <v>25</v>
      </c>
    </row>
    <row r="3" spans="1:6" x14ac:dyDescent="0.25">
      <c r="A3" s="17" t="s">
        <v>26</v>
      </c>
      <c r="B3" s="17" t="s">
        <v>27</v>
      </c>
      <c r="C3" s="17" t="s">
        <v>28</v>
      </c>
      <c r="D3" s="17" t="s">
        <v>10</v>
      </c>
      <c r="E3" s="17" t="s">
        <v>22</v>
      </c>
      <c r="F3" s="17" t="s">
        <v>29</v>
      </c>
    </row>
    <row r="4" spans="1:6" x14ac:dyDescent="0.25">
      <c r="A4" s="17" t="s">
        <v>30</v>
      </c>
      <c r="B4" s="17" t="s">
        <v>31</v>
      </c>
      <c r="C4" s="17" t="s">
        <v>32</v>
      </c>
      <c r="D4" s="17" t="s">
        <v>10</v>
      </c>
      <c r="E4" s="17" t="s">
        <v>26</v>
      </c>
      <c r="F4" s="17" t="s">
        <v>33</v>
      </c>
    </row>
    <row r="5" spans="1:6" ht="25.5" x14ac:dyDescent="0.25">
      <c r="A5" s="17" t="s">
        <v>34</v>
      </c>
      <c r="B5" s="17" t="s">
        <v>35</v>
      </c>
      <c r="C5" s="17" t="s">
        <v>36</v>
      </c>
      <c r="D5" s="17" t="s">
        <v>6</v>
      </c>
      <c r="E5" s="17" t="s">
        <v>30</v>
      </c>
      <c r="F5" s="17" t="s">
        <v>37</v>
      </c>
    </row>
    <row r="6" spans="1:6" ht="25.5" x14ac:dyDescent="0.25">
      <c r="A6" s="17" t="s">
        <v>38</v>
      </c>
      <c r="B6" s="17" t="s">
        <v>39</v>
      </c>
      <c r="C6" s="17" t="s">
        <v>40</v>
      </c>
      <c r="D6" s="17" t="s">
        <v>5</v>
      </c>
      <c r="E6" s="17" t="s">
        <v>26</v>
      </c>
      <c r="F6" s="17" t="s">
        <v>41</v>
      </c>
    </row>
    <row r="7" spans="1:6" ht="25.5" x14ac:dyDescent="0.25">
      <c r="A7" s="17" t="s">
        <v>42</v>
      </c>
      <c r="B7" s="17" t="s">
        <v>43</v>
      </c>
      <c r="C7" s="17" t="s">
        <v>44</v>
      </c>
      <c r="D7" s="17" t="s">
        <v>5</v>
      </c>
      <c r="E7" s="17" t="s">
        <v>38</v>
      </c>
      <c r="F7" s="17" t="s">
        <v>45</v>
      </c>
    </row>
    <row r="8" spans="1:6" x14ac:dyDescent="0.25">
      <c r="A8" s="17" t="s">
        <v>46</v>
      </c>
      <c r="B8" s="17" t="s">
        <v>47</v>
      </c>
      <c r="C8" s="17" t="s">
        <v>48</v>
      </c>
      <c r="D8" s="17" t="s">
        <v>5</v>
      </c>
      <c r="E8" s="17" t="s">
        <v>49</v>
      </c>
      <c r="F8" s="17" t="s">
        <v>50</v>
      </c>
    </row>
    <row r="9" spans="1:6" ht="25.5" x14ac:dyDescent="0.25">
      <c r="A9" s="17" t="s">
        <v>51</v>
      </c>
      <c r="B9" s="17" t="s">
        <v>52</v>
      </c>
      <c r="C9" s="17" t="s">
        <v>53</v>
      </c>
      <c r="D9" s="17" t="s">
        <v>5</v>
      </c>
      <c r="E9" s="17" t="s">
        <v>38</v>
      </c>
      <c r="F9" s="17" t="s">
        <v>54</v>
      </c>
    </row>
    <row r="10" spans="1:6" ht="25.5" x14ac:dyDescent="0.25">
      <c r="A10" s="17" t="s">
        <v>55</v>
      </c>
      <c r="B10" s="17" t="s">
        <v>56</v>
      </c>
      <c r="C10" s="17" t="s">
        <v>57</v>
      </c>
      <c r="D10" s="17" t="s">
        <v>5</v>
      </c>
      <c r="E10" s="17" t="s">
        <v>58</v>
      </c>
      <c r="F10" s="17" t="s">
        <v>59</v>
      </c>
    </row>
  </sheetData>
  <autoFilter ref="A1:F10" xr:uid="{00000000-0009-0000-0000-000001000000}"/>
  <conditionalFormatting sqref="D2:D10">
    <cfRule type="expression" dxfId="20" priority="1">
      <formula>$D2="BACKLOG"</formula>
    </cfRule>
    <cfRule type="expression" dxfId="19" priority="2">
      <formula>$D2="READY"</formula>
    </cfRule>
    <cfRule type="expression" dxfId="18" priority="3">
      <formula>$D2="IN_PROGRESS"</formula>
    </cfRule>
    <cfRule type="expression" dxfId="17" priority="4">
      <formula>$D2="BLOCKED"</formula>
    </cfRule>
    <cfRule type="expression" dxfId="16" priority="5">
      <formula>$D2="TESTING"</formula>
    </cfRule>
    <cfRule type="expression" dxfId="15" priority="6">
      <formula>$D2="VERIFIED"</formula>
    </cfRule>
    <cfRule type="expression" dxfId="14" priority="7">
      <formula>$D2="DONE"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" customWidth="1"/>
    <col min="2" max="2" width="7" customWidth="1"/>
    <col min="3" max="3" width="12" customWidth="1"/>
    <col min="4" max="4" width="38" customWidth="1"/>
    <col min="5" max="5" width="60" customWidth="1"/>
    <col min="6" max="6" width="8" customWidth="1"/>
    <col min="7" max="7" width="13" customWidth="1"/>
    <col min="8" max="8" width="14" customWidth="1"/>
    <col min="9" max="9" width="50" customWidth="1"/>
    <col min="10" max="10" width="9" customWidth="1"/>
    <col min="11" max="11" width="20" customWidth="1"/>
    <col min="12" max="12" width="10" customWidth="1"/>
    <col min="13" max="14" width="24" customWidth="1"/>
    <col min="15" max="15" width="12" customWidth="1"/>
    <col min="16" max="16" width="50" customWidth="1"/>
  </cols>
  <sheetData>
    <row r="1" spans="1:16" ht="25.5" x14ac:dyDescent="0.25">
      <c r="A1" s="16" t="s">
        <v>60</v>
      </c>
      <c r="B1" s="16" t="s">
        <v>17</v>
      </c>
      <c r="C1" s="16" t="s">
        <v>61</v>
      </c>
      <c r="D1" s="16" t="s">
        <v>62</v>
      </c>
      <c r="E1" s="16" t="s">
        <v>63</v>
      </c>
      <c r="F1" s="16" t="s">
        <v>64</v>
      </c>
      <c r="G1" s="16" t="s">
        <v>2</v>
      </c>
      <c r="H1" s="16" t="s">
        <v>20</v>
      </c>
      <c r="I1" s="16" t="s">
        <v>65</v>
      </c>
      <c r="J1" s="16" t="s">
        <v>66</v>
      </c>
      <c r="K1" s="16" t="s">
        <v>67</v>
      </c>
      <c r="L1" s="16" t="s">
        <v>68</v>
      </c>
      <c r="M1" s="16" t="s">
        <v>69</v>
      </c>
      <c r="N1" s="16" t="s">
        <v>70</v>
      </c>
      <c r="O1" s="16" t="s">
        <v>71</v>
      </c>
      <c r="P1" s="16" t="s">
        <v>72</v>
      </c>
    </row>
    <row r="2" spans="1:16" ht="38.25" x14ac:dyDescent="0.25">
      <c r="A2" s="17" t="s">
        <v>73</v>
      </c>
      <c r="B2" s="17" t="s">
        <v>22</v>
      </c>
      <c r="C2" s="17" t="s">
        <v>74</v>
      </c>
      <c r="D2" s="17" t="s">
        <v>75</v>
      </c>
      <c r="E2" s="17" t="s">
        <v>76</v>
      </c>
      <c r="F2" s="17" t="s">
        <v>22</v>
      </c>
      <c r="G2" s="17" t="s">
        <v>11</v>
      </c>
      <c r="H2" s="17"/>
      <c r="I2" s="17" t="s">
        <v>77</v>
      </c>
      <c r="J2" s="17" t="s">
        <v>78</v>
      </c>
      <c r="K2" s="17" t="s">
        <v>79</v>
      </c>
      <c r="L2" s="17"/>
      <c r="M2" s="17"/>
      <c r="N2" s="17" t="s">
        <v>80</v>
      </c>
      <c r="O2" s="17" t="s">
        <v>81</v>
      </c>
      <c r="P2" s="17" t="s">
        <v>82</v>
      </c>
    </row>
    <row r="3" spans="1:16" ht="63.75" x14ac:dyDescent="0.25">
      <c r="A3" s="17" t="s">
        <v>83</v>
      </c>
      <c r="B3" s="17" t="s">
        <v>22</v>
      </c>
      <c r="C3" s="17" t="s">
        <v>74</v>
      </c>
      <c r="D3" s="17" t="s">
        <v>84</v>
      </c>
      <c r="E3" s="17" t="s">
        <v>85</v>
      </c>
      <c r="F3" s="17" t="s">
        <v>22</v>
      </c>
      <c r="G3" s="17" t="s">
        <v>11</v>
      </c>
      <c r="H3" s="17" t="s">
        <v>73</v>
      </c>
      <c r="I3" s="17" t="s">
        <v>86</v>
      </c>
      <c r="J3" s="17" t="s">
        <v>78</v>
      </c>
      <c r="K3" s="17" t="s">
        <v>79</v>
      </c>
      <c r="L3" s="17" t="s">
        <v>87</v>
      </c>
      <c r="M3" s="17" t="s">
        <v>88</v>
      </c>
      <c r="N3" s="17" t="s">
        <v>89</v>
      </c>
      <c r="O3" s="17" t="s">
        <v>81</v>
      </c>
      <c r="P3" s="17" t="s">
        <v>90</v>
      </c>
    </row>
    <row r="4" spans="1:16" ht="25.5" x14ac:dyDescent="0.25">
      <c r="A4" s="17" t="s">
        <v>91</v>
      </c>
      <c r="B4" s="17" t="s">
        <v>22</v>
      </c>
      <c r="C4" s="17" t="s">
        <v>74</v>
      </c>
      <c r="D4" s="17" t="s">
        <v>92</v>
      </c>
      <c r="E4" s="17" t="s">
        <v>93</v>
      </c>
      <c r="F4" s="17" t="s">
        <v>22</v>
      </c>
      <c r="G4" s="17" t="s">
        <v>11</v>
      </c>
      <c r="H4" s="17" t="s">
        <v>73</v>
      </c>
      <c r="I4" s="17" t="s">
        <v>94</v>
      </c>
      <c r="J4" s="17" t="s">
        <v>78</v>
      </c>
      <c r="K4" s="17" t="s">
        <v>79</v>
      </c>
      <c r="L4" s="17" t="s">
        <v>87</v>
      </c>
      <c r="M4" s="17"/>
      <c r="N4" s="17" t="s">
        <v>95</v>
      </c>
      <c r="O4" s="17" t="s">
        <v>81</v>
      </c>
      <c r="P4" s="17"/>
    </row>
    <row r="5" spans="1:16" ht="38.25" x14ac:dyDescent="0.25">
      <c r="A5" s="17" t="s">
        <v>96</v>
      </c>
      <c r="B5" s="17" t="s">
        <v>22</v>
      </c>
      <c r="C5" s="17" t="s">
        <v>74</v>
      </c>
      <c r="D5" s="17" t="s">
        <v>97</v>
      </c>
      <c r="E5" s="17" t="s">
        <v>98</v>
      </c>
      <c r="F5" s="17" t="s">
        <v>22</v>
      </c>
      <c r="G5" s="17" t="s">
        <v>11</v>
      </c>
      <c r="H5" s="17"/>
      <c r="I5" s="17" t="s">
        <v>99</v>
      </c>
      <c r="J5" s="17" t="s">
        <v>78</v>
      </c>
      <c r="K5" s="17" t="s">
        <v>79</v>
      </c>
      <c r="L5" s="17" t="s">
        <v>87</v>
      </c>
      <c r="M5" s="17"/>
      <c r="N5" s="17" t="s">
        <v>100</v>
      </c>
      <c r="O5" s="17" t="s">
        <v>81</v>
      </c>
      <c r="P5" s="17" t="s">
        <v>101</v>
      </c>
    </row>
    <row r="6" spans="1:16" ht="63.75" x14ac:dyDescent="0.25">
      <c r="A6" s="17" t="s">
        <v>102</v>
      </c>
      <c r="B6" s="17" t="s">
        <v>26</v>
      </c>
      <c r="C6" s="17" t="s">
        <v>103</v>
      </c>
      <c r="D6" s="17" t="s">
        <v>104</v>
      </c>
      <c r="E6" s="17" t="s">
        <v>105</v>
      </c>
      <c r="F6" s="17" t="s">
        <v>22</v>
      </c>
      <c r="G6" s="17" t="s">
        <v>10</v>
      </c>
      <c r="H6" s="17" t="s">
        <v>83</v>
      </c>
      <c r="I6" s="17" t="s">
        <v>106</v>
      </c>
      <c r="J6" s="17" t="s">
        <v>78</v>
      </c>
      <c r="K6" s="17" t="s">
        <v>79</v>
      </c>
      <c r="L6" s="17" t="s">
        <v>107</v>
      </c>
      <c r="M6" s="17" t="s">
        <v>108</v>
      </c>
      <c r="N6" s="17" t="s">
        <v>109</v>
      </c>
      <c r="O6" s="17" t="s">
        <v>81</v>
      </c>
      <c r="P6" s="17"/>
    </row>
    <row r="7" spans="1:16" ht="38.25" x14ac:dyDescent="0.25">
      <c r="A7" s="17" t="s">
        <v>110</v>
      </c>
      <c r="B7" s="17" t="s">
        <v>26</v>
      </c>
      <c r="C7" s="17" t="s">
        <v>103</v>
      </c>
      <c r="D7" s="17" t="s">
        <v>111</v>
      </c>
      <c r="E7" s="17" t="s">
        <v>112</v>
      </c>
      <c r="F7" s="17" t="s">
        <v>22</v>
      </c>
      <c r="G7" s="17" t="s">
        <v>10</v>
      </c>
      <c r="H7" s="17" t="s">
        <v>102</v>
      </c>
      <c r="I7" s="17" t="s">
        <v>113</v>
      </c>
      <c r="J7" s="17" t="s">
        <v>78</v>
      </c>
      <c r="K7" s="17" t="s">
        <v>79</v>
      </c>
      <c r="L7" s="17" t="s">
        <v>107</v>
      </c>
      <c r="M7" s="17" t="s">
        <v>108</v>
      </c>
      <c r="N7" s="17" t="s">
        <v>114</v>
      </c>
      <c r="O7" s="17" t="s">
        <v>81</v>
      </c>
      <c r="P7" s="17"/>
    </row>
    <row r="8" spans="1:16" ht="76.5" x14ac:dyDescent="0.25">
      <c r="A8" s="17" t="s">
        <v>115</v>
      </c>
      <c r="B8" s="17" t="s">
        <v>30</v>
      </c>
      <c r="C8" s="17" t="s">
        <v>116</v>
      </c>
      <c r="D8" s="17" t="s">
        <v>117</v>
      </c>
      <c r="E8" s="17" t="s">
        <v>118</v>
      </c>
      <c r="F8" s="17" t="s">
        <v>22</v>
      </c>
      <c r="G8" s="17" t="s">
        <v>10</v>
      </c>
      <c r="H8" s="17" t="s">
        <v>110</v>
      </c>
      <c r="I8" s="17" t="s">
        <v>119</v>
      </c>
      <c r="J8" s="17" t="s">
        <v>78</v>
      </c>
      <c r="K8" s="17" t="s">
        <v>79</v>
      </c>
      <c r="L8" s="17" t="s">
        <v>107</v>
      </c>
      <c r="M8" s="17" t="s">
        <v>108</v>
      </c>
      <c r="N8" s="17" t="s">
        <v>120</v>
      </c>
      <c r="O8" s="17" t="s">
        <v>81</v>
      </c>
      <c r="P8" s="17" t="s">
        <v>121</v>
      </c>
    </row>
    <row r="9" spans="1:16" ht="89.25" x14ac:dyDescent="0.25">
      <c r="A9" s="17" t="s">
        <v>122</v>
      </c>
      <c r="B9" s="17" t="s">
        <v>26</v>
      </c>
      <c r="C9" s="17" t="s">
        <v>103</v>
      </c>
      <c r="D9" s="17" t="s">
        <v>123</v>
      </c>
      <c r="E9" s="17" t="s">
        <v>124</v>
      </c>
      <c r="F9" s="17" t="s">
        <v>26</v>
      </c>
      <c r="G9" s="17" t="s">
        <v>10</v>
      </c>
      <c r="H9" s="17" t="s">
        <v>110</v>
      </c>
      <c r="I9" s="17" t="s">
        <v>125</v>
      </c>
      <c r="J9" s="17" t="s">
        <v>78</v>
      </c>
      <c r="K9" s="17" t="s">
        <v>79</v>
      </c>
      <c r="L9" s="17" t="s">
        <v>126</v>
      </c>
      <c r="M9" s="17" t="s">
        <v>127</v>
      </c>
      <c r="N9" s="17" t="s">
        <v>128</v>
      </c>
      <c r="O9" s="17" t="s">
        <v>81</v>
      </c>
      <c r="P9" s="17" t="s">
        <v>129</v>
      </c>
    </row>
    <row r="10" spans="1:16" ht="114.75" x14ac:dyDescent="0.25">
      <c r="A10" s="17" t="s">
        <v>130</v>
      </c>
      <c r="B10" s="17" t="s">
        <v>30</v>
      </c>
      <c r="C10" s="17" t="s">
        <v>116</v>
      </c>
      <c r="D10" s="17" t="s">
        <v>131</v>
      </c>
      <c r="E10" s="17" t="s">
        <v>132</v>
      </c>
      <c r="F10" s="17" t="s">
        <v>26</v>
      </c>
      <c r="G10" s="17" t="s">
        <v>10</v>
      </c>
      <c r="H10" s="17" t="s">
        <v>122</v>
      </c>
      <c r="I10" s="17" t="s">
        <v>133</v>
      </c>
      <c r="J10" s="17" t="s">
        <v>78</v>
      </c>
      <c r="K10" s="17" t="s">
        <v>79</v>
      </c>
      <c r="L10" s="17" t="s">
        <v>134</v>
      </c>
      <c r="M10" s="17" t="s">
        <v>135</v>
      </c>
      <c r="N10" s="17" t="s">
        <v>136</v>
      </c>
      <c r="O10" s="17" t="s">
        <v>81</v>
      </c>
      <c r="P10" s="17" t="s">
        <v>137</v>
      </c>
    </row>
    <row r="11" spans="1:16" ht="114.75" x14ac:dyDescent="0.25">
      <c r="A11" s="17" t="s">
        <v>138</v>
      </c>
      <c r="B11" s="17" t="s">
        <v>30</v>
      </c>
      <c r="C11" s="17" t="s">
        <v>116</v>
      </c>
      <c r="D11" s="17" t="s">
        <v>139</v>
      </c>
      <c r="E11" s="17" t="s">
        <v>140</v>
      </c>
      <c r="F11" s="17" t="s">
        <v>26</v>
      </c>
      <c r="G11" s="17" t="s">
        <v>10</v>
      </c>
      <c r="H11" s="17" t="s">
        <v>122</v>
      </c>
      <c r="I11" s="17" t="s">
        <v>141</v>
      </c>
      <c r="J11" s="17" t="s">
        <v>78</v>
      </c>
      <c r="K11" s="17" t="s">
        <v>79</v>
      </c>
      <c r="L11" s="17" t="s">
        <v>134</v>
      </c>
      <c r="M11" s="17" t="s">
        <v>135</v>
      </c>
      <c r="N11" s="17" t="s">
        <v>142</v>
      </c>
      <c r="O11" s="17" t="s">
        <v>81</v>
      </c>
      <c r="P11" s="17" t="s">
        <v>143</v>
      </c>
    </row>
    <row r="12" spans="1:16" ht="38.25" x14ac:dyDescent="0.25">
      <c r="A12" s="17" t="s">
        <v>144</v>
      </c>
      <c r="B12" s="17" t="s">
        <v>34</v>
      </c>
      <c r="C12" s="17" t="s">
        <v>116</v>
      </c>
      <c r="D12" s="17" t="s">
        <v>145</v>
      </c>
      <c r="E12" s="17" t="s">
        <v>146</v>
      </c>
      <c r="F12" s="17" t="s">
        <v>26</v>
      </c>
      <c r="G12" s="17" t="s">
        <v>5</v>
      </c>
      <c r="H12" s="17" t="s">
        <v>138</v>
      </c>
      <c r="I12" s="17" t="s">
        <v>147</v>
      </c>
      <c r="J12" s="17" t="s">
        <v>78</v>
      </c>
      <c r="K12" s="17" t="s">
        <v>79</v>
      </c>
      <c r="L12" s="17"/>
      <c r="M12" s="17"/>
      <c r="N12" s="17"/>
      <c r="O12" s="17" t="s">
        <v>81</v>
      </c>
      <c r="P12" s="17" t="s">
        <v>148</v>
      </c>
    </row>
    <row r="13" spans="1:16" ht="38.25" x14ac:dyDescent="0.25">
      <c r="A13" s="17" t="s">
        <v>149</v>
      </c>
      <c r="B13" s="17" t="s">
        <v>38</v>
      </c>
      <c r="C13" s="17" t="s">
        <v>150</v>
      </c>
      <c r="D13" s="17" t="s">
        <v>151</v>
      </c>
      <c r="E13" s="17" t="s">
        <v>152</v>
      </c>
      <c r="F13" s="17" t="s">
        <v>26</v>
      </c>
      <c r="G13" s="17" t="s">
        <v>5</v>
      </c>
      <c r="H13" s="17" t="s">
        <v>122</v>
      </c>
      <c r="I13" s="17" t="s">
        <v>153</v>
      </c>
      <c r="J13" s="17" t="s">
        <v>78</v>
      </c>
      <c r="K13" s="17" t="s">
        <v>79</v>
      </c>
      <c r="L13" s="17"/>
      <c r="M13" s="17"/>
      <c r="N13" s="17"/>
      <c r="O13" s="17" t="s">
        <v>81</v>
      </c>
      <c r="P13" s="17"/>
    </row>
    <row r="14" spans="1:16" ht="25.5" x14ac:dyDescent="0.25">
      <c r="A14" s="17" t="s">
        <v>154</v>
      </c>
      <c r="B14" s="17" t="s">
        <v>42</v>
      </c>
      <c r="C14" s="17" t="s">
        <v>150</v>
      </c>
      <c r="D14" s="17" t="s">
        <v>155</v>
      </c>
      <c r="E14" s="17" t="s">
        <v>156</v>
      </c>
      <c r="F14" s="17" t="s">
        <v>26</v>
      </c>
      <c r="G14" s="17" t="s">
        <v>5</v>
      </c>
      <c r="H14" s="17" t="s">
        <v>149</v>
      </c>
      <c r="I14" s="17" t="s">
        <v>157</v>
      </c>
      <c r="J14" s="17" t="s">
        <v>78</v>
      </c>
      <c r="K14" s="17" t="s">
        <v>79</v>
      </c>
      <c r="L14" s="17"/>
      <c r="M14" s="17"/>
      <c r="N14" s="17"/>
      <c r="O14" s="17" t="s">
        <v>81</v>
      </c>
      <c r="P14" s="17" t="s">
        <v>158</v>
      </c>
    </row>
    <row r="15" spans="1:16" ht="25.5" x14ac:dyDescent="0.25">
      <c r="A15" s="17" t="s">
        <v>159</v>
      </c>
      <c r="B15" s="17" t="s">
        <v>46</v>
      </c>
      <c r="C15" s="17" t="s">
        <v>160</v>
      </c>
      <c r="D15" s="17" t="s">
        <v>161</v>
      </c>
      <c r="E15" s="17" t="s">
        <v>162</v>
      </c>
      <c r="F15" s="17" t="s">
        <v>26</v>
      </c>
      <c r="G15" s="17" t="s">
        <v>5</v>
      </c>
      <c r="H15" s="17" t="s">
        <v>149</v>
      </c>
      <c r="I15" s="17" t="s">
        <v>163</v>
      </c>
      <c r="J15" s="17" t="s">
        <v>78</v>
      </c>
      <c r="K15" s="17" t="s">
        <v>79</v>
      </c>
      <c r="L15" s="17"/>
      <c r="M15" s="17"/>
      <c r="N15" s="17"/>
      <c r="O15" s="17" t="s">
        <v>81</v>
      </c>
      <c r="P15" s="17" t="s">
        <v>164</v>
      </c>
    </row>
    <row r="16" spans="1:16" ht="25.5" x14ac:dyDescent="0.25">
      <c r="A16" s="17" t="s">
        <v>165</v>
      </c>
      <c r="B16" s="17" t="s">
        <v>51</v>
      </c>
      <c r="C16" s="17" t="s">
        <v>166</v>
      </c>
      <c r="D16" s="17" t="s">
        <v>167</v>
      </c>
      <c r="E16" s="17" t="s">
        <v>168</v>
      </c>
      <c r="F16" s="17" t="s">
        <v>26</v>
      </c>
      <c r="G16" s="17" t="s">
        <v>5</v>
      </c>
      <c r="H16" s="17" t="s">
        <v>149</v>
      </c>
      <c r="I16" s="17" t="s">
        <v>169</v>
      </c>
      <c r="J16" s="17" t="s">
        <v>78</v>
      </c>
      <c r="K16" s="17" t="s">
        <v>79</v>
      </c>
      <c r="L16" s="17"/>
      <c r="M16" s="17"/>
      <c r="N16" s="17"/>
      <c r="O16" s="17" t="s">
        <v>81</v>
      </c>
      <c r="P16" s="17" t="s">
        <v>170</v>
      </c>
    </row>
    <row r="17" spans="1:16" ht="127.5" x14ac:dyDescent="0.25">
      <c r="A17" s="17" t="s">
        <v>171</v>
      </c>
      <c r="B17" s="17" t="s">
        <v>30</v>
      </c>
      <c r="C17" s="17" t="s">
        <v>172</v>
      </c>
      <c r="D17" s="17" t="s">
        <v>173</v>
      </c>
      <c r="E17" s="17" t="s">
        <v>174</v>
      </c>
      <c r="F17" s="17" t="s">
        <v>22</v>
      </c>
      <c r="G17" s="17" t="s">
        <v>10</v>
      </c>
      <c r="H17" s="17" t="s">
        <v>110</v>
      </c>
      <c r="I17" s="17" t="s">
        <v>175</v>
      </c>
      <c r="J17" s="17" t="s">
        <v>78</v>
      </c>
      <c r="K17" s="17" t="s">
        <v>79</v>
      </c>
      <c r="L17" s="17" t="s">
        <v>134</v>
      </c>
      <c r="M17" s="17" t="s">
        <v>135</v>
      </c>
      <c r="N17" s="17" t="s">
        <v>176</v>
      </c>
      <c r="O17" s="17" t="s">
        <v>81</v>
      </c>
      <c r="P17" s="17" t="s">
        <v>177</v>
      </c>
    </row>
    <row r="18" spans="1:16" ht="38.25" x14ac:dyDescent="0.25">
      <c r="A18" s="17" t="s">
        <v>178</v>
      </c>
      <c r="B18" s="17" t="s">
        <v>30</v>
      </c>
      <c r="C18" s="17" t="s">
        <v>172</v>
      </c>
      <c r="D18" s="17" t="s">
        <v>179</v>
      </c>
      <c r="E18" s="17" t="s">
        <v>180</v>
      </c>
      <c r="F18" s="17" t="s">
        <v>26</v>
      </c>
      <c r="G18" s="17" t="s">
        <v>5</v>
      </c>
      <c r="H18" s="17" t="s">
        <v>171</v>
      </c>
      <c r="I18" s="17" t="s">
        <v>181</v>
      </c>
      <c r="J18" s="17" t="s">
        <v>78</v>
      </c>
      <c r="K18" s="17" t="s">
        <v>79</v>
      </c>
      <c r="L18" s="17"/>
      <c r="M18" s="17"/>
      <c r="N18" s="17"/>
      <c r="O18" s="17" t="s">
        <v>81</v>
      </c>
      <c r="P18" s="17" t="s">
        <v>182</v>
      </c>
    </row>
    <row r="19" spans="1:16" ht="25.5" x14ac:dyDescent="0.25">
      <c r="A19" s="17" t="s">
        <v>183</v>
      </c>
      <c r="B19" s="17" t="s">
        <v>30</v>
      </c>
      <c r="C19" s="17" t="s">
        <v>116</v>
      </c>
      <c r="D19" s="17" t="s">
        <v>184</v>
      </c>
      <c r="E19" s="17" t="s">
        <v>185</v>
      </c>
      <c r="F19" s="17" t="s">
        <v>30</v>
      </c>
      <c r="G19" s="17" t="s">
        <v>5</v>
      </c>
      <c r="H19" s="17" t="s">
        <v>130</v>
      </c>
      <c r="I19" s="17" t="s">
        <v>186</v>
      </c>
      <c r="J19" s="17" t="s">
        <v>78</v>
      </c>
      <c r="K19" s="17" t="s">
        <v>79</v>
      </c>
      <c r="L19" s="17"/>
      <c r="M19" s="17"/>
      <c r="N19" s="17"/>
      <c r="O19" s="17" t="s">
        <v>81</v>
      </c>
      <c r="P19" s="17" t="s">
        <v>187</v>
      </c>
    </row>
  </sheetData>
  <autoFilter ref="A1:P19" xr:uid="{00000000-0009-0000-0000-000002000000}"/>
  <conditionalFormatting sqref="G2:G19">
    <cfRule type="expression" dxfId="13" priority="1">
      <formula>$G2="BACKLOG"</formula>
    </cfRule>
    <cfRule type="expression" dxfId="12" priority="2">
      <formula>$G2="READY"</formula>
    </cfRule>
    <cfRule type="expression" dxfId="11" priority="3">
      <formula>$G2="IN_PROGRESS"</formula>
    </cfRule>
    <cfRule type="expression" dxfId="10" priority="4">
      <formula>$G2="BLOCKED"</formula>
    </cfRule>
    <cfRule type="expression" dxfId="9" priority="5">
      <formula>$G2="TESTING"</formula>
    </cfRule>
    <cfRule type="expression" dxfId="8" priority="6">
      <formula>$G2="VERIFIED"</formula>
    </cfRule>
    <cfRule type="expression" dxfId="7" priority="7">
      <formula>$G2="DONE"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9" customWidth="1"/>
    <col min="3" max="3" width="50" customWidth="1"/>
    <col min="4" max="4" width="30" customWidth="1"/>
    <col min="5" max="5" width="50" customWidth="1"/>
    <col min="6" max="6" width="13" customWidth="1"/>
    <col min="7" max="7" width="18" customWidth="1"/>
    <col min="8" max="8" width="50" customWidth="1"/>
  </cols>
  <sheetData>
    <row r="1" spans="1:8" x14ac:dyDescent="0.25">
      <c r="A1" s="16" t="s">
        <v>188</v>
      </c>
      <c r="B1" s="16" t="s">
        <v>189</v>
      </c>
      <c r="C1" s="16" t="s">
        <v>190</v>
      </c>
      <c r="D1" s="16" t="s">
        <v>191</v>
      </c>
      <c r="E1" s="16" t="s">
        <v>192</v>
      </c>
      <c r="F1" s="16" t="s">
        <v>2</v>
      </c>
      <c r="G1" s="16" t="s">
        <v>193</v>
      </c>
      <c r="H1" s="16" t="s">
        <v>194</v>
      </c>
    </row>
    <row r="2" spans="1:8" ht="38.25" x14ac:dyDescent="0.25">
      <c r="A2" s="17" t="s">
        <v>195</v>
      </c>
      <c r="B2" s="17" t="s">
        <v>196</v>
      </c>
      <c r="C2" s="17" t="s">
        <v>197</v>
      </c>
      <c r="D2" s="17" t="s">
        <v>198</v>
      </c>
      <c r="E2" s="17" t="s">
        <v>199</v>
      </c>
      <c r="F2" s="17" t="s">
        <v>8</v>
      </c>
      <c r="G2" s="17" t="s">
        <v>200</v>
      </c>
      <c r="H2" s="17" t="s">
        <v>201</v>
      </c>
    </row>
    <row r="3" spans="1:8" ht="25.5" x14ac:dyDescent="0.25">
      <c r="A3" s="17" t="s">
        <v>202</v>
      </c>
      <c r="B3" s="17" t="s">
        <v>203</v>
      </c>
      <c r="C3" s="17" t="s">
        <v>204</v>
      </c>
      <c r="D3" s="17" t="s">
        <v>205</v>
      </c>
      <c r="E3" s="17" t="s">
        <v>206</v>
      </c>
      <c r="F3" s="17" t="s">
        <v>5</v>
      </c>
      <c r="G3" s="17"/>
      <c r="H3" s="17" t="s">
        <v>207</v>
      </c>
    </row>
    <row r="4" spans="1:8" ht="25.5" x14ac:dyDescent="0.25">
      <c r="A4" s="17" t="s">
        <v>208</v>
      </c>
      <c r="B4" s="17" t="s">
        <v>203</v>
      </c>
      <c r="C4" s="17" t="s">
        <v>209</v>
      </c>
      <c r="D4" s="17" t="s">
        <v>210</v>
      </c>
      <c r="E4" s="17" t="s">
        <v>211</v>
      </c>
      <c r="F4" s="17" t="s">
        <v>10</v>
      </c>
      <c r="G4" s="17" t="s">
        <v>212</v>
      </c>
      <c r="H4" s="17" t="s">
        <v>213</v>
      </c>
    </row>
    <row r="5" spans="1:8" ht="25.5" x14ac:dyDescent="0.25">
      <c r="A5" s="17" t="s">
        <v>214</v>
      </c>
      <c r="B5" s="17" t="s">
        <v>215</v>
      </c>
      <c r="C5" s="17" t="s">
        <v>216</v>
      </c>
      <c r="D5" s="17" t="s">
        <v>217</v>
      </c>
      <c r="E5" s="17" t="s">
        <v>218</v>
      </c>
      <c r="F5" s="17" t="s">
        <v>10</v>
      </c>
      <c r="G5" s="17" t="s">
        <v>219</v>
      </c>
      <c r="H5" s="17" t="s">
        <v>220</v>
      </c>
    </row>
    <row r="6" spans="1:8" ht="51" x14ac:dyDescent="0.25">
      <c r="A6" s="17" t="s">
        <v>221</v>
      </c>
      <c r="B6" s="17" t="s">
        <v>215</v>
      </c>
      <c r="C6" s="17" t="s">
        <v>222</v>
      </c>
      <c r="D6" s="17" t="s">
        <v>223</v>
      </c>
      <c r="E6" s="17" t="s">
        <v>224</v>
      </c>
      <c r="F6" s="17" t="s">
        <v>10</v>
      </c>
      <c r="G6" s="17" t="s">
        <v>225</v>
      </c>
      <c r="H6" s="17" t="s">
        <v>226</v>
      </c>
    </row>
  </sheetData>
  <autoFilter ref="A1:H6" xr:uid="{00000000-0009-0000-0000-000003000000}"/>
  <conditionalFormatting sqref="F2:F6">
    <cfRule type="expression" dxfId="6" priority="1">
      <formula>$F2="BACKLOG"</formula>
    </cfRule>
    <cfRule type="expression" dxfId="5" priority="2">
      <formula>$F2="READY"</formula>
    </cfRule>
    <cfRule type="expression" dxfId="4" priority="3">
      <formula>$F2="IN_PROGRESS"</formula>
    </cfRule>
    <cfRule type="expression" dxfId="3" priority="4">
      <formula>$F2="BLOCKED"</formula>
    </cfRule>
    <cfRule type="expression" dxfId="2" priority="5">
      <formula>$F2="TESTING"</formula>
    </cfRule>
    <cfRule type="expression" dxfId="1" priority="6">
      <formula>$F2="VERIFIED"</formula>
    </cfRule>
    <cfRule type="expression" dxfId="0" priority="7">
      <formula>$F2="DONE"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50" customWidth="1"/>
    <col min="4" max="4" width="18" customWidth="1"/>
    <col min="5" max="5" width="22" customWidth="1"/>
    <col min="6" max="6" width="40" customWidth="1"/>
    <col min="7" max="7" width="12" customWidth="1"/>
  </cols>
  <sheetData>
    <row r="1" spans="1:7" x14ac:dyDescent="0.25">
      <c r="A1" s="16" t="s">
        <v>227</v>
      </c>
      <c r="B1" s="16" t="s">
        <v>228</v>
      </c>
      <c r="C1" s="16" t="s">
        <v>229</v>
      </c>
      <c r="D1" s="16" t="s">
        <v>230</v>
      </c>
      <c r="E1" s="16" t="s">
        <v>231</v>
      </c>
      <c r="F1" s="16" t="s">
        <v>232</v>
      </c>
      <c r="G1" s="16" t="s">
        <v>233</v>
      </c>
    </row>
    <row r="2" spans="1:7" x14ac:dyDescent="0.25">
      <c r="A2" s="17" t="s">
        <v>234</v>
      </c>
      <c r="B2" s="17" t="s">
        <v>235</v>
      </c>
      <c r="C2" s="17" t="s">
        <v>236</v>
      </c>
      <c r="D2" s="17" t="s">
        <v>237</v>
      </c>
      <c r="E2" s="17" t="s">
        <v>238</v>
      </c>
      <c r="F2" s="17" t="s">
        <v>239</v>
      </c>
      <c r="G2" s="17" t="s">
        <v>240</v>
      </c>
    </row>
    <row r="3" spans="1:7" x14ac:dyDescent="0.25">
      <c r="A3" s="17" t="s">
        <v>241</v>
      </c>
      <c r="B3" s="17" t="s">
        <v>242</v>
      </c>
      <c r="C3" s="17" t="s">
        <v>243</v>
      </c>
      <c r="D3" s="17" t="s">
        <v>237</v>
      </c>
      <c r="E3" s="17" t="s">
        <v>244</v>
      </c>
      <c r="F3" s="17" t="s">
        <v>245</v>
      </c>
      <c r="G3" s="17" t="s">
        <v>240</v>
      </c>
    </row>
    <row r="4" spans="1:7" x14ac:dyDescent="0.25">
      <c r="A4" s="17" t="s">
        <v>246</v>
      </c>
      <c r="B4" s="17" t="s">
        <v>247</v>
      </c>
      <c r="C4" s="17" t="s">
        <v>248</v>
      </c>
      <c r="D4" s="17" t="s">
        <v>237</v>
      </c>
      <c r="E4" s="17" t="s">
        <v>249</v>
      </c>
      <c r="F4" s="17" t="s">
        <v>250</v>
      </c>
      <c r="G4" s="17" t="s">
        <v>240</v>
      </c>
    </row>
    <row r="5" spans="1:7" ht="25.5" x14ac:dyDescent="0.25">
      <c r="A5" s="17" t="s">
        <v>251</v>
      </c>
      <c r="B5" s="17" t="s">
        <v>252</v>
      </c>
      <c r="C5" s="17" t="s">
        <v>253</v>
      </c>
      <c r="D5" s="17" t="s">
        <v>254</v>
      </c>
      <c r="E5" s="17" t="s">
        <v>255</v>
      </c>
      <c r="F5" s="17" t="s">
        <v>256</v>
      </c>
      <c r="G5" s="17" t="s">
        <v>240</v>
      </c>
    </row>
    <row r="6" spans="1:7" x14ac:dyDescent="0.25">
      <c r="A6" s="17" t="s">
        <v>257</v>
      </c>
      <c r="B6" s="17" t="s">
        <v>242</v>
      </c>
      <c r="C6" s="17" t="s">
        <v>258</v>
      </c>
      <c r="D6" s="17" t="s">
        <v>237</v>
      </c>
      <c r="E6" s="17" t="s">
        <v>259</v>
      </c>
      <c r="F6" s="17" t="s">
        <v>126</v>
      </c>
      <c r="G6" s="17" t="s">
        <v>240</v>
      </c>
    </row>
    <row r="7" spans="1:7" ht="38.25" x14ac:dyDescent="0.25">
      <c r="A7" s="17" t="s">
        <v>260</v>
      </c>
      <c r="B7" s="17" t="s">
        <v>247</v>
      </c>
      <c r="C7" s="17" t="s">
        <v>261</v>
      </c>
      <c r="D7" s="17" t="s">
        <v>237</v>
      </c>
      <c r="E7" s="17" t="s">
        <v>262</v>
      </c>
      <c r="F7" s="17" t="s">
        <v>126</v>
      </c>
      <c r="G7" s="17" t="s">
        <v>240</v>
      </c>
    </row>
    <row r="8" spans="1:7" ht="25.5" x14ac:dyDescent="0.25">
      <c r="A8" s="17" t="s">
        <v>263</v>
      </c>
      <c r="B8" s="17" t="s">
        <v>116</v>
      </c>
      <c r="C8" s="17" t="s">
        <v>264</v>
      </c>
      <c r="D8" s="17" t="s">
        <v>265</v>
      </c>
      <c r="E8" s="17" t="s">
        <v>255</v>
      </c>
      <c r="F8" s="17" t="s">
        <v>266</v>
      </c>
      <c r="G8" s="17" t="s">
        <v>240</v>
      </c>
    </row>
    <row r="9" spans="1:7" ht="25.5" x14ac:dyDescent="0.25">
      <c r="A9" s="17" t="s">
        <v>267</v>
      </c>
      <c r="B9" s="17" t="s">
        <v>268</v>
      </c>
      <c r="C9" s="17" t="s">
        <v>269</v>
      </c>
      <c r="D9" s="17" t="s">
        <v>270</v>
      </c>
      <c r="E9" s="17" t="s">
        <v>271</v>
      </c>
      <c r="F9" s="17" t="s">
        <v>272</v>
      </c>
      <c r="G9" s="17" t="s">
        <v>240</v>
      </c>
    </row>
    <row r="10" spans="1:7" x14ac:dyDescent="0.25">
      <c r="A10" s="17" t="s">
        <v>273</v>
      </c>
      <c r="B10" s="17" t="s">
        <v>242</v>
      </c>
      <c r="C10" s="17" t="s">
        <v>258</v>
      </c>
      <c r="D10" s="17" t="s">
        <v>237</v>
      </c>
      <c r="E10" s="17" t="s">
        <v>274</v>
      </c>
      <c r="F10" s="17" t="s">
        <v>134</v>
      </c>
      <c r="G10" s="17" t="s">
        <v>81</v>
      </c>
    </row>
    <row r="11" spans="1:7" ht="25.5" x14ac:dyDescent="0.25">
      <c r="A11" s="17" t="s">
        <v>275</v>
      </c>
      <c r="B11" s="17" t="s">
        <v>247</v>
      </c>
      <c r="C11" s="17" t="s">
        <v>276</v>
      </c>
      <c r="D11" s="17" t="s">
        <v>277</v>
      </c>
      <c r="E11" s="17" t="s">
        <v>278</v>
      </c>
      <c r="F11" s="17" t="s">
        <v>134</v>
      </c>
      <c r="G11" s="17" t="s">
        <v>81</v>
      </c>
    </row>
    <row r="12" spans="1:7" ht="38.25" x14ac:dyDescent="0.25">
      <c r="A12" s="17" t="s">
        <v>279</v>
      </c>
      <c r="B12" s="17" t="s">
        <v>116</v>
      </c>
      <c r="C12" s="17" t="s">
        <v>280</v>
      </c>
      <c r="D12" s="17" t="s">
        <v>265</v>
      </c>
      <c r="E12" s="17" t="s">
        <v>281</v>
      </c>
      <c r="F12" s="17" t="s">
        <v>266</v>
      </c>
      <c r="G12" s="17" t="s">
        <v>81</v>
      </c>
    </row>
    <row r="13" spans="1:7" ht="25.5" x14ac:dyDescent="0.25">
      <c r="A13" s="17" t="s">
        <v>282</v>
      </c>
      <c r="B13" s="17" t="s">
        <v>268</v>
      </c>
      <c r="C13" s="17" t="s">
        <v>269</v>
      </c>
      <c r="D13" s="17" t="s">
        <v>270</v>
      </c>
      <c r="E13" s="17" t="s">
        <v>283</v>
      </c>
      <c r="F13" s="17" t="s">
        <v>284</v>
      </c>
      <c r="G13" s="17" t="s">
        <v>81</v>
      </c>
    </row>
  </sheetData>
  <autoFilter ref="A1:G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2" customWidth="1"/>
    <col min="3" max="3" width="70" customWidth="1"/>
    <col min="4" max="4" width="12" customWidth="1"/>
    <col min="5" max="6" width="18" customWidth="1"/>
  </cols>
  <sheetData>
    <row r="1" spans="1:6" ht="25.5" x14ac:dyDescent="0.25">
      <c r="A1" s="16" t="s">
        <v>285</v>
      </c>
      <c r="B1" s="16" t="s">
        <v>286</v>
      </c>
      <c r="C1" s="16" t="s">
        <v>287</v>
      </c>
      <c r="D1" s="16" t="s">
        <v>233</v>
      </c>
      <c r="E1" s="16" t="s">
        <v>288</v>
      </c>
      <c r="F1" s="16" t="s">
        <v>289</v>
      </c>
    </row>
    <row r="2" spans="1:6" x14ac:dyDescent="0.25">
      <c r="A2" s="17" t="s">
        <v>290</v>
      </c>
      <c r="B2" s="17" t="s">
        <v>67</v>
      </c>
      <c r="C2" s="17" t="s">
        <v>291</v>
      </c>
      <c r="D2" s="17" t="s">
        <v>240</v>
      </c>
      <c r="E2" s="17" t="s">
        <v>292</v>
      </c>
      <c r="F2" s="17" t="s">
        <v>83</v>
      </c>
    </row>
    <row r="3" spans="1:6" x14ac:dyDescent="0.25">
      <c r="A3" s="17" t="s">
        <v>293</v>
      </c>
      <c r="B3" s="17" t="s">
        <v>294</v>
      </c>
      <c r="C3" s="17" t="s">
        <v>295</v>
      </c>
      <c r="D3" s="17" t="s">
        <v>240</v>
      </c>
      <c r="E3" s="17" t="s">
        <v>296</v>
      </c>
      <c r="F3" s="17" t="s">
        <v>83</v>
      </c>
    </row>
    <row r="4" spans="1:6" x14ac:dyDescent="0.25">
      <c r="A4" s="17" t="s">
        <v>297</v>
      </c>
      <c r="B4" s="17" t="s">
        <v>298</v>
      </c>
      <c r="C4" s="17" t="s">
        <v>299</v>
      </c>
      <c r="D4" s="17" t="s">
        <v>240</v>
      </c>
      <c r="E4" s="17" t="s">
        <v>300</v>
      </c>
      <c r="F4" s="17" t="s">
        <v>301</v>
      </c>
    </row>
    <row r="5" spans="1:6" ht="25.5" x14ac:dyDescent="0.25">
      <c r="A5" s="17" t="s">
        <v>302</v>
      </c>
      <c r="B5" s="17" t="s">
        <v>303</v>
      </c>
      <c r="C5" s="17" t="s">
        <v>304</v>
      </c>
      <c r="D5" s="17" t="s">
        <v>240</v>
      </c>
      <c r="E5" s="17" t="s">
        <v>305</v>
      </c>
      <c r="F5" s="17" t="s">
        <v>154</v>
      </c>
    </row>
    <row r="6" spans="1:6" x14ac:dyDescent="0.25">
      <c r="A6" s="17" t="s">
        <v>306</v>
      </c>
      <c r="B6" s="17" t="s">
        <v>307</v>
      </c>
      <c r="C6" s="17" t="s">
        <v>308</v>
      </c>
      <c r="D6" s="17" t="s">
        <v>240</v>
      </c>
      <c r="E6" s="17" t="s">
        <v>26</v>
      </c>
      <c r="F6" s="17" t="s">
        <v>102</v>
      </c>
    </row>
    <row r="7" spans="1:6" ht="25.5" x14ac:dyDescent="0.25">
      <c r="A7" s="17" t="s">
        <v>309</v>
      </c>
      <c r="B7" s="17" t="s">
        <v>310</v>
      </c>
      <c r="C7" s="17" t="s">
        <v>311</v>
      </c>
      <c r="D7" s="17" t="s">
        <v>240</v>
      </c>
      <c r="E7" s="17" t="s">
        <v>312</v>
      </c>
      <c r="F7" s="17" t="s">
        <v>154</v>
      </c>
    </row>
    <row r="8" spans="1:6" x14ac:dyDescent="0.25">
      <c r="A8" s="17" t="s">
        <v>313</v>
      </c>
      <c r="B8" s="17" t="s">
        <v>314</v>
      </c>
      <c r="C8" s="17" t="s">
        <v>315</v>
      </c>
      <c r="D8" s="17" t="s">
        <v>240</v>
      </c>
      <c r="E8" s="17" t="s">
        <v>316</v>
      </c>
      <c r="F8" s="17" t="s">
        <v>317</v>
      </c>
    </row>
    <row r="9" spans="1:6" x14ac:dyDescent="0.25">
      <c r="A9" s="17" t="s">
        <v>164</v>
      </c>
      <c r="B9" s="17" t="s">
        <v>318</v>
      </c>
      <c r="C9" s="17" t="s">
        <v>319</v>
      </c>
      <c r="D9" s="17" t="s">
        <v>240</v>
      </c>
      <c r="E9" s="17" t="s">
        <v>316</v>
      </c>
      <c r="F9" s="17" t="s">
        <v>159</v>
      </c>
    </row>
    <row r="10" spans="1:6" x14ac:dyDescent="0.25">
      <c r="A10" s="17" t="s">
        <v>320</v>
      </c>
      <c r="B10" s="17" t="s">
        <v>52</v>
      </c>
      <c r="C10" s="17" t="s">
        <v>321</v>
      </c>
      <c r="D10" s="17" t="s">
        <v>240</v>
      </c>
      <c r="E10" s="17" t="s">
        <v>51</v>
      </c>
      <c r="F10" s="17" t="s">
        <v>165</v>
      </c>
    </row>
    <row r="11" spans="1:6" ht="51" x14ac:dyDescent="0.25">
      <c r="A11" s="17" t="s">
        <v>322</v>
      </c>
      <c r="B11" s="17" t="s">
        <v>323</v>
      </c>
      <c r="C11" s="17" t="s">
        <v>324</v>
      </c>
      <c r="D11" s="17" t="s">
        <v>81</v>
      </c>
      <c r="E11" s="17" t="s">
        <v>325</v>
      </c>
      <c r="F11" s="17" t="s">
        <v>326</v>
      </c>
    </row>
    <row r="12" spans="1:6" x14ac:dyDescent="0.25">
      <c r="A12" s="17" t="s">
        <v>327</v>
      </c>
      <c r="B12" s="17" t="s">
        <v>328</v>
      </c>
      <c r="C12" s="17" t="s">
        <v>329</v>
      </c>
      <c r="D12" s="17" t="s">
        <v>240</v>
      </c>
      <c r="E12" s="17" t="s">
        <v>330</v>
      </c>
      <c r="F12" s="17" t="s">
        <v>96</v>
      </c>
    </row>
  </sheetData>
  <autoFilter ref="A1:F1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6" customWidth="1"/>
    <col min="2" max="2" width="28" customWidth="1"/>
    <col min="3" max="3" width="30" customWidth="1"/>
    <col min="4" max="4" width="34" customWidth="1"/>
    <col min="5" max="5" width="20" customWidth="1"/>
  </cols>
  <sheetData>
    <row r="1" spans="1:5" x14ac:dyDescent="0.25">
      <c r="A1" s="16" t="s">
        <v>331</v>
      </c>
      <c r="B1" s="16" t="s">
        <v>332</v>
      </c>
      <c r="C1" s="16" t="s">
        <v>333</v>
      </c>
      <c r="D1" s="16" t="s">
        <v>334</v>
      </c>
      <c r="E1" s="16" t="s">
        <v>335</v>
      </c>
    </row>
    <row r="2" spans="1:5" ht="25.5" x14ac:dyDescent="0.25">
      <c r="A2" s="17" t="s">
        <v>336</v>
      </c>
      <c r="B2" s="17" t="s">
        <v>337</v>
      </c>
      <c r="C2" s="17" t="s">
        <v>338</v>
      </c>
      <c r="D2" s="17" t="s">
        <v>339</v>
      </c>
      <c r="E2" s="17" t="s">
        <v>340</v>
      </c>
    </row>
    <row r="3" spans="1:5" x14ac:dyDescent="0.25">
      <c r="A3" s="17" t="s">
        <v>341</v>
      </c>
      <c r="B3" s="17" t="s">
        <v>342</v>
      </c>
      <c r="C3" s="17" t="s">
        <v>343</v>
      </c>
      <c r="D3" s="17" t="s">
        <v>344</v>
      </c>
      <c r="E3" s="17" t="s">
        <v>345</v>
      </c>
    </row>
    <row r="4" spans="1:5" x14ac:dyDescent="0.25">
      <c r="A4" s="17" t="s">
        <v>346</v>
      </c>
      <c r="B4" s="17" t="s">
        <v>347</v>
      </c>
      <c r="C4" s="17" t="s">
        <v>347</v>
      </c>
      <c r="D4" s="17" t="s">
        <v>348</v>
      </c>
      <c r="E4" s="17" t="s">
        <v>349</v>
      </c>
    </row>
    <row r="5" spans="1:5" x14ac:dyDescent="0.25">
      <c r="A5" s="17" t="s">
        <v>350</v>
      </c>
      <c r="B5" s="17" t="s">
        <v>351</v>
      </c>
      <c r="C5" s="17" t="s">
        <v>352</v>
      </c>
      <c r="D5" s="17" t="s">
        <v>353</v>
      </c>
      <c r="E5" s="17" t="s">
        <v>345</v>
      </c>
    </row>
    <row r="6" spans="1:5" x14ac:dyDescent="0.25">
      <c r="A6" s="17" t="s">
        <v>354</v>
      </c>
      <c r="B6" s="17" t="s">
        <v>355</v>
      </c>
      <c r="C6" s="17" t="s">
        <v>355</v>
      </c>
      <c r="D6" s="17" t="s">
        <v>356</v>
      </c>
      <c r="E6" s="17" t="s">
        <v>340</v>
      </c>
    </row>
    <row r="7" spans="1:5" ht="38.25" x14ac:dyDescent="0.25">
      <c r="A7" s="17" t="s">
        <v>357</v>
      </c>
      <c r="B7" s="17" t="s">
        <v>358</v>
      </c>
      <c r="C7" s="17" t="s">
        <v>359</v>
      </c>
      <c r="D7" s="17" t="s">
        <v>360</v>
      </c>
      <c r="E7" s="17" t="s">
        <v>340</v>
      </c>
    </row>
  </sheetData>
  <autoFilter ref="A1:E7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Roadmap</vt:lpstr>
      <vt:lpstr>Tasks</vt:lpstr>
      <vt:lpstr>Bugs</vt:lpstr>
      <vt:lpstr>Tests</vt:lpstr>
      <vt:lpstr>Decisions</vt:lpstr>
      <vt:lpstr>Release Readiness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Борил Димитров</cp:lastModifiedBy>
  <dcterms:created xsi:type="dcterms:W3CDTF">2026-10-13T21:17:00Z</dcterms:created>
  <dcterms:modified xsi:type="dcterms:W3CDTF">2026-10-13T21:17:02Z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