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E845683A-9FBD-4A02-92FB-2C74BC58A3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Bugs!$A$1:$H$28</definedName>
    <definedName name="_xlnm._FilterDatabase" localSheetId="5" hidden="1">Decisions!$A$1:$F$15</definedName>
    <definedName name="_xlnm._FilterDatabase" localSheetId="6" hidden="1">'Release Readiness'!$A$1:$E$7</definedName>
    <definedName name="_xlnm._FilterDatabase" localSheetId="1" hidden="1">Roadmap!$A$1:$F$11</definedName>
    <definedName name="_xlnm._FilterDatabase" localSheetId="2" hidden="1">Tasks!$A$1:$P$38</definedName>
    <definedName name="_xlnm._FilterDatabase" localSheetId="4" hidden="1">Tests!$A$1:$G$41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<sst xmlns="http://schemas.openxmlformats.org/spreadsheetml/2006/main" count="1280" uniqueCount="754">
  <si>
    <t>SmartDoc 2.0 -- master tracker</t>
  </si>
  <si>
    <t>Branch feature/smartdoc-2.0 · source docs/SMARTDOC_2_0_TRACKER.json · updated 2026-10-15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</si>
  <si>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</si>
  <si>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</si>
  <si>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</si>
  <si>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</si>
  <si>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</si>
  <si>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</si>
  <si>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</si>
  <si>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</si>
  <si>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</si>
  <si>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</si>
  <si>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</si>
  <si>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</si>
  <si>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</si>
  <si>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</si>
  <si>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</si>
  <si>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</si>
  <si>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</si>
  <si>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</si>
  <si>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</si>
  <si>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</si>
  <si>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</si>
  <si>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</si>
  <si>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</si>
  <si>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</si>
  <si>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</si>
  <si>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</si>
  <si>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</si>
  <si>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</si>
  <si>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</si>
  <si>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</si>
  <si>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</si>
  <si>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</si>
  <si>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</si>
  <si>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</si>
  <si>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</si>
  <si>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</si>
  <si>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</si>
  <si>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</si>
  <si>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</si>
  <si>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E1 + E2 VERIFIED behind ?editor=2 (selection model, command registry, contextual toolbar, one Undo/Redo, bilingual panels, phone navigation); classic default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</si>
  <si>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</si>
  <si>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</si>
  <si>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</si>
  <si>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</si>
  <si>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</si>
  <si>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</si>
  <si>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</si>
  <si>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</si>
  <si>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</si>
  <si>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</si>
  <si>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</si>
  <si>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</si>
  <si>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</si>
  <si>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</si>
  <si>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</si>
  <si>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</si>
  <si>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</si>
  <si>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2.0 Preview on its own Supabase project and Storage (D-012 S7 verified technically; user test pending)</t>
  </si>
  <si>
    <t>P9</t>
  </si>
  <si>
    <t>Reliable Document AI: Doctor + SafeEdit</t>
  </si>
  <si>
    <t>Verified, text-preserving repairs of Word files</t>
  </si>
  <si>
    <t>P4 (E2), owner approval</t>
  </si>
  <si>
    <t>Analysis done (S2-080); Doctor v0 prototype built and measured (S2-081, behind ?doctor=1)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</si>
  <si>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</si>
  <si>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</si>
  <si>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</si>
  <si>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</si>
  <si>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</si>
  <si>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</si>
  <si>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</si>
  <si>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</si>
  <si>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</si>
  <si>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</si>
  <si>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</si>
  <si>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</si>
  <si>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</si>
  <si>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</si>
  <si>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</si>
  <si>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</si>
  <si>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</si>
  <si>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</si>
  <si>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</si>
  <si>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</si>
  <si>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</si>
  <si>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2026-10-15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</si>
  <si>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</si>
  <si>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</si>
  <si>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</si>
  <si>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</si>
  <si>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</si>
  <si>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</si>
  <si>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</si>
  <si>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</si>
  <si>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</si>
  <si>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</si>
  <si>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</si>
  <si>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</si>
  <si>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</si>
  <si>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</si>
  <si>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</si>
  <si>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</si>
  <si>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</si>
  <si>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</si>
  <si>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</si>
  <si>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</si>
  <si>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</si>
  <si>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</si>
  <si>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</si>
  <si>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</si>
  <si>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</si>
  <si>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</si>
  <si>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</si>
  <si>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</si>
  <si>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</si>
  <si>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</si>
  <si>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</si>
  <si>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</si>
  <si>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</si>
  <si>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</si>
  <si>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</si>
  <si>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</si>
  <si>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</si>
  <si>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</si>
  <si>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</si>
  <si>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</si>
  <si>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</si>
  <si>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</si>
  <si>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</si>
  <si>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</si>
  <si>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</si>
  <si>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</si>
  <si>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</si>
  <si>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</si>
  <si>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</si>
  <si>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</si>
  <si>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</si>
  <si>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</si>
  <si>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</si>
  <si>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</si>
  <si>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</si>
  <si>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</si>
  <si>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</si>
  <si>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</si>
  <si>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</si>
  <si>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</si>
  <si>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</si>
  <si>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</si>
  <si>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</si>
  <si>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</si>
  <si>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</si>
  <si>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</si>
  <si>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</si>
  <si>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</si>
  <si>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</si>
  <si>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</si>
  <si>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</si>
  <si>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</si>
  <si>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2.0 shell, E1 (Document Mode, behind ?editor=2)</t>
  </si>
  <si>
    <t>Left (outline/pages/elements), center canvas, top contextual toolbar, right properties, collapsible AI panel; reuses the existing Tiptap editor modules.</t>
  </si>
  <si>
    <t>Same text engine and DOCX/PDF export; top bar, side panels, large central area, text tools, save state; EN/BG; light/dark; classic stays default; existing documents, import, export, undo/redo, autosave and save errors tested</t>
  </si>
  <si>
    <t>b85cc79</t>
  </si>
  <si>
    <t>see SESSION_STATE</t>
  </si>
  <si>
    <t>e2e/editor-v2.spec.ts 8 (classic default + ?editor=2 on the same document, typing PATCH + reload, undo/redo from the top bar persisted, templates + formatting undo/redo, DOCX/PDF export with read-back, imported DOCX identical text, failed save -&gt; 'Not saved' -&gt; Retry -&gt; saved, Bulgarian); axe on the 2.0 shell light/dark/panel; all 66 classic specs green (74/1 skipped); browser docs/ui-review/2026-10-14c/</t>
  </si>
  <si>
    <t>useEditorEngine: the 1.x shell's wiring moved verbatim into one hook used by both shells (classic markup unchanged). 2.0 shell: top bar (Projects, title, save state, undo/redo of typing, preview badge -&gt; classic, properties toggle, export), 84-px rail with 9 panels, one panel open, text tools above the pages, white paper in both themes (EditorCanvas paper prop, opt-in), properties panel (Edit/Styles). Measured at 1440: pages 75% of the width with properties only, ~57% with a left panel too. Phones: rail as a drawer; 1.x action/status bars hidden (read-mostly, plan section 3). Reused 1.x panels keep their own copy until E2 (editor/* onto the dictionaries).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</si>
  <si>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</si>
  <si>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</si>
  <si>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</si>
  <si>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</si>
  <si>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</si>
  <si>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</si>
  <si>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</si>
  <si>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</si>
  <si>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</si>
  <si>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</si>
  <si>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</si>
  <si>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</si>
  <si>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</si>
  <si>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</si>
  <si>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</si>
  <si>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</si>
  <si>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</si>
  <si>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</si>
  <si>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</si>
  <si>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</si>
  <si>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</si>
  <si>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</si>
  <si>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</si>
  <si>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</si>
  <si>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</si>
  <si>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</si>
  <si>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</si>
  <si>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</si>
  <si>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</si>
  <si>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</si>
  <si>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</si>
  <si>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</si>
  <si>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</si>
  <si>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</si>
  <si>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</si>
  <si>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</si>
  <si>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</si>
  <si>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</si>
  <si>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</si>
  <si>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</si>
  <si>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</si>
  <si>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</si>
  <si>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</si>
  <si>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</si>
  <si>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</si>
  <si>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</si>
  <si>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</si>
  <si>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</si>
  <si>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</si>
  <si>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</si>
  <si>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</si>
  <si>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</si>
  <si>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</si>
  <si>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</si>
  <si>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</si>
  <si>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</si>
  <si>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</si>
  <si>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</si>
  <si>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</si>
  <si>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</si>
  <si>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</si>
  <si>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</si>
  <si>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</si>
  <si>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</si>
  <si>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</si>
  <si>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</si>
  <si>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</si>
  <si>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</si>
  <si>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</si>
  <si>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</si>
  <si>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</si>
  <si>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</si>
  <si>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</si>
  <si>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</si>
  <si>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</si>
  <si>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</si>
  <si>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</si>
  <si>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</si>
  <si>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</si>
  <si>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</si>
  <si>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</si>
  <si>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</si>
  <si>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bb571a8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</si>
  <si>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</si>
  <si>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</si>
  <si>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</si>
  <si>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</si>
  <si>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</si>
  <si>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</si>
  <si>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</si>
  <si>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</si>
  <si>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</si>
  <si>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S2-050</t>
  </si>
  <si>
    <t>RELEASE</t>
  </si>
  <si>
    <t>Isolated database and storage for the 2.0 Preview (D-012 option a)</t>
  </si>
  <si>
    <t>Separate free Supabase project for ALL Previews (no Production credential for any Preview branch), schema by migrations on the new project only, own private bucket and S3 key, Preview-target variables replaced by the owner, fail-closed identity guard (database + bucket markers), synthetic data only. Plan revision 2.</t>
  </si>
  <si>
    <t>Preview /api/health: environment preview, isolation verified, the new database's fingerprint; owner proof (section 8 F): no Preview account/document/file in Production; live negative test: wrong expected id -&gt; refused</t>
  </si>
  <si>
    <t>Owner + Claude</t>
  </si>
  <si>
    <t>3489a6a (S7) + diagnostics</t>
  </si>
  <si>
    <t>dpl_3262fjM25cveZESWDNfkoBZF6csr READY; https://smartdoc-git-feature-smartdoc-20-drajeto.vercel.app</t>
  </si>
  <si>
    <t>S6 PASS (Vercel API: 12/12 branch rows Preview + feature/smartdoc-2.0, 3 Sensitive, 20 existing rows unchanged, nothing inheritable). S7: CI green (run 38718605753: isolation 75, PostgreSQL 14). First health: refused (pooler: password authentication failed -- wrong password in the branch DATABASE_URL; guard refused correctly). After the owner's fix, health verified; independent proof in the new project's logs: 10:38:17 Supavisor 'Connection authenticated', marker read once by postgres (pg_stat_statements), Storage GET 200 _smartdoc/identity.json by Boto3/1.43.101; production: no connections or storage access after 10:12:17, data unchanged (2 users / 11 documents / 4 files).</t>
  </si>
  <si>
    <t>D-012 NOT yet VERIFIED: waits for the owner's user test (synthetic account, DOCX with a picture, edit, reload, DOCX/PDF export) and the read-only check that the records exist only in smartdoc-preview. S8/S9 not done. | User test 2026-10-15: FAILED on B-027 (false 'changed in another tab' while typing); fix local, not pushed; D-012 stays NOT VERIFIED until a new Preview and a repeated user test.</t>
  </si>
  <si>
    <t>S2-023</t>
  </si>
  <si>
    <t>Look step on phones: lighter template choice</t>
  </si>
  <si>
    <t>On phones each template card with its sample is tall; a compact list (name + small swatch, sample on demand) or a horizontal carousel, the suggestion first.</t>
  </si>
  <si>
    <t>All five templates reachable within two screen heights at 375 px; selected state unchanged; no horizontal page scroll</t>
  </si>
  <si>
    <t>Owner review 2026-10-14; not blocking E1.</t>
  </si>
  <si>
    <t>S2-024</t>
  </si>
  <si>
    <t>Structure review: a readable preview of tables</t>
  </si>
  <si>
    <t>A table row in the structure check shows its size (rows x columns), header row and first cells as a small grid instead of one line of text; tables with merged cells marked.</t>
  </si>
  <si>
    <t>Tables recognisable at a glance in EN/BG; long tables don't push the outline away</t>
  </si>
  <si>
    <t>S2-025</t>
  </si>
  <si>
    <t>Projects screen: gallery like the dashboard</t>
  </si>
  <si>
    <t>/documents as a grid of project cards with real thumbnails (list view as an option), filters (type, status), sort and search kept, batch actions kept.</t>
  </si>
  <si>
    <t>Same functions as today's list (search, sort, pages, batch, compare, delete) with thumbnails; EN/BG; light/dark; no thumbnail rendering on list requests</t>
  </si>
  <si>
    <t>S2-031</t>
  </si>
  <si>
    <t>Editor 2.0, E2: selection model, command registry, contextual toolbar, one Undo/Redo (behind ?editor=2)</t>
  </si>
  <si>
    <t>Shared selection model (none/text/table/image); central command registry (toolbar, shortcuts); contextual toolbar by selection; unified Undo/Redo (typing first, then saved steps); panels hide/show; phone page navigation, zoom, Fit width; every editor bar, dialog and panel bilingual and on the theme tokens.</t>
  </si>
  <si>
    <t>Editing, Undo/Redo, autosave, reload, failed save; DOCX/PDF; axe; phone; classic and new editor on the same documents; BG/EN; light/dark</t>
  </si>
  <si>
    <t>029acd4</t>
  </si>
  <si>
    <t>smartdoc-git-feature-smartdoc-20-drajeto.vercel.app (see SESSION_STATE for the deployment)</t>
  </si>
  <si>
    <t>e2e/editor-v2.spec.ts 13 (incl. one-undo order, toolbar by selection: table and picture tools, one tab stop + keyboard Bold, panels hide + Ctrl+\ remembered, phone 375 page x of y / zoom / Fit width, Bulgarian panel contents); full Playwright 79 passed / 1 skipped (classic + E2 + axe); Vitest 559 (commands.test.ts 14; hardcoded-text guard now covers 24 editor files, zinc guard covers editor/); tsc, eslint clean; screenshots docs/ui-review/2026-10-14d/</t>
  </si>
  <si>
    <t>resetTypingHistory: a server change (template, instruction, restore) is applied outside ProseMirror history and clears typing undo/redo -- before, Ctrl+Z after a template could revert it locally and autosave that (both shells, B-017). E2's Instructions panel has no second Undo/Redo pair (B-018). Known gaps: Health check texts and version descriptions come from the server in English; the classic shell's rail labels stay Bulgarian-only until E2 replaces it.</t>
  </si>
  <si>
    <t>S2-080</t>
  </si>
  <si>
    <t>RELIABILITY</t>
  </si>
  <si>
    <t>Document Doctor + SafeEdit: initial technical analysis</t>
  </si>
  <si>
    <t>Existing capabilities (parser, exporter into the original, fidelity reports, content check, round trip, health checks/fixes, tracked changes), reliably detectable defects, text-preserving repairs, before/after, preservation, review UX, proof by tests and metrics, AI vs no AI, refusal cases, MVP.</t>
  </si>
  <si>
    <t>D-013</t>
  </si>
  <si>
    <t>Measurable checks, limitations and refusal cases; no absolute guarantees; small MVP testable against other tools</t>
  </si>
  <si>
    <t>Baseline measured from committed manifests: 37 Word fixtures, 111 independent word checks, 110 verified, 1 changed (multilingual PDF on Windows)</t>
  </si>
  <si>
    <t>docs/SMARTDOC_DOCUMENT_DOCTOR_SAFEEDIT_ANALYSIS.md</t>
  </si>
  <si>
    <t>S2-081</t>
  </si>
  <si>
    <t>Doctor v0 (Word): verified repairs behind ?doctor=1 (prototype)</t>
  </si>
  <si>
    <t>Upload DOCX -&gt; analyse -&gt; proposed repairs -&gt; review -&gt; repaired file -&gt; SafeEdit check -&gt; download only when verified. Repairs in the Word file (empty paragraphs as spacing, too-wide pictures/tables) and safe editor repairs (proposals). Refusals: no Word file, unusable source, import word check not passed, undecided tracked changes, signed, macros, damaged package, a file the export itself would change; per block: preserved features.</t>
  </si>
  <si>
    <t>S2-080, owner approval after E2</t>
  </si>
  <si>
    <t>Every repaired file verified (words, header/footer words, untouched blocks byte for byte, preserved features, valid package) or nothing handed out; refused files say why; original never written; no AI; feature flag</t>
  </si>
  <si>
    <t>4f75d19</t>
  </si>
  <si>
    <t>tests/test_doctor.py 72 (whole Word corpus refused-for-a-reason or verified; labelled corpus vs ground truth; each SafeEdit check caught on a damaged result; refusals; repairs in the file never touch tables, last paragraph, carriers; skipped when not lined up), tests/test_doctor_api.py 9, e2e/doctor.spec.ts 4 (flag, full flow + download, signed refused, Bulgarian), axe light/dark on the panel. Measured: 15/23 planted defects repaired (65 %), 15/15 of the kinds v0 repairs bar one left on purpose; 0 wrong proposals.</t>
  </si>
  <si>
    <t>Gaps: fonts set on a whole paragraph (imported as a paragraph rule), formatting repeating the style (folded away on import). SafeEdit found: the export rewrites a neighbouring block when the editor rewrites a table (B-022) -- mitigated by preferring repairs in the file. Not a finished product.</t>
  </si>
  <si>
    <t>S2-026</t>
  </si>
  <si>
    <t>More readable mobile editor view</t>
  </si>
  <si>
    <t>Bigger default reading zoom on phones, comfortable line length, quicker page navigation.</t>
  </si>
  <si>
    <t>Owner's UI backlog 2026-10-15</t>
  </si>
  <si>
    <t>S2-027</t>
  </si>
  <si>
    <t>Compact mobile toolbar</t>
  </si>
  <si>
    <t>On phones the contextual toolbar takes two rows: one row with the most used tools, the rest behind 'More'.</t>
  </si>
  <si>
    <t>S2-028</t>
  </si>
  <si>
    <t>Backend messages in both languages</t>
  </si>
  <si>
    <t>Health check titles/summaries, version descriptions, SafeEdit check details and export notes come from the server in English: message codes + parameters, worded by the client's dictionaries.</t>
  </si>
  <si>
    <t>S2-083</t>
  </si>
  <si>
    <t>Doctor: repairs for paragraph-level fonts and repeated formatting (in the file)</t>
  </si>
  <si>
    <t>The two measured gaps of v0, as minimal edits in the Word file, verified by SafeEdit.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</si>
  <si>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</si>
  <si>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</si>
  <si>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</si>
  <si>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</si>
  <si>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</si>
  <si>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</si>
  <si>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</si>
  <si>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</si>
  <si>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</si>
  <si>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</si>
  <si>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</si>
  <si>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</si>
  <si>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</si>
  <si>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</si>
  <si>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</si>
  <si>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</si>
  <si>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</si>
  <si>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</si>
  <si>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</si>
  <si>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</si>
  <si>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</si>
  <si>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</si>
  <si>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</si>
  <si>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</si>
  <si>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</si>
  <si>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</si>
  <si>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</si>
  <si>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</si>
  <si>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</si>
  <si>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</si>
  <si>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</si>
  <si>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</si>
  <si>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</si>
  <si>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</si>
  <si>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</si>
  <si>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</si>
  <si>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</si>
  <si>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</si>
  <si>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</si>
  <si>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</si>
  <si>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</si>
  <si>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</si>
  <si>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</si>
  <si>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</si>
  <si>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</si>
  <si>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</si>
  <si>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</si>
  <si>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</si>
  <si>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</si>
  <si>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</si>
  <si>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</si>
  <si>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</si>
  <si>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</si>
  <si>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</si>
  <si>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</si>
  <si>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</si>
  <si>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</si>
  <si>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</si>
  <si>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</si>
  <si>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</si>
  <si>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</si>
  <si>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</si>
  <si>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</si>
  <si>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</si>
  <si>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</si>
  <si>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</si>
  <si>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</si>
  <si>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</si>
  <si>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</si>
  <si>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</si>
  <si>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</si>
  <si>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</si>
  <si>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</si>
  <si>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</si>
  <si>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</si>
  <si>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</si>
  <si>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</si>
  <si>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</si>
  <si>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</si>
  <si>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</si>
  <si>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</si>
  <si>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</si>
  <si>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</si>
  <si>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</si>
  <si>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</si>
  <si>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</si>
  <si>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</si>
  <si>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</si>
  <si>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</si>
  <si>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</si>
  <si>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</si>
  <si>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Built-in renamed 'Академичен' -- ids unchanged, names looked up by id, so documents and workspace defaults keep working (b85cc79)</t>
  </si>
  <si>
    <t>tests/test_templates.py: ids pinned, no built-in name says 'default'; template API/access tests 43 green; e2e uses /Академичен/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</si>
  <si>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</si>
  <si>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</si>
  <si>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</si>
  <si>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</si>
  <si>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</si>
  <si>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</si>
  <si>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B-016</t>
  </si>
  <si>
    <t>Editor in the dark theme: properties, page settings, export menu, action bar</t>
  </si>
  <si>
    <t>WCAG AA contrast</t>
  </si>
  <si>
    <t>Grey labels (zinc-500 on dark) below AA -- found by axe on the 2.0 shell; the classic editor had the same</t>
  </si>
  <si>
    <t>Those labels on the muted token (b85cc79)</t>
  </si>
  <si>
    <t>e2e/accessibility.spec.ts: 2.0 shell light, panel open, dark -- no serious violations</t>
  </si>
  <si>
    <t>B-017</t>
  </si>
  <si>
    <t>Editor: apply a template (or an instruction / restore), then press Ctrl+Z in the text</t>
  </si>
  <si>
    <t>Undo of typing only; a saved change is undone through the saved history</t>
  </si>
  <si>
    <t>The server's change had entered ProseMirror's history: Ctrl+Z reverted it locally and autosave saved that as an edit</t>
  </si>
  <si>
    <t>Server changes applied outside PM history; resetTypingHistory clears typing undo/redo (029acd4)</t>
  </si>
  <si>
    <t>commands.test.ts; e2e one-undo test (typing first, then 'Undo the last saved change', 'Undone:' toast, redo)</t>
  </si>
  <si>
    <t>B-018</t>
  </si>
  <si>
    <t>E2: open the Instructions panel</t>
  </si>
  <si>
    <t>One Undo/Redo</t>
  </si>
  <si>
    <t>A second 'Undo formatting / Redo formatting' pair beside the top bar's</t>
  </si>
  <si>
    <t>showHistory={false} in E2; classic unchanged (029acd4)</t>
  </si>
  <si>
    <t>e2e templates test: no 'Undo formatting' in E2; top bar undo/redo of the formatting</t>
  </si>
  <si>
    <t>B-019</t>
  </si>
  <si>
    <t>Review of the D-012 guard</t>
  </si>
  <si>
    <t>A misconfigured preview touches nothing</t>
  </si>
  <si>
    <t>Text-only URL check; no ref = no check; health fingerprint equal for projects on the same pooler; start-up housekeeping wrote to the database before any check</t>
  </si>
  <si>
    <t>Fail-closed settings + identity markers; gate before start-up writes, requests and the worker; fingerprint of host/port/user/database (029acd4)</t>
  </si>
  <si>
    <t>tests/test_preview_isolation.py (30)</t>
  </si>
  <si>
    <t>B-020</t>
  </si>
  <si>
    <t>E2 in Bulgarian: Properties</t>
  </si>
  <si>
    <t>Readable labels</t>
  </si>
  <si>
    <t>Long labels ('Междуредие') ran into the 'нулирай' button; History time 'just now' in English</t>
  </si>
  <si>
    <t>Reset as an icon beside the label (label linked to its field); History uses the localized relative time (029acd4)</t>
  </si>
  <si>
    <t>docs/ui-review/2026-10-14d/e2-light-history-bg.png, e2-dark-review-bg.png</t>
  </si>
  <si>
    <t>B-021</t>
  </si>
  <si>
    <t>Export to PDF a Word paragraph marked right to left that starts with a Latin word (a11-multilingual, on a machine with shaping)</t>
  </si>
  <si>
    <t>Words in reading order, right to left</t>
  </si>
  <si>
    <t>The line's words drawn in reverse order (each word itself correct)</t>
  </si>
  <si>
    <t>pdf_export._for_text honours the paragraph's own direction (27e3bfc)</t>
  </si>
  <si>
    <t>tests/test_multilingual.py: 2 new tests fail without the fix; a11 Hebrew reads back exactly</t>
  </si>
  <si>
    <t>B-022</t>
  </si>
  <si>
    <t>Editor repair rewrites a table (layout fix) in a Word-backed document, export into the original</t>
  </si>
  <si>
    <t>Only the table's block changes</t>
  </si>
  <si>
    <t>The empty paragraph after the table is rewritten too (found by SafeEdit on d13)</t>
  </si>
  <si>
    <t>OPEN</t>
  </si>
  <si>
    <t>Mitigated in Doctor: repairs in the file are preferred and the overlapping editor repair dropped; exporter root cause open</t>
  </si>
  <si>
    <t>tests/test_doctor.py d13 verified</t>
  </si>
  <si>
    <t>B-023</t>
  </si>
  <si>
    <t>a11-multilingual exported to PDF, text copied</t>
  </si>
  <si>
    <t>Arabic yeh U+064A</t>
  </si>
  <si>
    <t>Persian yeh U+06CC in 2 words (same glyph in those positions)</t>
  </si>
  <si>
    <t>Known limit of the PDF text layer; the word check stays 'changed'</t>
  </si>
  <si>
    <t>scratchpad investigation; docs analysis section 13</t>
  </si>
  <si>
    <t>B-024</t>
  </si>
  <si>
    <t>A preview's settings refused at start</t>
  </si>
  <si>
    <t>No secret in logs</t>
  </si>
  <si>
    <t>pydantic copied the settings (DATABASE_URL with its password) into the error text</t>
  </si>
  <si>
    <t>hide_input_in_errors=True (ea50bd6)</t>
  </si>
  <si>
    <t>tests/test_preview_isolation.py leak tests; CI run 38713707649</t>
  </si>
  <si>
    <t>B-025</t>
  </si>
  <si>
    <t>S7 health showed 'the identity marker can't be read'</t>
  </si>
  <si>
    <t>The reason, safely</t>
  </si>
  <si>
    <t>A sign-in failure was reported like a missing marker</t>
  </si>
  <si>
    <t>Refusal codes from SQLSTATE / S3 codes / exception class names only; health status not_serving until proven</t>
  </si>
  <si>
    <t>tests/test_preview_isolation.py 89; backend 2806 passed</t>
  </si>
  <si>
    <t>B-026</t>
  </si>
  <si>
    <t>Type in the editor and watch the save status during the autosave delay (1.2 s)</t>
  </si>
  <si>
    <t>'Not saved yet' until the change is stored</t>
  </si>
  <si>
    <t>'Saved' shown while the change still waited for the debounce (idle shown as saved)</t>
  </si>
  <si>
    <t>New 'pending' save status ('Not saved yet' / 'Още не е запазено') from the first key to the end of the save, both editors (local commit (see git log), local, not pushed)</t>
  </si>
  <si>
    <t>frontend/editor/useAutoSave.test.tsx (new test); e2e/autosave-conflict.spec.ts</t>
  </si>
  <si>
    <t>B-027</t>
  </si>
  <si>
    <t>D-012 user test on the Preview: upload a DOCX with a picture, choose a template, type; the next save</t>
  </si>
  <si>
    <t>Saves go through; a conflict only when another tab/window really changed the document</t>
  </si>
  <si>
    <t>'This document was changed in another tab or window...' while one person typed in one tab</t>
  </si>
  <si>
    <t>Root cause: Vercel's edge evaluates the standard If-Match header against its own ETag and answered successful saves (app 200, revision bumped) with 412 -- the client never learned the new revision, so the next save was a real 412. The client now sends the revision in its own X-SmartDoc-Revision header (the edge leaves it alone); the backend reads it first and still accepts If-Match; version check, 409/412/428 handling unchanged (local commit (see git log), local, not pushed)</t>
  </si>
  <si>
    <t>Preview logs: app status 200 vs edge status 412 on the same PATCH requests; pg_stat_statements: every document UPDATE hit its row (no StaleDataError). Tests: backend test_content_patch.py (header guards patch and whole save, header wins over If-Match, CORS allows it); e2e/autosave-conflict.spec.ts 6 (bursts after upload+picture+template, reload, real second-tab conflict, emulated edge -- fails with the owner's exact message without the fix). Needs the owner's user test on a new Preview deployment.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</si>
  <si>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</si>
  <si>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</si>
  <si>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</si>
  <si>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</si>
  <si>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</si>
  <si>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</si>
  <si>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</si>
  <si>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</si>
  <si>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</si>
  <si>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</si>
  <si>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</si>
  <si>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</si>
  <si>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</si>
  <si>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</si>
  <si>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</si>
  <si>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</si>
  <si>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</si>
  <si>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</si>
  <si>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</si>
  <si>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</si>
  <si>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</si>
  <si>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</si>
  <si>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</si>
  <si>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</si>
  <si>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</si>
  <si>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</si>
  <si>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</si>
  <si>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</si>
  <si>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</si>
  <si>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</si>
  <si>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</si>
  <si>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</si>
  <si>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</si>
  <si>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</si>
  <si>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</si>
  <si>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</si>
  <si>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</si>
  <si>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</si>
  <si>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</si>
  <si>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</si>
  <si>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</si>
  <si>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</si>
  <si>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</si>
  <si>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</si>
  <si>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</si>
  <si>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</si>
  <si>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</si>
  <si>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</si>
  <si>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2026-10-14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</si>
  <si>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</si>
  <si>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</si>
  <si>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</si>
  <si>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</si>
  <si>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</si>
  <si>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</si>
  <si>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</si>
  <si>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</si>
  <si>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</si>
  <si>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</si>
  <si>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</si>
  <si>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</si>
  <si>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</si>
  <si>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</si>
  <si>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</si>
  <si>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</si>
  <si>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</si>
  <si>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</si>
  <si>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</si>
  <si>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</si>
  <si>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</si>
  <si>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</si>
  <si>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</si>
  <si>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</si>
  <si>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</si>
  <si>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</si>
  <si>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</si>
  <si>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</si>
  <si>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</si>
  <si>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</si>
  <si>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</si>
  <si>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</si>
  <si>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</si>
  <si>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</si>
  <si>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</si>
  <si>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</si>
  <si>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</si>
  <si>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</si>
  <si>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</si>
  <si>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</si>
  <si>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</si>
  <si>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</si>
  <si>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</si>
  <si>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</si>
  <si>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</si>
  <si>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</si>
  <si>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</si>
  <si>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T-023</t>
  </si>
  <si>
    <t>Full pytest (isolation guard, built-in rename)</t>
  </si>
  <si>
    <t>PASS 2625 / 11 skipped (2624 + OpenAPI contract after re-export)</t>
  </si>
  <si>
    <t>pytest -q</t>
  </si>
  <si>
    <t>T-024</t>
  </si>
  <si>
    <t>Vitest + tsc + eslint (engine refactor, 2.0 shell)</t>
  </si>
  <si>
    <t>PASS 520 / tsc / eslint</t>
  </si>
  <si>
    <t>T-025</t>
  </si>
  <si>
    <t>Playwright: all classic specs + e2e/editor-v2.spec.ts + axe on the 2.0 shell</t>
  </si>
  <si>
    <t>PASS 74 / 1 skipped</t>
  </si>
  <si>
    <t>T-026</t>
  </si>
  <si>
    <t>2.0 editor: 1440 light with panel, 1280 dark paper, 375 dark + drawer; typing/autosave/reload, undo/redo, classic default</t>
  </si>
  <si>
    <t>PASS after rail width, paper, phone fixes</t>
  </si>
  <si>
    <t>docs/ui-review/2026-10-14c/</t>
  </si>
  <si>
    <t>T-027</t>
  </si>
  <si>
    <t>Editor 2.0 E2: 13 scenarios incl. one undo, toolbar by selection, keyboard, panels, phone, Bulgarian panels</t>
  </si>
  <si>
    <t>Local throwaway servers (next build)</t>
  </si>
  <si>
    <t>PASS 13/13</t>
  </si>
  <si>
    <t>e2e/editor-v2.spec.ts</t>
  </si>
  <si>
    <t>T-028</t>
  </si>
  <si>
    <t>Full Playwright suite: classic + E2 + axe</t>
  </si>
  <si>
    <t>PASS 79, 1 skipped</t>
  </si>
  <si>
    <t>T-029</t>
  </si>
  <si>
    <t>Unit</t>
  </si>
  <si>
    <t>Vitest incl. command registry, unified history, hardcoded-text guard over editor/*</t>
  </si>
  <si>
    <t>PASS 559</t>
  </si>
  <si>
    <t>T-030</t>
  </si>
  <si>
    <t>Full backend suite incl. preview isolation (28 of 30; 2 need PostgreSQL)</t>
  </si>
  <si>
    <t>Local, SQLite; PostgreSQL tests in CI</t>
  </si>
  <si>
    <t>PASS 2647, 13 skipped</t>
  </si>
  <si>
    <t>pytest</t>
  </si>
  <si>
    <t>T-031</t>
  </si>
  <si>
    <t>E2 screenshots: light/dark desktop EN+BG, focus mode, phone light/dark</t>
  </si>
  <si>
    <t>Local throwaway servers, Edge headless</t>
  </si>
  <si>
    <t>PASS after BG label + History time fixes</t>
  </si>
  <si>
    <t>docs/ui-review/2026-10-14d/</t>
  </si>
  <si>
    <t>T-032</t>
  </si>
  <si>
    <t>CI</t>
  </si>
  <si>
    <t>Isolated PostgreSQL workflow: empty DB, migrations, 49 isolation + 14 PostgreSQL tests</t>
  </si>
  <si>
    <t>GitHub Actions, throwaway postgres:17, no secrets</t>
  </si>
  <si>
    <t>https://github.com/Drajeto07/claude/actions/runs/38701081333</t>
  </si>
  <si>
    <t>T-033</t>
  </si>
  <si>
    <t>Doctor v0: corpus invariants, labelled corpus, SafeEdit tamper tests, refusals</t>
  </si>
  <si>
    <t>PASS 72</t>
  </si>
  <si>
    <t>tests/test_doctor.py</t>
  </si>
  <si>
    <t>T-034</t>
  </si>
  <si>
    <t>Doctor API: flow, refusals, flag, other user's document, original kept</t>
  </si>
  <si>
    <t>PASS 9 (+4 routes in the security suite)</t>
  </si>
  <si>
    <t>tests/test_doctor_api.py</t>
  </si>
  <si>
    <t>T-035</t>
  </si>
  <si>
    <t>Doctor panel: flag, check-choose-verify-download, signed refused, Bulgarian; axe light/dark</t>
  </si>
  <si>
    <t>PASS 5</t>
  </si>
  <si>
    <t>e2e/doctor.spec.ts, e2e/accessibility.spec.ts</t>
  </si>
  <si>
    <t>T-036</t>
  </si>
  <si>
    <t>Fidelity</t>
  </si>
  <si>
    <t>The 1 of 111 unverified content check investigated (a11 PDF on Windows)</t>
  </si>
  <si>
    <t>Local, pypdfium2 render + glyph positions</t>
  </si>
  <si>
    <t>Real RTL defect fixed (B-021); 2-letter text-layer limit documented (B-023)</t>
  </si>
  <si>
    <t>docs/SMARTDOC_DOCUMENT_DOCTOR_SAFEEDIT_ANALYSIS.md section 13</t>
  </si>
  <si>
    <t>T-037</t>
  </si>
  <si>
    <t>Release</t>
  </si>
  <si>
    <t>D-012 S6 check (Vercel API names/scope/type/timestamps, no values)</t>
  </si>
  <si>
    <t>Vercel project smartdoc</t>
  </si>
  <si>
    <t>scratchpad/s6_check.py</t>
  </si>
  <si>
    <t>T-038</t>
  </si>
  <si>
    <t>D-012 S7: switch + independent proof (Supabase logs, statement statistics, storage logs; production unchanged)</t>
  </si>
  <si>
    <t>Vercel Preview dpl_3262fjM25cveZESWDNfkoBZF6csr</t>
  </si>
  <si>
    <t>PASS technically; user test pending</t>
  </si>
  <si>
    <t>docs/d012-preview/S6_PROCEDURE.md; this tracker row S2-050</t>
  </si>
  <si>
    <t>T-039</t>
  </si>
  <si>
    <t>Autosave: typing bursts around the autosave delay, reload, real second-tab conflict, behind an emulated edge that evaluates If-Match; classic + v2</t>
  </si>
  <si>
    <t>Local throwaway servers (E2E_JOB_BACKEND=eager)</t>
  </si>
  <si>
    <t>PASS 6 (the edge test fails without the B-027 fix)</t>
  </si>
  <si>
    <t>frontend/e2e/autosave-conflict.spec.ts</t>
  </si>
  <si>
    <t>T-040</t>
  </si>
  <si>
    <t>Regression</t>
  </si>
  <si>
    <t>Full suites after the B-027/B-026 fix</t>
  </si>
  <si>
    <t>Backend 2809 passed / 16 skipped; Playwright 90 passed / 1 skipped (Vitest 561)</t>
  </si>
  <si>
    <t>pytest -q; npx playwright test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</si>
  <si>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</si>
  <si>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</si>
  <si>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</si>
  <si>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</si>
  <si>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</si>
  <si>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</si>
  <si>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</si>
  <si>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</si>
  <si>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</si>
  <si>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</si>
  <si>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</si>
  <si>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</si>
  <si>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</si>
  <si>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</si>
  <si>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</si>
  <si>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</si>
  <si>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</si>
  <si>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</si>
  <si>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</si>
  <si>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</si>
  <si>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</si>
  <si>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</si>
  <si>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</si>
  <si>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</si>
  <si>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</si>
  <si>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</si>
  <si>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</si>
  <si>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</si>
  <si>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</si>
  <si>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</si>
  <si>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</si>
  <si>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</si>
  <si>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</si>
  <si>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</si>
  <si>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</si>
  <si>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</si>
  <si>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</si>
  <si>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</si>
  <si>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</si>
  <si>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</si>
  <si>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</si>
  <si>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</si>
  <si>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</si>
  <si>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</si>
  <si>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</si>
  <si>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</si>
  <si>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</si>
  <si>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Canvas documents and the shared database</t>
  </si>
  <si>
    <t>Option (a). S1-S6 done; S7 switched (2026-10-15) and technically verified; VERIFIED only after the owner's user test. S8 (Free Design writes) and S9 (old test accounts) not approved.</t>
  </si>
  <si>
    <t>S2-050, P5 persistence</t>
  </si>
  <si>
    <t>S2-050, S2-040</t>
  </si>
  <si>
    <t>Long-term direction: Reliable Document AI</t>
  </si>
  <si>
    <t>Context, not a scope change: Document Doctor/Repair, SafeEdit/Protect, Verify, FormatDNA, TruthSync, structure-preserving translation. Roadmap unchanged, editor stays; E2 first, then the Doctor + SafeEdit analysis (done), no large implementation without approval.</t>
  </si>
  <si>
    <t>P9 (new)</t>
  </si>
  <si>
    <t>S2-080, S2-081</t>
  </si>
  <si>
    <t>D-014</t>
  </si>
  <si>
    <t>Doctor v0 architecture</t>
  </si>
  <si>
    <t>Repairs either in the Word file itself (minimal edits) or in the editor (proposals); the smaller edit wins on the same block; a repaired file is handed out only when SafeEdit verified it against the original; refusals are explicit; deterministic, no AI; prototype behind ?doctor=1 and DOCTOR_ENABLED.</t>
  </si>
  <si>
    <t>S2-081, S2-083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</si>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</sst>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COUNTIF(Tasks!$G$2:$G$38,A5)</f>
        <v>9</v>
      </c>
      <c r="C5" s="5">
        <f>COUNTIF(Roadmap!$D$2:$D$11,A5)</f>
        <v>3</v>
      </c>
    </row>
    <row r="6" spans="1:3" x14ac:dyDescent="0.25">
      <c r="A6" s="6" t="s">
        <v>6</v>
      </c>
      <c r="B6" s="5">
        <f>COUNTIF(Tasks!$G$2:$G$38,A6)</f>
        <v>0</v>
      </c>
      <c r="C6" s="5">
        <f>COUNTIF(Roadmap!$D$2:$D$11,A6)</f>
        <v>1</v>
      </c>
    </row>
    <row r="7" spans="1:3" x14ac:dyDescent="0.25">
      <c r="A7" s="7" t="s">
        <v>7</v>
      </c>
      <c r="B7" s="5">
        <f>COUNTIF(Tasks!$G$2:$G$38,A7)</f>
        <v>1</v>
      </c>
      <c r="C7" s="5">
        <f>COUNTIF(Roadmap!$D$2:$D$11,A7)</f>
        <v>3</v>
      </c>
    </row>
    <row r="8" spans="1:3" x14ac:dyDescent="0.25">
      <c r="A8" s="8" t="s">
        <v>8</v>
      </c>
      <c r="B8" s="5">
        <f>COUNTIF(Tasks!$G$2:$G$38,A8)</f>
        <v>0</v>
      </c>
      <c r="C8" s="5">
        <f>COUNTIF(Roadmap!$D$2:$D$11,A8)</f>
        <v>0</v>
      </c>
    </row>
    <row r="9" spans="1:3" x14ac:dyDescent="0.25">
      <c r="A9" s="9" t="s">
        <v>9</v>
      </c>
      <c r="B9" s="5">
        <f>COUNTIF(Tasks!$G$2:$G$38,A9)</f>
        <v>2</v>
      </c>
      <c r="C9" s="5">
        <f>COUNTIF(Roadmap!$D$2:$D$11,A9)</f>
        <v>0</v>
      </c>
    </row>
    <row r="10" spans="1:3" x14ac:dyDescent="0.25">
      <c r="A10" s="10" t="s">
        <v>10</v>
      </c>
      <c r="B10" s="5">
        <f>COUNTIF(Tasks!$G$2:$G$38,A10)</f>
        <v>20</v>
      </c>
      <c r="C10" s="5">
        <f>COUNTIF(Roadmap!$D$2:$D$11,A10)</f>
        <v>2</v>
      </c>
    </row>
    <row r="11" spans="1:3" x14ac:dyDescent="0.25">
      <c r="A11" s="11" t="s">
        <v>11</v>
      </c>
      <c r="B11" s="5">
        <f>COUNTIF(Tasks!$G$2:$G$38,A11)</f>
        <v>5</v>
      </c>
      <c r="C11" s="5">
        <f>COUNTIF(Roadmap!$D$2:$D$11,A11)</f>
        <v>1</v>
      </c>
    </row>
    <row r="12" spans="1:3" x14ac:dyDescent="0.25">
      <c r="A12" s="12" t="s">
        <v>12</v>
      </c>
      <c r="B12" s="12">
        <f>SUM(B5:B11)</f>
        <v>37</v>
      </c>
      <c r="C12" s="12">
        <f>SUM(C5:C11)</f>
        <v>10</v>
      </c>
    </row>
    <row r="13" spans="1:3" x14ac:dyDescent="0.25">
      <c r="A13" s="13" t="s">
        <v>13</v>
      </c>
      <c r="B13" s="14">
        <f>IFERROR((B11+B10)/B12,0)</f>
        <v>0.67567567567567566</v>
      </c>
    </row>
    <row r="14" spans="1:3" x14ac:dyDescent="0.25">
      <c r="A14" s="13" t="s">
        <v>14</v>
      </c>
      <c r="B14">
        <f>COUNTIFS(Tasks!$F$2:$F$38,"P0",Tasks!$G$2:$G$38,"&lt;&gt;DONE",Tasks!$G$2:$G$38,"&lt;&gt;VERIFIED")</f>
        <v>1</v>
      </c>
    </row>
    <row r="15" spans="1:3" x14ac:dyDescent="0.25">
      <c r="A15" s="13" t="s">
        <v>15</v>
      </c>
      <c r="B15">
        <f>COUNTA(Bugs!$A$2:$A$28)-COUNTIF(Bugs!$F$2:$F$28,"DONE")-COUNTIF(Bugs!$F$2:$F$28,"VERIFIED")</f>
        <v>6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38.25" x14ac:dyDescent="0.25">
      <c r="A6" s="17" t="s">
        <v>38</v>
      </c>
      <c r="B6" s="17" t="s">
        <v>39</v>
      </c>
      <c r="C6" s="17" t="s">
        <v>40</v>
      </c>
      <c r="D6" s="17" t="s">
        <v>7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7</v>
      </c>
      <c r="E10" s="17" t="s">
        <v>58</v>
      </c>
      <c r="F10" s="17" t="s">
        <v>59</v>
      </c>
    </row>
    <row r="11" spans="1:6" ht="25.5" x14ac:dyDescent="0.25">
      <c r="A11" s="17" t="s">
        <v>60</v>
      </c>
      <c r="B11" s="17" t="s">
        <v>61</v>
      </c>
      <c r="C11" s="17" t="s">
        <v>62</v>
      </c>
      <c r="D11" s="17" t="s">
        <v>7</v>
      </c>
      <c r="E11" s="17" t="s">
        <v>63</v>
      </c>
      <c r="F11" s="17" t="s">
        <v>64</v>
      </c>
    </row>
  </sheetData>
  <autoFilter ref="A1:F11" xr:uid="{00000000-0009-0000-0000-000001000000}"/>
  <conditionalFormatting sqref="D2:D11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65</v>
      </c>
      <c r="B1" s="16" t="s">
        <v>17</v>
      </c>
      <c r="C1" s="16" t="s">
        <v>66</v>
      </c>
      <c r="D1" s="16" t="s">
        <v>67</v>
      </c>
      <c r="E1" s="16" t="s">
        <v>68</v>
      </c>
      <c r="F1" s="16" t="s">
        <v>69</v>
      </c>
      <c r="G1" s="16" t="s">
        <v>2</v>
      </c>
      <c r="H1" s="16" t="s">
        <v>20</v>
      </c>
      <c r="I1" s="16" t="s">
        <v>70</v>
      </c>
      <c r="J1" s="16" t="s">
        <v>71</v>
      </c>
      <c r="K1" s="16" t="s">
        <v>72</v>
      </c>
      <c r="L1" s="16" t="s">
        <v>73</v>
      </c>
      <c r="M1" s="16" t="s">
        <v>74</v>
      </c>
      <c r="N1" s="16" t="s">
        <v>75</v>
      </c>
      <c r="O1" s="16" t="s">
        <v>76</v>
      </c>
      <c r="P1" s="16" t="s">
        <v>77</v>
      </c>
    </row>
    <row r="2" spans="1:16" ht="38.25" x14ac:dyDescent="0.25">
      <c r="A2" s="17" t="s">
        <v>78</v>
      </c>
      <c r="B2" s="17" t="s">
        <v>22</v>
      </c>
      <c r="C2" s="17" t="s">
        <v>79</v>
      </c>
      <c r="D2" s="17" t="s">
        <v>80</v>
      </c>
      <c r="E2" s="17" t="s">
        <v>81</v>
      </c>
      <c r="F2" s="17" t="s">
        <v>22</v>
      </c>
      <c r="G2" s="17" t="s">
        <v>11</v>
      </c>
      <c r="H2" s="17"/>
      <c r="I2" s="17" t="s">
        <v>82</v>
      </c>
      <c r="J2" s="17" t="s">
        <v>83</v>
      </c>
      <c r="K2" s="17" t="s">
        <v>84</v>
      </c>
      <c r="L2" s="17"/>
      <c r="M2" s="17"/>
      <c r="N2" s="17" t="s">
        <v>85</v>
      </c>
      <c r="O2" s="17" t="s">
        <v>86</v>
      </c>
      <c r="P2" s="17" t="s">
        <v>87</v>
      </c>
    </row>
    <row r="3" spans="1:16" ht="63.75" x14ac:dyDescent="0.25">
      <c r="A3" s="17" t="s">
        <v>88</v>
      </c>
      <c r="B3" s="17" t="s">
        <v>22</v>
      </c>
      <c r="C3" s="17" t="s">
        <v>79</v>
      </c>
      <c r="D3" s="17" t="s">
        <v>89</v>
      </c>
      <c r="E3" s="17" t="s">
        <v>90</v>
      </c>
      <c r="F3" s="17" t="s">
        <v>22</v>
      </c>
      <c r="G3" s="17" t="s">
        <v>11</v>
      </c>
      <c r="H3" s="17" t="s">
        <v>78</v>
      </c>
      <c r="I3" s="17" t="s">
        <v>91</v>
      </c>
      <c r="J3" s="17" t="s">
        <v>83</v>
      </c>
      <c r="K3" s="17" t="s">
        <v>84</v>
      </c>
      <c r="L3" s="17" t="s">
        <v>92</v>
      </c>
      <c r="M3" s="17" t="s">
        <v>93</v>
      </c>
      <c r="N3" s="17" t="s">
        <v>94</v>
      </c>
      <c r="O3" s="17" t="s">
        <v>86</v>
      </c>
      <c r="P3" s="17" t="s">
        <v>95</v>
      </c>
    </row>
    <row r="4" spans="1:16" ht="25.5" x14ac:dyDescent="0.25">
      <c r="A4" s="17" t="s">
        <v>96</v>
      </c>
      <c r="B4" s="17" t="s">
        <v>22</v>
      </c>
      <c r="C4" s="17" t="s">
        <v>79</v>
      </c>
      <c r="D4" s="17" t="s">
        <v>97</v>
      </c>
      <c r="E4" s="17" t="s">
        <v>98</v>
      </c>
      <c r="F4" s="17" t="s">
        <v>22</v>
      </c>
      <c r="G4" s="17" t="s">
        <v>11</v>
      </c>
      <c r="H4" s="17" t="s">
        <v>78</v>
      </c>
      <c r="I4" s="17" t="s">
        <v>99</v>
      </c>
      <c r="J4" s="17" t="s">
        <v>83</v>
      </c>
      <c r="K4" s="17" t="s">
        <v>84</v>
      </c>
      <c r="L4" s="17" t="s">
        <v>92</v>
      </c>
      <c r="M4" s="17"/>
      <c r="N4" s="17" t="s">
        <v>100</v>
      </c>
      <c r="O4" s="17" t="s">
        <v>86</v>
      </c>
      <c r="P4" s="17"/>
    </row>
    <row r="5" spans="1:16" ht="38.25" x14ac:dyDescent="0.25">
      <c r="A5" s="17" t="s">
        <v>101</v>
      </c>
      <c r="B5" s="17" t="s">
        <v>22</v>
      </c>
      <c r="C5" s="17" t="s">
        <v>79</v>
      </c>
      <c r="D5" s="17" t="s">
        <v>102</v>
      </c>
      <c r="E5" s="17" t="s">
        <v>103</v>
      </c>
      <c r="F5" s="17" t="s">
        <v>22</v>
      </c>
      <c r="G5" s="17" t="s">
        <v>11</v>
      </c>
      <c r="H5" s="17"/>
      <c r="I5" s="17" t="s">
        <v>104</v>
      </c>
      <c r="J5" s="17" t="s">
        <v>83</v>
      </c>
      <c r="K5" s="17" t="s">
        <v>84</v>
      </c>
      <c r="L5" s="17" t="s">
        <v>92</v>
      </c>
      <c r="M5" s="17"/>
      <c r="N5" s="17" t="s">
        <v>105</v>
      </c>
      <c r="O5" s="17" t="s">
        <v>86</v>
      </c>
      <c r="P5" s="17" t="s">
        <v>106</v>
      </c>
    </row>
    <row r="6" spans="1:16" ht="63.75" x14ac:dyDescent="0.25">
      <c r="A6" s="17" t="s">
        <v>107</v>
      </c>
      <c r="B6" s="17" t="s">
        <v>26</v>
      </c>
      <c r="C6" s="17" t="s">
        <v>108</v>
      </c>
      <c r="D6" s="17" t="s">
        <v>109</v>
      </c>
      <c r="E6" s="17" t="s">
        <v>110</v>
      </c>
      <c r="F6" s="17" t="s">
        <v>22</v>
      </c>
      <c r="G6" s="17" t="s">
        <v>10</v>
      </c>
      <c r="H6" s="17" t="s">
        <v>88</v>
      </c>
      <c r="I6" s="17" t="s">
        <v>111</v>
      </c>
      <c r="J6" s="17" t="s">
        <v>83</v>
      </c>
      <c r="K6" s="17" t="s">
        <v>84</v>
      </c>
      <c r="L6" s="17" t="s">
        <v>112</v>
      </c>
      <c r="M6" s="17" t="s">
        <v>113</v>
      </c>
      <c r="N6" s="17" t="s">
        <v>114</v>
      </c>
      <c r="O6" s="17" t="s">
        <v>86</v>
      </c>
      <c r="P6" s="17"/>
    </row>
    <row r="7" spans="1:16" ht="38.25" x14ac:dyDescent="0.25">
      <c r="A7" s="17" t="s">
        <v>115</v>
      </c>
      <c r="B7" s="17" t="s">
        <v>26</v>
      </c>
      <c r="C7" s="17" t="s">
        <v>108</v>
      </c>
      <c r="D7" s="17" t="s">
        <v>116</v>
      </c>
      <c r="E7" s="17" t="s">
        <v>117</v>
      </c>
      <c r="F7" s="17" t="s">
        <v>22</v>
      </c>
      <c r="G7" s="17" t="s">
        <v>10</v>
      </c>
      <c r="H7" s="17" t="s">
        <v>107</v>
      </c>
      <c r="I7" s="17" t="s">
        <v>118</v>
      </c>
      <c r="J7" s="17" t="s">
        <v>83</v>
      </c>
      <c r="K7" s="17" t="s">
        <v>84</v>
      </c>
      <c r="L7" s="17" t="s">
        <v>112</v>
      </c>
      <c r="M7" s="17" t="s">
        <v>113</v>
      </c>
      <c r="N7" s="17" t="s">
        <v>119</v>
      </c>
      <c r="O7" s="17" t="s">
        <v>86</v>
      </c>
      <c r="P7" s="17"/>
    </row>
    <row r="8" spans="1:16" ht="76.5" x14ac:dyDescent="0.25">
      <c r="A8" s="17" t="s">
        <v>120</v>
      </c>
      <c r="B8" s="17" t="s">
        <v>30</v>
      </c>
      <c r="C8" s="17" t="s">
        <v>121</v>
      </c>
      <c r="D8" s="17" t="s">
        <v>122</v>
      </c>
      <c r="E8" s="17" t="s">
        <v>123</v>
      </c>
      <c r="F8" s="17" t="s">
        <v>22</v>
      </c>
      <c r="G8" s="17" t="s">
        <v>10</v>
      </c>
      <c r="H8" s="17" t="s">
        <v>115</v>
      </c>
      <c r="I8" s="17" t="s">
        <v>124</v>
      </c>
      <c r="J8" s="17" t="s">
        <v>83</v>
      </c>
      <c r="K8" s="17" t="s">
        <v>84</v>
      </c>
      <c r="L8" s="17" t="s">
        <v>112</v>
      </c>
      <c r="M8" s="17" t="s">
        <v>113</v>
      </c>
      <c r="N8" s="17" t="s">
        <v>125</v>
      </c>
      <c r="O8" s="17" t="s">
        <v>86</v>
      </c>
      <c r="P8" s="17" t="s">
        <v>126</v>
      </c>
    </row>
    <row r="9" spans="1:16" ht="89.25" x14ac:dyDescent="0.25">
      <c r="A9" s="17" t="s">
        <v>127</v>
      </c>
      <c r="B9" s="17" t="s">
        <v>26</v>
      </c>
      <c r="C9" s="17" t="s">
        <v>108</v>
      </c>
      <c r="D9" s="17" t="s">
        <v>128</v>
      </c>
      <c r="E9" s="17" t="s">
        <v>129</v>
      </c>
      <c r="F9" s="17" t="s">
        <v>26</v>
      </c>
      <c r="G9" s="17" t="s">
        <v>10</v>
      </c>
      <c r="H9" s="17" t="s">
        <v>115</v>
      </c>
      <c r="I9" s="17" t="s">
        <v>130</v>
      </c>
      <c r="J9" s="17" t="s">
        <v>83</v>
      </c>
      <c r="K9" s="17" t="s">
        <v>84</v>
      </c>
      <c r="L9" s="17" t="s">
        <v>131</v>
      </c>
      <c r="M9" s="17" t="s">
        <v>132</v>
      </c>
      <c r="N9" s="17" t="s">
        <v>133</v>
      </c>
      <c r="O9" s="17" t="s">
        <v>86</v>
      </c>
      <c r="P9" s="17" t="s">
        <v>134</v>
      </c>
    </row>
    <row r="10" spans="1:16" ht="114.75" x14ac:dyDescent="0.25">
      <c r="A10" s="17" t="s">
        <v>135</v>
      </c>
      <c r="B10" s="17" t="s">
        <v>30</v>
      </c>
      <c r="C10" s="17" t="s">
        <v>121</v>
      </c>
      <c r="D10" s="17" t="s">
        <v>136</v>
      </c>
      <c r="E10" s="17" t="s">
        <v>137</v>
      </c>
      <c r="F10" s="17" t="s">
        <v>26</v>
      </c>
      <c r="G10" s="17" t="s">
        <v>10</v>
      </c>
      <c r="H10" s="17" t="s">
        <v>127</v>
      </c>
      <c r="I10" s="17" t="s">
        <v>138</v>
      </c>
      <c r="J10" s="17" t="s">
        <v>83</v>
      </c>
      <c r="K10" s="17" t="s">
        <v>84</v>
      </c>
      <c r="L10" s="17" t="s">
        <v>139</v>
      </c>
      <c r="M10" s="17" t="s">
        <v>140</v>
      </c>
      <c r="N10" s="17" t="s">
        <v>141</v>
      </c>
      <c r="O10" s="17" t="s">
        <v>86</v>
      </c>
      <c r="P10" s="17" t="s">
        <v>142</v>
      </c>
    </row>
    <row r="11" spans="1:16" ht="114.75" x14ac:dyDescent="0.25">
      <c r="A11" s="17" t="s">
        <v>143</v>
      </c>
      <c r="B11" s="17" t="s">
        <v>30</v>
      </c>
      <c r="C11" s="17" t="s">
        <v>121</v>
      </c>
      <c r="D11" s="17" t="s">
        <v>144</v>
      </c>
      <c r="E11" s="17" t="s">
        <v>145</v>
      </c>
      <c r="F11" s="17" t="s">
        <v>26</v>
      </c>
      <c r="G11" s="17" t="s">
        <v>10</v>
      </c>
      <c r="H11" s="17" t="s">
        <v>127</v>
      </c>
      <c r="I11" s="17" t="s">
        <v>146</v>
      </c>
      <c r="J11" s="17" t="s">
        <v>83</v>
      </c>
      <c r="K11" s="17" t="s">
        <v>84</v>
      </c>
      <c r="L11" s="17" t="s">
        <v>139</v>
      </c>
      <c r="M11" s="17" t="s">
        <v>140</v>
      </c>
      <c r="N11" s="17" t="s">
        <v>147</v>
      </c>
      <c r="O11" s="17" t="s">
        <v>86</v>
      </c>
      <c r="P11" s="17" t="s">
        <v>148</v>
      </c>
    </row>
    <row r="12" spans="1:16" ht="255" x14ac:dyDescent="0.25">
      <c r="A12" s="17" t="s">
        <v>149</v>
      </c>
      <c r="B12" s="17" t="s">
        <v>34</v>
      </c>
      <c r="C12" s="17" t="s">
        <v>121</v>
      </c>
      <c r="D12" s="17" t="s">
        <v>150</v>
      </c>
      <c r="E12" s="17" t="s">
        <v>151</v>
      </c>
      <c r="F12" s="17" t="s">
        <v>26</v>
      </c>
      <c r="G12" s="17" t="s">
        <v>10</v>
      </c>
      <c r="H12" s="17" t="s">
        <v>143</v>
      </c>
      <c r="I12" s="17" t="s">
        <v>152</v>
      </c>
      <c r="J12" s="17" t="s">
        <v>83</v>
      </c>
      <c r="K12" s="17" t="s">
        <v>84</v>
      </c>
      <c r="L12" s="17" t="s">
        <v>153</v>
      </c>
      <c r="M12" s="17" t="s">
        <v>154</v>
      </c>
      <c r="N12" s="17" t="s">
        <v>155</v>
      </c>
      <c r="O12" s="17" t="s">
        <v>86</v>
      </c>
      <c r="P12" s="17" t="s">
        <v>156</v>
      </c>
    </row>
    <row r="13" spans="1:16" ht="216.75" x14ac:dyDescent="0.25">
      <c r="A13" s="17" t="s">
        <v>157</v>
      </c>
      <c r="B13" s="17" t="s">
        <v>38</v>
      </c>
      <c r="C13" s="17" t="s">
        <v>158</v>
      </c>
      <c r="D13" s="17" t="s">
        <v>159</v>
      </c>
      <c r="E13" s="17" t="s">
        <v>160</v>
      </c>
      <c r="F13" s="17" t="s">
        <v>26</v>
      </c>
      <c r="G13" s="17" t="s">
        <v>10</v>
      </c>
      <c r="H13" s="17" t="s">
        <v>127</v>
      </c>
      <c r="I13" s="17" t="s">
        <v>161</v>
      </c>
      <c r="J13" s="17" t="s">
        <v>83</v>
      </c>
      <c r="K13" s="17" t="s">
        <v>84</v>
      </c>
      <c r="L13" s="17" t="s">
        <v>162</v>
      </c>
      <c r="M13" s="17" t="s">
        <v>163</v>
      </c>
      <c r="N13" s="17" t="s">
        <v>164</v>
      </c>
      <c r="O13" s="17" t="s">
        <v>86</v>
      </c>
      <c r="P13" s="17" t="s">
        <v>165</v>
      </c>
    </row>
    <row r="14" spans="1:16" ht="63.75" x14ac:dyDescent="0.25">
      <c r="A14" s="17" t="s">
        <v>166</v>
      </c>
      <c r="B14" s="17" t="s">
        <v>42</v>
      </c>
      <c r="C14" s="17" t="s">
        <v>158</v>
      </c>
      <c r="D14" s="17" t="s">
        <v>167</v>
      </c>
      <c r="E14" s="17" t="s">
        <v>168</v>
      </c>
      <c r="F14" s="17" t="s">
        <v>26</v>
      </c>
      <c r="G14" s="17" t="s">
        <v>7</v>
      </c>
      <c r="H14" s="17" t="s">
        <v>157</v>
      </c>
      <c r="I14" s="17" t="s">
        <v>169</v>
      </c>
      <c r="J14" s="17" t="s">
        <v>83</v>
      </c>
      <c r="K14" s="17" t="s">
        <v>84</v>
      </c>
      <c r="L14" s="17" t="s">
        <v>170</v>
      </c>
      <c r="M14" s="17"/>
      <c r="N14" s="17" t="s">
        <v>171</v>
      </c>
      <c r="O14" s="17" t="s">
        <v>86</v>
      </c>
      <c r="P14" s="17" t="s">
        <v>172</v>
      </c>
    </row>
    <row r="15" spans="1:16" ht="25.5" x14ac:dyDescent="0.25">
      <c r="A15" s="17" t="s">
        <v>173</v>
      </c>
      <c r="B15" s="17" t="s">
        <v>46</v>
      </c>
      <c r="C15" s="17" t="s">
        <v>174</v>
      </c>
      <c r="D15" s="17" t="s">
        <v>175</v>
      </c>
      <c r="E15" s="17" t="s">
        <v>176</v>
      </c>
      <c r="F15" s="17" t="s">
        <v>26</v>
      </c>
      <c r="G15" s="17" t="s">
        <v>5</v>
      </c>
      <c r="H15" s="17" t="s">
        <v>157</v>
      </c>
      <c r="I15" s="17" t="s">
        <v>177</v>
      </c>
      <c r="J15" s="17" t="s">
        <v>83</v>
      </c>
      <c r="K15" s="17" t="s">
        <v>84</v>
      </c>
      <c r="L15" s="17"/>
      <c r="M15" s="17"/>
      <c r="N15" s="17"/>
      <c r="O15" s="17" t="s">
        <v>86</v>
      </c>
      <c r="P15" s="17" t="s">
        <v>178</v>
      </c>
    </row>
    <row r="16" spans="1:16" ht="25.5" x14ac:dyDescent="0.25">
      <c r="A16" s="17" t="s">
        <v>179</v>
      </c>
      <c r="B16" s="17" t="s">
        <v>51</v>
      </c>
      <c r="C16" s="17" t="s">
        <v>180</v>
      </c>
      <c r="D16" s="17" t="s">
        <v>181</v>
      </c>
      <c r="E16" s="17" t="s">
        <v>182</v>
      </c>
      <c r="F16" s="17" t="s">
        <v>26</v>
      </c>
      <c r="G16" s="17" t="s">
        <v>5</v>
      </c>
      <c r="H16" s="17" t="s">
        <v>157</v>
      </c>
      <c r="I16" s="17" t="s">
        <v>183</v>
      </c>
      <c r="J16" s="17" t="s">
        <v>83</v>
      </c>
      <c r="K16" s="17" t="s">
        <v>84</v>
      </c>
      <c r="L16" s="17"/>
      <c r="M16" s="17"/>
      <c r="N16" s="17"/>
      <c r="O16" s="17" t="s">
        <v>86</v>
      </c>
      <c r="P16" s="17" t="s">
        <v>184</v>
      </c>
    </row>
    <row r="17" spans="1:16" ht="127.5" x14ac:dyDescent="0.25">
      <c r="A17" s="17" t="s">
        <v>185</v>
      </c>
      <c r="B17" s="17" t="s">
        <v>30</v>
      </c>
      <c r="C17" s="17" t="s">
        <v>186</v>
      </c>
      <c r="D17" s="17" t="s">
        <v>187</v>
      </c>
      <c r="E17" s="17" t="s">
        <v>188</v>
      </c>
      <c r="F17" s="17" t="s">
        <v>22</v>
      </c>
      <c r="G17" s="17" t="s">
        <v>10</v>
      </c>
      <c r="H17" s="17" t="s">
        <v>115</v>
      </c>
      <c r="I17" s="17" t="s">
        <v>189</v>
      </c>
      <c r="J17" s="17" t="s">
        <v>83</v>
      </c>
      <c r="K17" s="17" t="s">
        <v>84</v>
      </c>
      <c r="L17" s="17" t="s">
        <v>139</v>
      </c>
      <c r="M17" s="17" t="s">
        <v>140</v>
      </c>
      <c r="N17" s="17" t="s">
        <v>190</v>
      </c>
      <c r="O17" s="17" t="s">
        <v>86</v>
      </c>
      <c r="P17" s="17" t="s">
        <v>191</v>
      </c>
    </row>
    <row r="18" spans="1:16" ht="178.5" x14ac:dyDescent="0.25">
      <c r="A18" s="17" t="s">
        <v>192</v>
      </c>
      <c r="B18" s="17" t="s">
        <v>30</v>
      </c>
      <c r="C18" s="17" t="s">
        <v>186</v>
      </c>
      <c r="D18" s="17" t="s">
        <v>193</v>
      </c>
      <c r="E18" s="17" t="s">
        <v>194</v>
      </c>
      <c r="F18" s="17" t="s">
        <v>26</v>
      </c>
      <c r="G18" s="17" t="s">
        <v>10</v>
      </c>
      <c r="H18" s="17" t="s">
        <v>185</v>
      </c>
      <c r="I18" s="17" t="s">
        <v>195</v>
      </c>
      <c r="J18" s="17" t="s">
        <v>83</v>
      </c>
      <c r="K18" s="17" t="s">
        <v>84</v>
      </c>
      <c r="L18" s="17" t="s">
        <v>196</v>
      </c>
      <c r="M18" s="17" t="s">
        <v>197</v>
      </c>
      <c r="N18" s="17" t="s">
        <v>198</v>
      </c>
      <c r="O18" s="17" t="s">
        <v>86</v>
      </c>
      <c r="P18" s="17" t="s">
        <v>199</v>
      </c>
    </row>
    <row r="19" spans="1:16" ht="165.75" x14ac:dyDescent="0.25">
      <c r="A19" s="17" t="s">
        <v>200</v>
      </c>
      <c r="B19" s="17" t="s">
        <v>30</v>
      </c>
      <c r="C19" s="17" t="s">
        <v>121</v>
      </c>
      <c r="D19" s="17" t="s">
        <v>201</v>
      </c>
      <c r="E19" s="17" t="s">
        <v>202</v>
      </c>
      <c r="F19" s="17" t="s">
        <v>22</v>
      </c>
      <c r="G19" s="17" t="s">
        <v>10</v>
      </c>
      <c r="H19" s="17" t="s">
        <v>135</v>
      </c>
      <c r="I19" s="17" t="s">
        <v>203</v>
      </c>
      <c r="J19" s="17" t="s">
        <v>83</v>
      </c>
      <c r="K19" s="17" t="s">
        <v>84</v>
      </c>
      <c r="L19" s="17" t="s">
        <v>204</v>
      </c>
      <c r="M19" s="17" t="s">
        <v>205</v>
      </c>
      <c r="N19" s="17" t="s">
        <v>206</v>
      </c>
      <c r="O19" s="17" t="s">
        <v>86</v>
      </c>
      <c r="P19" s="17" t="s">
        <v>207</v>
      </c>
    </row>
    <row r="20" spans="1:16" ht="102" x14ac:dyDescent="0.25">
      <c r="A20" s="17" t="s">
        <v>208</v>
      </c>
      <c r="B20" s="17" t="s">
        <v>30</v>
      </c>
      <c r="C20" s="17" t="s">
        <v>121</v>
      </c>
      <c r="D20" s="17" t="s">
        <v>209</v>
      </c>
      <c r="E20" s="17" t="s">
        <v>210</v>
      </c>
      <c r="F20" s="17" t="s">
        <v>22</v>
      </c>
      <c r="G20" s="17" t="s">
        <v>10</v>
      </c>
      <c r="H20" s="17" t="s">
        <v>115</v>
      </c>
      <c r="I20" s="17" t="s">
        <v>211</v>
      </c>
      <c r="J20" s="17" t="s">
        <v>83</v>
      </c>
      <c r="K20" s="17" t="s">
        <v>84</v>
      </c>
      <c r="L20" s="17" t="s">
        <v>204</v>
      </c>
      <c r="M20" s="17" t="s">
        <v>205</v>
      </c>
      <c r="N20" s="17" t="s">
        <v>212</v>
      </c>
      <c r="O20" s="17" t="s">
        <v>86</v>
      </c>
      <c r="P20" s="17" t="s">
        <v>213</v>
      </c>
    </row>
    <row r="21" spans="1:16" ht="76.5" x14ac:dyDescent="0.25">
      <c r="A21" s="17" t="s">
        <v>214</v>
      </c>
      <c r="B21" s="17" t="s">
        <v>30</v>
      </c>
      <c r="C21" s="17" t="s">
        <v>121</v>
      </c>
      <c r="D21" s="17" t="s">
        <v>215</v>
      </c>
      <c r="E21" s="17" t="s">
        <v>216</v>
      </c>
      <c r="F21" s="17" t="s">
        <v>22</v>
      </c>
      <c r="G21" s="17" t="s">
        <v>10</v>
      </c>
      <c r="H21" s="17" t="s">
        <v>135</v>
      </c>
      <c r="I21" s="17" t="s">
        <v>217</v>
      </c>
      <c r="J21" s="17" t="s">
        <v>83</v>
      </c>
      <c r="K21" s="17" t="s">
        <v>84</v>
      </c>
      <c r="L21" s="17" t="s">
        <v>204</v>
      </c>
      <c r="M21" s="17" t="s">
        <v>205</v>
      </c>
      <c r="N21" s="17" t="s">
        <v>218</v>
      </c>
      <c r="O21" s="17" t="s">
        <v>86</v>
      </c>
      <c r="P21" s="17" t="s">
        <v>219</v>
      </c>
    </row>
    <row r="22" spans="1:16" ht="51" x14ac:dyDescent="0.25">
      <c r="A22" s="17" t="s">
        <v>220</v>
      </c>
      <c r="B22" s="17" t="s">
        <v>30</v>
      </c>
      <c r="C22" s="17" t="s">
        <v>180</v>
      </c>
      <c r="D22" s="17" t="s">
        <v>221</v>
      </c>
      <c r="E22" s="17" t="s">
        <v>222</v>
      </c>
      <c r="F22" s="17" t="s">
        <v>26</v>
      </c>
      <c r="G22" s="17" t="s">
        <v>10</v>
      </c>
      <c r="H22" s="17" t="s">
        <v>127</v>
      </c>
      <c r="I22" s="17" t="s">
        <v>223</v>
      </c>
      <c r="J22" s="17" t="s">
        <v>83</v>
      </c>
      <c r="K22" s="17" t="s">
        <v>84</v>
      </c>
      <c r="L22" s="17" t="s">
        <v>204</v>
      </c>
      <c r="M22" s="17" t="s">
        <v>205</v>
      </c>
      <c r="N22" s="17" t="s">
        <v>224</v>
      </c>
      <c r="O22" s="17" t="s">
        <v>86</v>
      </c>
      <c r="P22" s="17" t="s">
        <v>225</v>
      </c>
    </row>
    <row r="23" spans="1:16" ht="38.25" x14ac:dyDescent="0.25">
      <c r="A23" s="17" t="s">
        <v>226</v>
      </c>
      <c r="B23" s="17" t="s">
        <v>30</v>
      </c>
      <c r="C23" s="17" t="s">
        <v>121</v>
      </c>
      <c r="D23" s="17" t="s">
        <v>227</v>
      </c>
      <c r="E23" s="17" t="s">
        <v>228</v>
      </c>
      <c r="F23" s="17" t="s">
        <v>26</v>
      </c>
      <c r="G23" s="17" t="s">
        <v>10</v>
      </c>
      <c r="H23" s="17" t="s">
        <v>127</v>
      </c>
      <c r="I23" s="17" t="s">
        <v>229</v>
      </c>
      <c r="J23" s="17" t="s">
        <v>83</v>
      </c>
      <c r="K23" s="17" t="s">
        <v>84</v>
      </c>
      <c r="L23" s="17" t="s">
        <v>204</v>
      </c>
      <c r="M23" s="17" t="s">
        <v>205</v>
      </c>
      <c r="N23" s="17" t="s">
        <v>230</v>
      </c>
      <c r="O23" s="17" t="s">
        <v>86</v>
      </c>
      <c r="P23" s="17" t="s">
        <v>231</v>
      </c>
    </row>
    <row r="24" spans="1:16" ht="38.25" x14ac:dyDescent="0.25">
      <c r="A24" s="17" t="s">
        <v>232</v>
      </c>
      <c r="B24" s="17" t="s">
        <v>30</v>
      </c>
      <c r="C24" s="17" t="s">
        <v>121</v>
      </c>
      <c r="D24" s="17" t="s">
        <v>233</v>
      </c>
      <c r="E24" s="17" t="s">
        <v>234</v>
      </c>
      <c r="F24" s="17" t="s">
        <v>26</v>
      </c>
      <c r="G24" s="17" t="s">
        <v>10</v>
      </c>
      <c r="H24" s="17" t="s">
        <v>208</v>
      </c>
      <c r="I24" s="17" t="s">
        <v>235</v>
      </c>
      <c r="J24" s="17" t="s">
        <v>83</v>
      </c>
      <c r="K24" s="17" t="s">
        <v>84</v>
      </c>
      <c r="L24" s="17" t="s">
        <v>204</v>
      </c>
      <c r="M24" s="17" t="s">
        <v>205</v>
      </c>
      <c r="N24" s="17" t="s">
        <v>236</v>
      </c>
      <c r="O24" s="17" t="s">
        <v>86</v>
      </c>
      <c r="P24" s="17" t="s">
        <v>237</v>
      </c>
    </row>
    <row r="25" spans="1:16" ht="51" x14ac:dyDescent="0.25">
      <c r="A25" s="17" t="s">
        <v>238</v>
      </c>
      <c r="B25" s="17" t="s">
        <v>30</v>
      </c>
      <c r="C25" s="17" t="s">
        <v>121</v>
      </c>
      <c r="D25" s="17" t="s">
        <v>239</v>
      </c>
      <c r="E25" s="17" t="s">
        <v>240</v>
      </c>
      <c r="F25" s="17" t="s">
        <v>30</v>
      </c>
      <c r="G25" s="17" t="s">
        <v>10</v>
      </c>
      <c r="H25" s="17" t="s">
        <v>208</v>
      </c>
      <c r="I25" s="17" t="s">
        <v>241</v>
      </c>
      <c r="J25" s="17" t="s">
        <v>83</v>
      </c>
      <c r="K25" s="17" t="s">
        <v>84</v>
      </c>
      <c r="L25" s="17" t="s">
        <v>196</v>
      </c>
      <c r="M25" s="17" t="s">
        <v>163</v>
      </c>
      <c r="N25" s="17" t="s">
        <v>242</v>
      </c>
      <c r="O25" s="17" t="s">
        <v>86</v>
      </c>
      <c r="P25" s="17" t="s">
        <v>243</v>
      </c>
    </row>
    <row r="26" spans="1:16" ht="127.5" x14ac:dyDescent="0.25">
      <c r="A26" s="17" t="s">
        <v>244</v>
      </c>
      <c r="B26" s="17" t="s">
        <v>34</v>
      </c>
      <c r="C26" s="17" t="s">
        <v>121</v>
      </c>
      <c r="D26" s="17" t="s">
        <v>245</v>
      </c>
      <c r="E26" s="17" t="s">
        <v>246</v>
      </c>
      <c r="F26" s="17" t="s">
        <v>26</v>
      </c>
      <c r="G26" s="17" t="s">
        <v>10</v>
      </c>
      <c r="H26" s="17" t="s">
        <v>149</v>
      </c>
      <c r="I26" s="17" t="s">
        <v>247</v>
      </c>
      <c r="J26" s="17" t="s">
        <v>83</v>
      </c>
      <c r="K26" s="17" t="s">
        <v>84</v>
      </c>
      <c r="L26" s="17" t="s">
        <v>248</v>
      </c>
      <c r="M26" s="17" t="s">
        <v>163</v>
      </c>
      <c r="N26" s="17" t="s">
        <v>249</v>
      </c>
      <c r="O26" s="17" t="s">
        <v>86</v>
      </c>
      <c r="P26" s="17" t="s">
        <v>250</v>
      </c>
    </row>
    <row r="27" spans="1:16" ht="89.25" x14ac:dyDescent="0.25">
      <c r="A27" s="17" t="s">
        <v>251</v>
      </c>
      <c r="B27" s="17" t="s">
        <v>34</v>
      </c>
      <c r="C27" s="17" t="s">
        <v>121</v>
      </c>
      <c r="D27" s="17" t="s">
        <v>252</v>
      </c>
      <c r="E27" s="17" t="s">
        <v>253</v>
      </c>
      <c r="F27" s="17" t="s">
        <v>26</v>
      </c>
      <c r="G27" s="17" t="s">
        <v>10</v>
      </c>
      <c r="H27" s="17" t="s">
        <v>149</v>
      </c>
      <c r="I27" s="17" t="s">
        <v>254</v>
      </c>
      <c r="J27" s="17" t="s">
        <v>83</v>
      </c>
      <c r="K27" s="17" t="s">
        <v>84</v>
      </c>
      <c r="L27" s="17" t="s">
        <v>255</v>
      </c>
      <c r="M27" s="17" t="s">
        <v>163</v>
      </c>
      <c r="N27" s="17" t="s">
        <v>256</v>
      </c>
      <c r="O27" s="17" t="s">
        <v>86</v>
      </c>
      <c r="P27" s="17" t="s">
        <v>257</v>
      </c>
    </row>
    <row r="28" spans="1:16" ht="382.5" x14ac:dyDescent="0.25">
      <c r="A28" s="17" t="s">
        <v>258</v>
      </c>
      <c r="B28" s="17" t="s">
        <v>55</v>
      </c>
      <c r="C28" s="17" t="s">
        <v>259</v>
      </c>
      <c r="D28" s="17" t="s">
        <v>260</v>
      </c>
      <c r="E28" s="17" t="s">
        <v>261</v>
      </c>
      <c r="F28" s="17" t="s">
        <v>22</v>
      </c>
      <c r="G28" s="17" t="s">
        <v>9</v>
      </c>
      <c r="H28" s="17"/>
      <c r="I28" s="17" t="s">
        <v>262</v>
      </c>
      <c r="J28" s="17" t="s">
        <v>263</v>
      </c>
      <c r="K28" s="17" t="s">
        <v>84</v>
      </c>
      <c r="L28" s="17" t="s">
        <v>264</v>
      </c>
      <c r="M28" s="17" t="s">
        <v>265</v>
      </c>
      <c r="N28" s="17" t="s">
        <v>266</v>
      </c>
      <c r="O28" s="17" t="s">
        <v>86</v>
      </c>
      <c r="P28" s="17" t="s">
        <v>267</v>
      </c>
    </row>
    <row r="29" spans="1:16" ht="38.25" x14ac:dyDescent="0.25">
      <c r="A29" s="17" t="s">
        <v>268</v>
      </c>
      <c r="B29" s="17" t="s">
        <v>34</v>
      </c>
      <c r="C29" s="17" t="s">
        <v>121</v>
      </c>
      <c r="D29" s="17" t="s">
        <v>269</v>
      </c>
      <c r="E29" s="17" t="s">
        <v>270</v>
      </c>
      <c r="F29" s="17" t="s">
        <v>30</v>
      </c>
      <c r="G29" s="17" t="s">
        <v>5</v>
      </c>
      <c r="H29" s="17" t="s">
        <v>251</v>
      </c>
      <c r="I29" s="17" t="s">
        <v>271</v>
      </c>
      <c r="J29" s="17" t="s">
        <v>83</v>
      </c>
      <c r="K29" s="17" t="s">
        <v>84</v>
      </c>
      <c r="L29" s="17"/>
      <c r="M29" s="17"/>
      <c r="N29" s="17"/>
      <c r="O29" s="17" t="s">
        <v>86</v>
      </c>
      <c r="P29" s="17" t="s">
        <v>272</v>
      </c>
    </row>
    <row r="30" spans="1:16" ht="38.25" x14ac:dyDescent="0.25">
      <c r="A30" s="17" t="s">
        <v>273</v>
      </c>
      <c r="B30" s="17" t="s">
        <v>34</v>
      </c>
      <c r="C30" s="17" t="s">
        <v>121</v>
      </c>
      <c r="D30" s="17" t="s">
        <v>274</v>
      </c>
      <c r="E30" s="17" t="s">
        <v>275</v>
      </c>
      <c r="F30" s="17" t="s">
        <v>30</v>
      </c>
      <c r="G30" s="17" t="s">
        <v>5</v>
      </c>
      <c r="H30" s="17" t="s">
        <v>149</v>
      </c>
      <c r="I30" s="17" t="s">
        <v>276</v>
      </c>
      <c r="J30" s="17" t="s">
        <v>83</v>
      </c>
      <c r="K30" s="17" t="s">
        <v>84</v>
      </c>
      <c r="L30" s="17"/>
      <c r="M30" s="17"/>
      <c r="N30" s="17"/>
      <c r="O30" s="17" t="s">
        <v>86</v>
      </c>
      <c r="P30" s="17" t="s">
        <v>272</v>
      </c>
    </row>
    <row r="31" spans="1:16" ht="38.25" x14ac:dyDescent="0.25">
      <c r="A31" s="17" t="s">
        <v>277</v>
      </c>
      <c r="B31" s="17" t="s">
        <v>30</v>
      </c>
      <c r="C31" s="17" t="s">
        <v>121</v>
      </c>
      <c r="D31" s="17" t="s">
        <v>278</v>
      </c>
      <c r="E31" s="17" t="s">
        <v>279</v>
      </c>
      <c r="F31" s="17" t="s">
        <v>30</v>
      </c>
      <c r="G31" s="17" t="s">
        <v>5</v>
      </c>
      <c r="H31" s="17" t="s">
        <v>200</v>
      </c>
      <c r="I31" s="17" t="s">
        <v>280</v>
      </c>
      <c r="J31" s="17" t="s">
        <v>83</v>
      </c>
      <c r="K31" s="17" t="s">
        <v>84</v>
      </c>
      <c r="L31" s="17"/>
      <c r="M31" s="17"/>
      <c r="N31" s="17"/>
      <c r="O31" s="17" t="s">
        <v>86</v>
      </c>
      <c r="P31" s="17" t="s">
        <v>272</v>
      </c>
    </row>
    <row r="32" spans="1:16" ht="255" x14ac:dyDescent="0.25">
      <c r="A32" s="17" t="s">
        <v>281</v>
      </c>
      <c r="B32" s="17" t="s">
        <v>38</v>
      </c>
      <c r="C32" s="17" t="s">
        <v>158</v>
      </c>
      <c r="D32" s="17" t="s">
        <v>282</v>
      </c>
      <c r="E32" s="17" t="s">
        <v>283</v>
      </c>
      <c r="F32" s="17" t="s">
        <v>26</v>
      </c>
      <c r="G32" s="17" t="s">
        <v>10</v>
      </c>
      <c r="H32" s="17" t="s">
        <v>157</v>
      </c>
      <c r="I32" s="17" t="s">
        <v>284</v>
      </c>
      <c r="J32" s="17" t="s">
        <v>83</v>
      </c>
      <c r="K32" s="17" t="s">
        <v>84</v>
      </c>
      <c r="L32" s="17" t="s">
        <v>285</v>
      </c>
      <c r="M32" s="17" t="s">
        <v>286</v>
      </c>
      <c r="N32" s="17" t="s">
        <v>287</v>
      </c>
      <c r="O32" s="17" t="s">
        <v>86</v>
      </c>
      <c r="P32" s="17" t="s">
        <v>288</v>
      </c>
    </row>
    <row r="33" spans="1:16" ht="89.25" x14ac:dyDescent="0.25">
      <c r="A33" s="17" t="s">
        <v>289</v>
      </c>
      <c r="B33" s="17" t="s">
        <v>60</v>
      </c>
      <c r="C33" s="17" t="s">
        <v>290</v>
      </c>
      <c r="D33" s="17" t="s">
        <v>291</v>
      </c>
      <c r="E33" s="17" t="s">
        <v>292</v>
      </c>
      <c r="F33" s="17" t="s">
        <v>30</v>
      </c>
      <c r="G33" s="17" t="s">
        <v>11</v>
      </c>
      <c r="H33" s="17" t="s">
        <v>293</v>
      </c>
      <c r="I33" s="17" t="s">
        <v>294</v>
      </c>
      <c r="J33" s="17" t="s">
        <v>83</v>
      </c>
      <c r="K33" s="17" t="s">
        <v>84</v>
      </c>
      <c r="L33" s="17" t="s">
        <v>285</v>
      </c>
      <c r="M33" s="17"/>
      <c r="N33" s="17" t="s">
        <v>295</v>
      </c>
      <c r="O33" s="17" t="s">
        <v>86</v>
      </c>
      <c r="P33" s="17" t="s">
        <v>296</v>
      </c>
    </row>
    <row r="34" spans="1:16" ht="280.5" x14ac:dyDescent="0.25">
      <c r="A34" s="17" t="s">
        <v>297</v>
      </c>
      <c r="B34" s="17" t="s">
        <v>60</v>
      </c>
      <c r="C34" s="17" t="s">
        <v>290</v>
      </c>
      <c r="D34" s="17" t="s">
        <v>298</v>
      </c>
      <c r="E34" s="17" t="s">
        <v>299</v>
      </c>
      <c r="F34" s="17" t="s">
        <v>30</v>
      </c>
      <c r="G34" s="17" t="s">
        <v>9</v>
      </c>
      <c r="H34" s="17" t="s">
        <v>300</v>
      </c>
      <c r="I34" s="17" t="s">
        <v>301</v>
      </c>
      <c r="J34" s="17" t="s">
        <v>83</v>
      </c>
      <c r="K34" s="17" t="s">
        <v>84</v>
      </c>
      <c r="L34" s="17" t="s">
        <v>302</v>
      </c>
      <c r="M34" s="17"/>
      <c r="N34" s="17" t="s">
        <v>303</v>
      </c>
      <c r="O34" s="17" t="s">
        <v>86</v>
      </c>
      <c r="P34" s="17" t="s">
        <v>304</v>
      </c>
    </row>
    <row r="35" spans="1:16" ht="25.5" x14ac:dyDescent="0.25">
      <c r="A35" s="17" t="s">
        <v>305</v>
      </c>
      <c r="B35" s="17" t="s">
        <v>38</v>
      </c>
      <c r="C35" s="17" t="s">
        <v>121</v>
      </c>
      <c r="D35" s="17" t="s">
        <v>306</v>
      </c>
      <c r="E35" s="17" t="s">
        <v>307</v>
      </c>
      <c r="F35" s="17" t="s">
        <v>30</v>
      </c>
      <c r="G35" s="17" t="s">
        <v>5</v>
      </c>
      <c r="H35" s="17" t="s">
        <v>281</v>
      </c>
      <c r="I35" s="17"/>
      <c r="J35" s="17" t="s">
        <v>83</v>
      </c>
      <c r="K35" s="17" t="s">
        <v>84</v>
      </c>
      <c r="L35" s="17"/>
      <c r="M35" s="17"/>
      <c r="N35" s="17"/>
      <c r="O35" s="17" t="s">
        <v>86</v>
      </c>
      <c r="P35" s="17" t="s">
        <v>308</v>
      </c>
    </row>
    <row r="36" spans="1:16" ht="25.5" x14ac:dyDescent="0.25">
      <c r="A36" s="17" t="s">
        <v>309</v>
      </c>
      <c r="B36" s="17" t="s">
        <v>38</v>
      </c>
      <c r="C36" s="17" t="s">
        <v>121</v>
      </c>
      <c r="D36" s="17" t="s">
        <v>310</v>
      </c>
      <c r="E36" s="17" t="s">
        <v>311</v>
      </c>
      <c r="F36" s="17" t="s">
        <v>30</v>
      </c>
      <c r="G36" s="17" t="s">
        <v>5</v>
      </c>
      <c r="H36" s="17" t="s">
        <v>281</v>
      </c>
      <c r="I36" s="17"/>
      <c r="J36" s="17" t="s">
        <v>83</v>
      </c>
      <c r="K36" s="17" t="s">
        <v>84</v>
      </c>
      <c r="L36" s="17"/>
      <c r="M36" s="17"/>
      <c r="N36" s="17"/>
      <c r="O36" s="17" t="s">
        <v>86</v>
      </c>
      <c r="P36" s="17" t="s">
        <v>308</v>
      </c>
    </row>
    <row r="37" spans="1:16" ht="38.25" x14ac:dyDescent="0.25">
      <c r="A37" s="17" t="s">
        <v>312</v>
      </c>
      <c r="B37" s="17" t="s">
        <v>38</v>
      </c>
      <c r="C37" s="17" t="s">
        <v>186</v>
      </c>
      <c r="D37" s="17" t="s">
        <v>313</v>
      </c>
      <c r="E37" s="17" t="s">
        <v>314</v>
      </c>
      <c r="F37" s="17" t="s">
        <v>30</v>
      </c>
      <c r="G37" s="17" t="s">
        <v>5</v>
      </c>
      <c r="H37" s="17" t="s">
        <v>281</v>
      </c>
      <c r="I37" s="17"/>
      <c r="J37" s="17" t="s">
        <v>83</v>
      </c>
      <c r="K37" s="17" t="s">
        <v>84</v>
      </c>
      <c r="L37" s="17"/>
      <c r="M37" s="17"/>
      <c r="N37" s="17"/>
      <c r="O37" s="17" t="s">
        <v>86</v>
      </c>
      <c r="P37" s="17" t="s">
        <v>308</v>
      </c>
    </row>
    <row r="38" spans="1:16" ht="25.5" x14ac:dyDescent="0.25">
      <c r="A38" s="17" t="s">
        <v>315</v>
      </c>
      <c r="B38" s="17" t="s">
        <v>60</v>
      </c>
      <c r="C38" s="17" t="s">
        <v>290</v>
      </c>
      <c r="D38" s="17" t="s">
        <v>316</v>
      </c>
      <c r="E38" s="17" t="s">
        <v>317</v>
      </c>
      <c r="F38" s="17" t="s">
        <v>30</v>
      </c>
      <c r="G38" s="17" t="s">
        <v>5</v>
      </c>
      <c r="H38" s="17" t="s">
        <v>297</v>
      </c>
      <c r="I38" s="17"/>
      <c r="J38" s="17" t="s">
        <v>83</v>
      </c>
      <c r="K38" s="17" t="s">
        <v>84</v>
      </c>
      <c r="L38" s="17"/>
      <c r="M38" s="17"/>
      <c r="N38" s="17"/>
      <c r="O38" s="17" t="s">
        <v>86</v>
      </c>
      <c r="P38" s="17"/>
    </row>
  </sheetData>
  <autoFilter ref="A1:P38" xr:uid="{00000000-0009-0000-0000-000002000000}"/>
  <conditionalFormatting sqref="G2:G38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318</v>
      </c>
      <c r="B1" s="16" t="s">
        <v>319</v>
      </c>
      <c r="C1" s="16" t="s">
        <v>320</v>
      </c>
      <c r="D1" s="16" t="s">
        <v>321</v>
      </c>
      <c r="E1" s="16" t="s">
        <v>322</v>
      </c>
      <c r="F1" s="16" t="s">
        <v>2</v>
      </c>
      <c r="G1" s="16" t="s">
        <v>323</v>
      </c>
      <c r="H1" s="16" t="s">
        <v>324</v>
      </c>
    </row>
    <row r="2" spans="1:8" ht="38.25" x14ac:dyDescent="0.25">
      <c r="A2" s="17" t="s">
        <v>325</v>
      </c>
      <c r="B2" s="17" t="s">
        <v>326</v>
      </c>
      <c r="C2" s="17" t="s">
        <v>327</v>
      </c>
      <c r="D2" s="17" t="s">
        <v>328</v>
      </c>
      <c r="E2" s="17" t="s">
        <v>329</v>
      </c>
      <c r="F2" s="17" t="s">
        <v>8</v>
      </c>
      <c r="G2" s="17" t="s">
        <v>330</v>
      </c>
      <c r="H2" s="17" t="s">
        <v>331</v>
      </c>
    </row>
    <row r="3" spans="1:8" ht="25.5" x14ac:dyDescent="0.25">
      <c r="A3" s="17" t="s">
        <v>332</v>
      </c>
      <c r="B3" s="17" t="s">
        <v>333</v>
      </c>
      <c r="C3" s="17" t="s">
        <v>334</v>
      </c>
      <c r="D3" s="17" t="s">
        <v>335</v>
      </c>
      <c r="E3" s="17" t="s">
        <v>336</v>
      </c>
      <c r="F3" s="17" t="s">
        <v>5</v>
      </c>
      <c r="G3" s="17"/>
      <c r="H3" s="17" t="s">
        <v>337</v>
      </c>
    </row>
    <row r="4" spans="1:8" ht="25.5" x14ac:dyDescent="0.25">
      <c r="A4" s="17" t="s">
        <v>338</v>
      </c>
      <c r="B4" s="17" t="s">
        <v>333</v>
      </c>
      <c r="C4" s="17" t="s">
        <v>339</v>
      </c>
      <c r="D4" s="17" t="s">
        <v>340</v>
      </c>
      <c r="E4" s="17" t="s">
        <v>341</v>
      </c>
      <c r="F4" s="17" t="s">
        <v>10</v>
      </c>
      <c r="G4" s="17" t="s">
        <v>342</v>
      </c>
      <c r="H4" s="17" t="s">
        <v>343</v>
      </c>
    </row>
    <row r="5" spans="1:8" ht="25.5" x14ac:dyDescent="0.25">
      <c r="A5" s="17" t="s">
        <v>344</v>
      </c>
      <c r="B5" s="17" t="s">
        <v>345</v>
      </c>
      <c r="C5" s="17" t="s">
        <v>346</v>
      </c>
      <c r="D5" s="17" t="s">
        <v>347</v>
      </c>
      <c r="E5" s="17" t="s">
        <v>348</v>
      </c>
      <c r="F5" s="17" t="s">
        <v>10</v>
      </c>
      <c r="G5" s="17" t="s">
        <v>349</v>
      </c>
      <c r="H5" s="17" t="s">
        <v>350</v>
      </c>
    </row>
    <row r="6" spans="1:8" ht="51" x14ac:dyDescent="0.25">
      <c r="A6" s="17" t="s">
        <v>351</v>
      </c>
      <c r="B6" s="17" t="s">
        <v>345</v>
      </c>
      <c r="C6" s="17" t="s">
        <v>352</v>
      </c>
      <c r="D6" s="17" t="s">
        <v>353</v>
      </c>
      <c r="E6" s="17" t="s">
        <v>354</v>
      </c>
      <c r="F6" s="17" t="s">
        <v>10</v>
      </c>
      <c r="G6" s="17" t="s">
        <v>355</v>
      </c>
      <c r="H6" s="17" t="s">
        <v>356</v>
      </c>
    </row>
    <row r="7" spans="1:8" ht="76.5" x14ac:dyDescent="0.25">
      <c r="A7" s="17" t="s">
        <v>357</v>
      </c>
      <c r="B7" s="17" t="s">
        <v>345</v>
      </c>
      <c r="C7" s="17" t="s">
        <v>358</v>
      </c>
      <c r="D7" s="17" t="s">
        <v>359</v>
      </c>
      <c r="E7" s="17" t="s">
        <v>360</v>
      </c>
      <c r="F7" s="17" t="s">
        <v>10</v>
      </c>
      <c r="G7" s="17" t="s">
        <v>361</v>
      </c>
      <c r="H7" s="17" t="s">
        <v>362</v>
      </c>
    </row>
    <row r="8" spans="1:8" ht="38.25" x14ac:dyDescent="0.25">
      <c r="A8" s="17" t="s">
        <v>363</v>
      </c>
      <c r="B8" s="17" t="s">
        <v>333</v>
      </c>
      <c r="C8" s="17" t="s">
        <v>364</v>
      </c>
      <c r="D8" s="17" t="s">
        <v>365</v>
      </c>
      <c r="E8" s="17" t="s">
        <v>366</v>
      </c>
      <c r="F8" s="17" t="s">
        <v>10</v>
      </c>
      <c r="G8" s="17" t="s">
        <v>367</v>
      </c>
      <c r="H8" s="17" t="s">
        <v>368</v>
      </c>
    </row>
    <row r="9" spans="1:8" ht="51" x14ac:dyDescent="0.25">
      <c r="A9" s="17" t="s">
        <v>369</v>
      </c>
      <c r="B9" s="17" t="s">
        <v>333</v>
      </c>
      <c r="C9" s="17" t="s">
        <v>370</v>
      </c>
      <c r="D9" s="17" t="s">
        <v>371</v>
      </c>
      <c r="E9" s="17" t="s">
        <v>372</v>
      </c>
      <c r="F9" s="17" t="s">
        <v>10</v>
      </c>
      <c r="G9" s="17" t="s">
        <v>373</v>
      </c>
      <c r="H9" s="17" t="s">
        <v>374</v>
      </c>
    </row>
    <row r="10" spans="1:8" ht="51" x14ac:dyDescent="0.25">
      <c r="A10" s="17" t="s">
        <v>375</v>
      </c>
      <c r="B10" s="17" t="s">
        <v>333</v>
      </c>
      <c r="C10" s="17" t="s">
        <v>376</v>
      </c>
      <c r="D10" s="17" t="s">
        <v>377</v>
      </c>
      <c r="E10" s="17" t="s">
        <v>378</v>
      </c>
      <c r="F10" s="17" t="s">
        <v>10</v>
      </c>
      <c r="G10" s="17" t="s">
        <v>379</v>
      </c>
      <c r="H10" s="17" t="s">
        <v>380</v>
      </c>
    </row>
    <row r="11" spans="1:8" ht="38.25" x14ac:dyDescent="0.25">
      <c r="A11" s="17" t="s">
        <v>381</v>
      </c>
      <c r="B11" s="17" t="s">
        <v>333</v>
      </c>
      <c r="C11" s="17" t="s">
        <v>382</v>
      </c>
      <c r="D11" s="17" t="s">
        <v>383</v>
      </c>
      <c r="E11" s="17" t="s">
        <v>384</v>
      </c>
      <c r="F11" s="17" t="s">
        <v>10</v>
      </c>
      <c r="G11" s="17" t="s">
        <v>385</v>
      </c>
      <c r="H11" s="17" t="s">
        <v>386</v>
      </c>
    </row>
    <row r="12" spans="1:8" ht="63.75" x14ac:dyDescent="0.25">
      <c r="A12" s="17" t="s">
        <v>387</v>
      </c>
      <c r="B12" s="17" t="s">
        <v>345</v>
      </c>
      <c r="C12" s="17" t="s">
        <v>388</v>
      </c>
      <c r="D12" s="17" t="s">
        <v>389</v>
      </c>
      <c r="E12" s="17" t="s">
        <v>390</v>
      </c>
      <c r="F12" s="17" t="s">
        <v>10</v>
      </c>
      <c r="G12" s="17" t="s">
        <v>391</v>
      </c>
      <c r="H12" s="17" t="s">
        <v>392</v>
      </c>
    </row>
    <row r="13" spans="1:8" ht="51" x14ac:dyDescent="0.25">
      <c r="A13" s="17" t="s">
        <v>393</v>
      </c>
      <c r="B13" s="17" t="s">
        <v>345</v>
      </c>
      <c r="C13" s="17" t="s">
        <v>394</v>
      </c>
      <c r="D13" s="17" t="s">
        <v>395</v>
      </c>
      <c r="E13" s="17" t="s">
        <v>396</v>
      </c>
      <c r="F13" s="17" t="s">
        <v>10</v>
      </c>
      <c r="G13" s="17" t="s">
        <v>397</v>
      </c>
      <c r="H13" s="17" t="s">
        <v>398</v>
      </c>
    </row>
    <row r="14" spans="1:8" ht="51" x14ac:dyDescent="0.25">
      <c r="A14" s="17" t="s">
        <v>399</v>
      </c>
      <c r="B14" s="17" t="s">
        <v>333</v>
      </c>
      <c r="C14" s="17" t="s">
        <v>400</v>
      </c>
      <c r="D14" s="17" t="s">
        <v>401</v>
      </c>
      <c r="E14" s="17" t="s">
        <v>402</v>
      </c>
      <c r="F14" s="17" t="s">
        <v>10</v>
      </c>
      <c r="G14" s="17" t="s">
        <v>403</v>
      </c>
      <c r="H14" s="17" t="s">
        <v>404</v>
      </c>
    </row>
    <row r="15" spans="1:8" ht="102" x14ac:dyDescent="0.25">
      <c r="A15" s="17" t="s">
        <v>405</v>
      </c>
      <c r="B15" s="17" t="s">
        <v>333</v>
      </c>
      <c r="C15" s="17" t="s">
        <v>406</v>
      </c>
      <c r="D15" s="17" t="s">
        <v>407</v>
      </c>
      <c r="E15" s="17" t="s">
        <v>408</v>
      </c>
      <c r="F15" s="17" t="s">
        <v>10</v>
      </c>
      <c r="G15" s="17" t="s">
        <v>409</v>
      </c>
      <c r="H15" s="17" t="s">
        <v>410</v>
      </c>
    </row>
    <row r="16" spans="1:8" ht="25.5" x14ac:dyDescent="0.25">
      <c r="A16" s="17" t="s">
        <v>411</v>
      </c>
      <c r="B16" s="17" t="s">
        <v>333</v>
      </c>
      <c r="C16" s="17" t="s">
        <v>412</v>
      </c>
      <c r="D16" s="17" t="s">
        <v>413</v>
      </c>
      <c r="E16" s="17" t="s">
        <v>414</v>
      </c>
      <c r="F16" s="17" t="s">
        <v>10</v>
      </c>
      <c r="G16" s="17" t="s">
        <v>415</v>
      </c>
      <c r="H16" s="17" t="s">
        <v>416</v>
      </c>
    </row>
    <row r="17" spans="1:8" ht="38.25" x14ac:dyDescent="0.25">
      <c r="A17" s="17" t="s">
        <v>417</v>
      </c>
      <c r="B17" s="17" t="s">
        <v>345</v>
      </c>
      <c r="C17" s="17" t="s">
        <v>418</v>
      </c>
      <c r="D17" s="17" t="s">
        <v>419</v>
      </c>
      <c r="E17" s="17" t="s">
        <v>420</v>
      </c>
      <c r="F17" s="17" t="s">
        <v>10</v>
      </c>
      <c r="G17" s="17" t="s">
        <v>421</v>
      </c>
      <c r="H17" s="17" t="s">
        <v>422</v>
      </c>
    </row>
    <row r="18" spans="1:8" ht="89.25" x14ac:dyDescent="0.25">
      <c r="A18" s="17" t="s">
        <v>423</v>
      </c>
      <c r="B18" s="17" t="s">
        <v>326</v>
      </c>
      <c r="C18" s="17" t="s">
        <v>424</v>
      </c>
      <c r="D18" s="17" t="s">
        <v>425</v>
      </c>
      <c r="E18" s="17" t="s">
        <v>426</v>
      </c>
      <c r="F18" s="17" t="s">
        <v>10</v>
      </c>
      <c r="G18" s="17" t="s">
        <v>427</v>
      </c>
      <c r="H18" s="17" t="s">
        <v>428</v>
      </c>
    </row>
    <row r="19" spans="1:8" ht="51" x14ac:dyDescent="0.25">
      <c r="A19" s="17" t="s">
        <v>429</v>
      </c>
      <c r="B19" s="17" t="s">
        <v>333</v>
      </c>
      <c r="C19" s="17" t="s">
        <v>430</v>
      </c>
      <c r="D19" s="17" t="s">
        <v>431</v>
      </c>
      <c r="E19" s="17" t="s">
        <v>432</v>
      </c>
      <c r="F19" s="17" t="s">
        <v>10</v>
      </c>
      <c r="G19" s="17" t="s">
        <v>433</v>
      </c>
      <c r="H19" s="17" t="s">
        <v>434</v>
      </c>
    </row>
    <row r="20" spans="1:8" ht="102" x14ac:dyDescent="0.25">
      <c r="A20" s="17" t="s">
        <v>435</v>
      </c>
      <c r="B20" s="17" t="s">
        <v>326</v>
      </c>
      <c r="C20" s="17" t="s">
        <v>436</v>
      </c>
      <c r="D20" s="17" t="s">
        <v>437</v>
      </c>
      <c r="E20" s="17" t="s">
        <v>438</v>
      </c>
      <c r="F20" s="17" t="s">
        <v>10</v>
      </c>
      <c r="G20" s="17" t="s">
        <v>439</v>
      </c>
      <c r="H20" s="17" t="s">
        <v>440</v>
      </c>
    </row>
    <row r="21" spans="1:8" ht="76.5" x14ac:dyDescent="0.25">
      <c r="A21" s="17" t="s">
        <v>441</v>
      </c>
      <c r="B21" s="17" t="s">
        <v>333</v>
      </c>
      <c r="C21" s="17" t="s">
        <v>442</v>
      </c>
      <c r="D21" s="17" t="s">
        <v>443</v>
      </c>
      <c r="E21" s="17" t="s">
        <v>444</v>
      </c>
      <c r="F21" s="17" t="s">
        <v>10</v>
      </c>
      <c r="G21" s="17" t="s">
        <v>445</v>
      </c>
      <c r="H21" s="17" t="s">
        <v>446</v>
      </c>
    </row>
    <row r="22" spans="1:8" ht="51" x14ac:dyDescent="0.25">
      <c r="A22" s="17" t="s">
        <v>447</v>
      </c>
      <c r="B22" s="17" t="s">
        <v>345</v>
      </c>
      <c r="C22" s="17" t="s">
        <v>448</v>
      </c>
      <c r="D22" s="17" t="s">
        <v>449</v>
      </c>
      <c r="E22" s="17" t="s">
        <v>450</v>
      </c>
      <c r="F22" s="17" t="s">
        <v>10</v>
      </c>
      <c r="G22" s="17" t="s">
        <v>451</v>
      </c>
      <c r="H22" s="17" t="s">
        <v>452</v>
      </c>
    </row>
    <row r="23" spans="1:8" ht="89.25" x14ac:dyDescent="0.25">
      <c r="A23" s="17" t="s">
        <v>453</v>
      </c>
      <c r="B23" s="17" t="s">
        <v>345</v>
      </c>
      <c r="C23" s="17" t="s">
        <v>454</v>
      </c>
      <c r="D23" s="17" t="s">
        <v>455</v>
      </c>
      <c r="E23" s="17" t="s">
        <v>456</v>
      </c>
      <c r="F23" s="17" t="s">
        <v>457</v>
      </c>
      <c r="G23" s="17" t="s">
        <v>458</v>
      </c>
      <c r="H23" s="17" t="s">
        <v>459</v>
      </c>
    </row>
    <row r="24" spans="1:8" ht="51" x14ac:dyDescent="0.25">
      <c r="A24" s="17" t="s">
        <v>460</v>
      </c>
      <c r="B24" s="17" t="s">
        <v>333</v>
      </c>
      <c r="C24" s="17" t="s">
        <v>461</v>
      </c>
      <c r="D24" s="17" t="s">
        <v>462</v>
      </c>
      <c r="E24" s="17" t="s">
        <v>463</v>
      </c>
      <c r="F24" s="17" t="s">
        <v>457</v>
      </c>
      <c r="G24" s="17" t="s">
        <v>464</v>
      </c>
      <c r="H24" s="17" t="s">
        <v>465</v>
      </c>
    </row>
    <row r="25" spans="1:8" ht="25.5" x14ac:dyDescent="0.25">
      <c r="A25" s="17" t="s">
        <v>466</v>
      </c>
      <c r="B25" s="17" t="s">
        <v>326</v>
      </c>
      <c r="C25" s="17" t="s">
        <v>467</v>
      </c>
      <c r="D25" s="17" t="s">
        <v>468</v>
      </c>
      <c r="E25" s="17" t="s">
        <v>469</v>
      </c>
      <c r="F25" s="17" t="s">
        <v>10</v>
      </c>
      <c r="G25" s="17" t="s">
        <v>470</v>
      </c>
      <c r="H25" s="17" t="s">
        <v>471</v>
      </c>
    </row>
    <row r="26" spans="1:8" ht="89.25" x14ac:dyDescent="0.25">
      <c r="A26" s="17" t="s">
        <v>472</v>
      </c>
      <c r="B26" s="17" t="s">
        <v>345</v>
      </c>
      <c r="C26" s="17" t="s">
        <v>473</v>
      </c>
      <c r="D26" s="17" t="s">
        <v>474</v>
      </c>
      <c r="E26" s="17" t="s">
        <v>475</v>
      </c>
      <c r="F26" s="17" t="s">
        <v>10</v>
      </c>
      <c r="G26" s="17" t="s">
        <v>476</v>
      </c>
      <c r="H26" s="17" t="s">
        <v>477</v>
      </c>
    </row>
    <row r="27" spans="1:8" ht="127.5" x14ac:dyDescent="0.25">
      <c r="A27" s="17" t="s">
        <v>478</v>
      </c>
      <c r="B27" s="17" t="s">
        <v>333</v>
      </c>
      <c r="C27" s="17" t="s">
        <v>479</v>
      </c>
      <c r="D27" s="17" t="s">
        <v>480</v>
      </c>
      <c r="E27" s="17" t="s">
        <v>481</v>
      </c>
      <c r="F27" s="17" t="s">
        <v>9</v>
      </c>
      <c r="G27" s="17" t="s">
        <v>482</v>
      </c>
      <c r="H27" s="17" t="s">
        <v>483</v>
      </c>
    </row>
    <row r="28" spans="1:8" ht="369.75" x14ac:dyDescent="0.25">
      <c r="A28" s="17" t="s">
        <v>484</v>
      </c>
      <c r="B28" s="17" t="s">
        <v>326</v>
      </c>
      <c r="C28" s="17" t="s">
        <v>485</v>
      </c>
      <c r="D28" s="17" t="s">
        <v>486</v>
      </c>
      <c r="E28" s="17" t="s">
        <v>487</v>
      </c>
      <c r="F28" s="17" t="s">
        <v>9</v>
      </c>
      <c r="G28" s="17" t="s">
        <v>488</v>
      </c>
      <c r="H28" s="17" t="s">
        <v>489</v>
      </c>
    </row>
  </sheetData>
  <autoFilter ref="A1:H28" xr:uid="{00000000-0009-0000-0000-000003000000}"/>
  <conditionalFormatting sqref="F2:F28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490</v>
      </c>
      <c r="B1" s="16" t="s">
        <v>491</v>
      </c>
      <c r="C1" s="16" t="s">
        <v>492</v>
      </c>
      <c r="D1" s="16" t="s">
        <v>493</v>
      </c>
      <c r="E1" s="16" t="s">
        <v>494</v>
      </c>
      <c r="F1" s="16" t="s">
        <v>495</v>
      </c>
      <c r="G1" s="16" t="s">
        <v>496</v>
      </c>
    </row>
    <row r="2" spans="1:7" x14ac:dyDescent="0.25">
      <c r="A2" s="17" t="s">
        <v>497</v>
      </c>
      <c r="B2" s="17" t="s">
        <v>498</v>
      </c>
      <c r="C2" s="17" t="s">
        <v>499</v>
      </c>
      <c r="D2" s="17" t="s">
        <v>500</v>
      </c>
      <c r="E2" s="17" t="s">
        <v>501</v>
      </c>
      <c r="F2" s="17" t="s">
        <v>502</v>
      </c>
      <c r="G2" s="17" t="s">
        <v>503</v>
      </c>
    </row>
    <row r="3" spans="1:7" x14ac:dyDescent="0.25">
      <c r="A3" s="17" t="s">
        <v>504</v>
      </c>
      <c r="B3" s="17" t="s">
        <v>505</v>
      </c>
      <c r="C3" s="17" t="s">
        <v>506</v>
      </c>
      <c r="D3" s="17" t="s">
        <v>500</v>
      </c>
      <c r="E3" s="17" t="s">
        <v>507</v>
      </c>
      <c r="F3" s="17" t="s">
        <v>508</v>
      </c>
      <c r="G3" s="17" t="s">
        <v>503</v>
      </c>
    </row>
    <row r="4" spans="1:7" x14ac:dyDescent="0.25">
      <c r="A4" s="17" t="s">
        <v>509</v>
      </c>
      <c r="B4" s="17" t="s">
        <v>510</v>
      </c>
      <c r="C4" s="17" t="s">
        <v>511</v>
      </c>
      <c r="D4" s="17" t="s">
        <v>500</v>
      </c>
      <c r="E4" s="17" t="s">
        <v>512</v>
      </c>
      <c r="F4" s="17" t="s">
        <v>513</v>
      </c>
      <c r="G4" s="17" t="s">
        <v>503</v>
      </c>
    </row>
    <row r="5" spans="1:7" ht="25.5" x14ac:dyDescent="0.25">
      <c r="A5" s="17" t="s">
        <v>514</v>
      </c>
      <c r="B5" s="17" t="s">
        <v>515</v>
      </c>
      <c r="C5" s="17" t="s">
        <v>516</v>
      </c>
      <c r="D5" s="17" t="s">
        <v>517</v>
      </c>
      <c r="E5" s="17" t="s">
        <v>518</v>
      </c>
      <c r="F5" s="17" t="s">
        <v>519</v>
      </c>
      <c r="G5" s="17" t="s">
        <v>503</v>
      </c>
    </row>
    <row r="6" spans="1:7" x14ac:dyDescent="0.25">
      <c r="A6" s="17" t="s">
        <v>520</v>
      </c>
      <c r="B6" s="17" t="s">
        <v>505</v>
      </c>
      <c r="C6" s="17" t="s">
        <v>521</v>
      </c>
      <c r="D6" s="17" t="s">
        <v>500</v>
      </c>
      <c r="E6" s="17" t="s">
        <v>522</v>
      </c>
      <c r="F6" s="17" t="s">
        <v>131</v>
      </c>
      <c r="G6" s="17" t="s">
        <v>503</v>
      </c>
    </row>
    <row r="7" spans="1:7" ht="38.25" x14ac:dyDescent="0.25">
      <c r="A7" s="17" t="s">
        <v>523</v>
      </c>
      <c r="B7" s="17" t="s">
        <v>510</v>
      </c>
      <c r="C7" s="17" t="s">
        <v>524</v>
      </c>
      <c r="D7" s="17" t="s">
        <v>500</v>
      </c>
      <c r="E7" s="17" t="s">
        <v>525</v>
      </c>
      <c r="F7" s="17" t="s">
        <v>131</v>
      </c>
      <c r="G7" s="17" t="s">
        <v>503</v>
      </c>
    </row>
    <row r="8" spans="1:7" ht="25.5" x14ac:dyDescent="0.25">
      <c r="A8" s="17" t="s">
        <v>526</v>
      </c>
      <c r="B8" s="17" t="s">
        <v>121</v>
      </c>
      <c r="C8" s="17" t="s">
        <v>527</v>
      </c>
      <c r="D8" s="17" t="s">
        <v>528</v>
      </c>
      <c r="E8" s="17" t="s">
        <v>518</v>
      </c>
      <c r="F8" s="17" t="s">
        <v>529</v>
      </c>
      <c r="G8" s="17" t="s">
        <v>503</v>
      </c>
    </row>
    <row r="9" spans="1:7" ht="25.5" x14ac:dyDescent="0.25">
      <c r="A9" s="17" t="s">
        <v>530</v>
      </c>
      <c r="B9" s="17" t="s">
        <v>531</v>
      </c>
      <c r="C9" s="17" t="s">
        <v>532</v>
      </c>
      <c r="D9" s="17" t="s">
        <v>533</v>
      </c>
      <c r="E9" s="17" t="s">
        <v>534</v>
      </c>
      <c r="F9" s="17" t="s">
        <v>535</v>
      </c>
      <c r="G9" s="17" t="s">
        <v>503</v>
      </c>
    </row>
    <row r="10" spans="1:7" x14ac:dyDescent="0.25">
      <c r="A10" s="17" t="s">
        <v>536</v>
      </c>
      <c r="B10" s="17" t="s">
        <v>505</v>
      </c>
      <c r="C10" s="17" t="s">
        <v>521</v>
      </c>
      <c r="D10" s="17" t="s">
        <v>500</v>
      </c>
      <c r="E10" s="17" t="s">
        <v>537</v>
      </c>
      <c r="F10" s="17" t="s">
        <v>139</v>
      </c>
      <c r="G10" s="17" t="s">
        <v>538</v>
      </c>
    </row>
    <row r="11" spans="1:7" ht="25.5" x14ac:dyDescent="0.25">
      <c r="A11" s="17" t="s">
        <v>539</v>
      </c>
      <c r="B11" s="17" t="s">
        <v>510</v>
      </c>
      <c r="C11" s="17" t="s">
        <v>540</v>
      </c>
      <c r="D11" s="17" t="s">
        <v>541</v>
      </c>
      <c r="E11" s="17" t="s">
        <v>542</v>
      </c>
      <c r="F11" s="17" t="s">
        <v>139</v>
      </c>
      <c r="G11" s="17" t="s">
        <v>538</v>
      </c>
    </row>
    <row r="12" spans="1:7" ht="38.25" x14ac:dyDescent="0.25">
      <c r="A12" s="17" t="s">
        <v>543</v>
      </c>
      <c r="B12" s="17" t="s">
        <v>121</v>
      </c>
      <c r="C12" s="17" t="s">
        <v>544</v>
      </c>
      <c r="D12" s="17" t="s">
        <v>528</v>
      </c>
      <c r="E12" s="17" t="s">
        <v>545</v>
      </c>
      <c r="F12" s="17" t="s">
        <v>529</v>
      </c>
      <c r="G12" s="17" t="s">
        <v>538</v>
      </c>
    </row>
    <row r="13" spans="1:7" ht="25.5" x14ac:dyDescent="0.25">
      <c r="A13" s="17" t="s">
        <v>546</v>
      </c>
      <c r="B13" s="17" t="s">
        <v>531</v>
      </c>
      <c r="C13" s="17" t="s">
        <v>532</v>
      </c>
      <c r="D13" s="17" t="s">
        <v>533</v>
      </c>
      <c r="E13" s="17" t="s">
        <v>547</v>
      </c>
      <c r="F13" s="17" t="s">
        <v>548</v>
      </c>
      <c r="G13" s="17" t="s">
        <v>538</v>
      </c>
    </row>
    <row r="14" spans="1:7" ht="51" x14ac:dyDescent="0.25">
      <c r="A14" s="17" t="s">
        <v>549</v>
      </c>
      <c r="B14" s="17" t="s">
        <v>498</v>
      </c>
      <c r="C14" s="17" t="s">
        <v>550</v>
      </c>
      <c r="D14" s="17" t="s">
        <v>500</v>
      </c>
      <c r="E14" s="17" t="s">
        <v>551</v>
      </c>
      <c r="F14" s="17" t="s">
        <v>552</v>
      </c>
      <c r="G14" s="17" t="s">
        <v>538</v>
      </c>
    </row>
    <row r="15" spans="1:7" ht="25.5" x14ac:dyDescent="0.25">
      <c r="A15" s="17" t="s">
        <v>553</v>
      </c>
      <c r="B15" s="17" t="s">
        <v>505</v>
      </c>
      <c r="C15" s="17" t="s">
        <v>554</v>
      </c>
      <c r="D15" s="17" t="s">
        <v>500</v>
      </c>
      <c r="E15" s="17" t="s">
        <v>555</v>
      </c>
      <c r="F15" s="17" t="s">
        <v>556</v>
      </c>
      <c r="G15" s="17" t="s">
        <v>538</v>
      </c>
    </row>
    <row r="16" spans="1:7" ht="38.25" x14ac:dyDescent="0.25">
      <c r="A16" s="17" t="s">
        <v>557</v>
      </c>
      <c r="B16" s="17" t="s">
        <v>510</v>
      </c>
      <c r="C16" s="17" t="s">
        <v>558</v>
      </c>
      <c r="D16" s="17" t="s">
        <v>500</v>
      </c>
      <c r="E16" s="17" t="s">
        <v>559</v>
      </c>
      <c r="F16" s="17" t="s">
        <v>560</v>
      </c>
      <c r="G16" s="17" t="s">
        <v>538</v>
      </c>
    </row>
    <row r="17" spans="1:7" ht="51" x14ac:dyDescent="0.25">
      <c r="A17" s="17" t="s">
        <v>561</v>
      </c>
      <c r="B17" s="17" t="s">
        <v>562</v>
      </c>
      <c r="C17" s="17" t="s">
        <v>563</v>
      </c>
      <c r="D17" s="17" t="s">
        <v>528</v>
      </c>
      <c r="E17" s="17" t="s">
        <v>564</v>
      </c>
      <c r="F17" s="17" t="s">
        <v>565</v>
      </c>
      <c r="G17" s="17" t="s">
        <v>538</v>
      </c>
    </row>
    <row r="18" spans="1:7" ht="25.5" x14ac:dyDescent="0.25">
      <c r="A18" s="17" t="s">
        <v>566</v>
      </c>
      <c r="B18" s="17" t="s">
        <v>505</v>
      </c>
      <c r="C18" s="17" t="s">
        <v>567</v>
      </c>
      <c r="D18" s="17" t="s">
        <v>500</v>
      </c>
      <c r="E18" s="17" t="s">
        <v>568</v>
      </c>
      <c r="F18" s="17" t="s">
        <v>569</v>
      </c>
      <c r="G18" s="17" t="s">
        <v>538</v>
      </c>
    </row>
    <row r="19" spans="1:7" ht="51" x14ac:dyDescent="0.25">
      <c r="A19" s="17" t="s">
        <v>570</v>
      </c>
      <c r="B19" s="17" t="s">
        <v>510</v>
      </c>
      <c r="C19" s="17" t="s">
        <v>571</v>
      </c>
      <c r="D19" s="17" t="s">
        <v>500</v>
      </c>
      <c r="E19" s="17" t="s">
        <v>572</v>
      </c>
      <c r="F19" s="17" t="s">
        <v>560</v>
      </c>
      <c r="G19" s="17" t="s">
        <v>538</v>
      </c>
    </row>
    <row r="20" spans="1:7" ht="38.25" x14ac:dyDescent="0.25">
      <c r="A20" s="17" t="s">
        <v>573</v>
      </c>
      <c r="B20" s="17" t="s">
        <v>562</v>
      </c>
      <c r="C20" s="17" t="s">
        <v>574</v>
      </c>
      <c r="D20" s="17" t="s">
        <v>528</v>
      </c>
      <c r="E20" s="17" t="s">
        <v>575</v>
      </c>
      <c r="F20" s="17" t="s">
        <v>576</v>
      </c>
      <c r="G20" s="17" t="s">
        <v>538</v>
      </c>
    </row>
    <row r="21" spans="1:7" ht="25.5" x14ac:dyDescent="0.25">
      <c r="A21" s="17" t="s">
        <v>577</v>
      </c>
      <c r="B21" s="17" t="s">
        <v>505</v>
      </c>
      <c r="C21" s="17" t="s">
        <v>578</v>
      </c>
      <c r="D21" s="17" t="s">
        <v>500</v>
      </c>
      <c r="E21" s="17" t="s">
        <v>579</v>
      </c>
      <c r="F21" s="17" t="s">
        <v>569</v>
      </c>
      <c r="G21" s="17" t="s">
        <v>538</v>
      </c>
    </row>
    <row r="22" spans="1:7" ht="25.5" x14ac:dyDescent="0.25">
      <c r="A22" s="17" t="s">
        <v>580</v>
      </c>
      <c r="B22" s="17" t="s">
        <v>510</v>
      </c>
      <c r="C22" s="17" t="s">
        <v>581</v>
      </c>
      <c r="D22" s="17" t="s">
        <v>500</v>
      </c>
      <c r="E22" s="17" t="s">
        <v>559</v>
      </c>
      <c r="F22" s="17" t="s">
        <v>560</v>
      </c>
      <c r="G22" s="17" t="s">
        <v>538</v>
      </c>
    </row>
    <row r="23" spans="1:7" ht="38.25" x14ac:dyDescent="0.25">
      <c r="A23" s="17" t="s">
        <v>582</v>
      </c>
      <c r="B23" s="17" t="s">
        <v>562</v>
      </c>
      <c r="C23" s="17" t="s">
        <v>583</v>
      </c>
      <c r="D23" s="17" t="s">
        <v>528</v>
      </c>
      <c r="E23" s="17" t="s">
        <v>584</v>
      </c>
      <c r="F23" s="17" t="s">
        <v>585</v>
      </c>
      <c r="G23" s="17" t="s">
        <v>538</v>
      </c>
    </row>
    <row r="24" spans="1:7" ht="38.25" x14ac:dyDescent="0.25">
      <c r="A24" s="17" t="s">
        <v>586</v>
      </c>
      <c r="B24" s="17" t="s">
        <v>498</v>
      </c>
      <c r="C24" s="17" t="s">
        <v>587</v>
      </c>
      <c r="D24" s="17" t="s">
        <v>500</v>
      </c>
      <c r="E24" s="17" t="s">
        <v>588</v>
      </c>
      <c r="F24" s="17" t="s">
        <v>589</v>
      </c>
      <c r="G24" s="17" t="s">
        <v>538</v>
      </c>
    </row>
    <row r="25" spans="1:7" x14ac:dyDescent="0.25">
      <c r="A25" s="17" t="s">
        <v>590</v>
      </c>
      <c r="B25" s="17" t="s">
        <v>505</v>
      </c>
      <c r="C25" s="17" t="s">
        <v>591</v>
      </c>
      <c r="D25" s="17" t="s">
        <v>500</v>
      </c>
      <c r="E25" s="17" t="s">
        <v>592</v>
      </c>
      <c r="F25" s="17" t="s">
        <v>569</v>
      </c>
      <c r="G25" s="17" t="s">
        <v>538</v>
      </c>
    </row>
    <row r="26" spans="1:7" ht="25.5" x14ac:dyDescent="0.25">
      <c r="A26" s="17" t="s">
        <v>593</v>
      </c>
      <c r="B26" s="17" t="s">
        <v>510</v>
      </c>
      <c r="C26" s="17" t="s">
        <v>594</v>
      </c>
      <c r="D26" s="17" t="s">
        <v>500</v>
      </c>
      <c r="E26" s="17" t="s">
        <v>595</v>
      </c>
      <c r="F26" s="17" t="s">
        <v>560</v>
      </c>
      <c r="G26" s="17" t="s">
        <v>538</v>
      </c>
    </row>
    <row r="27" spans="1:7" ht="38.25" x14ac:dyDescent="0.25">
      <c r="A27" s="17" t="s">
        <v>596</v>
      </c>
      <c r="B27" s="17" t="s">
        <v>562</v>
      </c>
      <c r="C27" s="17" t="s">
        <v>597</v>
      </c>
      <c r="D27" s="17" t="s">
        <v>528</v>
      </c>
      <c r="E27" s="17" t="s">
        <v>598</v>
      </c>
      <c r="F27" s="17" t="s">
        <v>599</v>
      </c>
      <c r="G27" s="17" t="s">
        <v>538</v>
      </c>
    </row>
    <row r="28" spans="1:7" ht="25.5" x14ac:dyDescent="0.25">
      <c r="A28" s="17" t="s">
        <v>600</v>
      </c>
      <c r="B28" s="17" t="s">
        <v>510</v>
      </c>
      <c r="C28" s="17" t="s">
        <v>601</v>
      </c>
      <c r="D28" s="17" t="s">
        <v>602</v>
      </c>
      <c r="E28" s="17" t="s">
        <v>603</v>
      </c>
      <c r="F28" s="17" t="s">
        <v>604</v>
      </c>
      <c r="G28" s="17" t="s">
        <v>86</v>
      </c>
    </row>
    <row r="29" spans="1:7" ht="25.5" x14ac:dyDescent="0.25">
      <c r="A29" s="17" t="s">
        <v>605</v>
      </c>
      <c r="B29" s="17" t="s">
        <v>510</v>
      </c>
      <c r="C29" s="17" t="s">
        <v>606</v>
      </c>
      <c r="D29" s="17" t="s">
        <v>528</v>
      </c>
      <c r="E29" s="17" t="s">
        <v>607</v>
      </c>
      <c r="F29" s="17" t="s">
        <v>560</v>
      </c>
      <c r="G29" s="17" t="s">
        <v>538</v>
      </c>
    </row>
    <row r="30" spans="1:7" ht="25.5" x14ac:dyDescent="0.25">
      <c r="A30" s="17" t="s">
        <v>608</v>
      </c>
      <c r="B30" s="17" t="s">
        <v>609</v>
      </c>
      <c r="C30" s="17" t="s">
        <v>610</v>
      </c>
      <c r="D30" s="17" t="s">
        <v>500</v>
      </c>
      <c r="E30" s="17" t="s">
        <v>611</v>
      </c>
      <c r="F30" s="17" t="s">
        <v>569</v>
      </c>
      <c r="G30" s="17" t="s">
        <v>86</v>
      </c>
    </row>
    <row r="31" spans="1:7" ht="38.25" x14ac:dyDescent="0.25">
      <c r="A31" s="17" t="s">
        <v>612</v>
      </c>
      <c r="B31" s="17" t="s">
        <v>498</v>
      </c>
      <c r="C31" s="17" t="s">
        <v>613</v>
      </c>
      <c r="D31" s="17" t="s">
        <v>614</v>
      </c>
      <c r="E31" s="17" t="s">
        <v>615</v>
      </c>
      <c r="F31" s="17" t="s">
        <v>616</v>
      </c>
      <c r="G31" s="17" t="s">
        <v>538</v>
      </c>
    </row>
    <row r="32" spans="1:7" ht="38.25" x14ac:dyDescent="0.25">
      <c r="A32" s="17" t="s">
        <v>617</v>
      </c>
      <c r="B32" s="17" t="s">
        <v>562</v>
      </c>
      <c r="C32" s="17" t="s">
        <v>618</v>
      </c>
      <c r="D32" s="17" t="s">
        <v>619</v>
      </c>
      <c r="E32" s="17" t="s">
        <v>620</v>
      </c>
      <c r="F32" s="17" t="s">
        <v>621</v>
      </c>
      <c r="G32" s="17" t="s">
        <v>86</v>
      </c>
    </row>
    <row r="33" spans="1:7" ht="51" x14ac:dyDescent="0.25">
      <c r="A33" s="17" t="s">
        <v>622</v>
      </c>
      <c r="B33" s="17" t="s">
        <v>623</v>
      </c>
      <c r="C33" s="17" t="s">
        <v>624</v>
      </c>
      <c r="D33" s="17" t="s">
        <v>625</v>
      </c>
      <c r="E33" s="17" t="s">
        <v>518</v>
      </c>
      <c r="F33" s="17" t="s">
        <v>626</v>
      </c>
      <c r="G33" s="17" t="s">
        <v>86</v>
      </c>
    </row>
    <row r="34" spans="1:7" ht="25.5" x14ac:dyDescent="0.25">
      <c r="A34" s="17" t="s">
        <v>627</v>
      </c>
      <c r="B34" s="17" t="s">
        <v>498</v>
      </c>
      <c r="C34" s="17" t="s">
        <v>628</v>
      </c>
      <c r="D34" s="17" t="s">
        <v>500</v>
      </c>
      <c r="E34" s="17" t="s">
        <v>629</v>
      </c>
      <c r="F34" s="17" t="s">
        <v>630</v>
      </c>
      <c r="G34" s="17" t="s">
        <v>86</v>
      </c>
    </row>
    <row r="35" spans="1:7" ht="25.5" x14ac:dyDescent="0.25">
      <c r="A35" s="17" t="s">
        <v>631</v>
      </c>
      <c r="B35" s="17" t="s">
        <v>498</v>
      </c>
      <c r="C35" s="17" t="s">
        <v>632</v>
      </c>
      <c r="D35" s="17" t="s">
        <v>500</v>
      </c>
      <c r="E35" s="17" t="s">
        <v>633</v>
      </c>
      <c r="F35" s="17" t="s">
        <v>634</v>
      </c>
      <c r="G35" s="17" t="s">
        <v>86</v>
      </c>
    </row>
    <row r="36" spans="1:7" ht="25.5" x14ac:dyDescent="0.25">
      <c r="A36" s="17" t="s">
        <v>635</v>
      </c>
      <c r="B36" s="17" t="s">
        <v>510</v>
      </c>
      <c r="C36" s="17" t="s">
        <v>636</v>
      </c>
      <c r="D36" s="17" t="s">
        <v>528</v>
      </c>
      <c r="E36" s="17" t="s">
        <v>637</v>
      </c>
      <c r="F36" s="17" t="s">
        <v>638</v>
      </c>
      <c r="G36" s="17" t="s">
        <v>86</v>
      </c>
    </row>
    <row r="37" spans="1:7" ht="51" x14ac:dyDescent="0.25">
      <c r="A37" s="17" t="s">
        <v>639</v>
      </c>
      <c r="B37" s="17" t="s">
        <v>640</v>
      </c>
      <c r="C37" s="17" t="s">
        <v>641</v>
      </c>
      <c r="D37" s="17" t="s">
        <v>642</v>
      </c>
      <c r="E37" s="17" t="s">
        <v>643</v>
      </c>
      <c r="F37" s="17" t="s">
        <v>644</v>
      </c>
      <c r="G37" s="17" t="s">
        <v>86</v>
      </c>
    </row>
    <row r="38" spans="1:7" ht="25.5" x14ac:dyDescent="0.25">
      <c r="A38" s="17" t="s">
        <v>645</v>
      </c>
      <c r="B38" s="17" t="s">
        <v>646</v>
      </c>
      <c r="C38" s="17" t="s">
        <v>647</v>
      </c>
      <c r="D38" s="17" t="s">
        <v>648</v>
      </c>
      <c r="E38" s="17" t="s">
        <v>518</v>
      </c>
      <c r="F38" s="17" t="s">
        <v>649</v>
      </c>
      <c r="G38" s="17" t="s">
        <v>86</v>
      </c>
    </row>
    <row r="39" spans="1:7" ht="38.25" x14ac:dyDescent="0.25">
      <c r="A39" s="17" t="s">
        <v>650</v>
      </c>
      <c r="B39" s="17" t="s">
        <v>646</v>
      </c>
      <c r="C39" s="17" t="s">
        <v>651</v>
      </c>
      <c r="D39" s="17" t="s">
        <v>652</v>
      </c>
      <c r="E39" s="17" t="s">
        <v>653</v>
      </c>
      <c r="F39" s="17" t="s">
        <v>654</v>
      </c>
      <c r="G39" s="17" t="s">
        <v>86</v>
      </c>
    </row>
    <row r="40" spans="1:7" ht="51" x14ac:dyDescent="0.25">
      <c r="A40" s="17" t="s">
        <v>655</v>
      </c>
      <c r="B40" s="17" t="s">
        <v>510</v>
      </c>
      <c r="C40" s="17" t="s">
        <v>656</v>
      </c>
      <c r="D40" s="17" t="s">
        <v>657</v>
      </c>
      <c r="E40" s="17" t="s">
        <v>658</v>
      </c>
      <c r="F40" s="17" t="s">
        <v>659</v>
      </c>
      <c r="G40" s="17" t="s">
        <v>86</v>
      </c>
    </row>
    <row r="41" spans="1:7" ht="51" x14ac:dyDescent="0.25">
      <c r="A41" s="17" t="s">
        <v>660</v>
      </c>
      <c r="B41" s="17" t="s">
        <v>661</v>
      </c>
      <c r="C41" s="17" t="s">
        <v>662</v>
      </c>
      <c r="D41" s="17" t="s">
        <v>500</v>
      </c>
      <c r="E41" s="17" t="s">
        <v>663</v>
      </c>
      <c r="F41" s="17" t="s">
        <v>664</v>
      </c>
      <c r="G41" s="17" t="s">
        <v>86</v>
      </c>
    </row>
  </sheetData>
  <autoFilter ref="A1:G4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665</v>
      </c>
      <c r="B1" s="16" t="s">
        <v>666</v>
      </c>
      <c r="C1" s="16" t="s">
        <v>667</v>
      </c>
      <c r="D1" s="16" t="s">
        <v>496</v>
      </c>
      <c r="E1" s="16" t="s">
        <v>668</v>
      </c>
      <c r="F1" s="16" t="s">
        <v>669</v>
      </c>
    </row>
    <row r="2" spans="1:6" x14ac:dyDescent="0.25">
      <c r="A2" s="17" t="s">
        <v>670</v>
      </c>
      <c r="B2" s="17" t="s">
        <v>72</v>
      </c>
      <c r="C2" s="17" t="s">
        <v>671</v>
      </c>
      <c r="D2" s="17" t="s">
        <v>503</v>
      </c>
      <c r="E2" s="17" t="s">
        <v>672</v>
      </c>
      <c r="F2" s="17" t="s">
        <v>88</v>
      </c>
    </row>
    <row r="3" spans="1:6" x14ac:dyDescent="0.25">
      <c r="A3" s="17" t="s">
        <v>673</v>
      </c>
      <c r="B3" s="17" t="s">
        <v>674</v>
      </c>
      <c r="C3" s="17" t="s">
        <v>675</v>
      </c>
      <c r="D3" s="17" t="s">
        <v>503</v>
      </c>
      <c r="E3" s="17" t="s">
        <v>676</v>
      </c>
      <c r="F3" s="17" t="s">
        <v>88</v>
      </c>
    </row>
    <row r="4" spans="1:6" x14ac:dyDescent="0.25">
      <c r="A4" s="17" t="s">
        <v>677</v>
      </c>
      <c r="B4" s="17" t="s">
        <v>678</v>
      </c>
      <c r="C4" s="17" t="s">
        <v>679</v>
      </c>
      <c r="D4" s="17" t="s">
        <v>503</v>
      </c>
      <c r="E4" s="17" t="s">
        <v>680</v>
      </c>
      <c r="F4" s="17" t="s">
        <v>681</v>
      </c>
    </row>
    <row r="5" spans="1:6" ht="25.5" x14ac:dyDescent="0.25">
      <c r="A5" s="17" t="s">
        <v>682</v>
      </c>
      <c r="B5" s="17" t="s">
        <v>683</v>
      </c>
      <c r="C5" s="17" t="s">
        <v>684</v>
      </c>
      <c r="D5" s="17" t="s">
        <v>503</v>
      </c>
      <c r="E5" s="17" t="s">
        <v>685</v>
      </c>
      <c r="F5" s="17" t="s">
        <v>166</v>
      </c>
    </row>
    <row r="6" spans="1:6" x14ac:dyDescent="0.25">
      <c r="A6" s="17" t="s">
        <v>686</v>
      </c>
      <c r="B6" s="17" t="s">
        <v>687</v>
      </c>
      <c r="C6" s="17" t="s">
        <v>688</v>
      </c>
      <c r="D6" s="17" t="s">
        <v>503</v>
      </c>
      <c r="E6" s="17" t="s">
        <v>26</v>
      </c>
      <c r="F6" s="17" t="s">
        <v>107</v>
      </c>
    </row>
    <row r="7" spans="1:6" ht="25.5" x14ac:dyDescent="0.25">
      <c r="A7" s="17" t="s">
        <v>689</v>
      </c>
      <c r="B7" s="17" t="s">
        <v>690</v>
      </c>
      <c r="C7" s="17" t="s">
        <v>691</v>
      </c>
      <c r="D7" s="17" t="s">
        <v>503</v>
      </c>
      <c r="E7" s="17" t="s">
        <v>692</v>
      </c>
      <c r="F7" s="17" t="s">
        <v>166</v>
      </c>
    </row>
    <row r="8" spans="1:6" x14ac:dyDescent="0.25">
      <c r="A8" s="17" t="s">
        <v>693</v>
      </c>
      <c r="B8" s="17" t="s">
        <v>694</v>
      </c>
      <c r="C8" s="17" t="s">
        <v>695</v>
      </c>
      <c r="D8" s="17" t="s">
        <v>503</v>
      </c>
      <c r="E8" s="17" t="s">
        <v>696</v>
      </c>
      <c r="F8" s="17" t="s">
        <v>697</v>
      </c>
    </row>
    <row r="9" spans="1:6" x14ac:dyDescent="0.25">
      <c r="A9" s="17" t="s">
        <v>178</v>
      </c>
      <c r="B9" s="17" t="s">
        <v>698</v>
      </c>
      <c r="C9" s="17" t="s">
        <v>699</v>
      </c>
      <c r="D9" s="17" t="s">
        <v>503</v>
      </c>
      <c r="E9" s="17" t="s">
        <v>696</v>
      </c>
      <c r="F9" s="17" t="s">
        <v>173</v>
      </c>
    </row>
    <row r="10" spans="1:6" x14ac:dyDescent="0.25">
      <c r="A10" s="17" t="s">
        <v>700</v>
      </c>
      <c r="B10" s="17" t="s">
        <v>52</v>
      </c>
      <c r="C10" s="17" t="s">
        <v>701</v>
      </c>
      <c r="D10" s="17" t="s">
        <v>503</v>
      </c>
      <c r="E10" s="17" t="s">
        <v>51</v>
      </c>
      <c r="F10" s="17" t="s">
        <v>179</v>
      </c>
    </row>
    <row r="11" spans="1:6" ht="51" x14ac:dyDescent="0.25">
      <c r="A11" s="17" t="s">
        <v>702</v>
      </c>
      <c r="B11" s="17" t="s">
        <v>703</v>
      </c>
      <c r="C11" s="17" t="s">
        <v>704</v>
      </c>
      <c r="D11" s="17" t="s">
        <v>538</v>
      </c>
      <c r="E11" s="17" t="s">
        <v>705</v>
      </c>
      <c r="F11" s="17" t="s">
        <v>706</v>
      </c>
    </row>
    <row r="12" spans="1:6" x14ac:dyDescent="0.25">
      <c r="A12" s="17" t="s">
        <v>707</v>
      </c>
      <c r="B12" s="17" t="s">
        <v>708</v>
      </c>
      <c r="C12" s="17" t="s">
        <v>709</v>
      </c>
      <c r="D12" s="17" t="s">
        <v>503</v>
      </c>
      <c r="E12" s="17" t="s">
        <v>710</v>
      </c>
      <c r="F12" s="17" t="s">
        <v>101</v>
      </c>
    </row>
    <row r="13" spans="1:6" ht="38.25" x14ac:dyDescent="0.25">
      <c r="A13" s="17" t="s">
        <v>711</v>
      </c>
      <c r="B13" s="17" t="s">
        <v>712</v>
      </c>
      <c r="C13" s="17" t="s">
        <v>713</v>
      </c>
      <c r="D13" s="17" t="s">
        <v>538</v>
      </c>
      <c r="E13" s="17" t="s">
        <v>714</v>
      </c>
      <c r="F13" s="17" t="s">
        <v>715</v>
      </c>
    </row>
    <row r="14" spans="1:6" ht="51" x14ac:dyDescent="0.25">
      <c r="A14" s="17" t="s">
        <v>293</v>
      </c>
      <c r="B14" s="17" t="s">
        <v>716</v>
      </c>
      <c r="C14" s="17" t="s">
        <v>717</v>
      </c>
      <c r="D14" s="17" t="s">
        <v>538</v>
      </c>
      <c r="E14" s="17" t="s">
        <v>718</v>
      </c>
      <c r="F14" s="17" t="s">
        <v>719</v>
      </c>
    </row>
    <row r="15" spans="1:6" ht="51" x14ac:dyDescent="0.25">
      <c r="A15" s="17" t="s">
        <v>720</v>
      </c>
      <c r="B15" s="17" t="s">
        <v>721</v>
      </c>
      <c r="C15" s="17" t="s">
        <v>722</v>
      </c>
      <c r="D15" s="17" t="s">
        <v>86</v>
      </c>
      <c r="E15" s="17" t="s">
        <v>60</v>
      </c>
      <c r="F15" s="17" t="s">
        <v>723</v>
      </c>
    </row>
  </sheetData>
  <autoFilter ref="A1:F15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724</v>
      </c>
      <c r="B1" s="16" t="s">
        <v>725</v>
      </c>
      <c r="C1" s="16" t="s">
        <v>726</v>
      </c>
      <c r="D1" s="16" t="s">
        <v>727</v>
      </c>
      <c r="E1" s="16" t="s">
        <v>728</v>
      </c>
    </row>
    <row r="2" spans="1:5" ht="25.5" x14ac:dyDescent="0.25">
      <c r="A2" s="17" t="s">
        <v>729</v>
      </c>
      <c r="B2" s="17" t="s">
        <v>730</v>
      </c>
      <c r="C2" s="17" t="s">
        <v>731</v>
      </c>
      <c r="D2" s="17" t="s">
        <v>732</v>
      </c>
      <c r="E2" s="17" t="s">
        <v>733</v>
      </c>
    </row>
    <row r="3" spans="1:5" x14ac:dyDescent="0.25">
      <c r="A3" s="17" t="s">
        <v>734</v>
      </c>
      <c r="B3" s="17" t="s">
        <v>735</v>
      </c>
      <c r="C3" s="17" t="s">
        <v>736</v>
      </c>
      <c r="D3" s="17" t="s">
        <v>737</v>
      </c>
      <c r="E3" s="17" t="s">
        <v>738</v>
      </c>
    </row>
    <row r="4" spans="1:5" x14ac:dyDescent="0.25">
      <c r="A4" s="17" t="s">
        <v>739</v>
      </c>
      <c r="B4" s="17" t="s">
        <v>740</v>
      </c>
      <c r="C4" s="17" t="s">
        <v>740</v>
      </c>
      <c r="D4" s="17" t="s">
        <v>741</v>
      </c>
      <c r="E4" s="17" t="s">
        <v>742</v>
      </c>
    </row>
    <row r="5" spans="1:5" x14ac:dyDescent="0.25">
      <c r="A5" s="17" t="s">
        <v>743</v>
      </c>
      <c r="B5" s="17" t="s">
        <v>744</v>
      </c>
      <c r="C5" s="17" t="s">
        <v>745</v>
      </c>
      <c r="D5" s="17" t="s">
        <v>746</v>
      </c>
      <c r="E5" s="17" t="s">
        <v>738</v>
      </c>
    </row>
    <row r="6" spans="1:5" x14ac:dyDescent="0.25">
      <c r="A6" s="17" t="s">
        <v>747</v>
      </c>
      <c r="B6" s="17" t="s">
        <v>748</v>
      </c>
      <c r="C6" s="17" t="s">
        <v>748</v>
      </c>
      <c r="D6" s="17" t="s">
        <v>749</v>
      </c>
      <c r="E6" s="17" t="s">
        <v>733</v>
      </c>
    </row>
    <row r="7" spans="1:5" ht="38.25" x14ac:dyDescent="0.25">
      <c r="A7" s="17" t="s">
        <v>750</v>
      </c>
      <c r="B7" s="17" t="s">
        <v>751</v>
      </c>
      <c r="C7" s="17" t="s">
        <v>752</v>
      </c>
      <c r="D7" s="17" t="s">
        <v>753</v>
      </c>
      <c r="E7" s="17" t="s">
        <v>733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2026-10-15T19:35:05Z</dcterms:created>
  <dcterms:modified xsi:type="dcterms:W3CDTF">2026-10-15T19:35:08Z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