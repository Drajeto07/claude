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9B01FE76-B2E0-4815-A112-BBA4AA11C0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Bugs!$A$1:$H$12</definedName>
    <definedName name="_xlnm._FilterDatabase" localSheetId="5" hidden="1">Decisions!$A$1:$F$12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Tasks!$A$1:$P$25</definedName>
    <definedName name="_xlnm._FilterDatabase" localSheetId="4" hidden="1">Tests!$A$1:$G$20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<sst xmlns="http://schemas.openxmlformats.org/spreadsheetml/2006/main" count="790" uniqueCount="466">
  <si>
    <t>SmartDoc 2.0 -- master tracker</t>
  </si>
  <si>
    <t>Branch feature/smartdoc-2.0 · source docs/SMARTDOC_2_0_TRACKER.json · updated 2026-10-14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</si>
  <si>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</si>
  <si>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</si>
  <si>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</si>
  <si>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</si>
  <si>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</si>
  <si>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</si>
  <si>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</si>
  <si>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</si>
  <si>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</si>
  <si>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</si>
  <si>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</si>
  <si>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</si>
  <si>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</si>
  <si>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</si>
  <si>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</si>
  <si>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</si>
  <si>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</si>
  <si>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</si>
  <si>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</si>
  <si>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</si>
  <si>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</si>
  <si>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</si>
  <si>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</si>
  <si>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</si>
  <si>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</si>
  <si>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</si>
  <si>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</si>
  <si>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</si>
  <si>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</si>
  <si>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</si>
  <si>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</si>
  <si>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</si>
  <si>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</si>
  <si>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</si>
  <si>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</si>
  <si>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</si>
  <si>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</si>
  <si>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</si>
  <si>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</si>
  <si>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</si>
  <si>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</si>
  <si>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</si>
  <si>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</si>
  <si>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</si>
  <si>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</si>
  <si>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</si>
  <si>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</si>
  <si>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</si>
  <si>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</si>
  <si>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</si>
  <si>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</si>
  <si>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</si>
  <si>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</si>
  <si>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</si>
  <si>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</si>
  <si>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</si>
  <si>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</si>
  <si>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</si>
  <si>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</si>
  <si>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</si>
  <si>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</si>
  <si>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</si>
  <si>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</si>
  <si>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</si>
  <si>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</si>
  <si>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</si>
  <si>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</si>
  <si>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</si>
  <si>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</si>
  <si>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</si>
  <si>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</si>
  <si>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</si>
  <si>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</si>
  <si>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</si>
  <si>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</si>
  <si>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</si>
  <si>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</si>
  <si>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</si>
  <si>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</si>
  <si>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2026-10-14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</si>
  <si>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</si>
  <si>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</si>
  <si>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</si>
  <si>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</si>
  <si>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</si>
  <si>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</si>
  <si>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</si>
  <si>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</si>
  <si>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</si>
  <si>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</si>
  <si>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</si>
  <si>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</si>
  <si>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</si>
  <si>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</si>
  <si>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</si>
  <si>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</si>
  <si>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</si>
  <si>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</si>
  <si>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</si>
  <si>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</si>
  <si>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</si>
  <si>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</si>
  <si>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</si>
  <si>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</si>
  <si>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</si>
  <si>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</si>
  <si>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</si>
  <si>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</si>
  <si>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</si>
  <si>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</si>
  <si>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</si>
  <si>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</si>
  <si>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</si>
  <si>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</si>
  <si>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</si>
  <si>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</si>
  <si>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</si>
  <si>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</si>
  <si>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</si>
  <si>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</si>
  <si>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</si>
  <si>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</si>
  <si>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</si>
  <si>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</si>
  <si>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</si>
  <si>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</si>
  <si>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</si>
  <si>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</si>
  <si>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</si>
  <si>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</si>
  <si>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</si>
  <si>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</si>
  <si>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</si>
  <si>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</si>
  <si>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</si>
  <si>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</si>
  <si>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</si>
  <si>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</si>
  <si>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</si>
  <si>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</si>
  <si>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</si>
  <si>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</si>
  <si>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</si>
  <si>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</si>
  <si>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</si>
  <si>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</si>
  <si>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</si>
  <si>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</si>
  <si>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</si>
  <si>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</si>
  <si>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</si>
  <si>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</si>
  <si>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layout v2 (screen 7, Document Mode)</t>
  </si>
  <si>
    <t>Left (outline/pages/elements), center canvas, top contextual toolbar, right properties, collapsible AI panel; reuses the existing Tiptap editor modules.</t>
  </si>
  <si>
    <t>Existing editor tests and Playwright editor specs pass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</si>
  <si>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</si>
  <si>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</si>
  <si>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</si>
  <si>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</si>
  <si>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D-004, D-006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</si>
  <si>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</si>
  <si>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</si>
  <si>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</si>
  <si>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</si>
  <si>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</si>
  <si>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</si>
  <si>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</si>
  <si>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</si>
  <si>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</si>
  <si>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</si>
  <si>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</si>
  <si>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</si>
  <si>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</si>
  <si>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</si>
  <si>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</si>
  <si>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</si>
  <si>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</si>
  <si>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</si>
  <si>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</si>
  <si>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</si>
  <si>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</si>
  <si>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</si>
  <si>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</si>
  <si>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Done: flow pieces (TrackedChangesChoice, ReferenceStyleSummary, JobProgressBar), account settings, password reset, confirm dialog, plan-limit banner, header, account menu, landing, projects list, batch bar, compare, billing. Next: templates library/editor. Editor chrome (editor/*) moves with the 2.0 editor rather than being translated twice. Server messages (API errors, version descriptions) stay in English until the API returns codes for them.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</si>
  <si>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</si>
  <si>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</si>
  <si>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</si>
  <si>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</si>
  <si>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</si>
  <si>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</si>
  <si>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</si>
  <si>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</si>
  <si>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</si>
  <si>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</si>
  <si>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</si>
  <si>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</si>
  <si>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</si>
  <si>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</si>
  <si>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</si>
  <si>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</si>
  <si>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</si>
  <si>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</si>
  <si>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</si>
  <si>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</si>
  <si>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</si>
  <si>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</si>
  <si>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</si>
  <si>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</si>
  <si>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</si>
  <si>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</si>
  <si>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</si>
  <si>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</si>
  <si>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</si>
  <si>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</si>
  <si>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</si>
  <si>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</si>
  <si>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</si>
  <si>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</si>
  <si>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</si>
  <si>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</si>
  <si>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</si>
  <si>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</si>
  <si>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</si>
  <si>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</si>
  <si>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</si>
  <si>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</si>
  <si>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Same screens as S2-017, done together; compare now inside the app shell.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</si>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</sst>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COUNTIF(Tasks!$G$2:$G$25,A5)</f>
        <v>4</v>
      </c>
      <c r="C5" s="5">
        <f>COUNTIF(Roadmap!$D$2:$D$10,A5)</f>
        <v>5</v>
      </c>
    </row>
    <row r="6" spans="1:3" x14ac:dyDescent="0.25">
      <c r="A6" s="6" t="s">
        <v>6</v>
      </c>
      <c r="B6" s="5">
        <f>COUNTIF(Tasks!$G$2:$G$25,A6)</f>
        <v>0</v>
      </c>
      <c r="C6" s="5">
        <f>COUNTIF(Roadmap!$D$2:$D$10,A6)</f>
        <v>1</v>
      </c>
    </row>
    <row r="7" spans="1:3" x14ac:dyDescent="0.25">
      <c r="A7" s="7" t="s">
        <v>7</v>
      </c>
      <c r="B7" s="5">
        <f>COUNTIF(Tasks!$G$2:$G$25,A7)</f>
        <v>2</v>
      </c>
      <c r="C7" s="5">
        <f>COUNTIF(Roadmap!$D$2:$D$10,A7)</f>
        <v>0</v>
      </c>
    </row>
    <row r="8" spans="1:3" x14ac:dyDescent="0.25">
      <c r="A8" s="8" t="s">
        <v>8</v>
      </c>
      <c r="B8" s="5">
        <f>COUNTIF(Tasks!$G$2:$G$25,A8)</f>
        <v>0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COUNTIF(Tasks!$G$2:$G$25,A9)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COUNTIF(Tasks!$G$2:$G$25,A10)</f>
        <v>14</v>
      </c>
      <c r="C10" s="5">
        <f>COUNTIF(Roadmap!$D$2:$D$10,A10)</f>
        <v>2</v>
      </c>
    </row>
    <row r="11" spans="1:3" x14ac:dyDescent="0.25">
      <c r="A11" s="11" t="s">
        <v>11</v>
      </c>
      <c r="B11" s="5">
        <f>COUNTIF(Tasks!$G$2:$G$25,A11)</f>
        <v>4</v>
      </c>
      <c r="C11" s="5">
        <f>COUNTIF(Roadmap!$D$2:$D$10,A11)</f>
        <v>1</v>
      </c>
    </row>
    <row r="12" spans="1:3" x14ac:dyDescent="0.25">
      <c r="A12" s="12" t="s">
        <v>12</v>
      </c>
      <c r="B12" s="12">
        <f>SUM(B5:B11)</f>
        <v>24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0.75</v>
      </c>
    </row>
    <row r="14" spans="1:3" x14ac:dyDescent="0.25">
      <c r="A14" s="13" t="s">
        <v>14</v>
      </c>
      <c r="B14">
        <f>COUNTIFS(Tasks!$F$2:$F$25,"P0",Tasks!$G$2:$G$25,"&lt;&gt;DONE",Tasks!$G$2:$G$25,"&lt;&gt;VERIFIED")</f>
        <v>0</v>
      </c>
    </row>
    <row r="15" spans="1:3" x14ac:dyDescent="0.25">
      <c r="A15" s="13" t="s">
        <v>15</v>
      </c>
      <c r="B15">
        <f>COUNTA(Bugs!$A$2:$A$12)-COUNTIF(Bugs!$F$2:$F$12,"DONE")-COUNTIF(Bugs!$F$2:$F$12,"VERIFIED")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63.7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11</v>
      </c>
      <c r="H3" s="17" t="s">
        <v>73</v>
      </c>
      <c r="I3" s="17" t="s">
        <v>86</v>
      </c>
      <c r="J3" s="17" t="s">
        <v>78</v>
      </c>
      <c r="K3" s="17" t="s">
        <v>79</v>
      </c>
      <c r="L3" s="17" t="s">
        <v>87</v>
      </c>
      <c r="M3" s="17" t="s">
        <v>88</v>
      </c>
      <c r="N3" s="17" t="s">
        <v>89</v>
      </c>
      <c r="O3" s="17" t="s">
        <v>81</v>
      </c>
      <c r="P3" s="17" t="s">
        <v>90</v>
      </c>
    </row>
    <row r="4" spans="1:16" ht="25.5" x14ac:dyDescent="0.25">
      <c r="A4" s="17" t="s">
        <v>91</v>
      </c>
      <c r="B4" s="17" t="s">
        <v>22</v>
      </c>
      <c r="C4" s="17" t="s">
        <v>74</v>
      </c>
      <c r="D4" s="17" t="s">
        <v>92</v>
      </c>
      <c r="E4" s="17" t="s">
        <v>93</v>
      </c>
      <c r="F4" s="17" t="s">
        <v>22</v>
      </c>
      <c r="G4" s="17" t="s">
        <v>11</v>
      </c>
      <c r="H4" s="17" t="s">
        <v>73</v>
      </c>
      <c r="I4" s="17" t="s">
        <v>94</v>
      </c>
      <c r="J4" s="17" t="s">
        <v>78</v>
      </c>
      <c r="K4" s="17" t="s">
        <v>79</v>
      </c>
      <c r="L4" s="17" t="s">
        <v>87</v>
      </c>
      <c r="M4" s="17"/>
      <c r="N4" s="17" t="s">
        <v>95</v>
      </c>
      <c r="O4" s="17" t="s">
        <v>81</v>
      </c>
      <c r="P4" s="17"/>
    </row>
    <row r="5" spans="1:16" ht="38.25" x14ac:dyDescent="0.25">
      <c r="A5" s="17" t="s">
        <v>96</v>
      </c>
      <c r="B5" s="17" t="s">
        <v>22</v>
      </c>
      <c r="C5" s="17" t="s">
        <v>74</v>
      </c>
      <c r="D5" s="17" t="s">
        <v>97</v>
      </c>
      <c r="E5" s="17" t="s">
        <v>98</v>
      </c>
      <c r="F5" s="17" t="s">
        <v>22</v>
      </c>
      <c r="G5" s="17" t="s">
        <v>11</v>
      </c>
      <c r="H5" s="17"/>
      <c r="I5" s="17" t="s">
        <v>99</v>
      </c>
      <c r="J5" s="17" t="s">
        <v>78</v>
      </c>
      <c r="K5" s="17" t="s">
        <v>79</v>
      </c>
      <c r="L5" s="17" t="s">
        <v>87</v>
      </c>
      <c r="M5" s="17"/>
      <c r="N5" s="17" t="s">
        <v>100</v>
      </c>
      <c r="O5" s="17" t="s">
        <v>81</v>
      </c>
      <c r="P5" s="17" t="s">
        <v>101</v>
      </c>
    </row>
    <row r="6" spans="1:16" ht="63.75" x14ac:dyDescent="0.25">
      <c r="A6" s="17" t="s">
        <v>102</v>
      </c>
      <c r="B6" s="17" t="s">
        <v>26</v>
      </c>
      <c r="C6" s="17" t="s">
        <v>103</v>
      </c>
      <c r="D6" s="17" t="s">
        <v>104</v>
      </c>
      <c r="E6" s="17" t="s">
        <v>105</v>
      </c>
      <c r="F6" s="17" t="s">
        <v>22</v>
      </c>
      <c r="G6" s="17" t="s">
        <v>10</v>
      </c>
      <c r="H6" s="17" t="s">
        <v>83</v>
      </c>
      <c r="I6" s="17" t="s">
        <v>106</v>
      </c>
      <c r="J6" s="17" t="s">
        <v>78</v>
      </c>
      <c r="K6" s="17" t="s">
        <v>79</v>
      </c>
      <c r="L6" s="17" t="s">
        <v>107</v>
      </c>
      <c r="M6" s="17" t="s">
        <v>108</v>
      </c>
      <c r="N6" s="17" t="s">
        <v>109</v>
      </c>
      <c r="O6" s="17" t="s">
        <v>81</v>
      </c>
      <c r="P6" s="17"/>
    </row>
    <row r="7" spans="1:16" ht="38.25" x14ac:dyDescent="0.25">
      <c r="A7" s="17" t="s">
        <v>110</v>
      </c>
      <c r="B7" s="17" t="s">
        <v>26</v>
      </c>
      <c r="C7" s="17" t="s">
        <v>103</v>
      </c>
      <c r="D7" s="17" t="s">
        <v>111</v>
      </c>
      <c r="E7" s="17" t="s">
        <v>112</v>
      </c>
      <c r="F7" s="17" t="s">
        <v>22</v>
      </c>
      <c r="G7" s="17" t="s">
        <v>10</v>
      </c>
      <c r="H7" s="17" t="s">
        <v>102</v>
      </c>
      <c r="I7" s="17" t="s">
        <v>113</v>
      </c>
      <c r="J7" s="17" t="s">
        <v>78</v>
      </c>
      <c r="K7" s="17" t="s">
        <v>79</v>
      </c>
      <c r="L7" s="17" t="s">
        <v>107</v>
      </c>
      <c r="M7" s="17" t="s">
        <v>108</v>
      </c>
      <c r="N7" s="17" t="s">
        <v>114</v>
      </c>
      <c r="O7" s="17" t="s">
        <v>81</v>
      </c>
      <c r="P7" s="17"/>
    </row>
    <row r="8" spans="1:16" ht="76.5" x14ac:dyDescent="0.25">
      <c r="A8" s="17" t="s">
        <v>115</v>
      </c>
      <c r="B8" s="17" t="s">
        <v>30</v>
      </c>
      <c r="C8" s="17" t="s">
        <v>116</v>
      </c>
      <c r="D8" s="17" t="s">
        <v>117</v>
      </c>
      <c r="E8" s="17" t="s">
        <v>118</v>
      </c>
      <c r="F8" s="17" t="s">
        <v>22</v>
      </c>
      <c r="G8" s="17" t="s">
        <v>10</v>
      </c>
      <c r="H8" s="17" t="s">
        <v>110</v>
      </c>
      <c r="I8" s="17" t="s">
        <v>119</v>
      </c>
      <c r="J8" s="17" t="s">
        <v>78</v>
      </c>
      <c r="K8" s="17" t="s">
        <v>79</v>
      </c>
      <c r="L8" s="17" t="s">
        <v>107</v>
      </c>
      <c r="M8" s="17" t="s">
        <v>108</v>
      </c>
      <c r="N8" s="17" t="s">
        <v>120</v>
      </c>
      <c r="O8" s="17" t="s">
        <v>81</v>
      </c>
      <c r="P8" s="17" t="s">
        <v>121</v>
      </c>
    </row>
    <row r="9" spans="1:16" ht="89.25" x14ac:dyDescent="0.25">
      <c r="A9" s="17" t="s">
        <v>122</v>
      </c>
      <c r="B9" s="17" t="s">
        <v>26</v>
      </c>
      <c r="C9" s="17" t="s">
        <v>103</v>
      </c>
      <c r="D9" s="17" t="s">
        <v>123</v>
      </c>
      <c r="E9" s="17" t="s">
        <v>124</v>
      </c>
      <c r="F9" s="17" t="s">
        <v>26</v>
      </c>
      <c r="G9" s="17" t="s">
        <v>10</v>
      </c>
      <c r="H9" s="17" t="s">
        <v>110</v>
      </c>
      <c r="I9" s="17" t="s">
        <v>125</v>
      </c>
      <c r="J9" s="17" t="s">
        <v>78</v>
      </c>
      <c r="K9" s="17" t="s">
        <v>79</v>
      </c>
      <c r="L9" s="17" t="s">
        <v>126</v>
      </c>
      <c r="M9" s="17" t="s">
        <v>127</v>
      </c>
      <c r="N9" s="17" t="s">
        <v>128</v>
      </c>
      <c r="O9" s="17" t="s">
        <v>81</v>
      </c>
      <c r="P9" s="17" t="s">
        <v>129</v>
      </c>
    </row>
    <row r="10" spans="1:16" ht="114.75" x14ac:dyDescent="0.25">
      <c r="A10" s="17" t="s">
        <v>130</v>
      </c>
      <c r="B10" s="17" t="s">
        <v>30</v>
      </c>
      <c r="C10" s="17" t="s">
        <v>116</v>
      </c>
      <c r="D10" s="17" t="s">
        <v>131</v>
      </c>
      <c r="E10" s="17" t="s">
        <v>132</v>
      </c>
      <c r="F10" s="17" t="s">
        <v>26</v>
      </c>
      <c r="G10" s="17" t="s">
        <v>10</v>
      </c>
      <c r="H10" s="17" t="s">
        <v>122</v>
      </c>
      <c r="I10" s="17" t="s">
        <v>133</v>
      </c>
      <c r="J10" s="17" t="s">
        <v>78</v>
      </c>
      <c r="K10" s="17" t="s">
        <v>79</v>
      </c>
      <c r="L10" s="17" t="s">
        <v>134</v>
      </c>
      <c r="M10" s="17" t="s">
        <v>135</v>
      </c>
      <c r="N10" s="17" t="s">
        <v>136</v>
      </c>
      <c r="O10" s="17" t="s">
        <v>81</v>
      </c>
      <c r="P10" s="17" t="s">
        <v>137</v>
      </c>
    </row>
    <row r="11" spans="1:16" ht="114.75" x14ac:dyDescent="0.25">
      <c r="A11" s="17" t="s">
        <v>138</v>
      </c>
      <c r="B11" s="17" t="s">
        <v>30</v>
      </c>
      <c r="C11" s="17" t="s">
        <v>116</v>
      </c>
      <c r="D11" s="17" t="s">
        <v>139</v>
      </c>
      <c r="E11" s="17" t="s">
        <v>140</v>
      </c>
      <c r="F11" s="17" t="s">
        <v>26</v>
      </c>
      <c r="G11" s="17" t="s">
        <v>10</v>
      </c>
      <c r="H11" s="17" t="s">
        <v>122</v>
      </c>
      <c r="I11" s="17" t="s">
        <v>141</v>
      </c>
      <c r="J11" s="17" t="s">
        <v>78</v>
      </c>
      <c r="K11" s="17" t="s">
        <v>79</v>
      </c>
      <c r="L11" s="17" t="s">
        <v>134</v>
      </c>
      <c r="M11" s="17" t="s">
        <v>135</v>
      </c>
      <c r="N11" s="17" t="s">
        <v>142</v>
      </c>
      <c r="O11" s="17" t="s">
        <v>81</v>
      </c>
      <c r="P11" s="17" t="s">
        <v>143</v>
      </c>
    </row>
    <row r="12" spans="1:16" ht="255" x14ac:dyDescent="0.25">
      <c r="A12" s="17" t="s">
        <v>144</v>
      </c>
      <c r="B12" s="17" t="s">
        <v>34</v>
      </c>
      <c r="C12" s="17" t="s">
        <v>116</v>
      </c>
      <c r="D12" s="17" t="s">
        <v>145</v>
      </c>
      <c r="E12" s="17" t="s">
        <v>146</v>
      </c>
      <c r="F12" s="17" t="s">
        <v>26</v>
      </c>
      <c r="G12" s="17" t="s">
        <v>10</v>
      </c>
      <c r="H12" s="17" t="s">
        <v>138</v>
      </c>
      <c r="I12" s="17" t="s">
        <v>147</v>
      </c>
      <c r="J12" s="17" t="s">
        <v>78</v>
      </c>
      <c r="K12" s="17" t="s">
        <v>79</v>
      </c>
      <c r="L12" s="17" t="s">
        <v>148</v>
      </c>
      <c r="M12" s="17" t="s">
        <v>149</v>
      </c>
      <c r="N12" s="17" t="s">
        <v>150</v>
      </c>
      <c r="O12" s="17" t="s">
        <v>81</v>
      </c>
      <c r="P12" s="17" t="s">
        <v>151</v>
      </c>
    </row>
    <row r="13" spans="1:16" ht="38.25" x14ac:dyDescent="0.25">
      <c r="A13" s="17" t="s">
        <v>152</v>
      </c>
      <c r="B13" s="17" t="s">
        <v>38</v>
      </c>
      <c r="C13" s="17" t="s">
        <v>153</v>
      </c>
      <c r="D13" s="17" t="s">
        <v>154</v>
      </c>
      <c r="E13" s="17" t="s">
        <v>155</v>
      </c>
      <c r="F13" s="17" t="s">
        <v>26</v>
      </c>
      <c r="G13" s="17" t="s">
        <v>5</v>
      </c>
      <c r="H13" s="17" t="s">
        <v>122</v>
      </c>
      <c r="I13" s="17" t="s">
        <v>156</v>
      </c>
      <c r="J13" s="17" t="s">
        <v>78</v>
      </c>
      <c r="K13" s="17" t="s">
        <v>79</v>
      </c>
      <c r="L13" s="17"/>
      <c r="M13" s="17"/>
      <c r="N13" s="17"/>
      <c r="O13" s="17" t="s">
        <v>81</v>
      </c>
      <c r="P13" s="17"/>
    </row>
    <row r="14" spans="1:16" ht="25.5" x14ac:dyDescent="0.25">
      <c r="A14" s="17" t="s">
        <v>157</v>
      </c>
      <c r="B14" s="17" t="s">
        <v>42</v>
      </c>
      <c r="C14" s="17" t="s">
        <v>153</v>
      </c>
      <c r="D14" s="17" t="s">
        <v>158</v>
      </c>
      <c r="E14" s="17" t="s">
        <v>159</v>
      </c>
      <c r="F14" s="17" t="s">
        <v>26</v>
      </c>
      <c r="G14" s="17" t="s">
        <v>5</v>
      </c>
      <c r="H14" s="17" t="s">
        <v>152</v>
      </c>
      <c r="I14" s="17" t="s">
        <v>160</v>
      </c>
      <c r="J14" s="17" t="s">
        <v>78</v>
      </c>
      <c r="K14" s="17" t="s">
        <v>79</v>
      </c>
      <c r="L14" s="17"/>
      <c r="M14" s="17"/>
      <c r="N14" s="17"/>
      <c r="O14" s="17" t="s">
        <v>81</v>
      </c>
      <c r="P14" s="17" t="s">
        <v>161</v>
      </c>
    </row>
    <row r="15" spans="1:16" ht="25.5" x14ac:dyDescent="0.25">
      <c r="A15" s="17" t="s">
        <v>162</v>
      </c>
      <c r="B15" s="17" t="s">
        <v>46</v>
      </c>
      <c r="C15" s="17" t="s">
        <v>163</v>
      </c>
      <c r="D15" s="17" t="s">
        <v>164</v>
      </c>
      <c r="E15" s="17" t="s">
        <v>165</v>
      </c>
      <c r="F15" s="17" t="s">
        <v>26</v>
      </c>
      <c r="G15" s="17" t="s">
        <v>5</v>
      </c>
      <c r="H15" s="17" t="s">
        <v>152</v>
      </c>
      <c r="I15" s="17" t="s">
        <v>166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167</v>
      </c>
    </row>
    <row r="16" spans="1:16" ht="25.5" x14ac:dyDescent="0.25">
      <c r="A16" s="17" t="s">
        <v>168</v>
      </c>
      <c r="B16" s="17" t="s">
        <v>51</v>
      </c>
      <c r="C16" s="17" t="s">
        <v>169</v>
      </c>
      <c r="D16" s="17" t="s">
        <v>170</v>
      </c>
      <c r="E16" s="17" t="s">
        <v>171</v>
      </c>
      <c r="F16" s="17" t="s">
        <v>26</v>
      </c>
      <c r="G16" s="17" t="s">
        <v>5</v>
      </c>
      <c r="H16" s="17" t="s">
        <v>152</v>
      </c>
      <c r="I16" s="17" t="s">
        <v>172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173</v>
      </c>
    </row>
    <row r="17" spans="1:16" ht="127.5" x14ac:dyDescent="0.25">
      <c r="A17" s="17" t="s">
        <v>174</v>
      </c>
      <c r="B17" s="17" t="s">
        <v>30</v>
      </c>
      <c r="C17" s="17" t="s">
        <v>175</v>
      </c>
      <c r="D17" s="17" t="s">
        <v>176</v>
      </c>
      <c r="E17" s="17" t="s">
        <v>177</v>
      </c>
      <c r="F17" s="17" t="s">
        <v>22</v>
      </c>
      <c r="G17" s="17" t="s">
        <v>10</v>
      </c>
      <c r="H17" s="17" t="s">
        <v>110</v>
      </c>
      <c r="I17" s="17" t="s">
        <v>178</v>
      </c>
      <c r="J17" s="17" t="s">
        <v>78</v>
      </c>
      <c r="K17" s="17" t="s">
        <v>79</v>
      </c>
      <c r="L17" s="17" t="s">
        <v>134</v>
      </c>
      <c r="M17" s="17" t="s">
        <v>135</v>
      </c>
      <c r="N17" s="17" t="s">
        <v>179</v>
      </c>
      <c r="O17" s="17" t="s">
        <v>81</v>
      </c>
      <c r="P17" s="17" t="s">
        <v>180</v>
      </c>
    </row>
    <row r="18" spans="1:16" ht="114.75" x14ac:dyDescent="0.25">
      <c r="A18" s="17" t="s">
        <v>181</v>
      </c>
      <c r="B18" s="17" t="s">
        <v>30</v>
      </c>
      <c r="C18" s="17" t="s">
        <v>175</v>
      </c>
      <c r="D18" s="17" t="s">
        <v>182</v>
      </c>
      <c r="E18" s="17" t="s">
        <v>183</v>
      </c>
      <c r="F18" s="17" t="s">
        <v>26</v>
      </c>
      <c r="G18" s="17" t="s">
        <v>7</v>
      </c>
      <c r="H18" s="17" t="s">
        <v>174</v>
      </c>
      <c r="I18" s="17" t="s">
        <v>184</v>
      </c>
      <c r="J18" s="17" t="s">
        <v>78</v>
      </c>
      <c r="K18" s="17" t="s">
        <v>79</v>
      </c>
      <c r="L18" s="17"/>
      <c r="M18" s="17"/>
      <c r="N18" s="17"/>
      <c r="O18" s="17" t="s">
        <v>81</v>
      </c>
      <c r="P18" s="17" t="s">
        <v>185</v>
      </c>
    </row>
    <row r="19" spans="1:16" ht="165.75" x14ac:dyDescent="0.25">
      <c r="A19" s="17" t="s">
        <v>186</v>
      </c>
      <c r="B19" s="17" t="s">
        <v>30</v>
      </c>
      <c r="C19" s="17" t="s">
        <v>116</v>
      </c>
      <c r="D19" s="17" t="s">
        <v>187</v>
      </c>
      <c r="E19" s="17" t="s">
        <v>188</v>
      </c>
      <c r="F19" s="17" t="s">
        <v>22</v>
      </c>
      <c r="G19" s="17" t="s">
        <v>10</v>
      </c>
      <c r="H19" s="17" t="s">
        <v>130</v>
      </c>
      <c r="I19" s="17" t="s">
        <v>189</v>
      </c>
      <c r="J19" s="17" t="s">
        <v>78</v>
      </c>
      <c r="K19" s="17" t="s">
        <v>79</v>
      </c>
      <c r="L19" s="17" t="s">
        <v>190</v>
      </c>
      <c r="M19" s="17" t="s">
        <v>191</v>
      </c>
      <c r="N19" s="17" t="s">
        <v>192</v>
      </c>
      <c r="O19" s="17" t="s">
        <v>81</v>
      </c>
      <c r="P19" s="17" t="s">
        <v>193</v>
      </c>
    </row>
    <row r="20" spans="1:16" ht="102" x14ac:dyDescent="0.25">
      <c r="A20" s="17" t="s">
        <v>194</v>
      </c>
      <c r="B20" s="17" t="s">
        <v>30</v>
      </c>
      <c r="C20" s="17" t="s">
        <v>116</v>
      </c>
      <c r="D20" s="17" t="s">
        <v>195</v>
      </c>
      <c r="E20" s="17" t="s">
        <v>196</v>
      </c>
      <c r="F20" s="17" t="s">
        <v>22</v>
      </c>
      <c r="G20" s="17" t="s">
        <v>10</v>
      </c>
      <c r="H20" s="17" t="s">
        <v>110</v>
      </c>
      <c r="I20" s="17" t="s">
        <v>197</v>
      </c>
      <c r="J20" s="17" t="s">
        <v>78</v>
      </c>
      <c r="K20" s="17" t="s">
        <v>79</v>
      </c>
      <c r="L20" s="17" t="s">
        <v>190</v>
      </c>
      <c r="M20" s="17" t="s">
        <v>191</v>
      </c>
      <c r="N20" s="17" t="s">
        <v>198</v>
      </c>
      <c r="O20" s="17" t="s">
        <v>81</v>
      </c>
      <c r="P20" s="17" t="s">
        <v>199</v>
      </c>
    </row>
    <row r="21" spans="1:16" ht="76.5" x14ac:dyDescent="0.25">
      <c r="A21" s="17" t="s">
        <v>200</v>
      </c>
      <c r="B21" s="17" t="s">
        <v>30</v>
      </c>
      <c r="C21" s="17" t="s">
        <v>116</v>
      </c>
      <c r="D21" s="17" t="s">
        <v>201</v>
      </c>
      <c r="E21" s="17" t="s">
        <v>202</v>
      </c>
      <c r="F21" s="17" t="s">
        <v>22</v>
      </c>
      <c r="G21" s="17" t="s">
        <v>10</v>
      </c>
      <c r="H21" s="17" t="s">
        <v>130</v>
      </c>
      <c r="I21" s="17" t="s">
        <v>203</v>
      </c>
      <c r="J21" s="17" t="s">
        <v>78</v>
      </c>
      <c r="K21" s="17" t="s">
        <v>79</v>
      </c>
      <c r="L21" s="17" t="s">
        <v>190</v>
      </c>
      <c r="M21" s="17" t="s">
        <v>191</v>
      </c>
      <c r="N21" s="17" t="s">
        <v>204</v>
      </c>
      <c r="O21" s="17" t="s">
        <v>81</v>
      </c>
      <c r="P21" s="17" t="s">
        <v>205</v>
      </c>
    </row>
    <row r="22" spans="1:16" ht="51" x14ac:dyDescent="0.25">
      <c r="A22" s="17" t="s">
        <v>206</v>
      </c>
      <c r="B22" s="17" t="s">
        <v>30</v>
      </c>
      <c r="C22" s="17" t="s">
        <v>169</v>
      </c>
      <c r="D22" s="17" t="s">
        <v>207</v>
      </c>
      <c r="E22" s="17" t="s">
        <v>208</v>
      </c>
      <c r="F22" s="17" t="s">
        <v>26</v>
      </c>
      <c r="G22" s="17" t="s">
        <v>10</v>
      </c>
      <c r="H22" s="17" t="s">
        <v>122</v>
      </c>
      <c r="I22" s="17" t="s">
        <v>209</v>
      </c>
      <c r="J22" s="17" t="s">
        <v>78</v>
      </c>
      <c r="K22" s="17" t="s">
        <v>79</v>
      </c>
      <c r="L22" s="17" t="s">
        <v>190</v>
      </c>
      <c r="M22" s="17" t="s">
        <v>191</v>
      </c>
      <c r="N22" s="17" t="s">
        <v>210</v>
      </c>
      <c r="O22" s="17" t="s">
        <v>81</v>
      </c>
      <c r="P22" s="17" t="s">
        <v>211</v>
      </c>
    </row>
    <row r="23" spans="1:16" ht="38.25" x14ac:dyDescent="0.25">
      <c r="A23" s="17" t="s">
        <v>212</v>
      </c>
      <c r="B23" s="17" t="s">
        <v>30</v>
      </c>
      <c r="C23" s="17" t="s">
        <v>116</v>
      </c>
      <c r="D23" s="17" t="s">
        <v>213</v>
      </c>
      <c r="E23" s="17" t="s">
        <v>214</v>
      </c>
      <c r="F23" s="17" t="s">
        <v>26</v>
      </c>
      <c r="G23" s="17" t="s">
        <v>10</v>
      </c>
      <c r="H23" s="17" t="s">
        <v>122</v>
      </c>
      <c r="I23" s="17" t="s">
        <v>215</v>
      </c>
      <c r="J23" s="17" t="s">
        <v>78</v>
      </c>
      <c r="K23" s="17" t="s">
        <v>79</v>
      </c>
      <c r="L23" s="17" t="s">
        <v>190</v>
      </c>
      <c r="M23" s="17" t="s">
        <v>191</v>
      </c>
      <c r="N23" s="17" t="s">
        <v>216</v>
      </c>
      <c r="O23" s="17" t="s">
        <v>81</v>
      </c>
      <c r="P23" s="17" t="s">
        <v>217</v>
      </c>
    </row>
    <row r="24" spans="1:16" ht="38.25" x14ac:dyDescent="0.25">
      <c r="A24" s="17" t="s">
        <v>218</v>
      </c>
      <c r="B24" s="17" t="s">
        <v>30</v>
      </c>
      <c r="C24" s="17" t="s">
        <v>116</v>
      </c>
      <c r="D24" s="17" t="s">
        <v>219</v>
      </c>
      <c r="E24" s="17" t="s">
        <v>220</v>
      </c>
      <c r="F24" s="17" t="s">
        <v>26</v>
      </c>
      <c r="G24" s="17" t="s">
        <v>10</v>
      </c>
      <c r="H24" s="17" t="s">
        <v>194</v>
      </c>
      <c r="I24" s="17" t="s">
        <v>221</v>
      </c>
      <c r="J24" s="17" t="s">
        <v>78</v>
      </c>
      <c r="K24" s="17" t="s">
        <v>79</v>
      </c>
      <c r="L24" s="17" t="s">
        <v>190</v>
      </c>
      <c r="M24" s="17" t="s">
        <v>191</v>
      </c>
      <c r="N24" s="17" t="s">
        <v>222</v>
      </c>
      <c r="O24" s="17" t="s">
        <v>81</v>
      </c>
      <c r="P24" s="17" t="s">
        <v>223</v>
      </c>
    </row>
    <row r="25" spans="1:16" ht="38.25" x14ac:dyDescent="0.25">
      <c r="A25" s="17" t="s">
        <v>224</v>
      </c>
      <c r="B25" s="17" t="s">
        <v>30</v>
      </c>
      <c r="C25" s="17" t="s">
        <v>116</v>
      </c>
      <c r="D25" s="17" t="s">
        <v>225</v>
      </c>
      <c r="E25" s="17" t="s">
        <v>226</v>
      </c>
      <c r="F25" s="17" t="s">
        <v>30</v>
      </c>
      <c r="G25" s="17" t="s">
        <v>7</v>
      </c>
      <c r="H25" s="17" t="s">
        <v>194</v>
      </c>
      <c r="I25" s="17" t="s">
        <v>227</v>
      </c>
      <c r="J25" s="17" t="s">
        <v>78</v>
      </c>
      <c r="K25" s="17" t="s">
        <v>79</v>
      </c>
      <c r="L25" s="17"/>
      <c r="M25" s="17"/>
      <c r="N25" s="17"/>
      <c r="O25" s="17" t="s">
        <v>81</v>
      </c>
      <c r="P25" s="17" t="s">
        <v>228</v>
      </c>
    </row>
  </sheetData>
  <autoFilter ref="A1:P25" xr:uid="{00000000-0009-0000-0000-000002000000}"/>
  <conditionalFormatting sqref="G2:G25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229</v>
      </c>
      <c r="B1" s="16" t="s">
        <v>230</v>
      </c>
      <c r="C1" s="16" t="s">
        <v>231</v>
      </c>
      <c r="D1" s="16" t="s">
        <v>232</v>
      </c>
      <c r="E1" s="16" t="s">
        <v>233</v>
      </c>
      <c r="F1" s="16" t="s">
        <v>2</v>
      </c>
      <c r="G1" s="16" t="s">
        <v>234</v>
      </c>
      <c r="H1" s="16" t="s">
        <v>235</v>
      </c>
    </row>
    <row r="2" spans="1:8" ht="38.25" x14ac:dyDescent="0.25">
      <c r="A2" s="17" t="s">
        <v>236</v>
      </c>
      <c r="B2" s="17" t="s">
        <v>237</v>
      </c>
      <c r="C2" s="17" t="s">
        <v>238</v>
      </c>
      <c r="D2" s="17" t="s">
        <v>239</v>
      </c>
      <c r="E2" s="17" t="s">
        <v>240</v>
      </c>
      <c r="F2" s="17" t="s">
        <v>8</v>
      </c>
      <c r="G2" s="17" t="s">
        <v>241</v>
      </c>
      <c r="H2" s="17" t="s">
        <v>242</v>
      </c>
    </row>
    <row r="3" spans="1:8" ht="25.5" x14ac:dyDescent="0.25">
      <c r="A3" s="17" t="s">
        <v>243</v>
      </c>
      <c r="B3" s="17" t="s">
        <v>244</v>
      </c>
      <c r="C3" s="17" t="s">
        <v>245</v>
      </c>
      <c r="D3" s="17" t="s">
        <v>246</v>
      </c>
      <c r="E3" s="17" t="s">
        <v>247</v>
      </c>
      <c r="F3" s="17" t="s">
        <v>5</v>
      </c>
      <c r="G3" s="17"/>
      <c r="H3" s="17" t="s">
        <v>248</v>
      </c>
    </row>
    <row r="4" spans="1:8" ht="25.5" x14ac:dyDescent="0.25">
      <c r="A4" s="17" t="s">
        <v>249</v>
      </c>
      <c r="B4" s="17" t="s">
        <v>244</v>
      </c>
      <c r="C4" s="17" t="s">
        <v>250</v>
      </c>
      <c r="D4" s="17" t="s">
        <v>251</v>
      </c>
      <c r="E4" s="17" t="s">
        <v>252</v>
      </c>
      <c r="F4" s="17" t="s">
        <v>10</v>
      </c>
      <c r="G4" s="17" t="s">
        <v>253</v>
      </c>
      <c r="H4" s="17" t="s">
        <v>254</v>
      </c>
    </row>
    <row r="5" spans="1:8" ht="25.5" x14ac:dyDescent="0.25">
      <c r="A5" s="17" t="s">
        <v>255</v>
      </c>
      <c r="B5" s="17" t="s">
        <v>256</v>
      </c>
      <c r="C5" s="17" t="s">
        <v>257</v>
      </c>
      <c r="D5" s="17" t="s">
        <v>258</v>
      </c>
      <c r="E5" s="17" t="s">
        <v>259</v>
      </c>
      <c r="F5" s="17" t="s">
        <v>10</v>
      </c>
      <c r="G5" s="17" t="s">
        <v>260</v>
      </c>
      <c r="H5" s="17" t="s">
        <v>261</v>
      </c>
    </row>
    <row r="6" spans="1:8" ht="51" x14ac:dyDescent="0.25">
      <c r="A6" s="17" t="s">
        <v>262</v>
      </c>
      <c r="B6" s="17" t="s">
        <v>256</v>
      </c>
      <c r="C6" s="17" t="s">
        <v>263</v>
      </c>
      <c r="D6" s="17" t="s">
        <v>264</v>
      </c>
      <c r="E6" s="17" t="s">
        <v>265</v>
      </c>
      <c r="F6" s="17" t="s">
        <v>10</v>
      </c>
      <c r="G6" s="17" t="s">
        <v>266</v>
      </c>
      <c r="H6" s="17" t="s">
        <v>267</v>
      </c>
    </row>
    <row r="7" spans="1:8" ht="76.5" x14ac:dyDescent="0.25">
      <c r="A7" s="17" t="s">
        <v>268</v>
      </c>
      <c r="B7" s="17" t="s">
        <v>256</v>
      </c>
      <c r="C7" s="17" t="s">
        <v>269</v>
      </c>
      <c r="D7" s="17" t="s">
        <v>270</v>
      </c>
      <c r="E7" s="17" t="s">
        <v>271</v>
      </c>
      <c r="F7" s="17" t="s">
        <v>10</v>
      </c>
      <c r="G7" s="17" t="s">
        <v>272</v>
      </c>
      <c r="H7" s="17" t="s">
        <v>273</v>
      </c>
    </row>
    <row r="8" spans="1:8" ht="38.25" x14ac:dyDescent="0.25">
      <c r="A8" s="17" t="s">
        <v>274</v>
      </c>
      <c r="B8" s="17" t="s">
        <v>244</v>
      </c>
      <c r="C8" s="17" t="s">
        <v>275</v>
      </c>
      <c r="D8" s="17" t="s">
        <v>276</v>
      </c>
      <c r="E8" s="17" t="s">
        <v>277</v>
      </c>
      <c r="F8" s="17" t="s">
        <v>10</v>
      </c>
      <c r="G8" s="17" t="s">
        <v>278</v>
      </c>
      <c r="H8" s="17" t="s">
        <v>279</v>
      </c>
    </row>
    <row r="9" spans="1:8" ht="51" x14ac:dyDescent="0.25">
      <c r="A9" s="17" t="s">
        <v>280</v>
      </c>
      <c r="B9" s="17" t="s">
        <v>244</v>
      </c>
      <c r="C9" s="17" t="s">
        <v>281</v>
      </c>
      <c r="D9" s="17" t="s">
        <v>282</v>
      </c>
      <c r="E9" s="17" t="s">
        <v>283</v>
      </c>
      <c r="F9" s="17" t="s">
        <v>10</v>
      </c>
      <c r="G9" s="17" t="s">
        <v>284</v>
      </c>
      <c r="H9" s="17" t="s">
        <v>285</v>
      </c>
    </row>
    <row r="10" spans="1:8" ht="51" x14ac:dyDescent="0.25">
      <c r="A10" s="17" t="s">
        <v>286</v>
      </c>
      <c r="B10" s="17" t="s">
        <v>244</v>
      </c>
      <c r="C10" s="17" t="s">
        <v>287</v>
      </c>
      <c r="D10" s="17" t="s">
        <v>288</v>
      </c>
      <c r="E10" s="17" t="s">
        <v>289</v>
      </c>
      <c r="F10" s="17" t="s">
        <v>10</v>
      </c>
      <c r="G10" s="17" t="s">
        <v>290</v>
      </c>
      <c r="H10" s="17" t="s">
        <v>291</v>
      </c>
    </row>
    <row r="11" spans="1:8" ht="38.25" x14ac:dyDescent="0.25">
      <c r="A11" s="17" t="s">
        <v>292</v>
      </c>
      <c r="B11" s="17" t="s">
        <v>244</v>
      </c>
      <c r="C11" s="17" t="s">
        <v>293</v>
      </c>
      <c r="D11" s="17" t="s">
        <v>294</v>
      </c>
      <c r="E11" s="17" t="s">
        <v>295</v>
      </c>
      <c r="F11" s="17" t="s">
        <v>10</v>
      </c>
      <c r="G11" s="17" t="s">
        <v>296</v>
      </c>
      <c r="H11" s="17" t="s">
        <v>297</v>
      </c>
    </row>
    <row r="12" spans="1:8" ht="63.75" x14ac:dyDescent="0.25">
      <c r="A12" s="17" t="s">
        <v>298</v>
      </c>
      <c r="B12" s="17" t="s">
        <v>256</v>
      </c>
      <c r="C12" s="17" t="s">
        <v>299</v>
      </c>
      <c r="D12" s="17" t="s">
        <v>300</v>
      </c>
      <c r="E12" s="17" t="s">
        <v>301</v>
      </c>
      <c r="F12" s="17" t="s">
        <v>10</v>
      </c>
      <c r="G12" s="17" t="s">
        <v>302</v>
      </c>
      <c r="H12" s="17" t="s">
        <v>303</v>
      </c>
    </row>
  </sheetData>
  <autoFilter ref="A1:H12" xr:uid="{00000000-0009-0000-0000-000003000000}"/>
  <conditionalFormatting sqref="F2:F12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304</v>
      </c>
      <c r="B1" s="16" t="s">
        <v>305</v>
      </c>
      <c r="C1" s="16" t="s">
        <v>306</v>
      </c>
      <c r="D1" s="16" t="s">
        <v>307</v>
      </c>
      <c r="E1" s="16" t="s">
        <v>308</v>
      </c>
      <c r="F1" s="16" t="s">
        <v>309</v>
      </c>
      <c r="G1" s="16" t="s">
        <v>310</v>
      </c>
    </row>
    <row r="2" spans="1:7" x14ac:dyDescent="0.25">
      <c r="A2" s="17" t="s">
        <v>311</v>
      </c>
      <c r="B2" s="17" t="s">
        <v>312</v>
      </c>
      <c r="C2" s="17" t="s">
        <v>313</v>
      </c>
      <c r="D2" s="17" t="s">
        <v>314</v>
      </c>
      <c r="E2" s="17" t="s">
        <v>315</v>
      </c>
      <c r="F2" s="17" t="s">
        <v>316</v>
      </c>
      <c r="G2" s="17" t="s">
        <v>317</v>
      </c>
    </row>
    <row r="3" spans="1:7" x14ac:dyDescent="0.25">
      <c r="A3" s="17" t="s">
        <v>318</v>
      </c>
      <c r="B3" s="17" t="s">
        <v>319</v>
      </c>
      <c r="C3" s="17" t="s">
        <v>320</v>
      </c>
      <c r="D3" s="17" t="s">
        <v>314</v>
      </c>
      <c r="E3" s="17" t="s">
        <v>321</v>
      </c>
      <c r="F3" s="17" t="s">
        <v>322</v>
      </c>
      <c r="G3" s="17" t="s">
        <v>317</v>
      </c>
    </row>
    <row r="4" spans="1:7" x14ac:dyDescent="0.25">
      <c r="A4" s="17" t="s">
        <v>323</v>
      </c>
      <c r="B4" s="17" t="s">
        <v>324</v>
      </c>
      <c r="C4" s="17" t="s">
        <v>325</v>
      </c>
      <c r="D4" s="17" t="s">
        <v>314</v>
      </c>
      <c r="E4" s="17" t="s">
        <v>326</v>
      </c>
      <c r="F4" s="17" t="s">
        <v>327</v>
      </c>
      <c r="G4" s="17" t="s">
        <v>317</v>
      </c>
    </row>
    <row r="5" spans="1:7" ht="25.5" x14ac:dyDescent="0.25">
      <c r="A5" s="17" t="s">
        <v>328</v>
      </c>
      <c r="B5" s="17" t="s">
        <v>329</v>
      </c>
      <c r="C5" s="17" t="s">
        <v>330</v>
      </c>
      <c r="D5" s="17" t="s">
        <v>331</v>
      </c>
      <c r="E5" s="17" t="s">
        <v>332</v>
      </c>
      <c r="F5" s="17" t="s">
        <v>333</v>
      </c>
      <c r="G5" s="17" t="s">
        <v>317</v>
      </c>
    </row>
    <row r="6" spans="1:7" x14ac:dyDescent="0.25">
      <c r="A6" s="17" t="s">
        <v>334</v>
      </c>
      <c r="B6" s="17" t="s">
        <v>319</v>
      </c>
      <c r="C6" s="17" t="s">
        <v>335</v>
      </c>
      <c r="D6" s="17" t="s">
        <v>314</v>
      </c>
      <c r="E6" s="17" t="s">
        <v>336</v>
      </c>
      <c r="F6" s="17" t="s">
        <v>126</v>
      </c>
      <c r="G6" s="17" t="s">
        <v>317</v>
      </c>
    </row>
    <row r="7" spans="1:7" ht="38.25" x14ac:dyDescent="0.25">
      <c r="A7" s="17" t="s">
        <v>337</v>
      </c>
      <c r="B7" s="17" t="s">
        <v>324</v>
      </c>
      <c r="C7" s="17" t="s">
        <v>338</v>
      </c>
      <c r="D7" s="17" t="s">
        <v>314</v>
      </c>
      <c r="E7" s="17" t="s">
        <v>339</v>
      </c>
      <c r="F7" s="17" t="s">
        <v>126</v>
      </c>
      <c r="G7" s="17" t="s">
        <v>317</v>
      </c>
    </row>
    <row r="8" spans="1:7" ht="25.5" x14ac:dyDescent="0.25">
      <c r="A8" s="17" t="s">
        <v>340</v>
      </c>
      <c r="B8" s="17" t="s">
        <v>116</v>
      </c>
      <c r="C8" s="17" t="s">
        <v>341</v>
      </c>
      <c r="D8" s="17" t="s">
        <v>342</v>
      </c>
      <c r="E8" s="17" t="s">
        <v>332</v>
      </c>
      <c r="F8" s="17" t="s">
        <v>343</v>
      </c>
      <c r="G8" s="17" t="s">
        <v>317</v>
      </c>
    </row>
    <row r="9" spans="1:7" ht="25.5" x14ac:dyDescent="0.25">
      <c r="A9" s="17" t="s">
        <v>344</v>
      </c>
      <c r="B9" s="17" t="s">
        <v>345</v>
      </c>
      <c r="C9" s="17" t="s">
        <v>346</v>
      </c>
      <c r="D9" s="17" t="s">
        <v>347</v>
      </c>
      <c r="E9" s="17" t="s">
        <v>348</v>
      </c>
      <c r="F9" s="17" t="s">
        <v>349</v>
      </c>
      <c r="G9" s="17" t="s">
        <v>317</v>
      </c>
    </row>
    <row r="10" spans="1:7" x14ac:dyDescent="0.25">
      <c r="A10" s="17" t="s">
        <v>350</v>
      </c>
      <c r="B10" s="17" t="s">
        <v>319</v>
      </c>
      <c r="C10" s="17" t="s">
        <v>335</v>
      </c>
      <c r="D10" s="17" t="s">
        <v>314</v>
      </c>
      <c r="E10" s="17" t="s">
        <v>351</v>
      </c>
      <c r="F10" s="17" t="s">
        <v>134</v>
      </c>
      <c r="G10" s="17" t="s">
        <v>81</v>
      </c>
    </row>
    <row r="11" spans="1:7" ht="25.5" x14ac:dyDescent="0.25">
      <c r="A11" s="17" t="s">
        <v>352</v>
      </c>
      <c r="B11" s="17" t="s">
        <v>324</v>
      </c>
      <c r="C11" s="17" t="s">
        <v>353</v>
      </c>
      <c r="D11" s="17" t="s">
        <v>354</v>
      </c>
      <c r="E11" s="17" t="s">
        <v>355</v>
      </c>
      <c r="F11" s="17" t="s">
        <v>134</v>
      </c>
      <c r="G11" s="17" t="s">
        <v>81</v>
      </c>
    </row>
    <row r="12" spans="1:7" ht="38.25" x14ac:dyDescent="0.25">
      <c r="A12" s="17" t="s">
        <v>356</v>
      </c>
      <c r="B12" s="17" t="s">
        <v>116</v>
      </c>
      <c r="C12" s="17" t="s">
        <v>357</v>
      </c>
      <c r="D12" s="17" t="s">
        <v>342</v>
      </c>
      <c r="E12" s="17" t="s">
        <v>358</v>
      </c>
      <c r="F12" s="17" t="s">
        <v>343</v>
      </c>
      <c r="G12" s="17" t="s">
        <v>81</v>
      </c>
    </row>
    <row r="13" spans="1:7" ht="25.5" x14ac:dyDescent="0.25">
      <c r="A13" s="17" t="s">
        <v>359</v>
      </c>
      <c r="B13" s="17" t="s">
        <v>345</v>
      </c>
      <c r="C13" s="17" t="s">
        <v>346</v>
      </c>
      <c r="D13" s="17" t="s">
        <v>347</v>
      </c>
      <c r="E13" s="17" t="s">
        <v>360</v>
      </c>
      <c r="F13" s="17" t="s">
        <v>361</v>
      </c>
      <c r="G13" s="17" t="s">
        <v>81</v>
      </c>
    </row>
    <row r="14" spans="1:7" ht="51" x14ac:dyDescent="0.25">
      <c r="A14" s="17" t="s">
        <v>362</v>
      </c>
      <c r="B14" s="17" t="s">
        <v>312</v>
      </c>
      <c r="C14" s="17" t="s">
        <v>363</v>
      </c>
      <c r="D14" s="17" t="s">
        <v>314</v>
      </c>
      <c r="E14" s="17" t="s">
        <v>364</v>
      </c>
      <c r="F14" s="17" t="s">
        <v>365</v>
      </c>
      <c r="G14" s="17" t="s">
        <v>81</v>
      </c>
    </row>
    <row r="15" spans="1:7" ht="25.5" x14ac:dyDescent="0.25">
      <c r="A15" s="17" t="s">
        <v>366</v>
      </c>
      <c r="B15" s="17" t="s">
        <v>319</v>
      </c>
      <c r="C15" s="17" t="s">
        <v>367</v>
      </c>
      <c r="D15" s="17" t="s">
        <v>314</v>
      </c>
      <c r="E15" s="17" t="s">
        <v>368</v>
      </c>
      <c r="F15" s="17" t="s">
        <v>369</v>
      </c>
      <c r="G15" s="17" t="s">
        <v>81</v>
      </c>
    </row>
    <row r="16" spans="1:7" ht="38.25" x14ac:dyDescent="0.25">
      <c r="A16" s="17" t="s">
        <v>370</v>
      </c>
      <c r="B16" s="17" t="s">
        <v>324</v>
      </c>
      <c r="C16" s="17" t="s">
        <v>371</v>
      </c>
      <c r="D16" s="17" t="s">
        <v>314</v>
      </c>
      <c r="E16" s="17" t="s">
        <v>372</v>
      </c>
      <c r="F16" s="17" t="s">
        <v>373</v>
      </c>
      <c r="G16" s="17" t="s">
        <v>81</v>
      </c>
    </row>
    <row r="17" spans="1:7" ht="51" x14ac:dyDescent="0.25">
      <c r="A17" s="17" t="s">
        <v>374</v>
      </c>
      <c r="B17" s="17" t="s">
        <v>375</v>
      </c>
      <c r="C17" s="17" t="s">
        <v>376</v>
      </c>
      <c r="D17" s="17" t="s">
        <v>342</v>
      </c>
      <c r="E17" s="17" t="s">
        <v>377</v>
      </c>
      <c r="F17" s="17" t="s">
        <v>378</v>
      </c>
      <c r="G17" s="17" t="s">
        <v>81</v>
      </c>
    </row>
    <row r="18" spans="1:7" ht="25.5" x14ac:dyDescent="0.25">
      <c r="A18" s="17" t="s">
        <v>379</v>
      </c>
      <c r="B18" s="17" t="s">
        <v>319</v>
      </c>
      <c r="C18" s="17" t="s">
        <v>380</v>
      </c>
      <c r="D18" s="17" t="s">
        <v>314</v>
      </c>
      <c r="E18" s="17" t="s">
        <v>381</v>
      </c>
      <c r="F18" s="17" t="s">
        <v>382</v>
      </c>
      <c r="G18" s="17" t="s">
        <v>81</v>
      </c>
    </row>
    <row r="19" spans="1:7" ht="51" x14ac:dyDescent="0.25">
      <c r="A19" s="17" t="s">
        <v>383</v>
      </c>
      <c r="B19" s="17" t="s">
        <v>324</v>
      </c>
      <c r="C19" s="17" t="s">
        <v>384</v>
      </c>
      <c r="D19" s="17" t="s">
        <v>314</v>
      </c>
      <c r="E19" s="17" t="s">
        <v>385</v>
      </c>
      <c r="F19" s="17" t="s">
        <v>373</v>
      </c>
      <c r="G19" s="17" t="s">
        <v>81</v>
      </c>
    </row>
    <row r="20" spans="1:7" ht="38.25" x14ac:dyDescent="0.25">
      <c r="A20" s="17" t="s">
        <v>386</v>
      </c>
      <c r="B20" s="17" t="s">
        <v>375</v>
      </c>
      <c r="C20" s="17" t="s">
        <v>387</v>
      </c>
      <c r="D20" s="17" t="s">
        <v>342</v>
      </c>
      <c r="E20" s="17" t="s">
        <v>388</v>
      </c>
      <c r="F20" s="17" t="s">
        <v>389</v>
      </c>
      <c r="G20" s="17" t="s">
        <v>81</v>
      </c>
    </row>
  </sheetData>
  <autoFilter ref="A1:G2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390</v>
      </c>
      <c r="B1" s="16" t="s">
        <v>391</v>
      </c>
      <c r="C1" s="16" t="s">
        <v>392</v>
      </c>
      <c r="D1" s="16" t="s">
        <v>310</v>
      </c>
      <c r="E1" s="16" t="s">
        <v>393</v>
      </c>
      <c r="F1" s="16" t="s">
        <v>394</v>
      </c>
    </row>
    <row r="2" spans="1:6" x14ac:dyDescent="0.25">
      <c r="A2" s="17" t="s">
        <v>395</v>
      </c>
      <c r="B2" s="17" t="s">
        <v>67</v>
      </c>
      <c r="C2" s="17" t="s">
        <v>396</v>
      </c>
      <c r="D2" s="17" t="s">
        <v>317</v>
      </c>
      <c r="E2" s="17" t="s">
        <v>397</v>
      </c>
      <c r="F2" s="17" t="s">
        <v>83</v>
      </c>
    </row>
    <row r="3" spans="1:6" x14ac:dyDescent="0.25">
      <c r="A3" s="17" t="s">
        <v>398</v>
      </c>
      <c r="B3" s="17" t="s">
        <v>399</v>
      </c>
      <c r="C3" s="17" t="s">
        <v>400</v>
      </c>
      <c r="D3" s="17" t="s">
        <v>317</v>
      </c>
      <c r="E3" s="17" t="s">
        <v>401</v>
      </c>
      <c r="F3" s="17" t="s">
        <v>83</v>
      </c>
    </row>
    <row r="4" spans="1:6" x14ac:dyDescent="0.25">
      <c r="A4" s="17" t="s">
        <v>402</v>
      </c>
      <c r="B4" s="17" t="s">
        <v>403</v>
      </c>
      <c r="C4" s="17" t="s">
        <v>404</v>
      </c>
      <c r="D4" s="17" t="s">
        <v>317</v>
      </c>
      <c r="E4" s="17" t="s">
        <v>405</v>
      </c>
      <c r="F4" s="17" t="s">
        <v>406</v>
      </c>
    </row>
    <row r="5" spans="1:6" ht="25.5" x14ac:dyDescent="0.25">
      <c r="A5" s="17" t="s">
        <v>407</v>
      </c>
      <c r="B5" s="17" t="s">
        <v>408</v>
      </c>
      <c r="C5" s="17" t="s">
        <v>409</v>
      </c>
      <c r="D5" s="17" t="s">
        <v>317</v>
      </c>
      <c r="E5" s="17" t="s">
        <v>410</v>
      </c>
      <c r="F5" s="17" t="s">
        <v>157</v>
      </c>
    </row>
    <row r="6" spans="1:6" x14ac:dyDescent="0.25">
      <c r="A6" s="17" t="s">
        <v>411</v>
      </c>
      <c r="B6" s="17" t="s">
        <v>412</v>
      </c>
      <c r="C6" s="17" t="s">
        <v>413</v>
      </c>
      <c r="D6" s="17" t="s">
        <v>317</v>
      </c>
      <c r="E6" s="17" t="s">
        <v>26</v>
      </c>
      <c r="F6" s="17" t="s">
        <v>102</v>
      </c>
    </row>
    <row r="7" spans="1:6" ht="25.5" x14ac:dyDescent="0.25">
      <c r="A7" s="17" t="s">
        <v>414</v>
      </c>
      <c r="B7" s="17" t="s">
        <v>415</v>
      </c>
      <c r="C7" s="17" t="s">
        <v>416</v>
      </c>
      <c r="D7" s="17" t="s">
        <v>317</v>
      </c>
      <c r="E7" s="17" t="s">
        <v>417</v>
      </c>
      <c r="F7" s="17" t="s">
        <v>157</v>
      </c>
    </row>
    <row r="8" spans="1:6" x14ac:dyDescent="0.25">
      <c r="A8" s="17" t="s">
        <v>418</v>
      </c>
      <c r="B8" s="17" t="s">
        <v>419</v>
      </c>
      <c r="C8" s="17" t="s">
        <v>420</v>
      </c>
      <c r="D8" s="17" t="s">
        <v>317</v>
      </c>
      <c r="E8" s="17" t="s">
        <v>421</v>
      </c>
      <c r="F8" s="17" t="s">
        <v>422</v>
      </c>
    </row>
    <row r="9" spans="1:6" x14ac:dyDescent="0.25">
      <c r="A9" s="17" t="s">
        <v>167</v>
      </c>
      <c r="B9" s="17" t="s">
        <v>423</v>
      </c>
      <c r="C9" s="17" t="s">
        <v>424</v>
      </c>
      <c r="D9" s="17" t="s">
        <v>317</v>
      </c>
      <c r="E9" s="17" t="s">
        <v>421</v>
      </c>
      <c r="F9" s="17" t="s">
        <v>162</v>
      </c>
    </row>
    <row r="10" spans="1:6" x14ac:dyDescent="0.25">
      <c r="A10" s="17" t="s">
        <v>425</v>
      </c>
      <c r="B10" s="17" t="s">
        <v>52</v>
      </c>
      <c r="C10" s="17" t="s">
        <v>426</v>
      </c>
      <c r="D10" s="17" t="s">
        <v>317</v>
      </c>
      <c r="E10" s="17" t="s">
        <v>51</v>
      </c>
      <c r="F10" s="17" t="s">
        <v>168</v>
      </c>
    </row>
    <row r="11" spans="1:6" ht="51" x14ac:dyDescent="0.25">
      <c r="A11" s="17" t="s">
        <v>427</v>
      </c>
      <c r="B11" s="17" t="s">
        <v>428</v>
      </c>
      <c r="C11" s="17" t="s">
        <v>429</v>
      </c>
      <c r="D11" s="17" t="s">
        <v>81</v>
      </c>
      <c r="E11" s="17" t="s">
        <v>430</v>
      </c>
      <c r="F11" s="17" t="s">
        <v>431</v>
      </c>
    </row>
    <row r="12" spans="1:6" x14ac:dyDescent="0.25">
      <c r="A12" s="17" t="s">
        <v>432</v>
      </c>
      <c r="B12" s="17" t="s">
        <v>433</v>
      </c>
      <c r="C12" s="17" t="s">
        <v>434</v>
      </c>
      <c r="D12" s="17" t="s">
        <v>317</v>
      </c>
      <c r="E12" s="17" t="s">
        <v>435</v>
      </c>
      <c r="F12" s="17" t="s">
        <v>96</v>
      </c>
    </row>
  </sheetData>
  <autoFilter ref="A1:F1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436</v>
      </c>
      <c r="B1" s="16" t="s">
        <v>437</v>
      </c>
      <c r="C1" s="16" t="s">
        <v>438</v>
      </c>
      <c r="D1" s="16" t="s">
        <v>439</v>
      </c>
      <c r="E1" s="16" t="s">
        <v>440</v>
      </c>
    </row>
    <row r="2" spans="1:5" ht="25.5" x14ac:dyDescent="0.25">
      <c r="A2" s="17" t="s">
        <v>441</v>
      </c>
      <c r="B2" s="17" t="s">
        <v>442</v>
      </c>
      <c r="C2" s="17" t="s">
        <v>443</v>
      </c>
      <c r="D2" s="17" t="s">
        <v>444</v>
      </c>
      <c r="E2" s="17" t="s">
        <v>445</v>
      </c>
    </row>
    <row r="3" spans="1:5" x14ac:dyDescent="0.25">
      <c r="A3" s="17" t="s">
        <v>446</v>
      </c>
      <c r="B3" s="17" t="s">
        <v>447</v>
      </c>
      <c r="C3" s="17" t="s">
        <v>448</v>
      </c>
      <c r="D3" s="17" t="s">
        <v>449</v>
      </c>
      <c r="E3" s="17" t="s">
        <v>450</v>
      </c>
    </row>
    <row r="4" spans="1:5" x14ac:dyDescent="0.25">
      <c r="A4" s="17" t="s">
        <v>451</v>
      </c>
      <c r="B4" s="17" t="s">
        <v>452</v>
      </c>
      <c r="C4" s="17" t="s">
        <v>452</v>
      </c>
      <c r="D4" s="17" t="s">
        <v>453</v>
      </c>
      <c r="E4" s="17" t="s">
        <v>454</v>
      </c>
    </row>
    <row r="5" spans="1:5" x14ac:dyDescent="0.25">
      <c r="A5" s="17" t="s">
        <v>455</v>
      </c>
      <c r="B5" s="17" t="s">
        <v>456</v>
      </c>
      <c r="C5" s="17" t="s">
        <v>457</v>
      </c>
      <c r="D5" s="17" t="s">
        <v>458</v>
      </c>
      <c r="E5" s="17" t="s">
        <v>450</v>
      </c>
    </row>
    <row r="6" spans="1:5" x14ac:dyDescent="0.25">
      <c r="A6" s="17" t="s">
        <v>459</v>
      </c>
      <c r="B6" s="17" t="s">
        <v>460</v>
      </c>
      <c r="C6" s="17" t="s">
        <v>460</v>
      </c>
      <c r="D6" s="17" t="s">
        <v>461</v>
      </c>
      <c r="E6" s="17" t="s">
        <v>445</v>
      </c>
    </row>
    <row r="7" spans="1:5" ht="38.25" x14ac:dyDescent="0.25">
      <c r="A7" s="17" t="s">
        <v>462</v>
      </c>
      <c r="B7" s="17" t="s">
        <v>463</v>
      </c>
      <c r="C7" s="17" t="s">
        <v>464</v>
      </c>
      <c r="D7" s="17" t="s">
        <v>465</v>
      </c>
      <c r="E7" s="17" t="s">
        <v>445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2026-10-14T08:50:38Z</dcterms:created>
  <dcterms:modified xsi:type="dcterms:W3CDTF">2026-10-14T08:50:49Z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